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szczachor\Desktop\"/>
    </mc:Choice>
  </mc:AlternateContent>
  <xr:revisionPtr revIDLastSave="0" documentId="13_ncr:1_{43724A0C-1E9B-443D-9065-4E12F7E7294E}" xr6:coauthVersionLast="47" xr6:coauthVersionMax="47" xr10:uidLastSave="{00000000-0000-0000-0000-000000000000}"/>
  <bookViews>
    <workbookView xWindow="2530" yWindow="3330" windowWidth="10250" windowHeight="2940" xr2:uid="{CF5C4CB8-C75E-46CF-B45E-AEFFA0884C5E}"/>
  </bookViews>
  <sheets>
    <sheet name="Roczna_Sprzedaz" sheetId="8" r:id="rId1"/>
    <sheet name="Arkusz1" sheetId="1" r:id="rId2"/>
    <sheet name="Arkusz2" sheetId="2" r:id="rId3"/>
    <sheet name="Arkusz3" sheetId="3" r:id="rId4"/>
    <sheet name="Arkusz4" sheetId="4" r:id="rId5"/>
    <sheet name="Arkusz5" sheetId="5" r:id="rId6"/>
    <sheet name="Dane" sheetId="7" r:id="rId7"/>
    <sheet name="Cena" sheetId="6" r:id="rId8"/>
    <sheet name="Arkusz6" sheetId="9" r:id="rId9"/>
  </sheets>
  <definedNames>
    <definedName name="_xlnm._FilterDatabase" localSheetId="6" hidden="1">Dane!$A$1:$R$3001</definedName>
  </definedNames>
  <calcPr calcId="191029"/>
  <pivotCaches>
    <pivotCache cacheId="7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3001" i="7"/>
  <c r="C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I3001" i="7"/>
  <c r="I2" i="7"/>
  <c r="J5" i="7" l="1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989" i="7"/>
  <c r="J1990" i="7"/>
  <c r="J1991" i="7"/>
  <c r="J1992" i="7"/>
  <c r="J1993" i="7"/>
  <c r="J1994" i="7"/>
  <c r="J1995" i="7"/>
  <c r="J1996" i="7"/>
  <c r="J1997" i="7"/>
  <c r="J1998" i="7"/>
  <c r="J1999" i="7"/>
  <c r="J2000" i="7"/>
  <c r="J2001" i="7"/>
  <c r="J2002" i="7"/>
  <c r="J2003" i="7"/>
  <c r="J2004" i="7"/>
  <c r="J2005" i="7"/>
  <c r="J2006" i="7"/>
  <c r="J2007" i="7"/>
  <c r="J2008" i="7"/>
  <c r="J2009" i="7"/>
  <c r="J2010" i="7"/>
  <c r="J2011" i="7"/>
  <c r="J2012" i="7"/>
  <c r="J2013" i="7"/>
  <c r="J2014" i="7"/>
  <c r="J2015" i="7"/>
  <c r="J2016" i="7"/>
  <c r="J2017" i="7"/>
  <c r="J2018" i="7"/>
  <c r="J2019" i="7"/>
  <c r="J2020" i="7"/>
  <c r="J2021" i="7"/>
  <c r="J2022" i="7"/>
  <c r="J2023" i="7"/>
  <c r="J2024" i="7"/>
  <c r="J2025" i="7"/>
  <c r="J2026" i="7"/>
  <c r="J2027" i="7"/>
  <c r="J2028" i="7"/>
  <c r="J2029" i="7"/>
  <c r="J2030" i="7"/>
  <c r="J2031" i="7"/>
  <c r="J2032" i="7"/>
  <c r="J2033" i="7"/>
  <c r="J2034" i="7"/>
  <c r="J2035" i="7"/>
  <c r="J2036" i="7"/>
  <c r="J2037" i="7"/>
  <c r="J2038" i="7"/>
  <c r="J2039" i="7"/>
  <c r="J2040" i="7"/>
  <c r="J2041" i="7"/>
  <c r="J2042" i="7"/>
  <c r="J2043" i="7"/>
  <c r="J2044" i="7"/>
  <c r="J2045" i="7"/>
  <c r="J2046" i="7"/>
  <c r="J2047" i="7"/>
  <c r="J2048" i="7"/>
  <c r="J2049" i="7"/>
  <c r="J2050" i="7"/>
  <c r="J2051" i="7"/>
  <c r="J2052" i="7"/>
  <c r="J2053" i="7"/>
  <c r="J2054" i="7"/>
  <c r="J2055" i="7"/>
  <c r="J2056" i="7"/>
  <c r="J2057" i="7"/>
  <c r="J2058" i="7"/>
  <c r="J2059" i="7"/>
  <c r="J2060" i="7"/>
  <c r="J2061" i="7"/>
  <c r="J2062" i="7"/>
  <c r="J2063" i="7"/>
  <c r="J2064" i="7"/>
  <c r="J2065" i="7"/>
  <c r="J2066" i="7"/>
  <c r="J2067" i="7"/>
  <c r="J2068" i="7"/>
  <c r="J2069" i="7"/>
  <c r="J2070" i="7"/>
  <c r="J2071" i="7"/>
  <c r="J2072" i="7"/>
  <c r="J2073" i="7"/>
  <c r="J2074" i="7"/>
  <c r="J2075" i="7"/>
  <c r="J2076" i="7"/>
  <c r="J2077" i="7"/>
  <c r="J2078" i="7"/>
  <c r="J2079" i="7"/>
  <c r="J2080" i="7"/>
  <c r="J2081" i="7"/>
  <c r="J2082" i="7"/>
  <c r="J2083" i="7"/>
  <c r="J2084" i="7"/>
  <c r="J2085" i="7"/>
  <c r="J2086" i="7"/>
  <c r="J2087" i="7"/>
  <c r="J2088" i="7"/>
  <c r="J2089" i="7"/>
  <c r="J2090" i="7"/>
  <c r="J2091" i="7"/>
  <c r="J2092" i="7"/>
  <c r="J2093" i="7"/>
  <c r="J2094" i="7"/>
  <c r="J2095" i="7"/>
  <c r="J2096" i="7"/>
  <c r="J2097" i="7"/>
  <c r="J2098" i="7"/>
  <c r="J2099" i="7"/>
  <c r="J2100" i="7"/>
  <c r="J2101" i="7"/>
  <c r="J2102" i="7"/>
  <c r="J2103" i="7"/>
  <c r="J2104" i="7"/>
  <c r="J2105" i="7"/>
  <c r="J2106" i="7"/>
  <c r="J2107" i="7"/>
  <c r="J2108" i="7"/>
  <c r="J2109" i="7"/>
  <c r="J2110" i="7"/>
  <c r="J2111" i="7"/>
  <c r="J2112" i="7"/>
  <c r="J2113" i="7"/>
  <c r="J2114" i="7"/>
  <c r="J2115" i="7"/>
  <c r="J2116" i="7"/>
  <c r="J2117" i="7"/>
  <c r="J2118" i="7"/>
  <c r="J2119" i="7"/>
  <c r="J2120" i="7"/>
  <c r="J2121" i="7"/>
  <c r="J2122" i="7"/>
  <c r="J2123" i="7"/>
  <c r="J2124" i="7"/>
  <c r="J2125" i="7"/>
  <c r="J2126" i="7"/>
  <c r="J2127" i="7"/>
  <c r="J2128" i="7"/>
  <c r="J2129" i="7"/>
  <c r="J2130" i="7"/>
  <c r="J2131" i="7"/>
  <c r="J2132" i="7"/>
  <c r="J2133" i="7"/>
  <c r="J2134" i="7"/>
  <c r="J2135" i="7"/>
  <c r="J2136" i="7"/>
  <c r="J2137" i="7"/>
  <c r="J2138" i="7"/>
  <c r="J2139" i="7"/>
  <c r="J2140" i="7"/>
  <c r="J2141" i="7"/>
  <c r="J2142" i="7"/>
  <c r="J2143" i="7"/>
  <c r="J2144" i="7"/>
  <c r="J2145" i="7"/>
  <c r="J2146" i="7"/>
  <c r="J2147" i="7"/>
  <c r="J2148" i="7"/>
  <c r="J2149" i="7"/>
  <c r="J2150" i="7"/>
  <c r="J2151" i="7"/>
  <c r="J2152" i="7"/>
  <c r="J2153" i="7"/>
  <c r="J2154" i="7"/>
  <c r="J2155" i="7"/>
  <c r="J2156" i="7"/>
  <c r="J2157" i="7"/>
  <c r="J2158" i="7"/>
  <c r="J2159" i="7"/>
  <c r="J2160" i="7"/>
  <c r="J2161" i="7"/>
  <c r="J2162" i="7"/>
  <c r="J2163" i="7"/>
  <c r="J2164" i="7"/>
  <c r="J2165" i="7"/>
  <c r="J2166" i="7"/>
  <c r="J2167" i="7"/>
  <c r="J2168" i="7"/>
  <c r="J2169" i="7"/>
  <c r="J2170" i="7"/>
  <c r="J2171" i="7"/>
  <c r="J2172" i="7"/>
  <c r="J2173" i="7"/>
  <c r="J2174" i="7"/>
  <c r="J2175" i="7"/>
  <c r="J2176" i="7"/>
  <c r="J2177" i="7"/>
  <c r="J2178" i="7"/>
  <c r="J2179" i="7"/>
  <c r="J2180" i="7"/>
  <c r="J2181" i="7"/>
  <c r="J2182" i="7"/>
  <c r="J2183" i="7"/>
  <c r="J2184" i="7"/>
  <c r="J2185" i="7"/>
  <c r="J2186" i="7"/>
  <c r="J2187" i="7"/>
  <c r="J2188" i="7"/>
  <c r="J2189" i="7"/>
  <c r="J2190" i="7"/>
  <c r="J2191" i="7"/>
  <c r="J2192" i="7"/>
  <c r="J2193" i="7"/>
  <c r="J2194" i="7"/>
  <c r="J2195" i="7"/>
  <c r="J2196" i="7"/>
  <c r="J2197" i="7"/>
  <c r="J2198" i="7"/>
  <c r="J2199" i="7"/>
  <c r="J2200" i="7"/>
  <c r="J2201" i="7"/>
  <c r="J2202" i="7"/>
  <c r="J2203" i="7"/>
  <c r="J2204" i="7"/>
  <c r="J2205" i="7"/>
  <c r="J2206" i="7"/>
  <c r="J2207" i="7"/>
  <c r="J2208" i="7"/>
  <c r="J2209" i="7"/>
  <c r="J2210" i="7"/>
  <c r="J2211" i="7"/>
  <c r="J2212" i="7"/>
  <c r="J2213" i="7"/>
  <c r="J2214" i="7"/>
  <c r="J2215" i="7"/>
  <c r="J2216" i="7"/>
  <c r="J2217" i="7"/>
  <c r="J2218" i="7"/>
  <c r="J2219" i="7"/>
  <c r="J2220" i="7"/>
  <c r="J2221" i="7"/>
  <c r="J2222" i="7"/>
  <c r="J2223" i="7"/>
  <c r="J2224" i="7"/>
  <c r="J2225" i="7"/>
  <c r="J2226" i="7"/>
  <c r="J2227" i="7"/>
  <c r="J2228" i="7"/>
  <c r="J2229" i="7"/>
  <c r="J2230" i="7"/>
  <c r="J2231" i="7"/>
  <c r="J2232" i="7"/>
  <c r="J2233" i="7"/>
  <c r="J2234" i="7"/>
  <c r="J2235" i="7"/>
  <c r="J2236" i="7"/>
  <c r="J2237" i="7"/>
  <c r="J2238" i="7"/>
  <c r="J2239" i="7"/>
  <c r="J2240" i="7"/>
  <c r="J2241" i="7"/>
  <c r="J2242" i="7"/>
  <c r="J2243" i="7"/>
  <c r="J2244" i="7"/>
  <c r="J2245" i="7"/>
  <c r="J2246" i="7"/>
  <c r="J2247" i="7"/>
  <c r="J2248" i="7"/>
  <c r="J2249" i="7"/>
  <c r="J2250" i="7"/>
  <c r="J2251" i="7"/>
  <c r="J2252" i="7"/>
  <c r="J2253" i="7"/>
  <c r="J2254" i="7"/>
  <c r="J2255" i="7"/>
  <c r="J2256" i="7"/>
  <c r="J2257" i="7"/>
  <c r="J2258" i="7"/>
  <c r="J2259" i="7"/>
  <c r="J2260" i="7"/>
  <c r="J2261" i="7"/>
  <c r="J2262" i="7"/>
  <c r="J2263" i="7"/>
  <c r="J2264" i="7"/>
  <c r="J2265" i="7"/>
  <c r="J2266" i="7"/>
  <c r="J2267" i="7"/>
  <c r="J2268" i="7"/>
  <c r="J2269" i="7"/>
  <c r="J2270" i="7"/>
  <c r="J2271" i="7"/>
  <c r="J2272" i="7"/>
  <c r="J2273" i="7"/>
  <c r="J2274" i="7"/>
  <c r="J2275" i="7"/>
  <c r="J2276" i="7"/>
  <c r="J2277" i="7"/>
  <c r="J2278" i="7"/>
  <c r="J2279" i="7"/>
  <c r="J2280" i="7"/>
  <c r="J2281" i="7"/>
  <c r="J2282" i="7"/>
  <c r="J2283" i="7"/>
  <c r="J2284" i="7"/>
  <c r="J2285" i="7"/>
  <c r="J2286" i="7"/>
  <c r="J2287" i="7"/>
  <c r="J2288" i="7"/>
  <c r="J2289" i="7"/>
  <c r="J2290" i="7"/>
  <c r="J2291" i="7"/>
  <c r="J2292" i="7"/>
  <c r="J2293" i="7"/>
  <c r="J2294" i="7"/>
  <c r="J2295" i="7"/>
  <c r="J2296" i="7"/>
  <c r="J2297" i="7"/>
  <c r="J2298" i="7"/>
  <c r="J2299" i="7"/>
  <c r="J2300" i="7"/>
  <c r="J2301" i="7"/>
  <c r="J2302" i="7"/>
  <c r="J2303" i="7"/>
  <c r="J2304" i="7"/>
  <c r="J2305" i="7"/>
  <c r="J2306" i="7"/>
  <c r="J2307" i="7"/>
  <c r="J2308" i="7"/>
  <c r="J2309" i="7"/>
  <c r="J2310" i="7"/>
  <c r="J2311" i="7"/>
  <c r="J2312" i="7"/>
  <c r="J2313" i="7"/>
  <c r="J2314" i="7"/>
  <c r="J2315" i="7"/>
  <c r="J2316" i="7"/>
  <c r="J2317" i="7"/>
  <c r="J2318" i="7"/>
  <c r="J2319" i="7"/>
  <c r="J2320" i="7"/>
  <c r="J2321" i="7"/>
  <c r="J2322" i="7"/>
  <c r="J2323" i="7"/>
  <c r="J2324" i="7"/>
  <c r="J2325" i="7"/>
  <c r="J2326" i="7"/>
  <c r="J2327" i="7"/>
  <c r="J2328" i="7"/>
  <c r="J2329" i="7"/>
  <c r="J2330" i="7"/>
  <c r="J2331" i="7"/>
  <c r="J2332" i="7"/>
  <c r="J2333" i="7"/>
  <c r="J2334" i="7"/>
  <c r="J2335" i="7"/>
  <c r="J2336" i="7"/>
  <c r="J2337" i="7"/>
  <c r="J2338" i="7"/>
  <c r="J2339" i="7"/>
  <c r="J2340" i="7"/>
  <c r="J2341" i="7"/>
  <c r="J2342" i="7"/>
  <c r="J2343" i="7"/>
  <c r="J2344" i="7"/>
  <c r="J2345" i="7"/>
  <c r="J2346" i="7"/>
  <c r="J2347" i="7"/>
  <c r="J2348" i="7"/>
  <c r="J2349" i="7"/>
  <c r="J2350" i="7"/>
  <c r="J2351" i="7"/>
  <c r="J2352" i="7"/>
  <c r="J2353" i="7"/>
  <c r="J2354" i="7"/>
  <c r="J2355" i="7"/>
  <c r="J2356" i="7"/>
  <c r="J2357" i="7"/>
  <c r="J2358" i="7"/>
  <c r="J2359" i="7"/>
  <c r="J2360" i="7"/>
  <c r="J2361" i="7"/>
  <c r="J2362" i="7"/>
  <c r="J2363" i="7"/>
  <c r="J2364" i="7"/>
  <c r="J2365" i="7"/>
  <c r="J2366" i="7"/>
  <c r="J2367" i="7"/>
  <c r="J2368" i="7"/>
  <c r="J2369" i="7"/>
  <c r="J2370" i="7"/>
  <c r="J2371" i="7"/>
  <c r="J2372" i="7"/>
  <c r="J2373" i="7"/>
  <c r="J2374" i="7"/>
  <c r="J2375" i="7"/>
  <c r="J2376" i="7"/>
  <c r="J2377" i="7"/>
  <c r="J2378" i="7"/>
  <c r="J2379" i="7"/>
  <c r="J2380" i="7"/>
  <c r="J2381" i="7"/>
  <c r="J2382" i="7"/>
  <c r="J2383" i="7"/>
  <c r="J2384" i="7"/>
  <c r="J2385" i="7"/>
  <c r="J2386" i="7"/>
  <c r="J2387" i="7"/>
  <c r="J2388" i="7"/>
  <c r="J2389" i="7"/>
  <c r="J2390" i="7"/>
  <c r="J2391" i="7"/>
  <c r="J2392" i="7"/>
  <c r="J2393" i="7"/>
  <c r="J2394" i="7"/>
  <c r="J2395" i="7"/>
  <c r="J2396" i="7"/>
  <c r="J2397" i="7"/>
  <c r="J2398" i="7"/>
  <c r="J2399" i="7"/>
  <c r="J2400" i="7"/>
  <c r="J2401" i="7"/>
  <c r="J2402" i="7"/>
  <c r="J2403" i="7"/>
  <c r="J2404" i="7"/>
  <c r="J2405" i="7"/>
  <c r="J2406" i="7"/>
  <c r="J2407" i="7"/>
  <c r="J2408" i="7"/>
  <c r="J2409" i="7"/>
  <c r="J2410" i="7"/>
  <c r="J2411" i="7"/>
  <c r="J2412" i="7"/>
  <c r="J2413" i="7"/>
  <c r="J2414" i="7"/>
  <c r="J2415" i="7"/>
  <c r="J2416" i="7"/>
  <c r="J2417" i="7"/>
  <c r="J2418" i="7"/>
  <c r="J2419" i="7"/>
  <c r="J2420" i="7"/>
  <c r="J2421" i="7"/>
  <c r="J2422" i="7"/>
  <c r="J2423" i="7"/>
  <c r="J2424" i="7"/>
  <c r="J2425" i="7"/>
  <c r="J2426" i="7"/>
  <c r="J2427" i="7"/>
  <c r="J2428" i="7"/>
  <c r="J2429" i="7"/>
  <c r="J2430" i="7"/>
  <c r="J2431" i="7"/>
  <c r="J2432" i="7"/>
  <c r="J2433" i="7"/>
  <c r="J2434" i="7"/>
  <c r="J2435" i="7"/>
  <c r="J2436" i="7"/>
  <c r="J2437" i="7"/>
  <c r="J2438" i="7"/>
  <c r="J2439" i="7"/>
  <c r="J2440" i="7"/>
  <c r="J2441" i="7"/>
  <c r="J2442" i="7"/>
  <c r="J2443" i="7"/>
  <c r="J2444" i="7"/>
  <c r="J2445" i="7"/>
  <c r="J2446" i="7"/>
  <c r="J2447" i="7"/>
  <c r="J2448" i="7"/>
  <c r="J2449" i="7"/>
  <c r="J2450" i="7"/>
  <c r="J2451" i="7"/>
  <c r="J2452" i="7"/>
  <c r="J2453" i="7"/>
  <c r="J2454" i="7"/>
  <c r="J2455" i="7"/>
  <c r="J2456" i="7"/>
  <c r="J2457" i="7"/>
  <c r="J2458" i="7"/>
  <c r="J2459" i="7"/>
  <c r="J2460" i="7"/>
  <c r="J2461" i="7"/>
  <c r="J2462" i="7"/>
  <c r="J2463" i="7"/>
  <c r="J2464" i="7"/>
  <c r="J2465" i="7"/>
  <c r="J2466" i="7"/>
  <c r="J2467" i="7"/>
  <c r="J2468" i="7"/>
  <c r="J2469" i="7"/>
  <c r="J2470" i="7"/>
  <c r="J2471" i="7"/>
  <c r="J2472" i="7"/>
  <c r="J2473" i="7"/>
  <c r="J2474" i="7"/>
  <c r="J2475" i="7"/>
  <c r="J2476" i="7"/>
  <c r="J2477" i="7"/>
  <c r="J2478" i="7"/>
  <c r="J2479" i="7"/>
  <c r="J2480" i="7"/>
  <c r="J2481" i="7"/>
  <c r="J2482" i="7"/>
  <c r="J2483" i="7"/>
  <c r="J2484" i="7"/>
  <c r="J2485" i="7"/>
  <c r="J2486" i="7"/>
  <c r="J2487" i="7"/>
  <c r="J2488" i="7"/>
  <c r="J2489" i="7"/>
  <c r="J2490" i="7"/>
  <c r="J2491" i="7"/>
  <c r="J2492" i="7"/>
  <c r="J2493" i="7"/>
  <c r="J2494" i="7"/>
  <c r="J2495" i="7"/>
  <c r="J2496" i="7"/>
  <c r="J2497" i="7"/>
  <c r="J2498" i="7"/>
  <c r="J2499" i="7"/>
  <c r="J2500" i="7"/>
  <c r="J2501" i="7"/>
  <c r="J2502" i="7"/>
  <c r="J2503" i="7"/>
  <c r="J2504" i="7"/>
  <c r="J2505" i="7"/>
  <c r="J2506" i="7"/>
  <c r="J2507" i="7"/>
  <c r="J2508" i="7"/>
  <c r="J2509" i="7"/>
  <c r="J2510" i="7"/>
  <c r="J2511" i="7"/>
  <c r="J2512" i="7"/>
  <c r="J2513" i="7"/>
  <c r="J2514" i="7"/>
  <c r="J2515" i="7"/>
  <c r="J2516" i="7"/>
  <c r="J2517" i="7"/>
  <c r="J2518" i="7"/>
  <c r="J2519" i="7"/>
  <c r="J2520" i="7"/>
  <c r="J2521" i="7"/>
  <c r="J2522" i="7"/>
  <c r="J2523" i="7"/>
  <c r="J2524" i="7"/>
  <c r="J2525" i="7"/>
  <c r="J2526" i="7"/>
  <c r="J2527" i="7"/>
  <c r="J2528" i="7"/>
  <c r="J2529" i="7"/>
  <c r="J2530" i="7"/>
  <c r="J2531" i="7"/>
  <c r="J2532" i="7"/>
  <c r="J2533" i="7"/>
  <c r="J2534" i="7"/>
  <c r="J2535" i="7"/>
  <c r="J2536" i="7"/>
  <c r="J2537" i="7"/>
  <c r="J2538" i="7"/>
  <c r="J2539" i="7"/>
  <c r="J2540" i="7"/>
  <c r="J2541" i="7"/>
  <c r="J2542" i="7"/>
  <c r="J2543" i="7"/>
  <c r="J2544" i="7"/>
  <c r="J2545" i="7"/>
  <c r="J2546" i="7"/>
  <c r="J2547" i="7"/>
  <c r="J2548" i="7"/>
  <c r="J2549" i="7"/>
  <c r="J2550" i="7"/>
  <c r="J2551" i="7"/>
  <c r="J2552" i="7"/>
  <c r="J2553" i="7"/>
  <c r="J2554" i="7"/>
  <c r="J2555" i="7"/>
  <c r="J2556" i="7"/>
  <c r="J2557" i="7"/>
  <c r="J2558" i="7"/>
  <c r="J2559" i="7"/>
  <c r="J2560" i="7"/>
  <c r="J2561" i="7"/>
  <c r="J2562" i="7"/>
  <c r="J2563" i="7"/>
  <c r="J2564" i="7"/>
  <c r="J2565" i="7"/>
  <c r="J2566" i="7"/>
  <c r="J2567" i="7"/>
  <c r="J2568" i="7"/>
  <c r="J2569" i="7"/>
  <c r="J2570" i="7"/>
  <c r="J2571" i="7"/>
  <c r="J2572" i="7"/>
  <c r="J2573" i="7"/>
  <c r="J2574" i="7"/>
  <c r="J2575" i="7"/>
  <c r="J2576" i="7"/>
  <c r="J2577" i="7"/>
  <c r="J2578" i="7"/>
  <c r="J2579" i="7"/>
  <c r="J2580" i="7"/>
  <c r="J2581" i="7"/>
  <c r="J2582" i="7"/>
  <c r="J2583" i="7"/>
  <c r="J2584" i="7"/>
  <c r="J2585" i="7"/>
  <c r="J2586" i="7"/>
  <c r="J2587" i="7"/>
  <c r="J2588" i="7"/>
  <c r="J2589" i="7"/>
  <c r="J2590" i="7"/>
  <c r="J2591" i="7"/>
  <c r="J2592" i="7"/>
  <c r="J2593" i="7"/>
  <c r="J2594" i="7"/>
  <c r="J2595" i="7"/>
  <c r="J2596" i="7"/>
  <c r="J2597" i="7"/>
  <c r="J2598" i="7"/>
  <c r="J2599" i="7"/>
  <c r="J2600" i="7"/>
  <c r="J2601" i="7"/>
  <c r="J2602" i="7"/>
  <c r="J2603" i="7"/>
  <c r="J2604" i="7"/>
  <c r="J2605" i="7"/>
  <c r="J2606" i="7"/>
  <c r="J2607" i="7"/>
  <c r="J2608" i="7"/>
  <c r="J2609" i="7"/>
  <c r="J2610" i="7"/>
  <c r="J2611" i="7"/>
  <c r="J2612" i="7"/>
  <c r="J2613" i="7"/>
  <c r="J2614" i="7"/>
  <c r="J2615" i="7"/>
  <c r="J2616" i="7"/>
  <c r="J2617" i="7"/>
  <c r="J2618" i="7"/>
  <c r="J2619" i="7"/>
  <c r="J2620" i="7"/>
  <c r="J2621" i="7"/>
  <c r="J2622" i="7"/>
  <c r="J2623" i="7"/>
  <c r="J2624" i="7"/>
  <c r="J2625" i="7"/>
  <c r="J2626" i="7"/>
  <c r="J2627" i="7"/>
  <c r="J2628" i="7"/>
  <c r="J2629" i="7"/>
  <c r="J2630" i="7"/>
  <c r="J2631" i="7"/>
  <c r="J2632" i="7"/>
  <c r="J2633" i="7"/>
  <c r="J2634" i="7"/>
  <c r="J2635" i="7"/>
  <c r="J2636" i="7"/>
  <c r="J2637" i="7"/>
  <c r="J2638" i="7"/>
  <c r="J2639" i="7"/>
  <c r="J2640" i="7"/>
  <c r="J2641" i="7"/>
  <c r="J2642" i="7"/>
  <c r="J2643" i="7"/>
  <c r="J2644" i="7"/>
  <c r="J2645" i="7"/>
  <c r="J2646" i="7"/>
  <c r="J2647" i="7"/>
  <c r="J2648" i="7"/>
  <c r="J2649" i="7"/>
  <c r="J2650" i="7"/>
  <c r="J2651" i="7"/>
  <c r="J2652" i="7"/>
  <c r="J2653" i="7"/>
  <c r="J2654" i="7"/>
  <c r="J2655" i="7"/>
  <c r="J2656" i="7"/>
  <c r="J2657" i="7"/>
  <c r="J2658" i="7"/>
  <c r="J2659" i="7"/>
  <c r="J2660" i="7"/>
  <c r="J2661" i="7"/>
  <c r="J2662" i="7"/>
  <c r="J2663" i="7"/>
  <c r="J2664" i="7"/>
  <c r="J2665" i="7"/>
  <c r="J2666" i="7"/>
  <c r="J2667" i="7"/>
  <c r="J2668" i="7"/>
  <c r="J2669" i="7"/>
  <c r="J2670" i="7"/>
  <c r="J2671" i="7"/>
  <c r="J2672" i="7"/>
  <c r="J2673" i="7"/>
  <c r="J2674" i="7"/>
  <c r="J2675" i="7"/>
  <c r="J2676" i="7"/>
  <c r="J2677" i="7"/>
  <c r="J2678" i="7"/>
  <c r="J2679" i="7"/>
  <c r="J2680" i="7"/>
  <c r="J2681" i="7"/>
  <c r="J2682" i="7"/>
  <c r="J2683" i="7"/>
  <c r="J2684" i="7"/>
  <c r="J2685" i="7"/>
  <c r="J2686" i="7"/>
  <c r="J2687" i="7"/>
  <c r="J2688" i="7"/>
  <c r="J2689" i="7"/>
  <c r="J2690" i="7"/>
  <c r="J2691" i="7"/>
  <c r="J2692" i="7"/>
  <c r="J2693" i="7"/>
  <c r="J2694" i="7"/>
  <c r="J2695" i="7"/>
  <c r="J2696" i="7"/>
  <c r="J2697" i="7"/>
  <c r="J2698" i="7"/>
  <c r="J2699" i="7"/>
  <c r="J2700" i="7"/>
  <c r="J2701" i="7"/>
  <c r="J2702" i="7"/>
  <c r="J2703" i="7"/>
  <c r="J2704" i="7"/>
  <c r="J2705" i="7"/>
  <c r="J2706" i="7"/>
  <c r="J2707" i="7"/>
  <c r="J2708" i="7"/>
  <c r="J2709" i="7"/>
  <c r="J2710" i="7"/>
  <c r="J2711" i="7"/>
  <c r="J2712" i="7"/>
  <c r="J2713" i="7"/>
  <c r="J2714" i="7"/>
  <c r="J2715" i="7"/>
  <c r="J2716" i="7"/>
  <c r="J2717" i="7"/>
  <c r="J2718" i="7"/>
  <c r="J2719" i="7"/>
  <c r="J2720" i="7"/>
  <c r="J2721" i="7"/>
  <c r="J2722" i="7"/>
  <c r="J2723" i="7"/>
  <c r="J2724" i="7"/>
  <c r="J2725" i="7"/>
  <c r="J2726" i="7"/>
  <c r="J2727" i="7"/>
  <c r="J2728" i="7"/>
  <c r="J2729" i="7"/>
  <c r="J2730" i="7"/>
  <c r="J2731" i="7"/>
  <c r="J2732" i="7"/>
  <c r="J2733" i="7"/>
  <c r="J2734" i="7"/>
  <c r="J2735" i="7"/>
  <c r="J2736" i="7"/>
  <c r="J2737" i="7"/>
  <c r="J2738" i="7"/>
  <c r="J2739" i="7"/>
  <c r="J2740" i="7"/>
  <c r="J2741" i="7"/>
  <c r="J2742" i="7"/>
  <c r="J2743" i="7"/>
  <c r="J2744" i="7"/>
  <c r="J2745" i="7"/>
  <c r="J2746" i="7"/>
  <c r="J2747" i="7"/>
  <c r="J2748" i="7"/>
  <c r="J2749" i="7"/>
  <c r="J2750" i="7"/>
  <c r="J2751" i="7"/>
  <c r="J2752" i="7"/>
  <c r="J2753" i="7"/>
  <c r="J2754" i="7"/>
  <c r="J2755" i="7"/>
  <c r="J2756" i="7"/>
  <c r="J2757" i="7"/>
  <c r="J2758" i="7"/>
  <c r="J2759" i="7"/>
  <c r="J2760" i="7"/>
  <c r="J2761" i="7"/>
  <c r="J2762" i="7"/>
  <c r="J2763" i="7"/>
  <c r="J2764" i="7"/>
  <c r="J2765" i="7"/>
  <c r="J2766" i="7"/>
  <c r="J2767" i="7"/>
  <c r="J2768" i="7"/>
  <c r="J2769" i="7"/>
  <c r="J2770" i="7"/>
  <c r="J2771" i="7"/>
  <c r="J2772" i="7"/>
  <c r="J2773" i="7"/>
  <c r="J2774" i="7"/>
  <c r="J2775" i="7"/>
  <c r="J2776" i="7"/>
  <c r="J2777" i="7"/>
  <c r="J2778" i="7"/>
  <c r="J2779" i="7"/>
  <c r="J2780" i="7"/>
  <c r="J2781" i="7"/>
  <c r="J2782" i="7"/>
  <c r="J2783" i="7"/>
  <c r="J2784" i="7"/>
  <c r="J2785" i="7"/>
  <c r="J2786" i="7"/>
  <c r="J2787" i="7"/>
  <c r="J2788" i="7"/>
  <c r="J2789" i="7"/>
  <c r="J2790" i="7"/>
  <c r="J2791" i="7"/>
  <c r="J2792" i="7"/>
  <c r="J2793" i="7"/>
  <c r="J2794" i="7"/>
  <c r="J2795" i="7"/>
  <c r="J2796" i="7"/>
  <c r="J2797" i="7"/>
  <c r="J2798" i="7"/>
  <c r="J2799" i="7"/>
  <c r="J2800" i="7"/>
  <c r="J2801" i="7"/>
  <c r="J2802" i="7"/>
  <c r="J2803" i="7"/>
  <c r="J2804" i="7"/>
  <c r="J2805" i="7"/>
  <c r="J2806" i="7"/>
  <c r="J2807" i="7"/>
  <c r="J2808" i="7"/>
  <c r="J2809" i="7"/>
  <c r="J2810" i="7"/>
  <c r="J2811" i="7"/>
  <c r="J2812" i="7"/>
  <c r="J2813" i="7"/>
  <c r="J2814" i="7"/>
  <c r="J2815" i="7"/>
  <c r="J2816" i="7"/>
  <c r="J2817" i="7"/>
  <c r="J2818" i="7"/>
  <c r="J2819" i="7"/>
  <c r="J2820" i="7"/>
  <c r="J2821" i="7"/>
  <c r="J2822" i="7"/>
  <c r="J2823" i="7"/>
  <c r="J2824" i="7"/>
  <c r="J2825" i="7"/>
  <c r="J2826" i="7"/>
  <c r="J2827" i="7"/>
  <c r="J2828" i="7"/>
  <c r="J2829" i="7"/>
  <c r="J2830" i="7"/>
  <c r="J2831" i="7"/>
  <c r="J2832" i="7"/>
  <c r="J2833" i="7"/>
  <c r="J2834" i="7"/>
  <c r="J2835" i="7"/>
  <c r="J2836" i="7"/>
  <c r="J2837" i="7"/>
  <c r="J2838" i="7"/>
  <c r="J2839" i="7"/>
  <c r="J2840" i="7"/>
  <c r="J2841" i="7"/>
  <c r="J2842" i="7"/>
  <c r="J2843" i="7"/>
  <c r="J2844" i="7"/>
  <c r="J2845" i="7"/>
  <c r="J2846" i="7"/>
  <c r="J2847" i="7"/>
  <c r="J2848" i="7"/>
  <c r="J2849" i="7"/>
  <c r="J2850" i="7"/>
  <c r="J2851" i="7"/>
  <c r="J2852" i="7"/>
  <c r="J2853" i="7"/>
  <c r="J2854" i="7"/>
  <c r="J2855" i="7"/>
  <c r="J2856" i="7"/>
  <c r="J2857" i="7"/>
  <c r="J2858" i="7"/>
  <c r="J2859" i="7"/>
  <c r="J2860" i="7"/>
  <c r="J2861" i="7"/>
  <c r="J2862" i="7"/>
  <c r="J2863" i="7"/>
  <c r="J2864" i="7"/>
  <c r="J2865" i="7"/>
  <c r="J2866" i="7"/>
  <c r="J2867" i="7"/>
  <c r="J2868" i="7"/>
  <c r="J2869" i="7"/>
  <c r="J2870" i="7"/>
  <c r="J2871" i="7"/>
  <c r="J2872" i="7"/>
  <c r="J2873" i="7"/>
  <c r="J2874" i="7"/>
  <c r="J2875" i="7"/>
  <c r="J2876" i="7"/>
  <c r="J2877" i="7"/>
  <c r="J2878" i="7"/>
  <c r="J2879" i="7"/>
  <c r="J2880" i="7"/>
  <c r="J2881" i="7"/>
  <c r="J2882" i="7"/>
  <c r="J2883" i="7"/>
  <c r="J2884" i="7"/>
  <c r="J2885" i="7"/>
  <c r="J2886" i="7"/>
  <c r="J2887" i="7"/>
  <c r="J2888" i="7"/>
  <c r="J2889" i="7"/>
  <c r="J2890" i="7"/>
  <c r="J2891" i="7"/>
  <c r="J2892" i="7"/>
  <c r="J2893" i="7"/>
  <c r="J2894" i="7"/>
  <c r="J2895" i="7"/>
  <c r="J2896" i="7"/>
  <c r="J2897" i="7"/>
  <c r="J2898" i="7"/>
  <c r="J2899" i="7"/>
  <c r="J2900" i="7"/>
  <c r="J2901" i="7"/>
  <c r="J2902" i="7"/>
  <c r="J2903" i="7"/>
  <c r="J2904" i="7"/>
  <c r="J2905" i="7"/>
  <c r="J2906" i="7"/>
  <c r="J2907" i="7"/>
  <c r="J2908" i="7"/>
  <c r="J2909" i="7"/>
  <c r="J2910" i="7"/>
  <c r="J2911" i="7"/>
  <c r="J2912" i="7"/>
  <c r="J2913" i="7"/>
  <c r="J2914" i="7"/>
  <c r="J2915" i="7"/>
  <c r="J2916" i="7"/>
  <c r="J2917" i="7"/>
  <c r="J2918" i="7"/>
  <c r="J2919" i="7"/>
  <c r="J2920" i="7"/>
  <c r="J2921" i="7"/>
  <c r="J2922" i="7"/>
  <c r="J2923" i="7"/>
  <c r="J2924" i="7"/>
  <c r="J2925" i="7"/>
  <c r="J2926" i="7"/>
  <c r="J2927" i="7"/>
  <c r="J2928" i="7"/>
  <c r="J2929" i="7"/>
  <c r="J2930" i="7"/>
  <c r="J2931" i="7"/>
  <c r="J2932" i="7"/>
  <c r="J2933" i="7"/>
  <c r="J2934" i="7"/>
  <c r="J2935" i="7"/>
  <c r="J2936" i="7"/>
  <c r="J2937" i="7"/>
  <c r="J2938" i="7"/>
  <c r="J2939" i="7"/>
  <c r="J2940" i="7"/>
  <c r="J2941" i="7"/>
  <c r="J2942" i="7"/>
  <c r="J2943" i="7"/>
  <c r="J2944" i="7"/>
  <c r="J2945" i="7"/>
  <c r="J2946" i="7"/>
  <c r="J2947" i="7"/>
  <c r="J2948" i="7"/>
  <c r="J2949" i="7"/>
  <c r="J2950" i="7"/>
  <c r="J2951" i="7"/>
  <c r="J2952" i="7"/>
  <c r="J2953" i="7"/>
  <c r="J2954" i="7"/>
  <c r="J2955" i="7"/>
  <c r="J2956" i="7"/>
  <c r="J2957" i="7"/>
  <c r="J2958" i="7"/>
  <c r="J2959" i="7"/>
  <c r="J2960" i="7"/>
  <c r="J2961" i="7"/>
  <c r="J2962" i="7"/>
  <c r="J2963" i="7"/>
  <c r="J2964" i="7"/>
  <c r="J2965" i="7"/>
  <c r="J2966" i="7"/>
  <c r="J2967" i="7"/>
  <c r="J2968" i="7"/>
  <c r="J2969" i="7"/>
  <c r="J2970" i="7"/>
  <c r="J2971" i="7"/>
  <c r="J2972" i="7"/>
  <c r="J2973" i="7"/>
  <c r="J2974" i="7"/>
  <c r="J2975" i="7"/>
  <c r="J2976" i="7"/>
  <c r="J2977" i="7"/>
  <c r="J2978" i="7"/>
  <c r="J2979" i="7"/>
  <c r="J2980" i="7"/>
  <c r="J2981" i="7"/>
  <c r="J2982" i="7"/>
  <c r="J2983" i="7"/>
  <c r="J2984" i="7"/>
  <c r="J2985" i="7"/>
  <c r="J2986" i="7"/>
  <c r="J2987" i="7"/>
  <c r="J2988" i="7"/>
  <c r="J2989" i="7"/>
  <c r="J2990" i="7"/>
  <c r="J2991" i="7"/>
  <c r="J2992" i="7"/>
  <c r="J2993" i="7"/>
  <c r="J2994" i="7"/>
  <c r="J2995" i="7"/>
  <c r="J2996" i="7"/>
  <c r="J2997" i="7"/>
  <c r="J2998" i="7"/>
  <c r="J2999" i="7"/>
  <c r="J3000" i="7"/>
  <c r="J3001" i="7"/>
  <c r="J4" i="7"/>
  <c r="J3" i="7"/>
  <c r="J2" i="7"/>
  <c r="D3001" i="7"/>
  <c r="N3001" i="7" s="1"/>
  <c r="Q3001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Q519" i="7"/>
  <c r="Q520" i="7"/>
  <c r="Q521" i="7"/>
  <c r="Q522" i="7"/>
  <c r="Q523" i="7"/>
  <c r="Q524" i="7"/>
  <c r="Q525" i="7"/>
  <c r="Q526" i="7"/>
  <c r="Q527" i="7"/>
  <c r="Q528" i="7"/>
  <c r="Q529" i="7"/>
  <c r="Q530" i="7"/>
  <c r="Q531" i="7"/>
  <c r="Q532" i="7"/>
  <c r="Q533" i="7"/>
  <c r="Q534" i="7"/>
  <c r="Q535" i="7"/>
  <c r="Q536" i="7"/>
  <c r="Q537" i="7"/>
  <c r="Q538" i="7"/>
  <c r="Q539" i="7"/>
  <c r="Q540" i="7"/>
  <c r="Q541" i="7"/>
  <c r="Q542" i="7"/>
  <c r="Q543" i="7"/>
  <c r="Q544" i="7"/>
  <c r="Q545" i="7"/>
  <c r="Q546" i="7"/>
  <c r="Q547" i="7"/>
  <c r="Q548" i="7"/>
  <c r="Q549" i="7"/>
  <c r="Q550" i="7"/>
  <c r="Q551" i="7"/>
  <c r="Q552" i="7"/>
  <c r="Q553" i="7"/>
  <c r="Q554" i="7"/>
  <c r="Q555" i="7"/>
  <c r="Q556" i="7"/>
  <c r="Q557" i="7"/>
  <c r="Q558" i="7"/>
  <c r="Q559" i="7"/>
  <c r="Q560" i="7"/>
  <c r="Q561" i="7"/>
  <c r="Q562" i="7"/>
  <c r="Q563" i="7"/>
  <c r="Q564" i="7"/>
  <c r="Q565" i="7"/>
  <c r="Q566" i="7"/>
  <c r="Q567" i="7"/>
  <c r="Q568" i="7"/>
  <c r="Q569" i="7"/>
  <c r="Q570" i="7"/>
  <c r="Q571" i="7"/>
  <c r="Q572" i="7"/>
  <c r="Q573" i="7"/>
  <c r="Q574" i="7"/>
  <c r="Q575" i="7"/>
  <c r="Q576" i="7"/>
  <c r="Q577" i="7"/>
  <c r="Q578" i="7"/>
  <c r="Q579" i="7"/>
  <c r="Q580" i="7"/>
  <c r="Q581" i="7"/>
  <c r="Q582" i="7"/>
  <c r="Q583" i="7"/>
  <c r="Q584" i="7"/>
  <c r="Q585" i="7"/>
  <c r="Q586" i="7"/>
  <c r="Q587" i="7"/>
  <c r="Q588" i="7"/>
  <c r="Q589" i="7"/>
  <c r="Q590" i="7"/>
  <c r="Q591" i="7"/>
  <c r="Q592" i="7"/>
  <c r="Q593" i="7"/>
  <c r="Q594" i="7"/>
  <c r="Q595" i="7"/>
  <c r="Q596" i="7"/>
  <c r="Q597" i="7"/>
  <c r="Q598" i="7"/>
  <c r="Q599" i="7"/>
  <c r="Q600" i="7"/>
  <c r="Q601" i="7"/>
  <c r="Q602" i="7"/>
  <c r="Q603" i="7"/>
  <c r="Q604" i="7"/>
  <c r="Q605" i="7"/>
  <c r="Q606" i="7"/>
  <c r="Q607" i="7"/>
  <c r="Q608" i="7"/>
  <c r="Q609" i="7"/>
  <c r="Q610" i="7"/>
  <c r="Q611" i="7"/>
  <c r="Q612" i="7"/>
  <c r="Q613" i="7"/>
  <c r="Q614" i="7"/>
  <c r="Q615" i="7"/>
  <c r="Q616" i="7"/>
  <c r="Q617" i="7"/>
  <c r="Q618" i="7"/>
  <c r="Q619" i="7"/>
  <c r="Q620" i="7"/>
  <c r="Q621" i="7"/>
  <c r="Q622" i="7"/>
  <c r="Q623" i="7"/>
  <c r="Q624" i="7"/>
  <c r="Q625" i="7"/>
  <c r="Q626" i="7"/>
  <c r="Q627" i="7"/>
  <c r="Q628" i="7"/>
  <c r="Q629" i="7"/>
  <c r="Q630" i="7"/>
  <c r="Q631" i="7"/>
  <c r="Q632" i="7"/>
  <c r="Q633" i="7"/>
  <c r="Q634" i="7"/>
  <c r="Q635" i="7"/>
  <c r="Q636" i="7"/>
  <c r="Q637" i="7"/>
  <c r="Q638" i="7"/>
  <c r="Q639" i="7"/>
  <c r="Q640" i="7"/>
  <c r="Q641" i="7"/>
  <c r="Q642" i="7"/>
  <c r="Q643" i="7"/>
  <c r="Q644" i="7"/>
  <c r="Q645" i="7"/>
  <c r="Q646" i="7"/>
  <c r="Q647" i="7"/>
  <c r="Q648" i="7"/>
  <c r="Q649" i="7"/>
  <c r="Q650" i="7"/>
  <c r="Q651" i="7"/>
  <c r="Q652" i="7"/>
  <c r="Q653" i="7"/>
  <c r="Q654" i="7"/>
  <c r="Q655" i="7"/>
  <c r="Q656" i="7"/>
  <c r="Q657" i="7"/>
  <c r="Q658" i="7"/>
  <c r="Q659" i="7"/>
  <c r="Q660" i="7"/>
  <c r="Q661" i="7"/>
  <c r="Q662" i="7"/>
  <c r="Q663" i="7"/>
  <c r="Q664" i="7"/>
  <c r="Q665" i="7"/>
  <c r="Q666" i="7"/>
  <c r="Q667" i="7"/>
  <c r="Q668" i="7"/>
  <c r="Q669" i="7"/>
  <c r="Q670" i="7"/>
  <c r="Q671" i="7"/>
  <c r="Q672" i="7"/>
  <c r="Q673" i="7"/>
  <c r="Q674" i="7"/>
  <c r="Q675" i="7"/>
  <c r="Q676" i="7"/>
  <c r="Q677" i="7"/>
  <c r="Q678" i="7"/>
  <c r="Q679" i="7"/>
  <c r="Q680" i="7"/>
  <c r="Q681" i="7"/>
  <c r="Q682" i="7"/>
  <c r="Q683" i="7"/>
  <c r="Q684" i="7"/>
  <c r="Q685" i="7"/>
  <c r="Q686" i="7"/>
  <c r="Q687" i="7"/>
  <c r="Q688" i="7"/>
  <c r="Q689" i="7"/>
  <c r="Q690" i="7"/>
  <c r="Q691" i="7"/>
  <c r="Q692" i="7"/>
  <c r="Q693" i="7"/>
  <c r="Q694" i="7"/>
  <c r="Q695" i="7"/>
  <c r="Q696" i="7"/>
  <c r="Q697" i="7"/>
  <c r="Q698" i="7"/>
  <c r="Q699" i="7"/>
  <c r="Q700" i="7"/>
  <c r="Q701" i="7"/>
  <c r="Q702" i="7"/>
  <c r="Q703" i="7"/>
  <c r="Q704" i="7"/>
  <c r="Q705" i="7"/>
  <c r="Q706" i="7"/>
  <c r="Q707" i="7"/>
  <c r="Q708" i="7"/>
  <c r="Q709" i="7"/>
  <c r="Q710" i="7"/>
  <c r="Q711" i="7"/>
  <c r="Q712" i="7"/>
  <c r="Q713" i="7"/>
  <c r="Q714" i="7"/>
  <c r="Q715" i="7"/>
  <c r="Q716" i="7"/>
  <c r="Q717" i="7"/>
  <c r="Q718" i="7"/>
  <c r="Q719" i="7"/>
  <c r="Q720" i="7"/>
  <c r="Q721" i="7"/>
  <c r="Q722" i="7"/>
  <c r="Q723" i="7"/>
  <c r="Q724" i="7"/>
  <c r="Q725" i="7"/>
  <c r="Q726" i="7"/>
  <c r="Q727" i="7"/>
  <c r="Q728" i="7"/>
  <c r="Q729" i="7"/>
  <c r="Q730" i="7"/>
  <c r="Q731" i="7"/>
  <c r="Q732" i="7"/>
  <c r="Q733" i="7"/>
  <c r="Q734" i="7"/>
  <c r="Q735" i="7"/>
  <c r="Q736" i="7"/>
  <c r="Q737" i="7"/>
  <c r="Q738" i="7"/>
  <c r="Q739" i="7"/>
  <c r="Q740" i="7"/>
  <c r="Q741" i="7"/>
  <c r="Q742" i="7"/>
  <c r="Q743" i="7"/>
  <c r="Q744" i="7"/>
  <c r="Q745" i="7"/>
  <c r="Q746" i="7"/>
  <c r="Q747" i="7"/>
  <c r="Q748" i="7"/>
  <c r="Q749" i="7"/>
  <c r="Q750" i="7"/>
  <c r="Q751" i="7"/>
  <c r="Q752" i="7"/>
  <c r="Q753" i="7"/>
  <c r="Q754" i="7"/>
  <c r="Q755" i="7"/>
  <c r="Q756" i="7"/>
  <c r="Q757" i="7"/>
  <c r="Q758" i="7"/>
  <c r="Q759" i="7"/>
  <c r="Q760" i="7"/>
  <c r="Q761" i="7"/>
  <c r="Q762" i="7"/>
  <c r="Q763" i="7"/>
  <c r="Q764" i="7"/>
  <c r="Q765" i="7"/>
  <c r="Q766" i="7"/>
  <c r="Q767" i="7"/>
  <c r="Q768" i="7"/>
  <c r="Q769" i="7"/>
  <c r="Q770" i="7"/>
  <c r="Q771" i="7"/>
  <c r="Q772" i="7"/>
  <c r="Q773" i="7"/>
  <c r="Q774" i="7"/>
  <c r="Q775" i="7"/>
  <c r="Q776" i="7"/>
  <c r="Q777" i="7"/>
  <c r="Q778" i="7"/>
  <c r="Q779" i="7"/>
  <c r="Q780" i="7"/>
  <c r="Q781" i="7"/>
  <c r="Q782" i="7"/>
  <c r="Q783" i="7"/>
  <c r="Q784" i="7"/>
  <c r="Q785" i="7"/>
  <c r="Q786" i="7"/>
  <c r="Q787" i="7"/>
  <c r="Q788" i="7"/>
  <c r="Q789" i="7"/>
  <c r="Q790" i="7"/>
  <c r="Q791" i="7"/>
  <c r="Q792" i="7"/>
  <c r="Q793" i="7"/>
  <c r="Q794" i="7"/>
  <c r="Q795" i="7"/>
  <c r="Q796" i="7"/>
  <c r="Q797" i="7"/>
  <c r="Q798" i="7"/>
  <c r="Q799" i="7"/>
  <c r="Q800" i="7"/>
  <c r="Q801" i="7"/>
  <c r="Q802" i="7"/>
  <c r="Q803" i="7"/>
  <c r="Q804" i="7"/>
  <c r="Q805" i="7"/>
  <c r="Q806" i="7"/>
  <c r="Q807" i="7"/>
  <c r="Q808" i="7"/>
  <c r="Q809" i="7"/>
  <c r="Q810" i="7"/>
  <c r="Q811" i="7"/>
  <c r="Q812" i="7"/>
  <c r="Q813" i="7"/>
  <c r="Q814" i="7"/>
  <c r="Q815" i="7"/>
  <c r="Q816" i="7"/>
  <c r="Q817" i="7"/>
  <c r="Q818" i="7"/>
  <c r="Q819" i="7"/>
  <c r="Q820" i="7"/>
  <c r="Q821" i="7"/>
  <c r="Q822" i="7"/>
  <c r="Q823" i="7"/>
  <c r="Q824" i="7"/>
  <c r="Q825" i="7"/>
  <c r="Q826" i="7"/>
  <c r="Q827" i="7"/>
  <c r="Q828" i="7"/>
  <c r="Q829" i="7"/>
  <c r="Q830" i="7"/>
  <c r="Q831" i="7"/>
  <c r="Q832" i="7"/>
  <c r="Q833" i="7"/>
  <c r="Q834" i="7"/>
  <c r="Q835" i="7"/>
  <c r="Q836" i="7"/>
  <c r="Q837" i="7"/>
  <c r="Q838" i="7"/>
  <c r="Q839" i="7"/>
  <c r="Q840" i="7"/>
  <c r="Q841" i="7"/>
  <c r="Q842" i="7"/>
  <c r="Q843" i="7"/>
  <c r="Q844" i="7"/>
  <c r="Q845" i="7"/>
  <c r="Q846" i="7"/>
  <c r="Q847" i="7"/>
  <c r="Q848" i="7"/>
  <c r="Q849" i="7"/>
  <c r="Q850" i="7"/>
  <c r="Q851" i="7"/>
  <c r="Q852" i="7"/>
  <c r="Q853" i="7"/>
  <c r="Q854" i="7"/>
  <c r="Q855" i="7"/>
  <c r="Q856" i="7"/>
  <c r="Q857" i="7"/>
  <c r="Q858" i="7"/>
  <c r="Q859" i="7"/>
  <c r="Q860" i="7"/>
  <c r="Q861" i="7"/>
  <c r="Q862" i="7"/>
  <c r="Q863" i="7"/>
  <c r="Q864" i="7"/>
  <c r="Q865" i="7"/>
  <c r="Q866" i="7"/>
  <c r="Q867" i="7"/>
  <c r="Q868" i="7"/>
  <c r="Q869" i="7"/>
  <c r="Q870" i="7"/>
  <c r="Q871" i="7"/>
  <c r="Q872" i="7"/>
  <c r="Q873" i="7"/>
  <c r="Q874" i="7"/>
  <c r="Q875" i="7"/>
  <c r="Q876" i="7"/>
  <c r="Q877" i="7"/>
  <c r="Q878" i="7"/>
  <c r="Q879" i="7"/>
  <c r="Q880" i="7"/>
  <c r="Q881" i="7"/>
  <c r="Q882" i="7"/>
  <c r="Q883" i="7"/>
  <c r="Q884" i="7"/>
  <c r="Q885" i="7"/>
  <c r="Q886" i="7"/>
  <c r="Q887" i="7"/>
  <c r="Q888" i="7"/>
  <c r="Q889" i="7"/>
  <c r="Q890" i="7"/>
  <c r="Q891" i="7"/>
  <c r="Q892" i="7"/>
  <c r="Q893" i="7"/>
  <c r="Q894" i="7"/>
  <c r="Q895" i="7"/>
  <c r="Q896" i="7"/>
  <c r="Q897" i="7"/>
  <c r="Q898" i="7"/>
  <c r="Q899" i="7"/>
  <c r="Q900" i="7"/>
  <c r="Q901" i="7"/>
  <c r="Q902" i="7"/>
  <c r="Q903" i="7"/>
  <c r="Q904" i="7"/>
  <c r="Q905" i="7"/>
  <c r="Q906" i="7"/>
  <c r="Q907" i="7"/>
  <c r="Q908" i="7"/>
  <c r="Q909" i="7"/>
  <c r="Q910" i="7"/>
  <c r="Q911" i="7"/>
  <c r="Q912" i="7"/>
  <c r="Q913" i="7"/>
  <c r="Q914" i="7"/>
  <c r="Q915" i="7"/>
  <c r="Q916" i="7"/>
  <c r="Q917" i="7"/>
  <c r="Q918" i="7"/>
  <c r="Q919" i="7"/>
  <c r="Q920" i="7"/>
  <c r="Q921" i="7"/>
  <c r="Q922" i="7"/>
  <c r="Q923" i="7"/>
  <c r="Q924" i="7"/>
  <c r="Q925" i="7"/>
  <c r="Q926" i="7"/>
  <c r="Q927" i="7"/>
  <c r="Q928" i="7"/>
  <c r="Q929" i="7"/>
  <c r="Q930" i="7"/>
  <c r="Q931" i="7"/>
  <c r="Q932" i="7"/>
  <c r="Q933" i="7"/>
  <c r="Q934" i="7"/>
  <c r="Q935" i="7"/>
  <c r="Q936" i="7"/>
  <c r="Q937" i="7"/>
  <c r="Q938" i="7"/>
  <c r="Q939" i="7"/>
  <c r="Q940" i="7"/>
  <c r="Q941" i="7"/>
  <c r="Q942" i="7"/>
  <c r="Q943" i="7"/>
  <c r="Q944" i="7"/>
  <c r="Q945" i="7"/>
  <c r="Q946" i="7"/>
  <c r="Q947" i="7"/>
  <c r="Q948" i="7"/>
  <c r="Q949" i="7"/>
  <c r="Q950" i="7"/>
  <c r="Q951" i="7"/>
  <c r="Q952" i="7"/>
  <c r="Q953" i="7"/>
  <c r="Q954" i="7"/>
  <c r="Q955" i="7"/>
  <c r="Q956" i="7"/>
  <c r="Q957" i="7"/>
  <c r="Q958" i="7"/>
  <c r="Q959" i="7"/>
  <c r="Q960" i="7"/>
  <c r="Q961" i="7"/>
  <c r="Q962" i="7"/>
  <c r="Q963" i="7"/>
  <c r="Q964" i="7"/>
  <c r="Q965" i="7"/>
  <c r="Q966" i="7"/>
  <c r="Q967" i="7"/>
  <c r="Q968" i="7"/>
  <c r="Q969" i="7"/>
  <c r="Q970" i="7"/>
  <c r="Q971" i="7"/>
  <c r="Q972" i="7"/>
  <c r="Q973" i="7"/>
  <c r="Q974" i="7"/>
  <c r="Q975" i="7"/>
  <c r="Q976" i="7"/>
  <c r="Q977" i="7"/>
  <c r="Q978" i="7"/>
  <c r="Q979" i="7"/>
  <c r="Q980" i="7"/>
  <c r="Q981" i="7"/>
  <c r="Q982" i="7"/>
  <c r="Q983" i="7"/>
  <c r="Q984" i="7"/>
  <c r="Q985" i="7"/>
  <c r="Q986" i="7"/>
  <c r="Q987" i="7"/>
  <c r="Q988" i="7"/>
  <c r="Q989" i="7"/>
  <c r="Q990" i="7"/>
  <c r="Q991" i="7"/>
  <c r="Q992" i="7"/>
  <c r="Q993" i="7"/>
  <c r="Q994" i="7"/>
  <c r="Q995" i="7"/>
  <c r="Q996" i="7"/>
  <c r="Q997" i="7"/>
  <c r="Q998" i="7"/>
  <c r="Q999" i="7"/>
  <c r="Q1000" i="7"/>
  <c r="Q1001" i="7"/>
  <c r="Q1002" i="7"/>
  <c r="Q1003" i="7"/>
  <c r="Q1004" i="7"/>
  <c r="Q1005" i="7"/>
  <c r="Q1006" i="7"/>
  <c r="Q1007" i="7"/>
  <c r="Q1008" i="7"/>
  <c r="Q1009" i="7"/>
  <c r="Q1010" i="7"/>
  <c r="Q1011" i="7"/>
  <c r="Q1012" i="7"/>
  <c r="Q1013" i="7"/>
  <c r="Q1014" i="7"/>
  <c r="Q1015" i="7"/>
  <c r="Q1016" i="7"/>
  <c r="Q1017" i="7"/>
  <c r="Q1018" i="7"/>
  <c r="Q1019" i="7"/>
  <c r="Q1020" i="7"/>
  <c r="Q1021" i="7"/>
  <c r="Q1022" i="7"/>
  <c r="Q1023" i="7"/>
  <c r="Q1024" i="7"/>
  <c r="Q1025" i="7"/>
  <c r="Q1026" i="7"/>
  <c r="Q1027" i="7"/>
  <c r="Q1028" i="7"/>
  <c r="Q1029" i="7"/>
  <c r="Q1030" i="7"/>
  <c r="Q1031" i="7"/>
  <c r="Q1032" i="7"/>
  <c r="Q1033" i="7"/>
  <c r="Q1034" i="7"/>
  <c r="Q1035" i="7"/>
  <c r="Q1036" i="7"/>
  <c r="Q1037" i="7"/>
  <c r="Q1038" i="7"/>
  <c r="Q1039" i="7"/>
  <c r="Q1040" i="7"/>
  <c r="Q1041" i="7"/>
  <c r="Q1042" i="7"/>
  <c r="Q1043" i="7"/>
  <c r="Q1044" i="7"/>
  <c r="Q1045" i="7"/>
  <c r="Q1046" i="7"/>
  <c r="Q1047" i="7"/>
  <c r="Q1048" i="7"/>
  <c r="Q1049" i="7"/>
  <c r="Q1050" i="7"/>
  <c r="Q1051" i="7"/>
  <c r="Q1052" i="7"/>
  <c r="Q1053" i="7"/>
  <c r="Q1054" i="7"/>
  <c r="Q1055" i="7"/>
  <c r="Q1056" i="7"/>
  <c r="Q1057" i="7"/>
  <c r="Q1058" i="7"/>
  <c r="Q1059" i="7"/>
  <c r="Q1060" i="7"/>
  <c r="Q1061" i="7"/>
  <c r="Q1062" i="7"/>
  <c r="Q1063" i="7"/>
  <c r="Q1064" i="7"/>
  <c r="Q1065" i="7"/>
  <c r="Q1066" i="7"/>
  <c r="Q1067" i="7"/>
  <c r="Q1068" i="7"/>
  <c r="Q1069" i="7"/>
  <c r="Q1070" i="7"/>
  <c r="Q1071" i="7"/>
  <c r="Q1072" i="7"/>
  <c r="Q1073" i="7"/>
  <c r="Q1074" i="7"/>
  <c r="Q1075" i="7"/>
  <c r="Q1076" i="7"/>
  <c r="Q1077" i="7"/>
  <c r="Q1078" i="7"/>
  <c r="Q1079" i="7"/>
  <c r="Q1080" i="7"/>
  <c r="Q1081" i="7"/>
  <c r="Q1082" i="7"/>
  <c r="Q1083" i="7"/>
  <c r="Q1084" i="7"/>
  <c r="Q1085" i="7"/>
  <c r="Q1086" i="7"/>
  <c r="Q1087" i="7"/>
  <c r="Q1088" i="7"/>
  <c r="Q1089" i="7"/>
  <c r="Q1090" i="7"/>
  <c r="Q1091" i="7"/>
  <c r="Q1092" i="7"/>
  <c r="Q1093" i="7"/>
  <c r="Q1094" i="7"/>
  <c r="Q1095" i="7"/>
  <c r="Q1096" i="7"/>
  <c r="Q1097" i="7"/>
  <c r="Q1098" i="7"/>
  <c r="Q1099" i="7"/>
  <c r="Q1100" i="7"/>
  <c r="Q1101" i="7"/>
  <c r="Q1102" i="7"/>
  <c r="Q1103" i="7"/>
  <c r="Q1104" i="7"/>
  <c r="Q1105" i="7"/>
  <c r="Q1106" i="7"/>
  <c r="Q1107" i="7"/>
  <c r="Q1108" i="7"/>
  <c r="Q1109" i="7"/>
  <c r="Q1110" i="7"/>
  <c r="Q1111" i="7"/>
  <c r="Q1112" i="7"/>
  <c r="Q1113" i="7"/>
  <c r="Q1114" i="7"/>
  <c r="Q1115" i="7"/>
  <c r="Q1116" i="7"/>
  <c r="Q1117" i="7"/>
  <c r="Q1118" i="7"/>
  <c r="Q1119" i="7"/>
  <c r="Q1120" i="7"/>
  <c r="Q1121" i="7"/>
  <c r="Q1122" i="7"/>
  <c r="Q1123" i="7"/>
  <c r="Q1124" i="7"/>
  <c r="Q1125" i="7"/>
  <c r="Q1126" i="7"/>
  <c r="Q1127" i="7"/>
  <c r="Q1128" i="7"/>
  <c r="Q1129" i="7"/>
  <c r="Q1130" i="7"/>
  <c r="Q1131" i="7"/>
  <c r="Q1132" i="7"/>
  <c r="Q1133" i="7"/>
  <c r="Q1134" i="7"/>
  <c r="Q1135" i="7"/>
  <c r="Q1136" i="7"/>
  <c r="Q1137" i="7"/>
  <c r="Q1138" i="7"/>
  <c r="Q1139" i="7"/>
  <c r="Q1140" i="7"/>
  <c r="Q1141" i="7"/>
  <c r="Q1142" i="7"/>
  <c r="Q1143" i="7"/>
  <c r="Q1144" i="7"/>
  <c r="Q1145" i="7"/>
  <c r="Q1146" i="7"/>
  <c r="Q1147" i="7"/>
  <c r="Q1148" i="7"/>
  <c r="Q1149" i="7"/>
  <c r="Q1150" i="7"/>
  <c r="Q1151" i="7"/>
  <c r="Q1152" i="7"/>
  <c r="Q1153" i="7"/>
  <c r="Q1154" i="7"/>
  <c r="Q1155" i="7"/>
  <c r="Q1156" i="7"/>
  <c r="Q1157" i="7"/>
  <c r="Q1158" i="7"/>
  <c r="Q1159" i="7"/>
  <c r="Q1160" i="7"/>
  <c r="Q1161" i="7"/>
  <c r="Q1162" i="7"/>
  <c r="Q1163" i="7"/>
  <c r="Q1164" i="7"/>
  <c r="Q1165" i="7"/>
  <c r="Q1166" i="7"/>
  <c r="Q1167" i="7"/>
  <c r="Q1168" i="7"/>
  <c r="Q1169" i="7"/>
  <c r="Q1170" i="7"/>
  <c r="Q1171" i="7"/>
  <c r="Q1172" i="7"/>
  <c r="Q1173" i="7"/>
  <c r="Q1174" i="7"/>
  <c r="Q1175" i="7"/>
  <c r="Q1176" i="7"/>
  <c r="Q1177" i="7"/>
  <c r="Q1178" i="7"/>
  <c r="Q1179" i="7"/>
  <c r="Q1180" i="7"/>
  <c r="Q1181" i="7"/>
  <c r="Q1182" i="7"/>
  <c r="Q1183" i="7"/>
  <c r="Q1184" i="7"/>
  <c r="Q1185" i="7"/>
  <c r="Q1186" i="7"/>
  <c r="Q1187" i="7"/>
  <c r="Q1188" i="7"/>
  <c r="Q1189" i="7"/>
  <c r="Q1190" i="7"/>
  <c r="Q1191" i="7"/>
  <c r="Q1192" i="7"/>
  <c r="Q1193" i="7"/>
  <c r="Q1194" i="7"/>
  <c r="Q1195" i="7"/>
  <c r="Q1196" i="7"/>
  <c r="Q1197" i="7"/>
  <c r="Q1198" i="7"/>
  <c r="Q1199" i="7"/>
  <c r="Q1200" i="7"/>
  <c r="Q1201" i="7"/>
  <c r="Q1202" i="7"/>
  <c r="Q1203" i="7"/>
  <c r="Q1204" i="7"/>
  <c r="Q1205" i="7"/>
  <c r="Q1206" i="7"/>
  <c r="Q1207" i="7"/>
  <c r="Q1208" i="7"/>
  <c r="Q1209" i="7"/>
  <c r="Q1210" i="7"/>
  <c r="Q1211" i="7"/>
  <c r="Q1212" i="7"/>
  <c r="Q1213" i="7"/>
  <c r="Q1214" i="7"/>
  <c r="Q1215" i="7"/>
  <c r="Q1216" i="7"/>
  <c r="Q1217" i="7"/>
  <c r="Q1218" i="7"/>
  <c r="Q1219" i="7"/>
  <c r="Q1220" i="7"/>
  <c r="Q1221" i="7"/>
  <c r="Q1222" i="7"/>
  <c r="Q1223" i="7"/>
  <c r="Q1224" i="7"/>
  <c r="Q1225" i="7"/>
  <c r="Q1226" i="7"/>
  <c r="Q1227" i="7"/>
  <c r="Q1228" i="7"/>
  <c r="Q1229" i="7"/>
  <c r="Q1230" i="7"/>
  <c r="Q1231" i="7"/>
  <c r="Q1232" i="7"/>
  <c r="Q1233" i="7"/>
  <c r="Q1234" i="7"/>
  <c r="Q1235" i="7"/>
  <c r="Q1236" i="7"/>
  <c r="Q1237" i="7"/>
  <c r="Q1238" i="7"/>
  <c r="Q1239" i="7"/>
  <c r="Q1240" i="7"/>
  <c r="Q1241" i="7"/>
  <c r="Q1242" i="7"/>
  <c r="Q1243" i="7"/>
  <c r="Q1244" i="7"/>
  <c r="Q1245" i="7"/>
  <c r="Q1246" i="7"/>
  <c r="Q1247" i="7"/>
  <c r="Q1248" i="7"/>
  <c r="Q1249" i="7"/>
  <c r="Q1250" i="7"/>
  <c r="Q1251" i="7"/>
  <c r="Q1252" i="7"/>
  <c r="Q1253" i="7"/>
  <c r="Q1254" i="7"/>
  <c r="Q1255" i="7"/>
  <c r="Q1256" i="7"/>
  <c r="Q1257" i="7"/>
  <c r="Q1258" i="7"/>
  <c r="Q1259" i="7"/>
  <c r="Q1260" i="7"/>
  <c r="Q1261" i="7"/>
  <c r="Q1262" i="7"/>
  <c r="Q1263" i="7"/>
  <c r="Q1264" i="7"/>
  <c r="Q1265" i="7"/>
  <c r="Q1266" i="7"/>
  <c r="Q1267" i="7"/>
  <c r="Q1268" i="7"/>
  <c r="Q1269" i="7"/>
  <c r="Q1270" i="7"/>
  <c r="Q1271" i="7"/>
  <c r="Q1272" i="7"/>
  <c r="Q1273" i="7"/>
  <c r="Q1274" i="7"/>
  <c r="Q1275" i="7"/>
  <c r="Q1276" i="7"/>
  <c r="Q1277" i="7"/>
  <c r="Q1278" i="7"/>
  <c r="Q1279" i="7"/>
  <c r="Q1280" i="7"/>
  <c r="Q1281" i="7"/>
  <c r="Q1282" i="7"/>
  <c r="Q1283" i="7"/>
  <c r="Q1284" i="7"/>
  <c r="Q1285" i="7"/>
  <c r="Q1286" i="7"/>
  <c r="Q1287" i="7"/>
  <c r="Q1288" i="7"/>
  <c r="Q1289" i="7"/>
  <c r="Q1290" i="7"/>
  <c r="Q1291" i="7"/>
  <c r="Q1292" i="7"/>
  <c r="Q1293" i="7"/>
  <c r="Q1294" i="7"/>
  <c r="Q1295" i="7"/>
  <c r="Q1296" i="7"/>
  <c r="Q1297" i="7"/>
  <c r="Q1298" i="7"/>
  <c r="Q1299" i="7"/>
  <c r="Q1300" i="7"/>
  <c r="Q1301" i="7"/>
  <c r="Q1302" i="7"/>
  <c r="Q1303" i="7"/>
  <c r="Q1304" i="7"/>
  <c r="Q1305" i="7"/>
  <c r="Q1306" i="7"/>
  <c r="Q1307" i="7"/>
  <c r="Q1308" i="7"/>
  <c r="Q1309" i="7"/>
  <c r="Q1310" i="7"/>
  <c r="Q1311" i="7"/>
  <c r="Q1312" i="7"/>
  <c r="Q1313" i="7"/>
  <c r="Q1314" i="7"/>
  <c r="Q1315" i="7"/>
  <c r="Q1316" i="7"/>
  <c r="Q1317" i="7"/>
  <c r="Q1318" i="7"/>
  <c r="Q1319" i="7"/>
  <c r="Q1320" i="7"/>
  <c r="Q1321" i="7"/>
  <c r="Q1322" i="7"/>
  <c r="Q1323" i="7"/>
  <c r="Q1324" i="7"/>
  <c r="Q1325" i="7"/>
  <c r="Q1326" i="7"/>
  <c r="Q1327" i="7"/>
  <c r="Q1328" i="7"/>
  <c r="Q1329" i="7"/>
  <c r="Q1330" i="7"/>
  <c r="Q1331" i="7"/>
  <c r="Q1332" i="7"/>
  <c r="Q1333" i="7"/>
  <c r="Q1334" i="7"/>
  <c r="Q1335" i="7"/>
  <c r="Q1336" i="7"/>
  <c r="Q1337" i="7"/>
  <c r="Q1338" i="7"/>
  <c r="Q1339" i="7"/>
  <c r="Q1340" i="7"/>
  <c r="Q1341" i="7"/>
  <c r="Q1342" i="7"/>
  <c r="Q1343" i="7"/>
  <c r="Q1344" i="7"/>
  <c r="Q1345" i="7"/>
  <c r="Q1346" i="7"/>
  <c r="Q1347" i="7"/>
  <c r="Q1348" i="7"/>
  <c r="Q1349" i="7"/>
  <c r="Q1350" i="7"/>
  <c r="Q1351" i="7"/>
  <c r="Q1352" i="7"/>
  <c r="Q1353" i="7"/>
  <c r="Q1354" i="7"/>
  <c r="Q1355" i="7"/>
  <c r="Q1356" i="7"/>
  <c r="Q1357" i="7"/>
  <c r="Q1358" i="7"/>
  <c r="Q1359" i="7"/>
  <c r="Q1360" i="7"/>
  <c r="Q1361" i="7"/>
  <c r="Q1362" i="7"/>
  <c r="Q1363" i="7"/>
  <c r="Q1364" i="7"/>
  <c r="Q1365" i="7"/>
  <c r="Q1366" i="7"/>
  <c r="Q1367" i="7"/>
  <c r="Q1368" i="7"/>
  <c r="Q1369" i="7"/>
  <c r="Q1370" i="7"/>
  <c r="Q1371" i="7"/>
  <c r="Q1372" i="7"/>
  <c r="Q1373" i="7"/>
  <c r="Q1374" i="7"/>
  <c r="Q1375" i="7"/>
  <c r="Q1376" i="7"/>
  <c r="Q1377" i="7"/>
  <c r="Q1378" i="7"/>
  <c r="Q1379" i="7"/>
  <c r="Q1380" i="7"/>
  <c r="Q1381" i="7"/>
  <c r="Q1382" i="7"/>
  <c r="Q1383" i="7"/>
  <c r="Q1384" i="7"/>
  <c r="Q1385" i="7"/>
  <c r="Q1386" i="7"/>
  <c r="Q1387" i="7"/>
  <c r="Q1388" i="7"/>
  <c r="Q1389" i="7"/>
  <c r="Q1390" i="7"/>
  <c r="Q1391" i="7"/>
  <c r="Q1392" i="7"/>
  <c r="Q1393" i="7"/>
  <c r="Q1394" i="7"/>
  <c r="Q1395" i="7"/>
  <c r="Q1396" i="7"/>
  <c r="Q1397" i="7"/>
  <c r="Q1398" i="7"/>
  <c r="Q1399" i="7"/>
  <c r="Q1400" i="7"/>
  <c r="Q1401" i="7"/>
  <c r="Q1402" i="7"/>
  <c r="Q1403" i="7"/>
  <c r="Q1404" i="7"/>
  <c r="Q1405" i="7"/>
  <c r="Q1406" i="7"/>
  <c r="Q1407" i="7"/>
  <c r="Q1408" i="7"/>
  <c r="Q1409" i="7"/>
  <c r="Q1410" i="7"/>
  <c r="Q1411" i="7"/>
  <c r="Q1412" i="7"/>
  <c r="Q1413" i="7"/>
  <c r="Q1414" i="7"/>
  <c r="Q1415" i="7"/>
  <c r="Q1416" i="7"/>
  <c r="Q1417" i="7"/>
  <c r="Q1418" i="7"/>
  <c r="Q1419" i="7"/>
  <c r="Q1420" i="7"/>
  <c r="Q1421" i="7"/>
  <c r="Q1422" i="7"/>
  <c r="Q1423" i="7"/>
  <c r="Q1424" i="7"/>
  <c r="Q1425" i="7"/>
  <c r="Q1426" i="7"/>
  <c r="Q1427" i="7"/>
  <c r="Q1428" i="7"/>
  <c r="Q1429" i="7"/>
  <c r="Q1430" i="7"/>
  <c r="Q1431" i="7"/>
  <c r="Q1432" i="7"/>
  <c r="Q1433" i="7"/>
  <c r="Q1434" i="7"/>
  <c r="Q1435" i="7"/>
  <c r="Q1436" i="7"/>
  <c r="Q1437" i="7"/>
  <c r="Q1438" i="7"/>
  <c r="Q1439" i="7"/>
  <c r="Q1440" i="7"/>
  <c r="Q1441" i="7"/>
  <c r="Q1442" i="7"/>
  <c r="Q1443" i="7"/>
  <c r="Q1444" i="7"/>
  <c r="Q1445" i="7"/>
  <c r="Q1446" i="7"/>
  <c r="Q1447" i="7"/>
  <c r="Q1448" i="7"/>
  <c r="Q1449" i="7"/>
  <c r="Q1450" i="7"/>
  <c r="Q1451" i="7"/>
  <c r="Q1452" i="7"/>
  <c r="Q1453" i="7"/>
  <c r="Q1454" i="7"/>
  <c r="Q1455" i="7"/>
  <c r="Q1456" i="7"/>
  <c r="Q1457" i="7"/>
  <c r="Q1458" i="7"/>
  <c r="Q1459" i="7"/>
  <c r="Q1460" i="7"/>
  <c r="Q1461" i="7"/>
  <c r="Q1462" i="7"/>
  <c r="Q1463" i="7"/>
  <c r="Q1464" i="7"/>
  <c r="Q1465" i="7"/>
  <c r="Q1466" i="7"/>
  <c r="Q1467" i="7"/>
  <c r="Q1468" i="7"/>
  <c r="Q1469" i="7"/>
  <c r="Q1470" i="7"/>
  <c r="Q1471" i="7"/>
  <c r="Q1472" i="7"/>
  <c r="Q1473" i="7"/>
  <c r="Q1474" i="7"/>
  <c r="Q1475" i="7"/>
  <c r="Q1476" i="7"/>
  <c r="Q1477" i="7"/>
  <c r="Q1478" i="7"/>
  <c r="Q1479" i="7"/>
  <c r="Q1480" i="7"/>
  <c r="Q1481" i="7"/>
  <c r="Q1482" i="7"/>
  <c r="Q1483" i="7"/>
  <c r="Q1484" i="7"/>
  <c r="Q1485" i="7"/>
  <c r="Q1486" i="7"/>
  <c r="Q1487" i="7"/>
  <c r="Q1488" i="7"/>
  <c r="Q1489" i="7"/>
  <c r="Q1490" i="7"/>
  <c r="Q1491" i="7"/>
  <c r="Q1492" i="7"/>
  <c r="Q1493" i="7"/>
  <c r="Q1494" i="7"/>
  <c r="Q1495" i="7"/>
  <c r="Q1496" i="7"/>
  <c r="Q1497" i="7"/>
  <c r="Q1498" i="7"/>
  <c r="Q1499" i="7"/>
  <c r="Q1500" i="7"/>
  <c r="Q1501" i="7"/>
  <c r="Q1502" i="7"/>
  <c r="Q1503" i="7"/>
  <c r="Q1504" i="7"/>
  <c r="Q1505" i="7"/>
  <c r="Q1506" i="7"/>
  <c r="Q1507" i="7"/>
  <c r="Q1508" i="7"/>
  <c r="Q1509" i="7"/>
  <c r="Q1510" i="7"/>
  <c r="Q1511" i="7"/>
  <c r="Q1512" i="7"/>
  <c r="Q1513" i="7"/>
  <c r="Q1514" i="7"/>
  <c r="Q1515" i="7"/>
  <c r="Q1516" i="7"/>
  <c r="Q1517" i="7"/>
  <c r="Q1518" i="7"/>
  <c r="Q1519" i="7"/>
  <c r="Q1520" i="7"/>
  <c r="Q1521" i="7"/>
  <c r="Q1522" i="7"/>
  <c r="Q1523" i="7"/>
  <c r="Q1524" i="7"/>
  <c r="Q1525" i="7"/>
  <c r="Q1526" i="7"/>
  <c r="Q1527" i="7"/>
  <c r="Q1528" i="7"/>
  <c r="Q1529" i="7"/>
  <c r="Q1530" i="7"/>
  <c r="Q1531" i="7"/>
  <c r="Q1532" i="7"/>
  <c r="Q1533" i="7"/>
  <c r="Q1534" i="7"/>
  <c r="Q1535" i="7"/>
  <c r="Q1536" i="7"/>
  <c r="Q1537" i="7"/>
  <c r="Q1538" i="7"/>
  <c r="Q1539" i="7"/>
  <c r="Q1540" i="7"/>
  <c r="Q1541" i="7"/>
  <c r="Q1542" i="7"/>
  <c r="Q1543" i="7"/>
  <c r="Q1544" i="7"/>
  <c r="Q1545" i="7"/>
  <c r="Q1546" i="7"/>
  <c r="Q1547" i="7"/>
  <c r="Q1548" i="7"/>
  <c r="Q1549" i="7"/>
  <c r="Q1550" i="7"/>
  <c r="Q1551" i="7"/>
  <c r="Q1552" i="7"/>
  <c r="Q1553" i="7"/>
  <c r="Q1554" i="7"/>
  <c r="Q1555" i="7"/>
  <c r="Q1556" i="7"/>
  <c r="Q1557" i="7"/>
  <c r="Q1558" i="7"/>
  <c r="Q1559" i="7"/>
  <c r="Q1560" i="7"/>
  <c r="Q1561" i="7"/>
  <c r="Q1562" i="7"/>
  <c r="Q1563" i="7"/>
  <c r="Q1564" i="7"/>
  <c r="Q1565" i="7"/>
  <c r="Q1566" i="7"/>
  <c r="Q1567" i="7"/>
  <c r="Q1568" i="7"/>
  <c r="Q1569" i="7"/>
  <c r="Q1570" i="7"/>
  <c r="Q1571" i="7"/>
  <c r="Q1572" i="7"/>
  <c r="Q1573" i="7"/>
  <c r="Q1574" i="7"/>
  <c r="Q1575" i="7"/>
  <c r="Q1576" i="7"/>
  <c r="Q1577" i="7"/>
  <c r="Q1578" i="7"/>
  <c r="Q1579" i="7"/>
  <c r="Q1580" i="7"/>
  <c r="Q1581" i="7"/>
  <c r="Q1582" i="7"/>
  <c r="Q1583" i="7"/>
  <c r="Q1584" i="7"/>
  <c r="Q1585" i="7"/>
  <c r="Q1586" i="7"/>
  <c r="Q1587" i="7"/>
  <c r="Q1588" i="7"/>
  <c r="Q1589" i="7"/>
  <c r="Q1590" i="7"/>
  <c r="Q1591" i="7"/>
  <c r="Q1592" i="7"/>
  <c r="Q1593" i="7"/>
  <c r="Q1594" i="7"/>
  <c r="Q1595" i="7"/>
  <c r="Q1596" i="7"/>
  <c r="Q1597" i="7"/>
  <c r="Q1598" i="7"/>
  <c r="Q1599" i="7"/>
  <c r="Q1600" i="7"/>
  <c r="Q1601" i="7"/>
  <c r="Q1602" i="7"/>
  <c r="Q1603" i="7"/>
  <c r="Q1604" i="7"/>
  <c r="Q1605" i="7"/>
  <c r="Q1606" i="7"/>
  <c r="Q1607" i="7"/>
  <c r="Q1608" i="7"/>
  <c r="Q1609" i="7"/>
  <c r="Q1610" i="7"/>
  <c r="Q1611" i="7"/>
  <c r="Q1612" i="7"/>
  <c r="Q1613" i="7"/>
  <c r="Q1614" i="7"/>
  <c r="Q1615" i="7"/>
  <c r="Q1616" i="7"/>
  <c r="Q1617" i="7"/>
  <c r="Q1618" i="7"/>
  <c r="Q1619" i="7"/>
  <c r="Q1620" i="7"/>
  <c r="Q1621" i="7"/>
  <c r="Q1622" i="7"/>
  <c r="Q1623" i="7"/>
  <c r="Q1624" i="7"/>
  <c r="Q1625" i="7"/>
  <c r="Q1626" i="7"/>
  <c r="Q1627" i="7"/>
  <c r="Q1628" i="7"/>
  <c r="Q1629" i="7"/>
  <c r="Q1630" i="7"/>
  <c r="Q1631" i="7"/>
  <c r="Q1632" i="7"/>
  <c r="Q1633" i="7"/>
  <c r="Q1634" i="7"/>
  <c r="Q1635" i="7"/>
  <c r="Q1636" i="7"/>
  <c r="Q1637" i="7"/>
  <c r="Q1638" i="7"/>
  <c r="Q1639" i="7"/>
  <c r="Q1640" i="7"/>
  <c r="Q1641" i="7"/>
  <c r="Q1642" i="7"/>
  <c r="Q1643" i="7"/>
  <c r="Q1644" i="7"/>
  <c r="Q1645" i="7"/>
  <c r="Q1646" i="7"/>
  <c r="Q1647" i="7"/>
  <c r="Q1648" i="7"/>
  <c r="Q1649" i="7"/>
  <c r="Q1650" i="7"/>
  <c r="Q1651" i="7"/>
  <c r="Q1652" i="7"/>
  <c r="Q1653" i="7"/>
  <c r="Q1654" i="7"/>
  <c r="Q1655" i="7"/>
  <c r="Q1656" i="7"/>
  <c r="Q1657" i="7"/>
  <c r="Q1658" i="7"/>
  <c r="Q1659" i="7"/>
  <c r="Q1660" i="7"/>
  <c r="Q1661" i="7"/>
  <c r="Q1662" i="7"/>
  <c r="Q1663" i="7"/>
  <c r="Q1664" i="7"/>
  <c r="Q1665" i="7"/>
  <c r="Q1666" i="7"/>
  <c r="Q1667" i="7"/>
  <c r="Q1668" i="7"/>
  <c r="Q1669" i="7"/>
  <c r="Q1670" i="7"/>
  <c r="Q1671" i="7"/>
  <c r="Q1672" i="7"/>
  <c r="Q1673" i="7"/>
  <c r="Q1674" i="7"/>
  <c r="Q1675" i="7"/>
  <c r="Q1676" i="7"/>
  <c r="Q1677" i="7"/>
  <c r="Q1678" i="7"/>
  <c r="Q1679" i="7"/>
  <c r="Q1680" i="7"/>
  <c r="Q1681" i="7"/>
  <c r="Q1682" i="7"/>
  <c r="Q1683" i="7"/>
  <c r="Q1684" i="7"/>
  <c r="Q1685" i="7"/>
  <c r="Q1686" i="7"/>
  <c r="Q1687" i="7"/>
  <c r="Q1688" i="7"/>
  <c r="Q1689" i="7"/>
  <c r="Q1690" i="7"/>
  <c r="Q1691" i="7"/>
  <c r="Q1692" i="7"/>
  <c r="Q1693" i="7"/>
  <c r="Q1694" i="7"/>
  <c r="Q1695" i="7"/>
  <c r="Q1696" i="7"/>
  <c r="Q1697" i="7"/>
  <c r="Q1698" i="7"/>
  <c r="Q1699" i="7"/>
  <c r="Q1700" i="7"/>
  <c r="Q1701" i="7"/>
  <c r="Q1702" i="7"/>
  <c r="Q1703" i="7"/>
  <c r="Q1704" i="7"/>
  <c r="Q1705" i="7"/>
  <c r="Q1706" i="7"/>
  <c r="Q1707" i="7"/>
  <c r="Q1708" i="7"/>
  <c r="Q1709" i="7"/>
  <c r="Q1710" i="7"/>
  <c r="Q1711" i="7"/>
  <c r="Q1712" i="7"/>
  <c r="Q1713" i="7"/>
  <c r="Q1714" i="7"/>
  <c r="Q1715" i="7"/>
  <c r="Q1716" i="7"/>
  <c r="Q1717" i="7"/>
  <c r="Q1718" i="7"/>
  <c r="Q1719" i="7"/>
  <c r="Q1720" i="7"/>
  <c r="Q1721" i="7"/>
  <c r="Q1722" i="7"/>
  <c r="Q1723" i="7"/>
  <c r="Q1724" i="7"/>
  <c r="Q1725" i="7"/>
  <c r="Q1726" i="7"/>
  <c r="Q1727" i="7"/>
  <c r="Q1728" i="7"/>
  <c r="Q1729" i="7"/>
  <c r="Q1730" i="7"/>
  <c r="Q1731" i="7"/>
  <c r="Q1732" i="7"/>
  <c r="Q1733" i="7"/>
  <c r="Q1734" i="7"/>
  <c r="Q1735" i="7"/>
  <c r="Q1736" i="7"/>
  <c r="Q1737" i="7"/>
  <c r="Q1738" i="7"/>
  <c r="Q1739" i="7"/>
  <c r="Q1740" i="7"/>
  <c r="Q1741" i="7"/>
  <c r="Q1742" i="7"/>
  <c r="Q1743" i="7"/>
  <c r="Q1744" i="7"/>
  <c r="Q1745" i="7"/>
  <c r="Q1746" i="7"/>
  <c r="Q1747" i="7"/>
  <c r="Q1748" i="7"/>
  <c r="Q1749" i="7"/>
  <c r="Q1750" i="7"/>
  <c r="Q1751" i="7"/>
  <c r="Q1752" i="7"/>
  <c r="Q1753" i="7"/>
  <c r="Q1754" i="7"/>
  <c r="Q1755" i="7"/>
  <c r="Q1756" i="7"/>
  <c r="Q1757" i="7"/>
  <c r="Q1758" i="7"/>
  <c r="Q1759" i="7"/>
  <c r="Q1760" i="7"/>
  <c r="Q1761" i="7"/>
  <c r="Q1762" i="7"/>
  <c r="Q1763" i="7"/>
  <c r="Q1764" i="7"/>
  <c r="Q1765" i="7"/>
  <c r="Q1766" i="7"/>
  <c r="Q1767" i="7"/>
  <c r="Q1768" i="7"/>
  <c r="Q1769" i="7"/>
  <c r="Q1770" i="7"/>
  <c r="Q1771" i="7"/>
  <c r="Q1772" i="7"/>
  <c r="Q1773" i="7"/>
  <c r="Q1774" i="7"/>
  <c r="Q1775" i="7"/>
  <c r="Q1776" i="7"/>
  <c r="Q1777" i="7"/>
  <c r="Q1778" i="7"/>
  <c r="Q1779" i="7"/>
  <c r="Q1780" i="7"/>
  <c r="Q1781" i="7"/>
  <c r="Q1782" i="7"/>
  <c r="Q1783" i="7"/>
  <c r="Q1784" i="7"/>
  <c r="Q1785" i="7"/>
  <c r="Q1786" i="7"/>
  <c r="Q1787" i="7"/>
  <c r="Q1788" i="7"/>
  <c r="Q1789" i="7"/>
  <c r="Q1790" i="7"/>
  <c r="Q1791" i="7"/>
  <c r="Q1792" i="7"/>
  <c r="Q1793" i="7"/>
  <c r="Q1794" i="7"/>
  <c r="Q1795" i="7"/>
  <c r="Q1796" i="7"/>
  <c r="Q1797" i="7"/>
  <c r="Q1798" i="7"/>
  <c r="Q1799" i="7"/>
  <c r="Q1800" i="7"/>
  <c r="Q1801" i="7"/>
  <c r="Q1802" i="7"/>
  <c r="Q1803" i="7"/>
  <c r="Q1804" i="7"/>
  <c r="Q1805" i="7"/>
  <c r="Q1806" i="7"/>
  <c r="Q1807" i="7"/>
  <c r="Q1808" i="7"/>
  <c r="Q1809" i="7"/>
  <c r="Q1810" i="7"/>
  <c r="Q1811" i="7"/>
  <c r="Q1812" i="7"/>
  <c r="Q1813" i="7"/>
  <c r="Q1814" i="7"/>
  <c r="Q1815" i="7"/>
  <c r="Q1816" i="7"/>
  <c r="Q1817" i="7"/>
  <c r="Q1818" i="7"/>
  <c r="Q1819" i="7"/>
  <c r="Q1820" i="7"/>
  <c r="Q1821" i="7"/>
  <c r="Q1822" i="7"/>
  <c r="Q1823" i="7"/>
  <c r="Q1824" i="7"/>
  <c r="Q1825" i="7"/>
  <c r="Q1826" i="7"/>
  <c r="Q1827" i="7"/>
  <c r="Q1828" i="7"/>
  <c r="Q1829" i="7"/>
  <c r="Q1830" i="7"/>
  <c r="Q1831" i="7"/>
  <c r="Q1832" i="7"/>
  <c r="Q1833" i="7"/>
  <c r="Q1834" i="7"/>
  <c r="Q1835" i="7"/>
  <c r="Q1836" i="7"/>
  <c r="Q1837" i="7"/>
  <c r="Q1838" i="7"/>
  <c r="Q1839" i="7"/>
  <c r="Q1840" i="7"/>
  <c r="Q1841" i="7"/>
  <c r="Q1842" i="7"/>
  <c r="Q1843" i="7"/>
  <c r="Q1844" i="7"/>
  <c r="Q1845" i="7"/>
  <c r="Q1846" i="7"/>
  <c r="Q1847" i="7"/>
  <c r="Q1848" i="7"/>
  <c r="Q1849" i="7"/>
  <c r="Q1850" i="7"/>
  <c r="Q1851" i="7"/>
  <c r="Q1852" i="7"/>
  <c r="Q1853" i="7"/>
  <c r="Q1854" i="7"/>
  <c r="Q1855" i="7"/>
  <c r="Q1856" i="7"/>
  <c r="Q1857" i="7"/>
  <c r="Q1858" i="7"/>
  <c r="Q1859" i="7"/>
  <c r="Q1860" i="7"/>
  <c r="Q1861" i="7"/>
  <c r="Q1862" i="7"/>
  <c r="Q1863" i="7"/>
  <c r="Q1864" i="7"/>
  <c r="Q1865" i="7"/>
  <c r="Q1866" i="7"/>
  <c r="Q1867" i="7"/>
  <c r="Q1868" i="7"/>
  <c r="Q1869" i="7"/>
  <c r="Q1870" i="7"/>
  <c r="Q1871" i="7"/>
  <c r="Q1872" i="7"/>
  <c r="Q1873" i="7"/>
  <c r="Q1874" i="7"/>
  <c r="Q1875" i="7"/>
  <c r="Q1876" i="7"/>
  <c r="Q1877" i="7"/>
  <c r="Q1878" i="7"/>
  <c r="Q1879" i="7"/>
  <c r="Q1880" i="7"/>
  <c r="Q1881" i="7"/>
  <c r="Q1882" i="7"/>
  <c r="Q1883" i="7"/>
  <c r="Q1884" i="7"/>
  <c r="Q1885" i="7"/>
  <c r="Q1886" i="7"/>
  <c r="Q1887" i="7"/>
  <c r="Q1888" i="7"/>
  <c r="Q1889" i="7"/>
  <c r="Q1890" i="7"/>
  <c r="Q1891" i="7"/>
  <c r="Q1892" i="7"/>
  <c r="Q1893" i="7"/>
  <c r="Q1894" i="7"/>
  <c r="Q1895" i="7"/>
  <c r="Q1896" i="7"/>
  <c r="Q1897" i="7"/>
  <c r="Q1898" i="7"/>
  <c r="Q1899" i="7"/>
  <c r="Q1900" i="7"/>
  <c r="Q1901" i="7"/>
  <c r="Q1902" i="7"/>
  <c r="Q1903" i="7"/>
  <c r="Q1904" i="7"/>
  <c r="Q1905" i="7"/>
  <c r="Q1906" i="7"/>
  <c r="Q1907" i="7"/>
  <c r="Q1908" i="7"/>
  <c r="Q1909" i="7"/>
  <c r="Q1910" i="7"/>
  <c r="Q1911" i="7"/>
  <c r="Q1912" i="7"/>
  <c r="Q1913" i="7"/>
  <c r="Q1914" i="7"/>
  <c r="Q1915" i="7"/>
  <c r="Q1916" i="7"/>
  <c r="Q1917" i="7"/>
  <c r="Q1918" i="7"/>
  <c r="Q1919" i="7"/>
  <c r="Q1920" i="7"/>
  <c r="Q1921" i="7"/>
  <c r="Q1922" i="7"/>
  <c r="Q1923" i="7"/>
  <c r="Q1924" i="7"/>
  <c r="Q1925" i="7"/>
  <c r="Q1926" i="7"/>
  <c r="Q1927" i="7"/>
  <c r="Q1928" i="7"/>
  <c r="Q1929" i="7"/>
  <c r="Q1930" i="7"/>
  <c r="Q1931" i="7"/>
  <c r="Q1932" i="7"/>
  <c r="Q1933" i="7"/>
  <c r="Q1934" i="7"/>
  <c r="Q1935" i="7"/>
  <c r="Q1936" i="7"/>
  <c r="Q1937" i="7"/>
  <c r="Q1938" i="7"/>
  <c r="Q1939" i="7"/>
  <c r="Q1940" i="7"/>
  <c r="Q1941" i="7"/>
  <c r="Q1942" i="7"/>
  <c r="Q1943" i="7"/>
  <c r="Q1944" i="7"/>
  <c r="Q1945" i="7"/>
  <c r="Q1946" i="7"/>
  <c r="Q1947" i="7"/>
  <c r="Q1948" i="7"/>
  <c r="Q1949" i="7"/>
  <c r="Q1950" i="7"/>
  <c r="Q1951" i="7"/>
  <c r="Q1952" i="7"/>
  <c r="Q1953" i="7"/>
  <c r="Q1954" i="7"/>
  <c r="Q1955" i="7"/>
  <c r="Q1956" i="7"/>
  <c r="Q1957" i="7"/>
  <c r="Q1958" i="7"/>
  <c r="Q1959" i="7"/>
  <c r="Q1960" i="7"/>
  <c r="Q1961" i="7"/>
  <c r="Q1962" i="7"/>
  <c r="Q1963" i="7"/>
  <c r="Q1964" i="7"/>
  <c r="Q1965" i="7"/>
  <c r="Q1966" i="7"/>
  <c r="Q1967" i="7"/>
  <c r="Q1968" i="7"/>
  <c r="Q1969" i="7"/>
  <c r="Q1970" i="7"/>
  <c r="Q1971" i="7"/>
  <c r="Q1972" i="7"/>
  <c r="Q1973" i="7"/>
  <c r="Q1974" i="7"/>
  <c r="Q1975" i="7"/>
  <c r="Q1976" i="7"/>
  <c r="Q1977" i="7"/>
  <c r="Q1978" i="7"/>
  <c r="Q1979" i="7"/>
  <c r="Q1980" i="7"/>
  <c r="Q1981" i="7"/>
  <c r="Q1982" i="7"/>
  <c r="Q1983" i="7"/>
  <c r="Q1984" i="7"/>
  <c r="Q1985" i="7"/>
  <c r="Q1986" i="7"/>
  <c r="Q1987" i="7"/>
  <c r="Q1988" i="7"/>
  <c r="Q1989" i="7"/>
  <c r="Q1990" i="7"/>
  <c r="Q1991" i="7"/>
  <c r="Q1992" i="7"/>
  <c r="Q1993" i="7"/>
  <c r="Q1994" i="7"/>
  <c r="Q1995" i="7"/>
  <c r="Q1996" i="7"/>
  <c r="Q1997" i="7"/>
  <c r="Q1998" i="7"/>
  <c r="Q1999" i="7"/>
  <c r="Q2000" i="7"/>
  <c r="Q2001" i="7"/>
  <c r="Q2002" i="7"/>
  <c r="Q2003" i="7"/>
  <c r="Q2004" i="7"/>
  <c r="Q2005" i="7"/>
  <c r="Q2006" i="7"/>
  <c r="Q2007" i="7"/>
  <c r="Q2008" i="7"/>
  <c r="Q2009" i="7"/>
  <c r="Q2010" i="7"/>
  <c r="Q2011" i="7"/>
  <c r="Q2012" i="7"/>
  <c r="Q2013" i="7"/>
  <c r="Q2014" i="7"/>
  <c r="Q2015" i="7"/>
  <c r="Q2016" i="7"/>
  <c r="Q2017" i="7"/>
  <c r="Q2018" i="7"/>
  <c r="Q2019" i="7"/>
  <c r="Q2020" i="7"/>
  <c r="Q2021" i="7"/>
  <c r="Q2022" i="7"/>
  <c r="Q2023" i="7"/>
  <c r="Q2024" i="7"/>
  <c r="Q2025" i="7"/>
  <c r="Q2026" i="7"/>
  <c r="Q2027" i="7"/>
  <c r="Q2028" i="7"/>
  <c r="Q2029" i="7"/>
  <c r="Q2030" i="7"/>
  <c r="Q2031" i="7"/>
  <c r="Q2032" i="7"/>
  <c r="Q2033" i="7"/>
  <c r="Q2034" i="7"/>
  <c r="Q2035" i="7"/>
  <c r="Q2036" i="7"/>
  <c r="Q2037" i="7"/>
  <c r="Q2038" i="7"/>
  <c r="Q2039" i="7"/>
  <c r="Q2040" i="7"/>
  <c r="Q2041" i="7"/>
  <c r="Q2042" i="7"/>
  <c r="Q2043" i="7"/>
  <c r="Q2044" i="7"/>
  <c r="Q2045" i="7"/>
  <c r="Q2046" i="7"/>
  <c r="Q2047" i="7"/>
  <c r="Q2048" i="7"/>
  <c r="Q2049" i="7"/>
  <c r="Q2050" i="7"/>
  <c r="Q2051" i="7"/>
  <c r="Q2052" i="7"/>
  <c r="Q2053" i="7"/>
  <c r="Q2054" i="7"/>
  <c r="Q2055" i="7"/>
  <c r="Q2056" i="7"/>
  <c r="Q2057" i="7"/>
  <c r="Q2058" i="7"/>
  <c r="Q2059" i="7"/>
  <c r="Q2060" i="7"/>
  <c r="Q2061" i="7"/>
  <c r="Q2062" i="7"/>
  <c r="Q2063" i="7"/>
  <c r="Q2064" i="7"/>
  <c r="Q2065" i="7"/>
  <c r="Q2066" i="7"/>
  <c r="Q2067" i="7"/>
  <c r="Q2068" i="7"/>
  <c r="Q2069" i="7"/>
  <c r="Q2070" i="7"/>
  <c r="Q2071" i="7"/>
  <c r="Q2072" i="7"/>
  <c r="Q2073" i="7"/>
  <c r="Q2074" i="7"/>
  <c r="Q2075" i="7"/>
  <c r="Q2076" i="7"/>
  <c r="Q2077" i="7"/>
  <c r="Q2078" i="7"/>
  <c r="Q2079" i="7"/>
  <c r="Q2080" i="7"/>
  <c r="Q2081" i="7"/>
  <c r="Q2082" i="7"/>
  <c r="Q2083" i="7"/>
  <c r="Q2084" i="7"/>
  <c r="Q2085" i="7"/>
  <c r="Q2086" i="7"/>
  <c r="Q2087" i="7"/>
  <c r="Q2088" i="7"/>
  <c r="Q2089" i="7"/>
  <c r="Q2090" i="7"/>
  <c r="Q2091" i="7"/>
  <c r="Q2092" i="7"/>
  <c r="Q2093" i="7"/>
  <c r="Q2094" i="7"/>
  <c r="Q2095" i="7"/>
  <c r="Q2096" i="7"/>
  <c r="Q2097" i="7"/>
  <c r="Q2098" i="7"/>
  <c r="Q2099" i="7"/>
  <c r="Q2100" i="7"/>
  <c r="Q2101" i="7"/>
  <c r="Q2102" i="7"/>
  <c r="Q2103" i="7"/>
  <c r="Q2104" i="7"/>
  <c r="Q2105" i="7"/>
  <c r="Q2106" i="7"/>
  <c r="Q2107" i="7"/>
  <c r="Q2108" i="7"/>
  <c r="Q2109" i="7"/>
  <c r="Q2110" i="7"/>
  <c r="Q2111" i="7"/>
  <c r="Q2112" i="7"/>
  <c r="Q2113" i="7"/>
  <c r="Q2114" i="7"/>
  <c r="Q2115" i="7"/>
  <c r="Q2116" i="7"/>
  <c r="Q2117" i="7"/>
  <c r="Q2118" i="7"/>
  <c r="Q2119" i="7"/>
  <c r="Q2120" i="7"/>
  <c r="Q2121" i="7"/>
  <c r="Q2122" i="7"/>
  <c r="Q2123" i="7"/>
  <c r="Q2124" i="7"/>
  <c r="Q2125" i="7"/>
  <c r="Q2126" i="7"/>
  <c r="Q2127" i="7"/>
  <c r="Q2128" i="7"/>
  <c r="Q2129" i="7"/>
  <c r="Q2130" i="7"/>
  <c r="Q2131" i="7"/>
  <c r="Q2132" i="7"/>
  <c r="Q2133" i="7"/>
  <c r="Q2134" i="7"/>
  <c r="Q2135" i="7"/>
  <c r="Q2136" i="7"/>
  <c r="Q2137" i="7"/>
  <c r="Q2138" i="7"/>
  <c r="Q2139" i="7"/>
  <c r="Q2140" i="7"/>
  <c r="Q2141" i="7"/>
  <c r="Q2142" i="7"/>
  <c r="Q2143" i="7"/>
  <c r="Q2144" i="7"/>
  <c r="Q2145" i="7"/>
  <c r="Q2146" i="7"/>
  <c r="Q2147" i="7"/>
  <c r="Q2148" i="7"/>
  <c r="Q2149" i="7"/>
  <c r="Q2150" i="7"/>
  <c r="Q2151" i="7"/>
  <c r="Q2152" i="7"/>
  <c r="Q2153" i="7"/>
  <c r="Q2154" i="7"/>
  <c r="Q2155" i="7"/>
  <c r="Q2156" i="7"/>
  <c r="Q2157" i="7"/>
  <c r="Q2158" i="7"/>
  <c r="Q2159" i="7"/>
  <c r="Q2160" i="7"/>
  <c r="Q2161" i="7"/>
  <c r="Q2162" i="7"/>
  <c r="Q2163" i="7"/>
  <c r="Q2164" i="7"/>
  <c r="Q2165" i="7"/>
  <c r="Q2166" i="7"/>
  <c r="Q2167" i="7"/>
  <c r="Q2168" i="7"/>
  <c r="Q2169" i="7"/>
  <c r="Q2170" i="7"/>
  <c r="Q2171" i="7"/>
  <c r="Q2172" i="7"/>
  <c r="Q2173" i="7"/>
  <c r="Q2174" i="7"/>
  <c r="Q2175" i="7"/>
  <c r="Q2176" i="7"/>
  <c r="Q2177" i="7"/>
  <c r="Q2178" i="7"/>
  <c r="Q2179" i="7"/>
  <c r="Q2180" i="7"/>
  <c r="Q2181" i="7"/>
  <c r="Q2182" i="7"/>
  <c r="Q2183" i="7"/>
  <c r="Q2184" i="7"/>
  <c r="Q2185" i="7"/>
  <c r="Q2186" i="7"/>
  <c r="Q2187" i="7"/>
  <c r="Q2188" i="7"/>
  <c r="Q2189" i="7"/>
  <c r="Q2190" i="7"/>
  <c r="Q2191" i="7"/>
  <c r="Q2192" i="7"/>
  <c r="Q2193" i="7"/>
  <c r="Q2194" i="7"/>
  <c r="Q2195" i="7"/>
  <c r="Q2196" i="7"/>
  <c r="Q2197" i="7"/>
  <c r="Q2198" i="7"/>
  <c r="Q2199" i="7"/>
  <c r="Q2200" i="7"/>
  <c r="Q2201" i="7"/>
  <c r="Q2202" i="7"/>
  <c r="Q2203" i="7"/>
  <c r="Q2204" i="7"/>
  <c r="Q2205" i="7"/>
  <c r="Q2206" i="7"/>
  <c r="Q2207" i="7"/>
  <c r="Q2208" i="7"/>
  <c r="Q2209" i="7"/>
  <c r="Q2210" i="7"/>
  <c r="Q2211" i="7"/>
  <c r="Q2212" i="7"/>
  <c r="Q2213" i="7"/>
  <c r="Q2214" i="7"/>
  <c r="Q2215" i="7"/>
  <c r="Q2216" i="7"/>
  <c r="Q2217" i="7"/>
  <c r="Q2218" i="7"/>
  <c r="Q2219" i="7"/>
  <c r="Q2220" i="7"/>
  <c r="Q2221" i="7"/>
  <c r="Q2222" i="7"/>
  <c r="Q2223" i="7"/>
  <c r="Q2224" i="7"/>
  <c r="Q2225" i="7"/>
  <c r="Q2226" i="7"/>
  <c r="Q2227" i="7"/>
  <c r="Q2228" i="7"/>
  <c r="Q2229" i="7"/>
  <c r="Q2230" i="7"/>
  <c r="Q2231" i="7"/>
  <c r="Q2232" i="7"/>
  <c r="Q2233" i="7"/>
  <c r="Q2234" i="7"/>
  <c r="Q2235" i="7"/>
  <c r="Q2236" i="7"/>
  <c r="Q2237" i="7"/>
  <c r="Q2238" i="7"/>
  <c r="Q2239" i="7"/>
  <c r="Q2240" i="7"/>
  <c r="Q2241" i="7"/>
  <c r="Q2242" i="7"/>
  <c r="Q2243" i="7"/>
  <c r="Q2244" i="7"/>
  <c r="Q2245" i="7"/>
  <c r="Q2246" i="7"/>
  <c r="Q2247" i="7"/>
  <c r="Q2248" i="7"/>
  <c r="Q2249" i="7"/>
  <c r="Q2250" i="7"/>
  <c r="Q2251" i="7"/>
  <c r="Q2252" i="7"/>
  <c r="Q2253" i="7"/>
  <c r="Q2254" i="7"/>
  <c r="Q2255" i="7"/>
  <c r="Q2256" i="7"/>
  <c r="Q2257" i="7"/>
  <c r="Q2258" i="7"/>
  <c r="Q2259" i="7"/>
  <c r="Q2260" i="7"/>
  <c r="Q2261" i="7"/>
  <c r="Q2262" i="7"/>
  <c r="Q2263" i="7"/>
  <c r="Q2264" i="7"/>
  <c r="Q2265" i="7"/>
  <c r="Q2266" i="7"/>
  <c r="Q2267" i="7"/>
  <c r="Q2268" i="7"/>
  <c r="Q2269" i="7"/>
  <c r="Q2270" i="7"/>
  <c r="Q2271" i="7"/>
  <c r="Q2272" i="7"/>
  <c r="Q2273" i="7"/>
  <c r="Q2274" i="7"/>
  <c r="Q2275" i="7"/>
  <c r="Q2276" i="7"/>
  <c r="Q2277" i="7"/>
  <c r="Q2278" i="7"/>
  <c r="Q2279" i="7"/>
  <c r="Q2280" i="7"/>
  <c r="Q2281" i="7"/>
  <c r="Q2282" i="7"/>
  <c r="Q2283" i="7"/>
  <c r="Q2284" i="7"/>
  <c r="Q2285" i="7"/>
  <c r="Q2286" i="7"/>
  <c r="Q2287" i="7"/>
  <c r="Q2288" i="7"/>
  <c r="Q2289" i="7"/>
  <c r="Q2290" i="7"/>
  <c r="Q2291" i="7"/>
  <c r="Q2292" i="7"/>
  <c r="Q2293" i="7"/>
  <c r="Q2294" i="7"/>
  <c r="Q2295" i="7"/>
  <c r="Q2296" i="7"/>
  <c r="Q2297" i="7"/>
  <c r="Q2298" i="7"/>
  <c r="Q2299" i="7"/>
  <c r="Q2300" i="7"/>
  <c r="Q2301" i="7"/>
  <c r="Q2302" i="7"/>
  <c r="Q2303" i="7"/>
  <c r="Q2304" i="7"/>
  <c r="Q2305" i="7"/>
  <c r="Q2306" i="7"/>
  <c r="Q2307" i="7"/>
  <c r="Q2308" i="7"/>
  <c r="Q2309" i="7"/>
  <c r="Q2310" i="7"/>
  <c r="Q2311" i="7"/>
  <c r="Q2312" i="7"/>
  <c r="Q2313" i="7"/>
  <c r="Q2314" i="7"/>
  <c r="Q2315" i="7"/>
  <c r="Q2316" i="7"/>
  <c r="Q2317" i="7"/>
  <c r="Q2318" i="7"/>
  <c r="Q2319" i="7"/>
  <c r="Q2320" i="7"/>
  <c r="Q2321" i="7"/>
  <c r="Q2322" i="7"/>
  <c r="Q2323" i="7"/>
  <c r="Q2324" i="7"/>
  <c r="Q2325" i="7"/>
  <c r="Q2326" i="7"/>
  <c r="Q2327" i="7"/>
  <c r="Q2328" i="7"/>
  <c r="Q2329" i="7"/>
  <c r="Q2330" i="7"/>
  <c r="Q2331" i="7"/>
  <c r="Q2332" i="7"/>
  <c r="Q2333" i="7"/>
  <c r="Q2334" i="7"/>
  <c r="Q2335" i="7"/>
  <c r="Q2336" i="7"/>
  <c r="Q2337" i="7"/>
  <c r="Q2338" i="7"/>
  <c r="Q2339" i="7"/>
  <c r="Q2340" i="7"/>
  <c r="Q2341" i="7"/>
  <c r="Q2342" i="7"/>
  <c r="Q2343" i="7"/>
  <c r="Q2344" i="7"/>
  <c r="Q2345" i="7"/>
  <c r="Q2346" i="7"/>
  <c r="Q2347" i="7"/>
  <c r="Q2348" i="7"/>
  <c r="Q2349" i="7"/>
  <c r="Q2350" i="7"/>
  <c r="Q2351" i="7"/>
  <c r="Q2352" i="7"/>
  <c r="Q2353" i="7"/>
  <c r="Q2354" i="7"/>
  <c r="Q2355" i="7"/>
  <c r="Q2356" i="7"/>
  <c r="Q2357" i="7"/>
  <c r="Q2358" i="7"/>
  <c r="Q2359" i="7"/>
  <c r="Q2360" i="7"/>
  <c r="Q2361" i="7"/>
  <c r="Q2362" i="7"/>
  <c r="Q2363" i="7"/>
  <c r="Q2364" i="7"/>
  <c r="Q2365" i="7"/>
  <c r="Q2366" i="7"/>
  <c r="Q2367" i="7"/>
  <c r="Q2368" i="7"/>
  <c r="Q2369" i="7"/>
  <c r="Q2370" i="7"/>
  <c r="Q2371" i="7"/>
  <c r="Q2372" i="7"/>
  <c r="Q2373" i="7"/>
  <c r="Q2374" i="7"/>
  <c r="Q2375" i="7"/>
  <c r="Q2376" i="7"/>
  <c r="Q2377" i="7"/>
  <c r="Q2378" i="7"/>
  <c r="Q2379" i="7"/>
  <c r="Q2380" i="7"/>
  <c r="Q2381" i="7"/>
  <c r="Q2382" i="7"/>
  <c r="Q2383" i="7"/>
  <c r="Q2384" i="7"/>
  <c r="Q2385" i="7"/>
  <c r="Q2386" i="7"/>
  <c r="Q2387" i="7"/>
  <c r="Q2388" i="7"/>
  <c r="Q2389" i="7"/>
  <c r="Q2390" i="7"/>
  <c r="Q2391" i="7"/>
  <c r="Q2392" i="7"/>
  <c r="Q2393" i="7"/>
  <c r="Q2394" i="7"/>
  <c r="Q2395" i="7"/>
  <c r="Q2396" i="7"/>
  <c r="Q2397" i="7"/>
  <c r="Q2398" i="7"/>
  <c r="Q2399" i="7"/>
  <c r="Q2400" i="7"/>
  <c r="Q2401" i="7"/>
  <c r="Q2402" i="7"/>
  <c r="Q2403" i="7"/>
  <c r="Q2404" i="7"/>
  <c r="Q2405" i="7"/>
  <c r="Q2406" i="7"/>
  <c r="Q2407" i="7"/>
  <c r="Q2408" i="7"/>
  <c r="Q2409" i="7"/>
  <c r="Q2410" i="7"/>
  <c r="Q2411" i="7"/>
  <c r="Q2412" i="7"/>
  <c r="Q2413" i="7"/>
  <c r="Q2414" i="7"/>
  <c r="Q2415" i="7"/>
  <c r="Q2416" i="7"/>
  <c r="Q2417" i="7"/>
  <c r="Q2418" i="7"/>
  <c r="Q2419" i="7"/>
  <c r="Q2420" i="7"/>
  <c r="Q2421" i="7"/>
  <c r="Q2422" i="7"/>
  <c r="Q2423" i="7"/>
  <c r="Q2424" i="7"/>
  <c r="Q2425" i="7"/>
  <c r="Q2426" i="7"/>
  <c r="Q2427" i="7"/>
  <c r="Q2428" i="7"/>
  <c r="Q2429" i="7"/>
  <c r="Q2430" i="7"/>
  <c r="Q2431" i="7"/>
  <c r="Q2432" i="7"/>
  <c r="Q2433" i="7"/>
  <c r="Q2434" i="7"/>
  <c r="Q2435" i="7"/>
  <c r="Q2436" i="7"/>
  <c r="Q2437" i="7"/>
  <c r="Q2438" i="7"/>
  <c r="Q2439" i="7"/>
  <c r="Q2440" i="7"/>
  <c r="Q2441" i="7"/>
  <c r="Q2442" i="7"/>
  <c r="Q2443" i="7"/>
  <c r="Q2444" i="7"/>
  <c r="Q2445" i="7"/>
  <c r="Q2446" i="7"/>
  <c r="Q2447" i="7"/>
  <c r="Q2448" i="7"/>
  <c r="Q2449" i="7"/>
  <c r="Q2450" i="7"/>
  <c r="Q2451" i="7"/>
  <c r="Q2452" i="7"/>
  <c r="Q2453" i="7"/>
  <c r="Q2454" i="7"/>
  <c r="Q2455" i="7"/>
  <c r="Q2456" i="7"/>
  <c r="Q2457" i="7"/>
  <c r="Q2458" i="7"/>
  <c r="Q2459" i="7"/>
  <c r="Q2460" i="7"/>
  <c r="Q2461" i="7"/>
  <c r="Q2462" i="7"/>
  <c r="Q2463" i="7"/>
  <c r="Q2464" i="7"/>
  <c r="Q2465" i="7"/>
  <c r="Q2466" i="7"/>
  <c r="Q2467" i="7"/>
  <c r="Q2468" i="7"/>
  <c r="Q2469" i="7"/>
  <c r="Q2470" i="7"/>
  <c r="Q2471" i="7"/>
  <c r="Q2472" i="7"/>
  <c r="Q2473" i="7"/>
  <c r="Q2474" i="7"/>
  <c r="Q2475" i="7"/>
  <c r="Q2476" i="7"/>
  <c r="Q2477" i="7"/>
  <c r="Q2478" i="7"/>
  <c r="Q2479" i="7"/>
  <c r="Q2480" i="7"/>
  <c r="Q2481" i="7"/>
  <c r="Q2482" i="7"/>
  <c r="Q2483" i="7"/>
  <c r="Q2484" i="7"/>
  <c r="Q2485" i="7"/>
  <c r="Q2486" i="7"/>
  <c r="Q2487" i="7"/>
  <c r="Q2488" i="7"/>
  <c r="Q2489" i="7"/>
  <c r="Q2490" i="7"/>
  <c r="Q2491" i="7"/>
  <c r="Q2492" i="7"/>
  <c r="Q2493" i="7"/>
  <c r="Q2494" i="7"/>
  <c r="Q2495" i="7"/>
  <c r="Q2496" i="7"/>
  <c r="Q2497" i="7"/>
  <c r="Q2498" i="7"/>
  <c r="Q2499" i="7"/>
  <c r="Q2500" i="7"/>
  <c r="Q2501" i="7"/>
  <c r="Q2502" i="7"/>
  <c r="Q2503" i="7"/>
  <c r="Q2504" i="7"/>
  <c r="Q2505" i="7"/>
  <c r="Q2506" i="7"/>
  <c r="Q2507" i="7"/>
  <c r="Q2508" i="7"/>
  <c r="Q2509" i="7"/>
  <c r="Q2510" i="7"/>
  <c r="Q2511" i="7"/>
  <c r="Q2512" i="7"/>
  <c r="Q2513" i="7"/>
  <c r="Q2514" i="7"/>
  <c r="Q2515" i="7"/>
  <c r="Q2516" i="7"/>
  <c r="Q2517" i="7"/>
  <c r="Q2518" i="7"/>
  <c r="Q2519" i="7"/>
  <c r="Q2520" i="7"/>
  <c r="Q2521" i="7"/>
  <c r="Q2522" i="7"/>
  <c r="Q2523" i="7"/>
  <c r="Q2524" i="7"/>
  <c r="Q2525" i="7"/>
  <c r="Q2526" i="7"/>
  <c r="Q2527" i="7"/>
  <c r="Q2528" i="7"/>
  <c r="Q2529" i="7"/>
  <c r="Q2530" i="7"/>
  <c r="Q2531" i="7"/>
  <c r="Q2532" i="7"/>
  <c r="Q2533" i="7"/>
  <c r="Q2534" i="7"/>
  <c r="Q2535" i="7"/>
  <c r="Q2536" i="7"/>
  <c r="Q2537" i="7"/>
  <c r="Q2538" i="7"/>
  <c r="Q2539" i="7"/>
  <c r="Q2540" i="7"/>
  <c r="Q2541" i="7"/>
  <c r="Q2542" i="7"/>
  <c r="Q2543" i="7"/>
  <c r="Q2544" i="7"/>
  <c r="Q2545" i="7"/>
  <c r="Q2546" i="7"/>
  <c r="Q2547" i="7"/>
  <c r="Q2548" i="7"/>
  <c r="Q2549" i="7"/>
  <c r="Q2550" i="7"/>
  <c r="Q2551" i="7"/>
  <c r="Q2552" i="7"/>
  <c r="Q2553" i="7"/>
  <c r="Q2554" i="7"/>
  <c r="Q2555" i="7"/>
  <c r="Q2556" i="7"/>
  <c r="Q2557" i="7"/>
  <c r="Q2558" i="7"/>
  <c r="Q2559" i="7"/>
  <c r="Q2560" i="7"/>
  <c r="Q2561" i="7"/>
  <c r="Q2562" i="7"/>
  <c r="Q2563" i="7"/>
  <c r="Q2564" i="7"/>
  <c r="Q2565" i="7"/>
  <c r="Q2566" i="7"/>
  <c r="Q2567" i="7"/>
  <c r="Q2568" i="7"/>
  <c r="Q2569" i="7"/>
  <c r="Q2570" i="7"/>
  <c r="Q2571" i="7"/>
  <c r="Q2572" i="7"/>
  <c r="Q2573" i="7"/>
  <c r="Q2574" i="7"/>
  <c r="Q2575" i="7"/>
  <c r="Q2576" i="7"/>
  <c r="Q2577" i="7"/>
  <c r="Q2578" i="7"/>
  <c r="Q2579" i="7"/>
  <c r="Q2580" i="7"/>
  <c r="Q2581" i="7"/>
  <c r="Q2582" i="7"/>
  <c r="Q2583" i="7"/>
  <c r="Q2584" i="7"/>
  <c r="Q2585" i="7"/>
  <c r="Q2586" i="7"/>
  <c r="Q2587" i="7"/>
  <c r="Q2588" i="7"/>
  <c r="Q2589" i="7"/>
  <c r="Q2590" i="7"/>
  <c r="Q2591" i="7"/>
  <c r="Q2592" i="7"/>
  <c r="Q2593" i="7"/>
  <c r="Q2594" i="7"/>
  <c r="Q2595" i="7"/>
  <c r="Q2596" i="7"/>
  <c r="Q2597" i="7"/>
  <c r="Q2598" i="7"/>
  <c r="Q2599" i="7"/>
  <c r="Q2600" i="7"/>
  <c r="Q2601" i="7"/>
  <c r="Q2602" i="7"/>
  <c r="Q2603" i="7"/>
  <c r="Q2604" i="7"/>
  <c r="Q2605" i="7"/>
  <c r="Q2606" i="7"/>
  <c r="Q2607" i="7"/>
  <c r="Q2608" i="7"/>
  <c r="Q2609" i="7"/>
  <c r="Q2610" i="7"/>
  <c r="Q2611" i="7"/>
  <c r="Q2612" i="7"/>
  <c r="Q2613" i="7"/>
  <c r="Q2614" i="7"/>
  <c r="Q2615" i="7"/>
  <c r="Q2616" i="7"/>
  <c r="Q2617" i="7"/>
  <c r="Q2618" i="7"/>
  <c r="Q2619" i="7"/>
  <c r="Q2620" i="7"/>
  <c r="Q2621" i="7"/>
  <c r="Q2622" i="7"/>
  <c r="Q2623" i="7"/>
  <c r="Q2624" i="7"/>
  <c r="Q2625" i="7"/>
  <c r="Q2626" i="7"/>
  <c r="Q2627" i="7"/>
  <c r="Q2628" i="7"/>
  <c r="Q2629" i="7"/>
  <c r="Q2630" i="7"/>
  <c r="Q2631" i="7"/>
  <c r="Q2632" i="7"/>
  <c r="Q2633" i="7"/>
  <c r="Q2634" i="7"/>
  <c r="Q2635" i="7"/>
  <c r="Q2636" i="7"/>
  <c r="Q2637" i="7"/>
  <c r="Q2638" i="7"/>
  <c r="Q2639" i="7"/>
  <c r="Q2640" i="7"/>
  <c r="Q2641" i="7"/>
  <c r="Q2642" i="7"/>
  <c r="Q2643" i="7"/>
  <c r="Q2644" i="7"/>
  <c r="Q2645" i="7"/>
  <c r="Q2646" i="7"/>
  <c r="Q2647" i="7"/>
  <c r="Q2648" i="7"/>
  <c r="Q2649" i="7"/>
  <c r="Q2650" i="7"/>
  <c r="Q2651" i="7"/>
  <c r="Q2652" i="7"/>
  <c r="Q2653" i="7"/>
  <c r="Q2654" i="7"/>
  <c r="Q2655" i="7"/>
  <c r="Q2656" i="7"/>
  <c r="Q2657" i="7"/>
  <c r="Q2658" i="7"/>
  <c r="Q2659" i="7"/>
  <c r="Q2660" i="7"/>
  <c r="Q2661" i="7"/>
  <c r="Q2662" i="7"/>
  <c r="Q2663" i="7"/>
  <c r="Q2664" i="7"/>
  <c r="Q2665" i="7"/>
  <c r="Q2666" i="7"/>
  <c r="Q2667" i="7"/>
  <c r="Q2668" i="7"/>
  <c r="Q2669" i="7"/>
  <c r="Q2670" i="7"/>
  <c r="Q2671" i="7"/>
  <c r="Q2672" i="7"/>
  <c r="Q2673" i="7"/>
  <c r="Q2674" i="7"/>
  <c r="Q2675" i="7"/>
  <c r="Q2676" i="7"/>
  <c r="Q2677" i="7"/>
  <c r="Q2678" i="7"/>
  <c r="Q2679" i="7"/>
  <c r="Q2680" i="7"/>
  <c r="Q2681" i="7"/>
  <c r="Q2682" i="7"/>
  <c r="Q2683" i="7"/>
  <c r="Q2684" i="7"/>
  <c r="Q2685" i="7"/>
  <c r="Q2686" i="7"/>
  <c r="Q2687" i="7"/>
  <c r="Q2688" i="7"/>
  <c r="Q2689" i="7"/>
  <c r="Q2690" i="7"/>
  <c r="Q2691" i="7"/>
  <c r="Q2692" i="7"/>
  <c r="Q2693" i="7"/>
  <c r="Q2694" i="7"/>
  <c r="Q2695" i="7"/>
  <c r="Q2696" i="7"/>
  <c r="Q2697" i="7"/>
  <c r="Q2698" i="7"/>
  <c r="Q2699" i="7"/>
  <c r="Q2700" i="7"/>
  <c r="Q2701" i="7"/>
  <c r="Q2702" i="7"/>
  <c r="Q2703" i="7"/>
  <c r="Q2704" i="7"/>
  <c r="Q2705" i="7"/>
  <c r="Q2706" i="7"/>
  <c r="Q2707" i="7"/>
  <c r="Q2708" i="7"/>
  <c r="Q2709" i="7"/>
  <c r="Q2710" i="7"/>
  <c r="Q2711" i="7"/>
  <c r="Q2712" i="7"/>
  <c r="Q2713" i="7"/>
  <c r="Q2714" i="7"/>
  <c r="Q2715" i="7"/>
  <c r="Q2716" i="7"/>
  <c r="Q2717" i="7"/>
  <c r="Q2718" i="7"/>
  <c r="Q2719" i="7"/>
  <c r="Q2720" i="7"/>
  <c r="Q2721" i="7"/>
  <c r="Q2722" i="7"/>
  <c r="Q2723" i="7"/>
  <c r="Q2724" i="7"/>
  <c r="Q2725" i="7"/>
  <c r="Q2726" i="7"/>
  <c r="Q2727" i="7"/>
  <c r="Q2728" i="7"/>
  <c r="Q2729" i="7"/>
  <c r="Q2730" i="7"/>
  <c r="Q2731" i="7"/>
  <c r="Q2732" i="7"/>
  <c r="Q2733" i="7"/>
  <c r="Q2734" i="7"/>
  <c r="Q2735" i="7"/>
  <c r="Q2736" i="7"/>
  <c r="Q2737" i="7"/>
  <c r="Q2738" i="7"/>
  <c r="Q2739" i="7"/>
  <c r="Q2740" i="7"/>
  <c r="Q2741" i="7"/>
  <c r="Q2742" i="7"/>
  <c r="Q2743" i="7"/>
  <c r="Q2744" i="7"/>
  <c r="Q2745" i="7"/>
  <c r="Q2746" i="7"/>
  <c r="Q2747" i="7"/>
  <c r="Q2748" i="7"/>
  <c r="Q2749" i="7"/>
  <c r="Q2750" i="7"/>
  <c r="Q2751" i="7"/>
  <c r="Q2752" i="7"/>
  <c r="Q2753" i="7"/>
  <c r="Q2754" i="7"/>
  <c r="Q2755" i="7"/>
  <c r="Q2756" i="7"/>
  <c r="Q2757" i="7"/>
  <c r="Q2758" i="7"/>
  <c r="Q2759" i="7"/>
  <c r="Q2760" i="7"/>
  <c r="Q2761" i="7"/>
  <c r="Q2762" i="7"/>
  <c r="Q2763" i="7"/>
  <c r="Q2764" i="7"/>
  <c r="Q2765" i="7"/>
  <c r="Q2766" i="7"/>
  <c r="Q2767" i="7"/>
  <c r="Q2768" i="7"/>
  <c r="Q2769" i="7"/>
  <c r="Q2770" i="7"/>
  <c r="Q2771" i="7"/>
  <c r="Q2772" i="7"/>
  <c r="Q2773" i="7"/>
  <c r="Q2774" i="7"/>
  <c r="Q2775" i="7"/>
  <c r="Q2776" i="7"/>
  <c r="Q2777" i="7"/>
  <c r="Q2778" i="7"/>
  <c r="Q2779" i="7"/>
  <c r="Q2780" i="7"/>
  <c r="Q2781" i="7"/>
  <c r="Q2782" i="7"/>
  <c r="Q2783" i="7"/>
  <c r="Q2784" i="7"/>
  <c r="Q2785" i="7"/>
  <c r="Q2786" i="7"/>
  <c r="Q2787" i="7"/>
  <c r="Q2788" i="7"/>
  <c r="Q2789" i="7"/>
  <c r="Q2790" i="7"/>
  <c r="Q2791" i="7"/>
  <c r="Q2792" i="7"/>
  <c r="Q2793" i="7"/>
  <c r="Q2794" i="7"/>
  <c r="Q2795" i="7"/>
  <c r="Q2796" i="7"/>
  <c r="Q2797" i="7"/>
  <c r="Q2798" i="7"/>
  <c r="Q2799" i="7"/>
  <c r="Q2800" i="7"/>
  <c r="Q2801" i="7"/>
  <c r="Q2802" i="7"/>
  <c r="Q2803" i="7"/>
  <c r="Q2804" i="7"/>
  <c r="Q2805" i="7"/>
  <c r="Q2806" i="7"/>
  <c r="Q2807" i="7"/>
  <c r="Q2808" i="7"/>
  <c r="Q2809" i="7"/>
  <c r="Q2810" i="7"/>
  <c r="Q2811" i="7"/>
  <c r="Q2812" i="7"/>
  <c r="Q2813" i="7"/>
  <c r="Q2814" i="7"/>
  <c r="Q2815" i="7"/>
  <c r="Q2816" i="7"/>
  <c r="Q2817" i="7"/>
  <c r="Q2818" i="7"/>
  <c r="Q2819" i="7"/>
  <c r="Q2820" i="7"/>
  <c r="Q2821" i="7"/>
  <c r="Q2822" i="7"/>
  <c r="Q2823" i="7"/>
  <c r="Q2824" i="7"/>
  <c r="Q2825" i="7"/>
  <c r="Q2826" i="7"/>
  <c r="Q2827" i="7"/>
  <c r="Q2828" i="7"/>
  <c r="Q2829" i="7"/>
  <c r="Q2830" i="7"/>
  <c r="Q2831" i="7"/>
  <c r="Q2832" i="7"/>
  <c r="Q2833" i="7"/>
  <c r="Q2834" i="7"/>
  <c r="Q2835" i="7"/>
  <c r="Q2836" i="7"/>
  <c r="Q2837" i="7"/>
  <c r="Q2838" i="7"/>
  <c r="Q2839" i="7"/>
  <c r="Q2840" i="7"/>
  <c r="Q2841" i="7"/>
  <c r="Q2842" i="7"/>
  <c r="Q2843" i="7"/>
  <c r="Q2844" i="7"/>
  <c r="Q2845" i="7"/>
  <c r="Q2846" i="7"/>
  <c r="Q2847" i="7"/>
  <c r="Q2848" i="7"/>
  <c r="Q2849" i="7"/>
  <c r="Q2850" i="7"/>
  <c r="Q2851" i="7"/>
  <c r="Q2852" i="7"/>
  <c r="Q2853" i="7"/>
  <c r="Q2854" i="7"/>
  <c r="Q2855" i="7"/>
  <c r="Q2856" i="7"/>
  <c r="Q2857" i="7"/>
  <c r="Q2858" i="7"/>
  <c r="Q2859" i="7"/>
  <c r="Q2860" i="7"/>
  <c r="Q2861" i="7"/>
  <c r="Q2862" i="7"/>
  <c r="Q2863" i="7"/>
  <c r="Q2864" i="7"/>
  <c r="Q2865" i="7"/>
  <c r="Q2866" i="7"/>
  <c r="Q2867" i="7"/>
  <c r="Q2868" i="7"/>
  <c r="Q2869" i="7"/>
  <c r="Q2870" i="7"/>
  <c r="Q2871" i="7"/>
  <c r="Q2872" i="7"/>
  <c r="Q2873" i="7"/>
  <c r="Q2874" i="7"/>
  <c r="Q2875" i="7"/>
  <c r="Q2876" i="7"/>
  <c r="Q2877" i="7"/>
  <c r="Q2878" i="7"/>
  <c r="Q2879" i="7"/>
  <c r="Q2880" i="7"/>
  <c r="Q2881" i="7"/>
  <c r="Q2882" i="7"/>
  <c r="Q2883" i="7"/>
  <c r="Q2884" i="7"/>
  <c r="Q2885" i="7"/>
  <c r="Q2886" i="7"/>
  <c r="Q2887" i="7"/>
  <c r="Q2888" i="7"/>
  <c r="Q2889" i="7"/>
  <c r="Q2890" i="7"/>
  <c r="Q2891" i="7"/>
  <c r="Q2892" i="7"/>
  <c r="Q2893" i="7"/>
  <c r="Q2894" i="7"/>
  <c r="Q2895" i="7"/>
  <c r="Q2896" i="7"/>
  <c r="Q2897" i="7"/>
  <c r="Q2898" i="7"/>
  <c r="Q2899" i="7"/>
  <c r="Q2900" i="7"/>
  <c r="Q2901" i="7"/>
  <c r="Q2902" i="7"/>
  <c r="Q2903" i="7"/>
  <c r="Q2904" i="7"/>
  <c r="Q2905" i="7"/>
  <c r="Q2906" i="7"/>
  <c r="Q2907" i="7"/>
  <c r="Q2908" i="7"/>
  <c r="Q2909" i="7"/>
  <c r="Q2910" i="7"/>
  <c r="Q2911" i="7"/>
  <c r="Q2912" i="7"/>
  <c r="Q2913" i="7"/>
  <c r="Q2914" i="7"/>
  <c r="Q2915" i="7"/>
  <c r="Q2916" i="7"/>
  <c r="Q2917" i="7"/>
  <c r="Q2918" i="7"/>
  <c r="Q2919" i="7"/>
  <c r="Q2920" i="7"/>
  <c r="Q2921" i="7"/>
  <c r="Q2922" i="7"/>
  <c r="Q2923" i="7"/>
  <c r="Q2924" i="7"/>
  <c r="Q2925" i="7"/>
  <c r="Q2926" i="7"/>
  <c r="Q2927" i="7"/>
  <c r="Q2928" i="7"/>
  <c r="Q2929" i="7"/>
  <c r="Q2930" i="7"/>
  <c r="Q2931" i="7"/>
  <c r="Q2932" i="7"/>
  <c r="Q2933" i="7"/>
  <c r="Q2934" i="7"/>
  <c r="Q2935" i="7"/>
  <c r="Q2936" i="7"/>
  <c r="Q2937" i="7"/>
  <c r="Q2938" i="7"/>
  <c r="Q2939" i="7"/>
  <c r="Q2940" i="7"/>
  <c r="Q2941" i="7"/>
  <c r="Q2942" i="7"/>
  <c r="Q2943" i="7"/>
  <c r="Q2944" i="7"/>
  <c r="Q2945" i="7"/>
  <c r="Q2946" i="7"/>
  <c r="Q2947" i="7"/>
  <c r="Q2948" i="7"/>
  <c r="Q2949" i="7"/>
  <c r="Q2950" i="7"/>
  <c r="Q2951" i="7"/>
  <c r="Q2952" i="7"/>
  <c r="Q2953" i="7"/>
  <c r="Q2954" i="7"/>
  <c r="Q2955" i="7"/>
  <c r="Q2956" i="7"/>
  <c r="Q2957" i="7"/>
  <c r="Q2958" i="7"/>
  <c r="Q2959" i="7"/>
  <c r="Q2960" i="7"/>
  <c r="Q2961" i="7"/>
  <c r="Q2962" i="7"/>
  <c r="Q2963" i="7"/>
  <c r="Q2964" i="7"/>
  <c r="Q2965" i="7"/>
  <c r="Q2966" i="7"/>
  <c r="Q2967" i="7"/>
  <c r="Q2968" i="7"/>
  <c r="Q2969" i="7"/>
  <c r="Q2970" i="7"/>
  <c r="Q2971" i="7"/>
  <c r="Q2972" i="7"/>
  <c r="Q2973" i="7"/>
  <c r="Q2974" i="7"/>
  <c r="Q2975" i="7"/>
  <c r="Q2976" i="7"/>
  <c r="Q2977" i="7"/>
  <c r="Q2978" i="7"/>
  <c r="Q2979" i="7"/>
  <c r="Q2980" i="7"/>
  <c r="Q2981" i="7"/>
  <c r="Q2982" i="7"/>
  <c r="Q2983" i="7"/>
  <c r="Q2984" i="7"/>
  <c r="Q2985" i="7"/>
  <c r="Q2986" i="7"/>
  <c r="Q2987" i="7"/>
  <c r="Q2988" i="7"/>
  <c r="Q2989" i="7"/>
  <c r="Q2990" i="7"/>
  <c r="Q2991" i="7"/>
  <c r="Q2992" i="7"/>
  <c r="Q2993" i="7"/>
  <c r="Q2994" i="7"/>
  <c r="Q2995" i="7"/>
  <c r="Q2996" i="7"/>
  <c r="Q2997" i="7"/>
  <c r="Q2998" i="7"/>
  <c r="Q2999" i="7"/>
  <c r="Q3000" i="7"/>
  <c r="Q2" i="7"/>
  <c r="K3001" i="7" l="1"/>
  <c r="L3001" i="7" s="1"/>
  <c r="M3001" i="7" s="1"/>
  <c r="D30" i="7"/>
  <c r="N30" i="7" s="1"/>
  <c r="D31" i="7"/>
  <c r="N31" i="7" s="1"/>
  <c r="D32" i="7"/>
  <c r="N32" i="7" s="1"/>
  <c r="D33" i="7"/>
  <c r="N33" i="7" s="1"/>
  <c r="D34" i="7"/>
  <c r="N34" i="7" s="1"/>
  <c r="D35" i="7"/>
  <c r="N35" i="7" s="1"/>
  <c r="D36" i="7"/>
  <c r="N36" i="7" s="1"/>
  <c r="D37" i="7"/>
  <c r="N37" i="7" s="1"/>
  <c r="D38" i="7"/>
  <c r="N38" i="7" s="1"/>
  <c r="D39" i="7"/>
  <c r="N39" i="7" s="1"/>
  <c r="D40" i="7"/>
  <c r="N40" i="7" s="1"/>
  <c r="D41" i="7"/>
  <c r="N41" i="7" s="1"/>
  <c r="D42" i="7"/>
  <c r="N42" i="7" s="1"/>
  <c r="D43" i="7"/>
  <c r="N43" i="7" s="1"/>
  <c r="D44" i="7"/>
  <c r="N44" i="7" s="1"/>
  <c r="D45" i="7"/>
  <c r="N45" i="7" s="1"/>
  <c r="D46" i="7"/>
  <c r="N46" i="7" s="1"/>
  <c r="D47" i="7"/>
  <c r="N47" i="7" s="1"/>
  <c r="D48" i="7"/>
  <c r="N48" i="7" s="1"/>
  <c r="D49" i="7"/>
  <c r="N49" i="7" s="1"/>
  <c r="D50" i="7"/>
  <c r="N50" i="7" s="1"/>
  <c r="D51" i="7"/>
  <c r="N51" i="7" s="1"/>
  <c r="D52" i="7"/>
  <c r="N52" i="7" s="1"/>
  <c r="D53" i="7"/>
  <c r="N53" i="7" s="1"/>
  <c r="D54" i="7"/>
  <c r="N54" i="7" s="1"/>
  <c r="D55" i="7"/>
  <c r="N55" i="7" s="1"/>
  <c r="D56" i="7"/>
  <c r="N56" i="7" s="1"/>
  <c r="D57" i="7"/>
  <c r="N57" i="7" s="1"/>
  <c r="D58" i="7"/>
  <c r="N58" i="7" s="1"/>
  <c r="D59" i="7"/>
  <c r="N59" i="7" s="1"/>
  <c r="D60" i="7"/>
  <c r="N60" i="7" s="1"/>
  <c r="D61" i="7"/>
  <c r="N61" i="7" s="1"/>
  <c r="D62" i="7"/>
  <c r="N62" i="7" s="1"/>
  <c r="D63" i="7"/>
  <c r="N63" i="7" s="1"/>
  <c r="D64" i="7"/>
  <c r="N64" i="7" s="1"/>
  <c r="D65" i="7"/>
  <c r="N65" i="7" s="1"/>
  <c r="D66" i="7"/>
  <c r="N66" i="7" s="1"/>
  <c r="D67" i="7"/>
  <c r="N67" i="7" s="1"/>
  <c r="D68" i="7"/>
  <c r="N68" i="7" s="1"/>
  <c r="D69" i="7"/>
  <c r="N69" i="7" s="1"/>
  <c r="D70" i="7"/>
  <c r="N70" i="7" s="1"/>
  <c r="D71" i="7"/>
  <c r="N71" i="7" s="1"/>
  <c r="D72" i="7"/>
  <c r="N72" i="7" s="1"/>
  <c r="D73" i="7"/>
  <c r="N73" i="7" s="1"/>
  <c r="D74" i="7"/>
  <c r="N74" i="7" s="1"/>
  <c r="D75" i="7"/>
  <c r="N75" i="7" s="1"/>
  <c r="D76" i="7"/>
  <c r="N76" i="7" s="1"/>
  <c r="D77" i="7"/>
  <c r="N77" i="7" s="1"/>
  <c r="D78" i="7"/>
  <c r="N78" i="7" s="1"/>
  <c r="D79" i="7"/>
  <c r="N79" i="7" s="1"/>
  <c r="D80" i="7"/>
  <c r="N80" i="7" s="1"/>
  <c r="D81" i="7"/>
  <c r="N81" i="7" s="1"/>
  <c r="D82" i="7"/>
  <c r="N82" i="7" s="1"/>
  <c r="D83" i="7"/>
  <c r="N83" i="7" s="1"/>
  <c r="D84" i="7"/>
  <c r="N84" i="7" s="1"/>
  <c r="D85" i="7"/>
  <c r="N85" i="7" s="1"/>
  <c r="D86" i="7"/>
  <c r="N86" i="7" s="1"/>
  <c r="D87" i="7"/>
  <c r="N87" i="7" s="1"/>
  <c r="D88" i="7"/>
  <c r="N88" i="7" s="1"/>
  <c r="D89" i="7"/>
  <c r="N89" i="7" s="1"/>
  <c r="D90" i="7"/>
  <c r="N90" i="7" s="1"/>
  <c r="D91" i="7"/>
  <c r="N91" i="7" s="1"/>
  <c r="D92" i="7"/>
  <c r="N92" i="7" s="1"/>
  <c r="D93" i="7"/>
  <c r="N93" i="7" s="1"/>
  <c r="D94" i="7"/>
  <c r="N94" i="7" s="1"/>
  <c r="D95" i="7"/>
  <c r="N95" i="7" s="1"/>
  <c r="D96" i="7"/>
  <c r="N96" i="7" s="1"/>
  <c r="D97" i="7"/>
  <c r="N97" i="7" s="1"/>
  <c r="D98" i="7"/>
  <c r="N98" i="7" s="1"/>
  <c r="D99" i="7"/>
  <c r="N99" i="7" s="1"/>
  <c r="D100" i="7"/>
  <c r="N100" i="7" s="1"/>
  <c r="D101" i="7"/>
  <c r="N101" i="7" s="1"/>
  <c r="D102" i="7"/>
  <c r="N102" i="7" s="1"/>
  <c r="D103" i="7"/>
  <c r="N103" i="7" s="1"/>
  <c r="D104" i="7"/>
  <c r="N104" i="7" s="1"/>
  <c r="D105" i="7"/>
  <c r="N105" i="7" s="1"/>
  <c r="D106" i="7"/>
  <c r="N106" i="7" s="1"/>
  <c r="D107" i="7"/>
  <c r="N107" i="7" s="1"/>
  <c r="D108" i="7"/>
  <c r="N108" i="7" s="1"/>
  <c r="D109" i="7"/>
  <c r="N109" i="7" s="1"/>
  <c r="D110" i="7"/>
  <c r="N110" i="7" s="1"/>
  <c r="D111" i="7"/>
  <c r="N111" i="7" s="1"/>
  <c r="D112" i="7"/>
  <c r="N112" i="7" s="1"/>
  <c r="D113" i="7"/>
  <c r="N113" i="7" s="1"/>
  <c r="D114" i="7"/>
  <c r="N114" i="7" s="1"/>
  <c r="D115" i="7"/>
  <c r="N115" i="7" s="1"/>
  <c r="D116" i="7"/>
  <c r="N116" i="7" s="1"/>
  <c r="D117" i="7"/>
  <c r="N117" i="7" s="1"/>
  <c r="D118" i="7"/>
  <c r="N118" i="7" s="1"/>
  <c r="D119" i="7"/>
  <c r="N119" i="7" s="1"/>
  <c r="D120" i="7"/>
  <c r="N120" i="7" s="1"/>
  <c r="D121" i="7"/>
  <c r="N121" i="7" s="1"/>
  <c r="D122" i="7"/>
  <c r="N122" i="7" s="1"/>
  <c r="D123" i="7"/>
  <c r="N123" i="7" s="1"/>
  <c r="D124" i="7"/>
  <c r="N124" i="7" s="1"/>
  <c r="D125" i="7"/>
  <c r="N125" i="7" s="1"/>
  <c r="D126" i="7"/>
  <c r="N126" i="7" s="1"/>
  <c r="D127" i="7"/>
  <c r="N127" i="7" s="1"/>
  <c r="D128" i="7"/>
  <c r="N128" i="7" s="1"/>
  <c r="D129" i="7"/>
  <c r="N129" i="7" s="1"/>
  <c r="D130" i="7"/>
  <c r="N130" i="7" s="1"/>
  <c r="D131" i="7"/>
  <c r="N131" i="7" s="1"/>
  <c r="D132" i="7"/>
  <c r="N132" i="7" s="1"/>
  <c r="D133" i="7"/>
  <c r="N133" i="7" s="1"/>
  <c r="D134" i="7"/>
  <c r="N134" i="7" s="1"/>
  <c r="D135" i="7"/>
  <c r="N135" i="7" s="1"/>
  <c r="D136" i="7"/>
  <c r="N136" i="7" s="1"/>
  <c r="D137" i="7"/>
  <c r="N137" i="7" s="1"/>
  <c r="D138" i="7"/>
  <c r="N138" i="7" s="1"/>
  <c r="D139" i="7"/>
  <c r="N139" i="7" s="1"/>
  <c r="D140" i="7"/>
  <c r="N140" i="7" s="1"/>
  <c r="D141" i="7"/>
  <c r="N141" i="7" s="1"/>
  <c r="D142" i="7"/>
  <c r="N142" i="7" s="1"/>
  <c r="D143" i="7"/>
  <c r="N143" i="7" s="1"/>
  <c r="D144" i="7"/>
  <c r="N144" i="7" s="1"/>
  <c r="D145" i="7"/>
  <c r="N145" i="7" s="1"/>
  <c r="D146" i="7"/>
  <c r="N146" i="7" s="1"/>
  <c r="D147" i="7"/>
  <c r="N147" i="7" s="1"/>
  <c r="D148" i="7"/>
  <c r="N148" i="7" s="1"/>
  <c r="D149" i="7"/>
  <c r="N149" i="7" s="1"/>
  <c r="D150" i="7"/>
  <c r="N150" i="7" s="1"/>
  <c r="D151" i="7"/>
  <c r="N151" i="7" s="1"/>
  <c r="D152" i="7"/>
  <c r="N152" i="7" s="1"/>
  <c r="D153" i="7"/>
  <c r="N153" i="7" s="1"/>
  <c r="D154" i="7"/>
  <c r="N154" i="7" s="1"/>
  <c r="D155" i="7"/>
  <c r="N155" i="7" s="1"/>
  <c r="D156" i="7"/>
  <c r="N156" i="7" s="1"/>
  <c r="D157" i="7"/>
  <c r="N157" i="7" s="1"/>
  <c r="D158" i="7"/>
  <c r="N158" i="7" s="1"/>
  <c r="D159" i="7"/>
  <c r="N159" i="7" s="1"/>
  <c r="D160" i="7"/>
  <c r="N160" i="7" s="1"/>
  <c r="D161" i="7"/>
  <c r="N161" i="7" s="1"/>
  <c r="D162" i="7"/>
  <c r="N162" i="7" s="1"/>
  <c r="D163" i="7"/>
  <c r="N163" i="7" s="1"/>
  <c r="D164" i="7"/>
  <c r="N164" i="7" s="1"/>
  <c r="D165" i="7"/>
  <c r="N165" i="7" s="1"/>
  <c r="D166" i="7"/>
  <c r="N166" i="7" s="1"/>
  <c r="D167" i="7"/>
  <c r="N167" i="7" s="1"/>
  <c r="D168" i="7"/>
  <c r="N168" i="7" s="1"/>
  <c r="D169" i="7"/>
  <c r="N169" i="7" s="1"/>
  <c r="D170" i="7"/>
  <c r="N170" i="7" s="1"/>
  <c r="D171" i="7"/>
  <c r="N171" i="7" s="1"/>
  <c r="D172" i="7"/>
  <c r="N172" i="7" s="1"/>
  <c r="D173" i="7"/>
  <c r="N173" i="7" s="1"/>
  <c r="D174" i="7"/>
  <c r="N174" i="7" s="1"/>
  <c r="D175" i="7"/>
  <c r="N175" i="7" s="1"/>
  <c r="D176" i="7"/>
  <c r="N176" i="7" s="1"/>
  <c r="D177" i="7"/>
  <c r="N177" i="7" s="1"/>
  <c r="D178" i="7"/>
  <c r="N178" i="7" s="1"/>
  <c r="D179" i="7"/>
  <c r="N179" i="7" s="1"/>
  <c r="D180" i="7"/>
  <c r="N180" i="7" s="1"/>
  <c r="D181" i="7"/>
  <c r="N181" i="7" s="1"/>
  <c r="D182" i="7"/>
  <c r="N182" i="7" s="1"/>
  <c r="D183" i="7"/>
  <c r="N183" i="7" s="1"/>
  <c r="D184" i="7"/>
  <c r="N184" i="7" s="1"/>
  <c r="D185" i="7"/>
  <c r="N185" i="7" s="1"/>
  <c r="D186" i="7"/>
  <c r="N186" i="7" s="1"/>
  <c r="D187" i="7"/>
  <c r="N187" i="7" s="1"/>
  <c r="D188" i="7"/>
  <c r="N188" i="7" s="1"/>
  <c r="D189" i="7"/>
  <c r="N189" i="7" s="1"/>
  <c r="D190" i="7"/>
  <c r="N190" i="7" s="1"/>
  <c r="D191" i="7"/>
  <c r="N191" i="7" s="1"/>
  <c r="D192" i="7"/>
  <c r="N192" i="7" s="1"/>
  <c r="D193" i="7"/>
  <c r="N193" i="7" s="1"/>
  <c r="D194" i="7"/>
  <c r="N194" i="7" s="1"/>
  <c r="D195" i="7"/>
  <c r="N195" i="7" s="1"/>
  <c r="D196" i="7"/>
  <c r="N196" i="7" s="1"/>
  <c r="D197" i="7"/>
  <c r="N197" i="7" s="1"/>
  <c r="D198" i="7"/>
  <c r="N198" i="7" s="1"/>
  <c r="D199" i="7"/>
  <c r="N199" i="7" s="1"/>
  <c r="D200" i="7"/>
  <c r="N200" i="7" s="1"/>
  <c r="D201" i="7"/>
  <c r="N201" i="7" s="1"/>
  <c r="D202" i="7"/>
  <c r="N202" i="7" s="1"/>
  <c r="D203" i="7"/>
  <c r="N203" i="7" s="1"/>
  <c r="D204" i="7"/>
  <c r="N204" i="7" s="1"/>
  <c r="D205" i="7"/>
  <c r="N205" i="7" s="1"/>
  <c r="D206" i="7"/>
  <c r="N206" i="7" s="1"/>
  <c r="D207" i="7"/>
  <c r="N207" i="7" s="1"/>
  <c r="D208" i="7"/>
  <c r="N208" i="7" s="1"/>
  <c r="D209" i="7"/>
  <c r="N209" i="7" s="1"/>
  <c r="D210" i="7"/>
  <c r="N210" i="7" s="1"/>
  <c r="D211" i="7"/>
  <c r="N211" i="7" s="1"/>
  <c r="D212" i="7"/>
  <c r="N212" i="7" s="1"/>
  <c r="D213" i="7"/>
  <c r="N213" i="7" s="1"/>
  <c r="D214" i="7"/>
  <c r="N214" i="7" s="1"/>
  <c r="D215" i="7"/>
  <c r="N215" i="7" s="1"/>
  <c r="D216" i="7"/>
  <c r="N216" i="7" s="1"/>
  <c r="D217" i="7"/>
  <c r="N217" i="7" s="1"/>
  <c r="D218" i="7"/>
  <c r="N218" i="7" s="1"/>
  <c r="D219" i="7"/>
  <c r="N219" i="7" s="1"/>
  <c r="D220" i="7"/>
  <c r="N220" i="7" s="1"/>
  <c r="D221" i="7"/>
  <c r="N221" i="7" s="1"/>
  <c r="D222" i="7"/>
  <c r="N222" i="7" s="1"/>
  <c r="D223" i="7"/>
  <c r="N223" i="7" s="1"/>
  <c r="D224" i="7"/>
  <c r="N224" i="7" s="1"/>
  <c r="D225" i="7"/>
  <c r="N225" i="7" s="1"/>
  <c r="D226" i="7"/>
  <c r="N226" i="7" s="1"/>
  <c r="D227" i="7"/>
  <c r="N227" i="7" s="1"/>
  <c r="D228" i="7"/>
  <c r="N228" i="7" s="1"/>
  <c r="D229" i="7"/>
  <c r="N229" i="7" s="1"/>
  <c r="D230" i="7"/>
  <c r="N230" i="7" s="1"/>
  <c r="D231" i="7"/>
  <c r="N231" i="7" s="1"/>
  <c r="D232" i="7"/>
  <c r="N232" i="7" s="1"/>
  <c r="D233" i="7"/>
  <c r="N233" i="7" s="1"/>
  <c r="D234" i="7"/>
  <c r="N234" i="7" s="1"/>
  <c r="D235" i="7"/>
  <c r="N235" i="7" s="1"/>
  <c r="D236" i="7"/>
  <c r="N236" i="7" s="1"/>
  <c r="D237" i="7"/>
  <c r="N237" i="7" s="1"/>
  <c r="D238" i="7"/>
  <c r="N238" i="7" s="1"/>
  <c r="D239" i="7"/>
  <c r="N239" i="7" s="1"/>
  <c r="D240" i="7"/>
  <c r="N240" i="7" s="1"/>
  <c r="D241" i="7"/>
  <c r="N241" i="7" s="1"/>
  <c r="D242" i="7"/>
  <c r="N242" i="7" s="1"/>
  <c r="D243" i="7"/>
  <c r="N243" i="7" s="1"/>
  <c r="D244" i="7"/>
  <c r="N244" i="7" s="1"/>
  <c r="D245" i="7"/>
  <c r="N245" i="7" s="1"/>
  <c r="D246" i="7"/>
  <c r="N246" i="7" s="1"/>
  <c r="D247" i="7"/>
  <c r="N247" i="7" s="1"/>
  <c r="D248" i="7"/>
  <c r="N248" i="7" s="1"/>
  <c r="D249" i="7"/>
  <c r="N249" i="7" s="1"/>
  <c r="D250" i="7"/>
  <c r="N250" i="7" s="1"/>
  <c r="D251" i="7"/>
  <c r="N251" i="7" s="1"/>
  <c r="D252" i="7"/>
  <c r="N252" i="7" s="1"/>
  <c r="D253" i="7"/>
  <c r="N253" i="7" s="1"/>
  <c r="D254" i="7"/>
  <c r="N254" i="7" s="1"/>
  <c r="D255" i="7"/>
  <c r="N255" i="7" s="1"/>
  <c r="D256" i="7"/>
  <c r="N256" i="7" s="1"/>
  <c r="D257" i="7"/>
  <c r="N257" i="7" s="1"/>
  <c r="D258" i="7"/>
  <c r="N258" i="7" s="1"/>
  <c r="D259" i="7"/>
  <c r="N259" i="7" s="1"/>
  <c r="D260" i="7"/>
  <c r="N260" i="7" s="1"/>
  <c r="D261" i="7"/>
  <c r="N261" i="7" s="1"/>
  <c r="D262" i="7"/>
  <c r="N262" i="7" s="1"/>
  <c r="D263" i="7"/>
  <c r="N263" i="7" s="1"/>
  <c r="D264" i="7"/>
  <c r="N264" i="7" s="1"/>
  <c r="D265" i="7"/>
  <c r="N265" i="7" s="1"/>
  <c r="D266" i="7"/>
  <c r="N266" i="7" s="1"/>
  <c r="D267" i="7"/>
  <c r="N267" i="7" s="1"/>
  <c r="D268" i="7"/>
  <c r="N268" i="7" s="1"/>
  <c r="D269" i="7"/>
  <c r="N269" i="7" s="1"/>
  <c r="D270" i="7"/>
  <c r="N270" i="7" s="1"/>
  <c r="D271" i="7"/>
  <c r="N271" i="7" s="1"/>
  <c r="D272" i="7"/>
  <c r="N272" i="7" s="1"/>
  <c r="D273" i="7"/>
  <c r="N273" i="7" s="1"/>
  <c r="D274" i="7"/>
  <c r="N274" i="7" s="1"/>
  <c r="D275" i="7"/>
  <c r="N275" i="7" s="1"/>
  <c r="D276" i="7"/>
  <c r="N276" i="7" s="1"/>
  <c r="D277" i="7"/>
  <c r="N277" i="7" s="1"/>
  <c r="D278" i="7"/>
  <c r="N278" i="7" s="1"/>
  <c r="D279" i="7"/>
  <c r="N279" i="7" s="1"/>
  <c r="D280" i="7"/>
  <c r="N280" i="7" s="1"/>
  <c r="D281" i="7"/>
  <c r="N281" i="7" s="1"/>
  <c r="D282" i="7"/>
  <c r="N282" i="7" s="1"/>
  <c r="D283" i="7"/>
  <c r="N283" i="7" s="1"/>
  <c r="D284" i="7"/>
  <c r="N284" i="7" s="1"/>
  <c r="D285" i="7"/>
  <c r="N285" i="7" s="1"/>
  <c r="D286" i="7"/>
  <c r="N286" i="7" s="1"/>
  <c r="D287" i="7"/>
  <c r="N287" i="7" s="1"/>
  <c r="D288" i="7"/>
  <c r="N288" i="7" s="1"/>
  <c r="D289" i="7"/>
  <c r="N289" i="7" s="1"/>
  <c r="D290" i="7"/>
  <c r="N290" i="7" s="1"/>
  <c r="D291" i="7"/>
  <c r="N291" i="7" s="1"/>
  <c r="D292" i="7"/>
  <c r="N292" i="7" s="1"/>
  <c r="D293" i="7"/>
  <c r="N293" i="7" s="1"/>
  <c r="D294" i="7"/>
  <c r="N294" i="7" s="1"/>
  <c r="D295" i="7"/>
  <c r="N295" i="7" s="1"/>
  <c r="D296" i="7"/>
  <c r="N296" i="7" s="1"/>
  <c r="D297" i="7"/>
  <c r="N297" i="7" s="1"/>
  <c r="D298" i="7"/>
  <c r="N298" i="7" s="1"/>
  <c r="D299" i="7"/>
  <c r="N299" i="7" s="1"/>
  <c r="D300" i="7"/>
  <c r="N300" i="7" s="1"/>
  <c r="D301" i="7"/>
  <c r="N301" i="7" s="1"/>
  <c r="D302" i="7"/>
  <c r="N302" i="7" s="1"/>
  <c r="D303" i="7"/>
  <c r="N303" i="7" s="1"/>
  <c r="D304" i="7"/>
  <c r="N304" i="7" s="1"/>
  <c r="D305" i="7"/>
  <c r="N305" i="7" s="1"/>
  <c r="D306" i="7"/>
  <c r="N306" i="7" s="1"/>
  <c r="D307" i="7"/>
  <c r="N307" i="7" s="1"/>
  <c r="D308" i="7"/>
  <c r="N308" i="7" s="1"/>
  <c r="D309" i="7"/>
  <c r="N309" i="7" s="1"/>
  <c r="D310" i="7"/>
  <c r="N310" i="7" s="1"/>
  <c r="D311" i="7"/>
  <c r="N311" i="7" s="1"/>
  <c r="D312" i="7"/>
  <c r="N312" i="7" s="1"/>
  <c r="D313" i="7"/>
  <c r="N313" i="7" s="1"/>
  <c r="D314" i="7"/>
  <c r="N314" i="7" s="1"/>
  <c r="D315" i="7"/>
  <c r="N315" i="7" s="1"/>
  <c r="D316" i="7"/>
  <c r="N316" i="7" s="1"/>
  <c r="D317" i="7"/>
  <c r="N317" i="7" s="1"/>
  <c r="D318" i="7"/>
  <c r="N318" i="7" s="1"/>
  <c r="D319" i="7"/>
  <c r="N319" i="7" s="1"/>
  <c r="D320" i="7"/>
  <c r="N320" i="7" s="1"/>
  <c r="D321" i="7"/>
  <c r="N321" i="7" s="1"/>
  <c r="D322" i="7"/>
  <c r="N322" i="7" s="1"/>
  <c r="D323" i="7"/>
  <c r="N323" i="7" s="1"/>
  <c r="D324" i="7"/>
  <c r="N324" i="7" s="1"/>
  <c r="D325" i="7"/>
  <c r="N325" i="7" s="1"/>
  <c r="D326" i="7"/>
  <c r="N326" i="7" s="1"/>
  <c r="D327" i="7"/>
  <c r="N327" i="7" s="1"/>
  <c r="D328" i="7"/>
  <c r="N328" i="7" s="1"/>
  <c r="D329" i="7"/>
  <c r="N329" i="7" s="1"/>
  <c r="D330" i="7"/>
  <c r="N330" i="7" s="1"/>
  <c r="D331" i="7"/>
  <c r="N331" i="7" s="1"/>
  <c r="D332" i="7"/>
  <c r="N332" i="7" s="1"/>
  <c r="D333" i="7"/>
  <c r="N333" i="7" s="1"/>
  <c r="D334" i="7"/>
  <c r="N334" i="7" s="1"/>
  <c r="D335" i="7"/>
  <c r="N335" i="7" s="1"/>
  <c r="D336" i="7"/>
  <c r="N336" i="7" s="1"/>
  <c r="D337" i="7"/>
  <c r="N337" i="7" s="1"/>
  <c r="D338" i="7"/>
  <c r="N338" i="7" s="1"/>
  <c r="D339" i="7"/>
  <c r="N339" i="7" s="1"/>
  <c r="D340" i="7"/>
  <c r="N340" i="7" s="1"/>
  <c r="D341" i="7"/>
  <c r="N341" i="7" s="1"/>
  <c r="D342" i="7"/>
  <c r="N342" i="7" s="1"/>
  <c r="D343" i="7"/>
  <c r="N343" i="7" s="1"/>
  <c r="D344" i="7"/>
  <c r="N344" i="7" s="1"/>
  <c r="D345" i="7"/>
  <c r="N345" i="7" s="1"/>
  <c r="D346" i="7"/>
  <c r="N346" i="7" s="1"/>
  <c r="D347" i="7"/>
  <c r="N347" i="7" s="1"/>
  <c r="D348" i="7"/>
  <c r="N348" i="7" s="1"/>
  <c r="D349" i="7"/>
  <c r="N349" i="7" s="1"/>
  <c r="D350" i="7"/>
  <c r="N350" i="7" s="1"/>
  <c r="D351" i="7"/>
  <c r="N351" i="7" s="1"/>
  <c r="D352" i="7"/>
  <c r="N352" i="7" s="1"/>
  <c r="D353" i="7"/>
  <c r="N353" i="7" s="1"/>
  <c r="D354" i="7"/>
  <c r="N354" i="7" s="1"/>
  <c r="D355" i="7"/>
  <c r="N355" i="7" s="1"/>
  <c r="D356" i="7"/>
  <c r="N356" i="7" s="1"/>
  <c r="D357" i="7"/>
  <c r="N357" i="7" s="1"/>
  <c r="D358" i="7"/>
  <c r="N358" i="7" s="1"/>
  <c r="D359" i="7"/>
  <c r="N359" i="7" s="1"/>
  <c r="D360" i="7"/>
  <c r="N360" i="7" s="1"/>
  <c r="D361" i="7"/>
  <c r="N361" i="7" s="1"/>
  <c r="D362" i="7"/>
  <c r="N362" i="7" s="1"/>
  <c r="D363" i="7"/>
  <c r="N363" i="7" s="1"/>
  <c r="D364" i="7"/>
  <c r="N364" i="7" s="1"/>
  <c r="D365" i="7"/>
  <c r="N365" i="7" s="1"/>
  <c r="D366" i="7"/>
  <c r="N366" i="7" s="1"/>
  <c r="D367" i="7"/>
  <c r="N367" i="7" s="1"/>
  <c r="D368" i="7"/>
  <c r="N368" i="7" s="1"/>
  <c r="D369" i="7"/>
  <c r="N369" i="7" s="1"/>
  <c r="D370" i="7"/>
  <c r="N370" i="7" s="1"/>
  <c r="D371" i="7"/>
  <c r="N371" i="7" s="1"/>
  <c r="D372" i="7"/>
  <c r="N372" i="7" s="1"/>
  <c r="D373" i="7"/>
  <c r="N373" i="7" s="1"/>
  <c r="D374" i="7"/>
  <c r="N374" i="7" s="1"/>
  <c r="D375" i="7"/>
  <c r="N375" i="7" s="1"/>
  <c r="D376" i="7"/>
  <c r="N376" i="7" s="1"/>
  <c r="D377" i="7"/>
  <c r="N377" i="7" s="1"/>
  <c r="D378" i="7"/>
  <c r="N378" i="7" s="1"/>
  <c r="D379" i="7"/>
  <c r="N379" i="7" s="1"/>
  <c r="D380" i="7"/>
  <c r="N380" i="7" s="1"/>
  <c r="D381" i="7"/>
  <c r="N381" i="7" s="1"/>
  <c r="D382" i="7"/>
  <c r="N382" i="7" s="1"/>
  <c r="D383" i="7"/>
  <c r="N383" i="7" s="1"/>
  <c r="D384" i="7"/>
  <c r="N384" i="7" s="1"/>
  <c r="D385" i="7"/>
  <c r="N385" i="7" s="1"/>
  <c r="D386" i="7"/>
  <c r="N386" i="7" s="1"/>
  <c r="D387" i="7"/>
  <c r="N387" i="7" s="1"/>
  <c r="D388" i="7"/>
  <c r="N388" i="7" s="1"/>
  <c r="D389" i="7"/>
  <c r="N389" i="7" s="1"/>
  <c r="D390" i="7"/>
  <c r="N390" i="7" s="1"/>
  <c r="D391" i="7"/>
  <c r="N391" i="7" s="1"/>
  <c r="D392" i="7"/>
  <c r="N392" i="7" s="1"/>
  <c r="D393" i="7"/>
  <c r="N393" i="7" s="1"/>
  <c r="D394" i="7"/>
  <c r="N394" i="7" s="1"/>
  <c r="D395" i="7"/>
  <c r="N395" i="7" s="1"/>
  <c r="D396" i="7"/>
  <c r="N396" i="7" s="1"/>
  <c r="D397" i="7"/>
  <c r="N397" i="7" s="1"/>
  <c r="D398" i="7"/>
  <c r="N398" i="7" s="1"/>
  <c r="D399" i="7"/>
  <c r="N399" i="7" s="1"/>
  <c r="D400" i="7"/>
  <c r="N400" i="7" s="1"/>
  <c r="D401" i="7"/>
  <c r="N401" i="7" s="1"/>
  <c r="D402" i="7"/>
  <c r="N402" i="7" s="1"/>
  <c r="D403" i="7"/>
  <c r="N403" i="7" s="1"/>
  <c r="D404" i="7"/>
  <c r="N404" i="7" s="1"/>
  <c r="D405" i="7"/>
  <c r="N405" i="7" s="1"/>
  <c r="D406" i="7"/>
  <c r="N406" i="7" s="1"/>
  <c r="D407" i="7"/>
  <c r="N407" i="7" s="1"/>
  <c r="D408" i="7"/>
  <c r="N408" i="7" s="1"/>
  <c r="D409" i="7"/>
  <c r="N409" i="7" s="1"/>
  <c r="D410" i="7"/>
  <c r="N410" i="7" s="1"/>
  <c r="D411" i="7"/>
  <c r="N411" i="7" s="1"/>
  <c r="D412" i="7"/>
  <c r="N412" i="7" s="1"/>
  <c r="D413" i="7"/>
  <c r="N413" i="7" s="1"/>
  <c r="D414" i="7"/>
  <c r="N414" i="7" s="1"/>
  <c r="D415" i="7"/>
  <c r="N415" i="7" s="1"/>
  <c r="D416" i="7"/>
  <c r="N416" i="7" s="1"/>
  <c r="D417" i="7"/>
  <c r="N417" i="7" s="1"/>
  <c r="D418" i="7"/>
  <c r="N418" i="7" s="1"/>
  <c r="D419" i="7"/>
  <c r="N419" i="7" s="1"/>
  <c r="D420" i="7"/>
  <c r="N420" i="7" s="1"/>
  <c r="D421" i="7"/>
  <c r="N421" i="7" s="1"/>
  <c r="D422" i="7"/>
  <c r="N422" i="7" s="1"/>
  <c r="D423" i="7"/>
  <c r="N423" i="7" s="1"/>
  <c r="D424" i="7"/>
  <c r="N424" i="7" s="1"/>
  <c r="D425" i="7"/>
  <c r="N425" i="7" s="1"/>
  <c r="D426" i="7"/>
  <c r="N426" i="7" s="1"/>
  <c r="D427" i="7"/>
  <c r="N427" i="7" s="1"/>
  <c r="D428" i="7"/>
  <c r="N428" i="7" s="1"/>
  <c r="D429" i="7"/>
  <c r="N429" i="7" s="1"/>
  <c r="D430" i="7"/>
  <c r="N430" i="7" s="1"/>
  <c r="D431" i="7"/>
  <c r="N431" i="7" s="1"/>
  <c r="D432" i="7"/>
  <c r="N432" i="7" s="1"/>
  <c r="D433" i="7"/>
  <c r="N433" i="7" s="1"/>
  <c r="D434" i="7"/>
  <c r="N434" i="7" s="1"/>
  <c r="D435" i="7"/>
  <c r="N435" i="7" s="1"/>
  <c r="D436" i="7"/>
  <c r="N436" i="7" s="1"/>
  <c r="D437" i="7"/>
  <c r="N437" i="7" s="1"/>
  <c r="D438" i="7"/>
  <c r="N438" i="7" s="1"/>
  <c r="D439" i="7"/>
  <c r="N439" i="7" s="1"/>
  <c r="D440" i="7"/>
  <c r="N440" i="7" s="1"/>
  <c r="D441" i="7"/>
  <c r="N441" i="7" s="1"/>
  <c r="D442" i="7"/>
  <c r="N442" i="7" s="1"/>
  <c r="D443" i="7"/>
  <c r="N443" i="7" s="1"/>
  <c r="D444" i="7"/>
  <c r="N444" i="7" s="1"/>
  <c r="D445" i="7"/>
  <c r="N445" i="7" s="1"/>
  <c r="D446" i="7"/>
  <c r="N446" i="7" s="1"/>
  <c r="D447" i="7"/>
  <c r="N447" i="7" s="1"/>
  <c r="D448" i="7"/>
  <c r="N448" i="7" s="1"/>
  <c r="D449" i="7"/>
  <c r="N449" i="7" s="1"/>
  <c r="D450" i="7"/>
  <c r="N450" i="7" s="1"/>
  <c r="D451" i="7"/>
  <c r="N451" i="7" s="1"/>
  <c r="D452" i="7"/>
  <c r="N452" i="7" s="1"/>
  <c r="D453" i="7"/>
  <c r="N453" i="7" s="1"/>
  <c r="D454" i="7"/>
  <c r="N454" i="7" s="1"/>
  <c r="D455" i="7"/>
  <c r="N455" i="7" s="1"/>
  <c r="D456" i="7"/>
  <c r="N456" i="7" s="1"/>
  <c r="D457" i="7"/>
  <c r="N457" i="7" s="1"/>
  <c r="D458" i="7"/>
  <c r="N458" i="7" s="1"/>
  <c r="D459" i="7"/>
  <c r="N459" i="7" s="1"/>
  <c r="D460" i="7"/>
  <c r="N460" i="7" s="1"/>
  <c r="D461" i="7"/>
  <c r="N461" i="7" s="1"/>
  <c r="D462" i="7"/>
  <c r="N462" i="7" s="1"/>
  <c r="D463" i="7"/>
  <c r="N463" i="7" s="1"/>
  <c r="D464" i="7"/>
  <c r="N464" i="7" s="1"/>
  <c r="D465" i="7"/>
  <c r="N465" i="7" s="1"/>
  <c r="D466" i="7"/>
  <c r="N466" i="7" s="1"/>
  <c r="D467" i="7"/>
  <c r="N467" i="7" s="1"/>
  <c r="D468" i="7"/>
  <c r="N468" i="7" s="1"/>
  <c r="D469" i="7"/>
  <c r="N469" i="7" s="1"/>
  <c r="D470" i="7"/>
  <c r="N470" i="7" s="1"/>
  <c r="D471" i="7"/>
  <c r="N471" i="7" s="1"/>
  <c r="D472" i="7"/>
  <c r="N472" i="7" s="1"/>
  <c r="D473" i="7"/>
  <c r="N473" i="7" s="1"/>
  <c r="D474" i="7"/>
  <c r="N474" i="7" s="1"/>
  <c r="D475" i="7"/>
  <c r="N475" i="7" s="1"/>
  <c r="D476" i="7"/>
  <c r="N476" i="7" s="1"/>
  <c r="D477" i="7"/>
  <c r="N477" i="7" s="1"/>
  <c r="D478" i="7"/>
  <c r="N478" i="7" s="1"/>
  <c r="D479" i="7"/>
  <c r="N479" i="7" s="1"/>
  <c r="D480" i="7"/>
  <c r="N480" i="7" s="1"/>
  <c r="D481" i="7"/>
  <c r="N481" i="7" s="1"/>
  <c r="D482" i="7"/>
  <c r="N482" i="7" s="1"/>
  <c r="D483" i="7"/>
  <c r="N483" i="7" s="1"/>
  <c r="D484" i="7"/>
  <c r="N484" i="7" s="1"/>
  <c r="D485" i="7"/>
  <c r="N485" i="7" s="1"/>
  <c r="D486" i="7"/>
  <c r="N486" i="7" s="1"/>
  <c r="D487" i="7"/>
  <c r="N487" i="7" s="1"/>
  <c r="D488" i="7"/>
  <c r="N488" i="7" s="1"/>
  <c r="D489" i="7"/>
  <c r="N489" i="7" s="1"/>
  <c r="D490" i="7"/>
  <c r="N490" i="7" s="1"/>
  <c r="D491" i="7"/>
  <c r="N491" i="7" s="1"/>
  <c r="D492" i="7"/>
  <c r="N492" i="7" s="1"/>
  <c r="D493" i="7"/>
  <c r="N493" i="7" s="1"/>
  <c r="D494" i="7"/>
  <c r="N494" i="7" s="1"/>
  <c r="D495" i="7"/>
  <c r="N495" i="7" s="1"/>
  <c r="D496" i="7"/>
  <c r="N496" i="7" s="1"/>
  <c r="D497" i="7"/>
  <c r="N497" i="7" s="1"/>
  <c r="D498" i="7"/>
  <c r="N498" i="7" s="1"/>
  <c r="D499" i="7"/>
  <c r="N499" i="7" s="1"/>
  <c r="D500" i="7"/>
  <c r="N500" i="7" s="1"/>
  <c r="D501" i="7"/>
  <c r="N501" i="7" s="1"/>
  <c r="D502" i="7"/>
  <c r="N502" i="7" s="1"/>
  <c r="D503" i="7"/>
  <c r="N503" i="7" s="1"/>
  <c r="D504" i="7"/>
  <c r="N504" i="7" s="1"/>
  <c r="D505" i="7"/>
  <c r="N505" i="7" s="1"/>
  <c r="D506" i="7"/>
  <c r="N506" i="7" s="1"/>
  <c r="D507" i="7"/>
  <c r="N507" i="7" s="1"/>
  <c r="D508" i="7"/>
  <c r="N508" i="7" s="1"/>
  <c r="D509" i="7"/>
  <c r="N509" i="7" s="1"/>
  <c r="D510" i="7"/>
  <c r="N510" i="7" s="1"/>
  <c r="D511" i="7"/>
  <c r="N511" i="7" s="1"/>
  <c r="D512" i="7"/>
  <c r="N512" i="7" s="1"/>
  <c r="D513" i="7"/>
  <c r="N513" i="7" s="1"/>
  <c r="D514" i="7"/>
  <c r="N514" i="7" s="1"/>
  <c r="D515" i="7"/>
  <c r="N515" i="7" s="1"/>
  <c r="D516" i="7"/>
  <c r="N516" i="7" s="1"/>
  <c r="D517" i="7"/>
  <c r="N517" i="7" s="1"/>
  <c r="D518" i="7"/>
  <c r="N518" i="7" s="1"/>
  <c r="D519" i="7"/>
  <c r="N519" i="7" s="1"/>
  <c r="D520" i="7"/>
  <c r="N520" i="7" s="1"/>
  <c r="D521" i="7"/>
  <c r="N521" i="7" s="1"/>
  <c r="D522" i="7"/>
  <c r="N522" i="7" s="1"/>
  <c r="D523" i="7"/>
  <c r="N523" i="7" s="1"/>
  <c r="D524" i="7"/>
  <c r="N524" i="7" s="1"/>
  <c r="D525" i="7"/>
  <c r="N525" i="7" s="1"/>
  <c r="D526" i="7"/>
  <c r="N526" i="7" s="1"/>
  <c r="D527" i="7"/>
  <c r="N527" i="7" s="1"/>
  <c r="D528" i="7"/>
  <c r="N528" i="7" s="1"/>
  <c r="D529" i="7"/>
  <c r="N529" i="7" s="1"/>
  <c r="D530" i="7"/>
  <c r="N530" i="7" s="1"/>
  <c r="D531" i="7"/>
  <c r="N531" i="7" s="1"/>
  <c r="D532" i="7"/>
  <c r="N532" i="7" s="1"/>
  <c r="D533" i="7"/>
  <c r="N533" i="7" s="1"/>
  <c r="D534" i="7"/>
  <c r="N534" i="7" s="1"/>
  <c r="D535" i="7"/>
  <c r="N535" i="7" s="1"/>
  <c r="D536" i="7"/>
  <c r="N536" i="7" s="1"/>
  <c r="D537" i="7"/>
  <c r="N537" i="7" s="1"/>
  <c r="D538" i="7"/>
  <c r="N538" i="7" s="1"/>
  <c r="D539" i="7"/>
  <c r="N539" i="7" s="1"/>
  <c r="D540" i="7"/>
  <c r="N540" i="7" s="1"/>
  <c r="D541" i="7"/>
  <c r="N541" i="7" s="1"/>
  <c r="D542" i="7"/>
  <c r="N542" i="7" s="1"/>
  <c r="D543" i="7"/>
  <c r="N543" i="7" s="1"/>
  <c r="D544" i="7"/>
  <c r="N544" i="7" s="1"/>
  <c r="D545" i="7"/>
  <c r="N545" i="7" s="1"/>
  <c r="D546" i="7"/>
  <c r="N546" i="7" s="1"/>
  <c r="D547" i="7"/>
  <c r="N547" i="7" s="1"/>
  <c r="D548" i="7"/>
  <c r="N548" i="7" s="1"/>
  <c r="D549" i="7"/>
  <c r="N549" i="7" s="1"/>
  <c r="D550" i="7"/>
  <c r="N550" i="7" s="1"/>
  <c r="D551" i="7"/>
  <c r="N551" i="7" s="1"/>
  <c r="D552" i="7"/>
  <c r="N552" i="7" s="1"/>
  <c r="D553" i="7"/>
  <c r="N553" i="7" s="1"/>
  <c r="D554" i="7"/>
  <c r="N554" i="7" s="1"/>
  <c r="D555" i="7"/>
  <c r="N555" i="7" s="1"/>
  <c r="D556" i="7"/>
  <c r="N556" i="7" s="1"/>
  <c r="D557" i="7"/>
  <c r="N557" i="7" s="1"/>
  <c r="D558" i="7"/>
  <c r="N558" i="7" s="1"/>
  <c r="D559" i="7"/>
  <c r="N559" i="7" s="1"/>
  <c r="D560" i="7"/>
  <c r="N560" i="7" s="1"/>
  <c r="D561" i="7"/>
  <c r="N561" i="7" s="1"/>
  <c r="D562" i="7"/>
  <c r="N562" i="7" s="1"/>
  <c r="D563" i="7"/>
  <c r="N563" i="7" s="1"/>
  <c r="D564" i="7"/>
  <c r="N564" i="7" s="1"/>
  <c r="D565" i="7"/>
  <c r="N565" i="7" s="1"/>
  <c r="D566" i="7"/>
  <c r="N566" i="7" s="1"/>
  <c r="D567" i="7"/>
  <c r="N567" i="7" s="1"/>
  <c r="D568" i="7"/>
  <c r="N568" i="7" s="1"/>
  <c r="D569" i="7"/>
  <c r="N569" i="7" s="1"/>
  <c r="D570" i="7"/>
  <c r="N570" i="7" s="1"/>
  <c r="D571" i="7"/>
  <c r="N571" i="7" s="1"/>
  <c r="D572" i="7"/>
  <c r="N572" i="7" s="1"/>
  <c r="D573" i="7"/>
  <c r="N573" i="7" s="1"/>
  <c r="D574" i="7"/>
  <c r="N574" i="7" s="1"/>
  <c r="D575" i="7"/>
  <c r="N575" i="7" s="1"/>
  <c r="D576" i="7"/>
  <c r="N576" i="7" s="1"/>
  <c r="D577" i="7"/>
  <c r="N577" i="7" s="1"/>
  <c r="D578" i="7"/>
  <c r="N578" i="7" s="1"/>
  <c r="D579" i="7"/>
  <c r="N579" i="7" s="1"/>
  <c r="D580" i="7"/>
  <c r="N580" i="7" s="1"/>
  <c r="D581" i="7"/>
  <c r="N581" i="7" s="1"/>
  <c r="D582" i="7"/>
  <c r="N582" i="7" s="1"/>
  <c r="D583" i="7"/>
  <c r="N583" i="7" s="1"/>
  <c r="D584" i="7"/>
  <c r="N584" i="7" s="1"/>
  <c r="D585" i="7"/>
  <c r="N585" i="7" s="1"/>
  <c r="D586" i="7"/>
  <c r="N586" i="7" s="1"/>
  <c r="D587" i="7"/>
  <c r="N587" i="7" s="1"/>
  <c r="D588" i="7"/>
  <c r="N588" i="7" s="1"/>
  <c r="D589" i="7"/>
  <c r="N589" i="7" s="1"/>
  <c r="D590" i="7"/>
  <c r="N590" i="7" s="1"/>
  <c r="D591" i="7"/>
  <c r="N591" i="7" s="1"/>
  <c r="D592" i="7"/>
  <c r="N592" i="7" s="1"/>
  <c r="D593" i="7"/>
  <c r="N593" i="7" s="1"/>
  <c r="D594" i="7"/>
  <c r="N594" i="7" s="1"/>
  <c r="D595" i="7"/>
  <c r="N595" i="7" s="1"/>
  <c r="D596" i="7"/>
  <c r="N596" i="7" s="1"/>
  <c r="D597" i="7"/>
  <c r="N597" i="7" s="1"/>
  <c r="D598" i="7"/>
  <c r="N598" i="7" s="1"/>
  <c r="D599" i="7"/>
  <c r="N599" i="7" s="1"/>
  <c r="D600" i="7"/>
  <c r="N600" i="7" s="1"/>
  <c r="D601" i="7"/>
  <c r="N601" i="7" s="1"/>
  <c r="D602" i="7"/>
  <c r="N602" i="7" s="1"/>
  <c r="D603" i="7"/>
  <c r="N603" i="7" s="1"/>
  <c r="D604" i="7"/>
  <c r="N604" i="7" s="1"/>
  <c r="D605" i="7"/>
  <c r="N605" i="7" s="1"/>
  <c r="D606" i="7"/>
  <c r="N606" i="7" s="1"/>
  <c r="D607" i="7"/>
  <c r="N607" i="7" s="1"/>
  <c r="D608" i="7"/>
  <c r="N608" i="7" s="1"/>
  <c r="D609" i="7"/>
  <c r="N609" i="7" s="1"/>
  <c r="D610" i="7"/>
  <c r="N610" i="7" s="1"/>
  <c r="D611" i="7"/>
  <c r="N611" i="7" s="1"/>
  <c r="D612" i="7"/>
  <c r="N612" i="7" s="1"/>
  <c r="D613" i="7"/>
  <c r="N613" i="7" s="1"/>
  <c r="D614" i="7"/>
  <c r="N614" i="7" s="1"/>
  <c r="D615" i="7"/>
  <c r="N615" i="7" s="1"/>
  <c r="D616" i="7"/>
  <c r="N616" i="7" s="1"/>
  <c r="D617" i="7"/>
  <c r="N617" i="7" s="1"/>
  <c r="D618" i="7"/>
  <c r="N618" i="7" s="1"/>
  <c r="D619" i="7"/>
  <c r="N619" i="7" s="1"/>
  <c r="D620" i="7"/>
  <c r="N620" i="7" s="1"/>
  <c r="D621" i="7"/>
  <c r="N621" i="7" s="1"/>
  <c r="D622" i="7"/>
  <c r="N622" i="7" s="1"/>
  <c r="D623" i="7"/>
  <c r="N623" i="7" s="1"/>
  <c r="D624" i="7"/>
  <c r="N624" i="7" s="1"/>
  <c r="D625" i="7"/>
  <c r="N625" i="7" s="1"/>
  <c r="D626" i="7"/>
  <c r="N626" i="7" s="1"/>
  <c r="D627" i="7"/>
  <c r="N627" i="7" s="1"/>
  <c r="D628" i="7"/>
  <c r="N628" i="7" s="1"/>
  <c r="D629" i="7"/>
  <c r="N629" i="7" s="1"/>
  <c r="D630" i="7"/>
  <c r="N630" i="7" s="1"/>
  <c r="D631" i="7"/>
  <c r="N631" i="7" s="1"/>
  <c r="D632" i="7"/>
  <c r="N632" i="7" s="1"/>
  <c r="D633" i="7"/>
  <c r="N633" i="7" s="1"/>
  <c r="D634" i="7"/>
  <c r="N634" i="7" s="1"/>
  <c r="D635" i="7"/>
  <c r="N635" i="7" s="1"/>
  <c r="D636" i="7"/>
  <c r="N636" i="7" s="1"/>
  <c r="D637" i="7"/>
  <c r="N637" i="7" s="1"/>
  <c r="D638" i="7"/>
  <c r="N638" i="7" s="1"/>
  <c r="D639" i="7"/>
  <c r="N639" i="7" s="1"/>
  <c r="D640" i="7"/>
  <c r="N640" i="7" s="1"/>
  <c r="D641" i="7"/>
  <c r="N641" i="7" s="1"/>
  <c r="D642" i="7"/>
  <c r="N642" i="7" s="1"/>
  <c r="D643" i="7"/>
  <c r="N643" i="7" s="1"/>
  <c r="D644" i="7"/>
  <c r="N644" i="7" s="1"/>
  <c r="D645" i="7"/>
  <c r="N645" i="7" s="1"/>
  <c r="D646" i="7"/>
  <c r="N646" i="7" s="1"/>
  <c r="D647" i="7"/>
  <c r="N647" i="7" s="1"/>
  <c r="D648" i="7"/>
  <c r="N648" i="7" s="1"/>
  <c r="D649" i="7"/>
  <c r="N649" i="7" s="1"/>
  <c r="D650" i="7"/>
  <c r="N650" i="7" s="1"/>
  <c r="D651" i="7"/>
  <c r="N651" i="7" s="1"/>
  <c r="D652" i="7"/>
  <c r="N652" i="7" s="1"/>
  <c r="D653" i="7"/>
  <c r="N653" i="7" s="1"/>
  <c r="D654" i="7"/>
  <c r="N654" i="7" s="1"/>
  <c r="D655" i="7"/>
  <c r="N655" i="7" s="1"/>
  <c r="D656" i="7"/>
  <c r="N656" i="7" s="1"/>
  <c r="D657" i="7"/>
  <c r="N657" i="7" s="1"/>
  <c r="D658" i="7"/>
  <c r="N658" i="7" s="1"/>
  <c r="D659" i="7"/>
  <c r="N659" i="7" s="1"/>
  <c r="D660" i="7"/>
  <c r="N660" i="7" s="1"/>
  <c r="D661" i="7"/>
  <c r="N661" i="7" s="1"/>
  <c r="D662" i="7"/>
  <c r="N662" i="7" s="1"/>
  <c r="D663" i="7"/>
  <c r="N663" i="7" s="1"/>
  <c r="D664" i="7"/>
  <c r="N664" i="7" s="1"/>
  <c r="D665" i="7"/>
  <c r="N665" i="7" s="1"/>
  <c r="D666" i="7"/>
  <c r="N666" i="7" s="1"/>
  <c r="D667" i="7"/>
  <c r="N667" i="7" s="1"/>
  <c r="D668" i="7"/>
  <c r="N668" i="7" s="1"/>
  <c r="D669" i="7"/>
  <c r="N669" i="7" s="1"/>
  <c r="D670" i="7"/>
  <c r="N670" i="7" s="1"/>
  <c r="D671" i="7"/>
  <c r="N671" i="7" s="1"/>
  <c r="D672" i="7"/>
  <c r="N672" i="7" s="1"/>
  <c r="D673" i="7"/>
  <c r="N673" i="7" s="1"/>
  <c r="D674" i="7"/>
  <c r="N674" i="7" s="1"/>
  <c r="D675" i="7"/>
  <c r="N675" i="7" s="1"/>
  <c r="D676" i="7"/>
  <c r="N676" i="7" s="1"/>
  <c r="D677" i="7"/>
  <c r="N677" i="7" s="1"/>
  <c r="D678" i="7"/>
  <c r="N678" i="7" s="1"/>
  <c r="D679" i="7"/>
  <c r="N679" i="7" s="1"/>
  <c r="D680" i="7"/>
  <c r="N680" i="7" s="1"/>
  <c r="D681" i="7"/>
  <c r="N681" i="7" s="1"/>
  <c r="D682" i="7"/>
  <c r="N682" i="7" s="1"/>
  <c r="D683" i="7"/>
  <c r="N683" i="7" s="1"/>
  <c r="D684" i="7"/>
  <c r="N684" i="7" s="1"/>
  <c r="D685" i="7"/>
  <c r="N685" i="7" s="1"/>
  <c r="D686" i="7"/>
  <c r="N686" i="7" s="1"/>
  <c r="D687" i="7"/>
  <c r="N687" i="7" s="1"/>
  <c r="D688" i="7"/>
  <c r="N688" i="7" s="1"/>
  <c r="D689" i="7"/>
  <c r="N689" i="7" s="1"/>
  <c r="D690" i="7"/>
  <c r="N690" i="7" s="1"/>
  <c r="D691" i="7"/>
  <c r="N691" i="7" s="1"/>
  <c r="D692" i="7"/>
  <c r="N692" i="7" s="1"/>
  <c r="D693" i="7"/>
  <c r="N693" i="7" s="1"/>
  <c r="D694" i="7"/>
  <c r="N694" i="7" s="1"/>
  <c r="D695" i="7"/>
  <c r="N695" i="7" s="1"/>
  <c r="D696" i="7"/>
  <c r="N696" i="7" s="1"/>
  <c r="D697" i="7"/>
  <c r="N697" i="7" s="1"/>
  <c r="D698" i="7"/>
  <c r="N698" i="7" s="1"/>
  <c r="D699" i="7"/>
  <c r="N699" i="7" s="1"/>
  <c r="D700" i="7"/>
  <c r="N700" i="7" s="1"/>
  <c r="D701" i="7"/>
  <c r="N701" i="7" s="1"/>
  <c r="D702" i="7"/>
  <c r="N702" i="7" s="1"/>
  <c r="D703" i="7"/>
  <c r="N703" i="7" s="1"/>
  <c r="D704" i="7"/>
  <c r="N704" i="7" s="1"/>
  <c r="D705" i="7"/>
  <c r="N705" i="7" s="1"/>
  <c r="D706" i="7"/>
  <c r="N706" i="7" s="1"/>
  <c r="D707" i="7"/>
  <c r="N707" i="7" s="1"/>
  <c r="D708" i="7"/>
  <c r="N708" i="7" s="1"/>
  <c r="D709" i="7"/>
  <c r="N709" i="7" s="1"/>
  <c r="D710" i="7"/>
  <c r="N710" i="7" s="1"/>
  <c r="D711" i="7"/>
  <c r="N711" i="7" s="1"/>
  <c r="D712" i="7"/>
  <c r="N712" i="7" s="1"/>
  <c r="D713" i="7"/>
  <c r="N713" i="7" s="1"/>
  <c r="D714" i="7"/>
  <c r="N714" i="7" s="1"/>
  <c r="D715" i="7"/>
  <c r="N715" i="7" s="1"/>
  <c r="D716" i="7"/>
  <c r="N716" i="7" s="1"/>
  <c r="D717" i="7"/>
  <c r="N717" i="7" s="1"/>
  <c r="D718" i="7"/>
  <c r="N718" i="7" s="1"/>
  <c r="D719" i="7"/>
  <c r="N719" i="7" s="1"/>
  <c r="D720" i="7"/>
  <c r="N720" i="7" s="1"/>
  <c r="D721" i="7"/>
  <c r="N721" i="7" s="1"/>
  <c r="D722" i="7"/>
  <c r="N722" i="7" s="1"/>
  <c r="D723" i="7"/>
  <c r="N723" i="7" s="1"/>
  <c r="D724" i="7"/>
  <c r="N724" i="7" s="1"/>
  <c r="D725" i="7"/>
  <c r="N725" i="7" s="1"/>
  <c r="D726" i="7"/>
  <c r="N726" i="7" s="1"/>
  <c r="D727" i="7"/>
  <c r="N727" i="7" s="1"/>
  <c r="D728" i="7"/>
  <c r="N728" i="7" s="1"/>
  <c r="D729" i="7"/>
  <c r="N729" i="7" s="1"/>
  <c r="D730" i="7"/>
  <c r="N730" i="7" s="1"/>
  <c r="D731" i="7"/>
  <c r="N731" i="7" s="1"/>
  <c r="D732" i="7"/>
  <c r="N732" i="7" s="1"/>
  <c r="D733" i="7"/>
  <c r="N733" i="7" s="1"/>
  <c r="D734" i="7"/>
  <c r="N734" i="7" s="1"/>
  <c r="D735" i="7"/>
  <c r="N735" i="7" s="1"/>
  <c r="D736" i="7"/>
  <c r="N736" i="7" s="1"/>
  <c r="D737" i="7"/>
  <c r="N737" i="7" s="1"/>
  <c r="D738" i="7"/>
  <c r="N738" i="7" s="1"/>
  <c r="D739" i="7"/>
  <c r="N739" i="7" s="1"/>
  <c r="D740" i="7"/>
  <c r="N740" i="7" s="1"/>
  <c r="D741" i="7"/>
  <c r="N741" i="7" s="1"/>
  <c r="D742" i="7"/>
  <c r="N742" i="7" s="1"/>
  <c r="D743" i="7"/>
  <c r="N743" i="7" s="1"/>
  <c r="D744" i="7"/>
  <c r="N744" i="7" s="1"/>
  <c r="D745" i="7"/>
  <c r="N745" i="7" s="1"/>
  <c r="D746" i="7"/>
  <c r="N746" i="7" s="1"/>
  <c r="D747" i="7"/>
  <c r="N747" i="7" s="1"/>
  <c r="D748" i="7"/>
  <c r="N748" i="7" s="1"/>
  <c r="D749" i="7"/>
  <c r="N749" i="7" s="1"/>
  <c r="D750" i="7"/>
  <c r="N750" i="7" s="1"/>
  <c r="D751" i="7"/>
  <c r="N751" i="7" s="1"/>
  <c r="D752" i="7"/>
  <c r="N752" i="7" s="1"/>
  <c r="D753" i="7"/>
  <c r="N753" i="7" s="1"/>
  <c r="D754" i="7"/>
  <c r="N754" i="7" s="1"/>
  <c r="D755" i="7"/>
  <c r="N755" i="7" s="1"/>
  <c r="D756" i="7"/>
  <c r="N756" i="7" s="1"/>
  <c r="D757" i="7"/>
  <c r="N757" i="7" s="1"/>
  <c r="D758" i="7"/>
  <c r="N758" i="7" s="1"/>
  <c r="D759" i="7"/>
  <c r="N759" i="7" s="1"/>
  <c r="D760" i="7"/>
  <c r="N760" i="7" s="1"/>
  <c r="D761" i="7"/>
  <c r="N761" i="7" s="1"/>
  <c r="D762" i="7"/>
  <c r="N762" i="7" s="1"/>
  <c r="D763" i="7"/>
  <c r="N763" i="7" s="1"/>
  <c r="D764" i="7"/>
  <c r="N764" i="7" s="1"/>
  <c r="D765" i="7"/>
  <c r="N765" i="7" s="1"/>
  <c r="D766" i="7"/>
  <c r="N766" i="7" s="1"/>
  <c r="D767" i="7"/>
  <c r="N767" i="7" s="1"/>
  <c r="D768" i="7"/>
  <c r="N768" i="7" s="1"/>
  <c r="D769" i="7"/>
  <c r="N769" i="7" s="1"/>
  <c r="D770" i="7"/>
  <c r="N770" i="7" s="1"/>
  <c r="D771" i="7"/>
  <c r="N771" i="7" s="1"/>
  <c r="D772" i="7"/>
  <c r="N772" i="7" s="1"/>
  <c r="D773" i="7"/>
  <c r="N773" i="7" s="1"/>
  <c r="D774" i="7"/>
  <c r="N774" i="7" s="1"/>
  <c r="D775" i="7"/>
  <c r="N775" i="7" s="1"/>
  <c r="D776" i="7"/>
  <c r="N776" i="7" s="1"/>
  <c r="D777" i="7"/>
  <c r="N777" i="7" s="1"/>
  <c r="D778" i="7"/>
  <c r="N778" i="7" s="1"/>
  <c r="D779" i="7"/>
  <c r="N779" i="7" s="1"/>
  <c r="D780" i="7"/>
  <c r="N780" i="7" s="1"/>
  <c r="D781" i="7"/>
  <c r="N781" i="7" s="1"/>
  <c r="D782" i="7"/>
  <c r="N782" i="7" s="1"/>
  <c r="D783" i="7"/>
  <c r="N783" i="7" s="1"/>
  <c r="D784" i="7"/>
  <c r="N784" i="7" s="1"/>
  <c r="D785" i="7"/>
  <c r="N785" i="7" s="1"/>
  <c r="D786" i="7"/>
  <c r="N786" i="7" s="1"/>
  <c r="D787" i="7"/>
  <c r="N787" i="7" s="1"/>
  <c r="D788" i="7"/>
  <c r="N788" i="7" s="1"/>
  <c r="D789" i="7"/>
  <c r="N789" i="7" s="1"/>
  <c r="D790" i="7"/>
  <c r="N790" i="7" s="1"/>
  <c r="D791" i="7"/>
  <c r="N791" i="7" s="1"/>
  <c r="D792" i="7"/>
  <c r="N792" i="7" s="1"/>
  <c r="D793" i="7"/>
  <c r="N793" i="7" s="1"/>
  <c r="D794" i="7"/>
  <c r="N794" i="7" s="1"/>
  <c r="D795" i="7"/>
  <c r="N795" i="7" s="1"/>
  <c r="D796" i="7"/>
  <c r="N796" i="7" s="1"/>
  <c r="D797" i="7"/>
  <c r="N797" i="7" s="1"/>
  <c r="D798" i="7"/>
  <c r="N798" i="7" s="1"/>
  <c r="D799" i="7"/>
  <c r="N799" i="7" s="1"/>
  <c r="D800" i="7"/>
  <c r="N800" i="7" s="1"/>
  <c r="D801" i="7"/>
  <c r="N801" i="7" s="1"/>
  <c r="D802" i="7"/>
  <c r="N802" i="7" s="1"/>
  <c r="D803" i="7"/>
  <c r="N803" i="7" s="1"/>
  <c r="D804" i="7"/>
  <c r="N804" i="7" s="1"/>
  <c r="D805" i="7"/>
  <c r="N805" i="7" s="1"/>
  <c r="D806" i="7"/>
  <c r="N806" i="7" s="1"/>
  <c r="D807" i="7"/>
  <c r="N807" i="7" s="1"/>
  <c r="D808" i="7"/>
  <c r="N808" i="7" s="1"/>
  <c r="D809" i="7"/>
  <c r="N809" i="7" s="1"/>
  <c r="D810" i="7"/>
  <c r="N810" i="7" s="1"/>
  <c r="D811" i="7"/>
  <c r="N811" i="7" s="1"/>
  <c r="D812" i="7"/>
  <c r="N812" i="7" s="1"/>
  <c r="D813" i="7"/>
  <c r="N813" i="7" s="1"/>
  <c r="D814" i="7"/>
  <c r="N814" i="7" s="1"/>
  <c r="D815" i="7"/>
  <c r="N815" i="7" s="1"/>
  <c r="D816" i="7"/>
  <c r="N816" i="7" s="1"/>
  <c r="D817" i="7"/>
  <c r="N817" i="7" s="1"/>
  <c r="D818" i="7"/>
  <c r="N818" i="7" s="1"/>
  <c r="D819" i="7"/>
  <c r="N819" i="7" s="1"/>
  <c r="D820" i="7"/>
  <c r="N820" i="7" s="1"/>
  <c r="D821" i="7"/>
  <c r="N821" i="7" s="1"/>
  <c r="D822" i="7"/>
  <c r="N822" i="7" s="1"/>
  <c r="D823" i="7"/>
  <c r="N823" i="7" s="1"/>
  <c r="D824" i="7"/>
  <c r="N824" i="7" s="1"/>
  <c r="D825" i="7"/>
  <c r="N825" i="7" s="1"/>
  <c r="D826" i="7"/>
  <c r="N826" i="7" s="1"/>
  <c r="D827" i="7"/>
  <c r="N827" i="7" s="1"/>
  <c r="D828" i="7"/>
  <c r="N828" i="7" s="1"/>
  <c r="D829" i="7"/>
  <c r="N829" i="7" s="1"/>
  <c r="D830" i="7"/>
  <c r="N830" i="7" s="1"/>
  <c r="D831" i="7"/>
  <c r="N831" i="7" s="1"/>
  <c r="D832" i="7"/>
  <c r="N832" i="7" s="1"/>
  <c r="D833" i="7"/>
  <c r="N833" i="7" s="1"/>
  <c r="D834" i="7"/>
  <c r="N834" i="7" s="1"/>
  <c r="D835" i="7"/>
  <c r="N835" i="7" s="1"/>
  <c r="D836" i="7"/>
  <c r="N836" i="7" s="1"/>
  <c r="D837" i="7"/>
  <c r="N837" i="7" s="1"/>
  <c r="D838" i="7"/>
  <c r="N838" i="7" s="1"/>
  <c r="D839" i="7"/>
  <c r="N839" i="7" s="1"/>
  <c r="D840" i="7"/>
  <c r="N840" i="7" s="1"/>
  <c r="D841" i="7"/>
  <c r="N841" i="7" s="1"/>
  <c r="D842" i="7"/>
  <c r="N842" i="7" s="1"/>
  <c r="D843" i="7"/>
  <c r="N843" i="7" s="1"/>
  <c r="D844" i="7"/>
  <c r="N844" i="7" s="1"/>
  <c r="D845" i="7"/>
  <c r="N845" i="7" s="1"/>
  <c r="D846" i="7"/>
  <c r="N846" i="7" s="1"/>
  <c r="D847" i="7"/>
  <c r="N847" i="7" s="1"/>
  <c r="D848" i="7"/>
  <c r="N848" i="7" s="1"/>
  <c r="D849" i="7"/>
  <c r="N849" i="7" s="1"/>
  <c r="D850" i="7"/>
  <c r="N850" i="7" s="1"/>
  <c r="D851" i="7"/>
  <c r="N851" i="7" s="1"/>
  <c r="D852" i="7"/>
  <c r="N852" i="7" s="1"/>
  <c r="D853" i="7"/>
  <c r="N853" i="7" s="1"/>
  <c r="D854" i="7"/>
  <c r="N854" i="7" s="1"/>
  <c r="D855" i="7"/>
  <c r="N855" i="7" s="1"/>
  <c r="D856" i="7"/>
  <c r="N856" i="7" s="1"/>
  <c r="D857" i="7"/>
  <c r="N857" i="7" s="1"/>
  <c r="D858" i="7"/>
  <c r="N858" i="7" s="1"/>
  <c r="D859" i="7"/>
  <c r="N859" i="7" s="1"/>
  <c r="D860" i="7"/>
  <c r="N860" i="7" s="1"/>
  <c r="D861" i="7"/>
  <c r="N861" i="7" s="1"/>
  <c r="D862" i="7"/>
  <c r="N862" i="7" s="1"/>
  <c r="D863" i="7"/>
  <c r="N863" i="7" s="1"/>
  <c r="D864" i="7"/>
  <c r="N864" i="7" s="1"/>
  <c r="D865" i="7"/>
  <c r="N865" i="7" s="1"/>
  <c r="D866" i="7"/>
  <c r="N866" i="7" s="1"/>
  <c r="D867" i="7"/>
  <c r="N867" i="7" s="1"/>
  <c r="D868" i="7"/>
  <c r="N868" i="7" s="1"/>
  <c r="D869" i="7"/>
  <c r="N869" i="7" s="1"/>
  <c r="D870" i="7"/>
  <c r="N870" i="7" s="1"/>
  <c r="D871" i="7"/>
  <c r="N871" i="7" s="1"/>
  <c r="D872" i="7"/>
  <c r="N872" i="7" s="1"/>
  <c r="D873" i="7"/>
  <c r="N873" i="7" s="1"/>
  <c r="D874" i="7"/>
  <c r="N874" i="7" s="1"/>
  <c r="D875" i="7"/>
  <c r="N875" i="7" s="1"/>
  <c r="D876" i="7"/>
  <c r="N876" i="7" s="1"/>
  <c r="D877" i="7"/>
  <c r="N877" i="7" s="1"/>
  <c r="D878" i="7"/>
  <c r="N878" i="7" s="1"/>
  <c r="D879" i="7"/>
  <c r="N879" i="7" s="1"/>
  <c r="D880" i="7"/>
  <c r="N880" i="7" s="1"/>
  <c r="D881" i="7"/>
  <c r="N881" i="7" s="1"/>
  <c r="D882" i="7"/>
  <c r="N882" i="7" s="1"/>
  <c r="D883" i="7"/>
  <c r="N883" i="7" s="1"/>
  <c r="D884" i="7"/>
  <c r="N884" i="7" s="1"/>
  <c r="D885" i="7"/>
  <c r="N885" i="7" s="1"/>
  <c r="D886" i="7"/>
  <c r="N886" i="7" s="1"/>
  <c r="D887" i="7"/>
  <c r="N887" i="7" s="1"/>
  <c r="D888" i="7"/>
  <c r="N888" i="7" s="1"/>
  <c r="D889" i="7"/>
  <c r="N889" i="7" s="1"/>
  <c r="D890" i="7"/>
  <c r="N890" i="7" s="1"/>
  <c r="D891" i="7"/>
  <c r="N891" i="7" s="1"/>
  <c r="D892" i="7"/>
  <c r="N892" i="7" s="1"/>
  <c r="D893" i="7"/>
  <c r="N893" i="7" s="1"/>
  <c r="D894" i="7"/>
  <c r="N894" i="7" s="1"/>
  <c r="D895" i="7"/>
  <c r="N895" i="7" s="1"/>
  <c r="D896" i="7"/>
  <c r="N896" i="7" s="1"/>
  <c r="D897" i="7"/>
  <c r="N897" i="7" s="1"/>
  <c r="D898" i="7"/>
  <c r="N898" i="7" s="1"/>
  <c r="D899" i="7"/>
  <c r="N899" i="7" s="1"/>
  <c r="D900" i="7"/>
  <c r="N900" i="7" s="1"/>
  <c r="D901" i="7"/>
  <c r="N901" i="7" s="1"/>
  <c r="D902" i="7"/>
  <c r="N902" i="7" s="1"/>
  <c r="D903" i="7"/>
  <c r="N903" i="7" s="1"/>
  <c r="D904" i="7"/>
  <c r="N904" i="7" s="1"/>
  <c r="D905" i="7"/>
  <c r="N905" i="7" s="1"/>
  <c r="D906" i="7"/>
  <c r="N906" i="7" s="1"/>
  <c r="D907" i="7"/>
  <c r="N907" i="7" s="1"/>
  <c r="D908" i="7"/>
  <c r="N908" i="7" s="1"/>
  <c r="D909" i="7"/>
  <c r="N909" i="7" s="1"/>
  <c r="D910" i="7"/>
  <c r="N910" i="7" s="1"/>
  <c r="D911" i="7"/>
  <c r="N911" i="7" s="1"/>
  <c r="D912" i="7"/>
  <c r="N912" i="7" s="1"/>
  <c r="D913" i="7"/>
  <c r="N913" i="7" s="1"/>
  <c r="D914" i="7"/>
  <c r="N914" i="7" s="1"/>
  <c r="D915" i="7"/>
  <c r="N915" i="7" s="1"/>
  <c r="D916" i="7"/>
  <c r="N916" i="7" s="1"/>
  <c r="D917" i="7"/>
  <c r="N917" i="7" s="1"/>
  <c r="D918" i="7"/>
  <c r="N918" i="7" s="1"/>
  <c r="D919" i="7"/>
  <c r="N919" i="7" s="1"/>
  <c r="D920" i="7"/>
  <c r="N920" i="7" s="1"/>
  <c r="D921" i="7"/>
  <c r="N921" i="7" s="1"/>
  <c r="D922" i="7"/>
  <c r="N922" i="7" s="1"/>
  <c r="D923" i="7"/>
  <c r="N923" i="7" s="1"/>
  <c r="D924" i="7"/>
  <c r="N924" i="7" s="1"/>
  <c r="D925" i="7"/>
  <c r="N925" i="7" s="1"/>
  <c r="D926" i="7"/>
  <c r="N926" i="7" s="1"/>
  <c r="D927" i="7"/>
  <c r="N927" i="7" s="1"/>
  <c r="D928" i="7"/>
  <c r="N928" i="7" s="1"/>
  <c r="D929" i="7"/>
  <c r="N929" i="7" s="1"/>
  <c r="D930" i="7"/>
  <c r="N930" i="7" s="1"/>
  <c r="D931" i="7"/>
  <c r="N931" i="7" s="1"/>
  <c r="D932" i="7"/>
  <c r="N932" i="7" s="1"/>
  <c r="D933" i="7"/>
  <c r="N933" i="7" s="1"/>
  <c r="D934" i="7"/>
  <c r="N934" i="7" s="1"/>
  <c r="D935" i="7"/>
  <c r="N935" i="7" s="1"/>
  <c r="D936" i="7"/>
  <c r="N936" i="7" s="1"/>
  <c r="D937" i="7"/>
  <c r="N937" i="7" s="1"/>
  <c r="D938" i="7"/>
  <c r="N938" i="7" s="1"/>
  <c r="D939" i="7"/>
  <c r="N939" i="7" s="1"/>
  <c r="D940" i="7"/>
  <c r="N940" i="7" s="1"/>
  <c r="D941" i="7"/>
  <c r="N941" i="7" s="1"/>
  <c r="D942" i="7"/>
  <c r="N942" i="7" s="1"/>
  <c r="D943" i="7"/>
  <c r="N943" i="7" s="1"/>
  <c r="D944" i="7"/>
  <c r="N944" i="7" s="1"/>
  <c r="D945" i="7"/>
  <c r="N945" i="7" s="1"/>
  <c r="D946" i="7"/>
  <c r="N946" i="7" s="1"/>
  <c r="D947" i="7"/>
  <c r="N947" i="7" s="1"/>
  <c r="D948" i="7"/>
  <c r="N948" i="7" s="1"/>
  <c r="D949" i="7"/>
  <c r="N949" i="7" s="1"/>
  <c r="D950" i="7"/>
  <c r="N950" i="7" s="1"/>
  <c r="D951" i="7"/>
  <c r="N951" i="7" s="1"/>
  <c r="D952" i="7"/>
  <c r="N952" i="7" s="1"/>
  <c r="D953" i="7"/>
  <c r="N953" i="7" s="1"/>
  <c r="D954" i="7"/>
  <c r="N954" i="7" s="1"/>
  <c r="D955" i="7"/>
  <c r="N955" i="7" s="1"/>
  <c r="D956" i="7"/>
  <c r="N956" i="7" s="1"/>
  <c r="D957" i="7"/>
  <c r="N957" i="7" s="1"/>
  <c r="D958" i="7"/>
  <c r="N958" i="7" s="1"/>
  <c r="D959" i="7"/>
  <c r="N959" i="7" s="1"/>
  <c r="D960" i="7"/>
  <c r="N960" i="7" s="1"/>
  <c r="D961" i="7"/>
  <c r="N961" i="7" s="1"/>
  <c r="D962" i="7"/>
  <c r="N962" i="7" s="1"/>
  <c r="D963" i="7"/>
  <c r="N963" i="7" s="1"/>
  <c r="D964" i="7"/>
  <c r="N964" i="7" s="1"/>
  <c r="D965" i="7"/>
  <c r="N965" i="7" s="1"/>
  <c r="D966" i="7"/>
  <c r="N966" i="7" s="1"/>
  <c r="D967" i="7"/>
  <c r="N967" i="7" s="1"/>
  <c r="D968" i="7"/>
  <c r="N968" i="7" s="1"/>
  <c r="D969" i="7"/>
  <c r="N969" i="7" s="1"/>
  <c r="D970" i="7"/>
  <c r="N970" i="7" s="1"/>
  <c r="D971" i="7"/>
  <c r="N971" i="7" s="1"/>
  <c r="D972" i="7"/>
  <c r="N972" i="7" s="1"/>
  <c r="D973" i="7"/>
  <c r="N973" i="7" s="1"/>
  <c r="D974" i="7"/>
  <c r="N974" i="7" s="1"/>
  <c r="D975" i="7"/>
  <c r="N975" i="7" s="1"/>
  <c r="D976" i="7"/>
  <c r="N976" i="7" s="1"/>
  <c r="D977" i="7"/>
  <c r="N977" i="7" s="1"/>
  <c r="D978" i="7"/>
  <c r="N978" i="7" s="1"/>
  <c r="D979" i="7"/>
  <c r="N979" i="7" s="1"/>
  <c r="D980" i="7"/>
  <c r="N980" i="7" s="1"/>
  <c r="D981" i="7"/>
  <c r="N981" i="7" s="1"/>
  <c r="D982" i="7"/>
  <c r="N982" i="7" s="1"/>
  <c r="D983" i="7"/>
  <c r="N983" i="7" s="1"/>
  <c r="D984" i="7"/>
  <c r="N984" i="7" s="1"/>
  <c r="D985" i="7"/>
  <c r="N985" i="7" s="1"/>
  <c r="D986" i="7"/>
  <c r="N986" i="7" s="1"/>
  <c r="D987" i="7"/>
  <c r="N987" i="7" s="1"/>
  <c r="D988" i="7"/>
  <c r="N988" i="7" s="1"/>
  <c r="D989" i="7"/>
  <c r="N989" i="7" s="1"/>
  <c r="D990" i="7"/>
  <c r="N990" i="7" s="1"/>
  <c r="D991" i="7"/>
  <c r="N991" i="7" s="1"/>
  <c r="D992" i="7"/>
  <c r="N992" i="7" s="1"/>
  <c r="D993" i="7"/>
  <c r="N993" i="7" s="1"/>
  <c r="D994" i="7"/>
  <c r="N994" i="7" s="1"/>
  <c r="D995" i="7"/>
  <c r="N995" i="7" s="1"/>
  <c r="D996" i="7"/>
  <c r="N996" i="7" s="1"/>
  <c r="D997" i="7"/>
  <c r="N997" i="7" s="1"/>
  <c r="D998" i="7"/>
  <c r="N998" i="7" s="1"/>
  <c r="D999" i="7"/>
  <c r="N999" i="7" s="1"/>
  <c r="D1000" i="7"/>
  <c r="N1000" i="7" s="1"/>
  <c r="D1001" i="7"/>
  <c r="N1001" i="7" s="1"/>
  <c r="D1002" i="7"/>
  <c r="N1002" i="7" s="1"/>
  <c r="D1003" i="7"/>
  <c r="N1003" i="7" s="1"/>
  <c r="D1004" i="7"/>
  <c r="N1004" i="7" s="1"/>
  <c r="D1005" i="7"/>
  <c r="N1005" i="7" s="1"/>
  <c r="D1006" i="7"/>
  <c r="N1006" i="7" s="1"/>
  <c r="D1007" i="7"/>
  <c r="N1007" i="7" s="1"/>
  <c r="D1008" i="7"/>
  <c r="N1008" i="7" s="1"/>
  <c r="D1009" i="7"/>
  <c r="N1009" i="7" s="1"/>
  <c r="D1010" i="7"/>
  <c r="N1010" i="7" s="1"/>
  <c r="D1011" i="7"/>
  <c r="N1011" i="7" s="1"/>
  <c r="D1012" i="7"/>
  <c r="N1012" i="7" s="1"/>
  <c r="D1013" i="7"/>
  <c r="N1013" i="7" s="1"/>
  <c r="D1014" i="7"/>
  <c r="N1014" i="7" s="1"/>
  <c r="D1015" i="7"/>
  <c r="N1015" i="7" s="1"/>
  <c r="D1016" i="7"/>
  <c r="N1016" i="7" s="1"/>
  <c r="D1017" i="7"/>
  <c r="N1017" i="7" s="1"/>
  <c r="D1018" i="7"/>
  <c r="N1018" i="7" s="1"/>
  <c r="D1019" i="7"/>
  <c r="N1019" i="7" s="1"/>
  <c r="D1020" i="7"/>
  <c r="N1020" i="7" s="1"/>
  <c r="D1021" i="7"/>
  <c r="N1021" i="7" s="1"/>
  <c r="D1022" i="7"/>
  <c r="N1022" i="7" s="1"/>
  <c r="D1023" i="7"/>
  <c r="N1023" i="7" s="1"/>
  <c r="D1024" i="7"/>
  <c r="N1024" i="7" s="1"/>
  <c r="D1025" i="7"/>
  <c r="N1025" i="7" s="1"/>
  <c r="D1026" i="7"/>
  <c r="N1026" i="7" s="1"/>
  <c r="D1027" i="7"/>
  <c r="N1027" i="7" s="1"/>
  <c r="D1028" i="7"/>
  <c r="N1028" i="7" s="1"/>
  <c r="D1029" i="7"/>
  <c r="N1029" i="7" s="1"/>
  <c r="D1030" i="7"/>
  <c r="N1030" i="7" s="1"/>
  <c r="D1031" i="7"/>
  <c r="N1031" i="7" s="1"/>
  <c r="D1032" i="7"/>
  <c r="N1032" i="7" s="1"/>
  <c r="D1033" i="7"/>
  <c r="N1033" i="7" s="1"/>
  <c r="D1034" i="7"/>
  <c r="N1034" i="7" s="1"/>
  <c r="D1035" i="7"/>
  <c r="N1035" i="7" s="1"/>
  <c r="D1036" i="7"/>
  <c r="N1036" i="7" s="1"/>
  <c r="D1037" i="7"/>
  <c r="N1037" i="7" s="1"/>
  <c r="D1038" i="7"/>
  <c r="N1038" i="7" s="1"/>
  <c r="D1039" i="7"/>
  <c r="N1039" i="7" s="1"/>
  <c r="D1040" i="7"/>
  <c r="N1040" i="7" s="1"/>
  <c r="D1041" i="7"/>
  <c r="N1041" i="7" s="1"/>
  <c r="D1042" i="7"/>
  <c r="N1042" i="7" s="1"/>
  <c r="D1043" i="7"/>
  <c r="N1043" i="7" s="1"/>
  <c r="D1044" i="7"/>
  <c r="N1044" i="7" s="1"/>
  <c r="D1045" i="7"/>
  <c r="N1045" i="7" s="1"/>
  <c r="D1046" i="7"/>
  <c r="N1046" i="7" s="1"/>
  <c r="D1047" i="7"/>
  <c r="N1047" i="7" s="1"/>
  <c r="D1048" i="7"/>
  <c r="N1048" i="7" s="1"/>
  <c r="D1049" i="7"/>
  <c r="N1049" i="7" s="1"/>
  <c r="D1050" i="7"/>
  <c r="N1050" i="7" s="1"/>
  <c r="D1051" i="7"/>
  <c r="N1051" i="7" s="1"/>
  <c r="D1052" i="7"/>
  <c r="N1052" i="7" s="1"/>
  <c r="D1053" i="7"/>
  <c r="N1053" i="7" s="1"/>
  <c r="D1054" i="7"/>
  <c r="N1054" i="7" s="1"/>
  <c r="D1055" i="7"/>
  <c r="N1055" i="7" s="1"/>
  <c r="D1056" i="7"/>
  <c r="N1056" i="7" s="1"/>
  <c r="D1057" i="7"/>
  <c r="N1057" i="7" s="1"/>
  <c r="D1058" i="7"/>
  <c r="N1058" i="7" s="1"/>
  <c r="D1059" i="7"/>
  <c r="N1059" i="7" s="1"/>
  <c r="D1060" i="7"/>
  <c r="N1060" i="7" s="1"/>
  <c r="D1061" i="7"/>
  <c r="N1061" i="7" s="1"/>
  <c r="D1062" i="7"/>
  <c r="N1062" i="7" s="1"/>
  <c r="D1063" i="7"/>
  <c r="N1063" i="7" s="1"/>
  <c r="D1064" i="7"/>
  <c r="N1064" i="7" s="1"/>
  <c r="D1065" i="7"/>
  <c r="N1065" i="7" s="1"/>
  <c r="D1066" i="7"/>
  <c r="N1066" i="7" s="1"/>
  <c r="D1067" i="7"/>
  <c r="N1067" i="7" s="1"/>
  <c r="D1068" i="7"/>
  <c r="N1068" i="7" s="1"/>
  <c r="D1069" i="7"/>
  <c r="N1069" i="7" s="1"/>
  <c r="D1070" i="7"/>
  <c r="N1070" i="7" s="1"/>
  <c r="D1071" i="7"/>
  <c r="N1071" i="7" s="1"/>
  <c r="D1072" i="7"/>
  <c r="N1072" i="7" s="1"/>
  <c r="D1073" i="7"/>
  <c r="N1073" i="7" s="1"/>
  <c r="D1074" i="7"/>
  <c r="N1074" i="7" s="1"/>
  <c r="D1075" i="7"/>
  <c r="N1075" i="7" s="1"/>
  <c r="D1076" i="7"/>
  <c r="N1076" i="7" s="1"/>
  <c r="D1077" i="7"/>
  <c r="N1077" i="7" s="1"/>
  <c r="D1078" i="7"/>
  <c r="N1078" i="7" s="1"/>
  <c r="D1079" i="7"/>
  <c r="N1079" i="7" s="1"/>
  <c r="D1080" i="7"/>
  <c r="N1080" i="7" s="1"/>
  <c r="D1081" i="7"/>
  <c r="N1081" i="7" s="1"/>
  <c r="D1082" i="7"/>
  <c r="N1082" i="7" s="1"/>
  <c r="D1083" i="7"/>
  <c r="N1083" i="7" s="1"/>
  <c r="D1084" i="7"/>
  <c r="N1084" i="7" s="1"/>
  <c r="D1085" i="7"/>
  <c r="N1085" i="7" s="1"/>
  <c r="D1086" i="7"/>
  <c r="N1086" i="7" s="1"/>
  <c r="D1087" i="7"/>
  <c r="N1087" i="7" s="1"/>
  <c r="D1088" i="7"/>
  <c r="N1088" i="7" s="1"/>
  <c r="D1089" i="7"/>
  <c r="N1089" i="7" s="1"/>
  <c r="D1090" i="7"/>
  <c r="N1090" i="7" s="1"/>
  <c r="D1091" i="7"/>
  <c r="N1091" i="7" s="1"/>
  <c r="D1092" i="7"/>
  <c r="N1092" i="7" s="1"/>
  <c r="D1093" i="7"/>
  <c r="N1093" i="7" s="1"/>
  <c r="D1094" i="7"/>
  <c r="N1094" i="7" s="1"/>
  <c r="D1095" i="7"/>
  <c r="N1095" i="7" s="1"/>
  <c r="D1096" i="7"/>
  <c r="N1096" i="7" s="1"/>
  <c r="D1097" i="7"/>
  <c r="N1097" i="7" s="1"/>
  <c r="D1098" i="7"/>
  <c r="N1098" i="7" s="1"/>
  <c r="D1099" i="7"/>
  <c r="N1099" i="7" s="1"/>
  <c r="D1100" i="7"/>
  <c r="N1100" i="7" s="1"/>
  <c r="D1101" i="7"/>
  <c r="N1101" i="7" s="1"/>
  <c r="D1102" i="7"/>
  <c r="N1102" i="7" s="1"/>
  <c r="D1103" i="7"/>
  <c r="N1103" i="7" s="1"/>
  <c r="D1104" i="7"/>
  <c r="N1104" i="7" s="1"/>
  <c r="D1105" i="7"/>
  <c r="N1105" i="7" s="1"/>
  <c r="D1106" i="7"/>
  <c r="N1106" i="7" s="1"/>
  <c r="D1107" i="7"/>
  <c r="N1107" i="7" s="1"/>
  <c r="D1108" i="7"/>
  <c r="N1108" i="7" s="1"/>
  <c r="D1109" i="7"/>
  <c r="N1109" i="7" s="1"/>
  <c r="D1110" i="7"/>
  <c r="N1110" i="7" s="1"/>
  <c r="D1111" i="7"/>
  <c r="N1111" i="7" s="1"/>
  <c r="D1112" i="7"/>
  <c r="N1112" i="7" s="1"/>
  <c r="D1113" i="7"/>
  <c r="N1113" i="7" s="1"/>
  <c r="D1114" i="7"/>
  <c r="N1114" i="7" s="1"/>
  <c r="D1115" i="7"/>
  <c r="N1115" i="7" s="1"/>
  <c r="D1116" i="7"/>
  <c r="N1116" i="7" s="1"/>
  <c r="D1117" i="7"/>
  <c r="N1117" i="7" s="1"/>
  <c r="D1118" i="7"/>
  <c r="N1118" i="7" s="1"/>
  <c r="D1119" i="7"/>
  <c r="N1119" i="7" s="1"/>
  <c r="D1120" i="7"/>
  <c r="N1120" i="7" s="1"/>
  <c r="D1121" i="7"/>
  <c r="N1121" i="7" s="1"/>
  <c r="D1122" i="7"/>
  <c r="N1122" i="7" s="1"/>
  <c r="D1123" i="7"/>
  <c r="N1123" i="7" s="1"/>
  <c r="D1124" i="7"/>
  <c r="N1124" i="7" s="1"/>
  <c r="D1125" i="7"/>
  <c r="N1125" i="7" s="1"/>
  <c r="D1126" i="7"/>
  <c r="N1126" i="7" s="1"/>
  <c r="D1127" i="7"/>
  <c r="N1127" i="7" s="1"/>
  <c r="D1128" i="7"/>
  <c r="N1128" i="7" s="1"/>
  <c r="D1129" i="7"/>
  <c r="N1129" i="7" s="1"/>
  <c r="D1130" i="7"/>
  <c r="N1130" i="7" s="1"/>
  <c r="D1131" i="7"/>
  <c r="N1131" i="7" s="1"/>
  <c r="D1132" i="7"/>
  <c r="N1132" i="7" s="1"/>
  <c r="D1133" i="7"/>
  <c r="N1133" i="7" s="1"/>
  <c r="D1134" i="7"/>
  <c r="N1134" i="7" s="1"/>
  <c r="D1135" i="7"/>
  <c r="N1135" i="7" s="1"/>
  <c r="D1136" i="7"/>
  <c r="N1136" i="7" s="1"/>
  <c r="D1137" i="7"/>
  <c r="N1137" i="7" s="1"/>
  <c r="D1138" i="7"/>
  <c r="N1138" i="7" s="1"/>
  <c r="D1139" i="7"/>
  <c r="N1139" i="7" s="1"/>
  <c r="D1140" i="7"/>
  <c r="N1140" i="7" s="1"/>
  <c r="D1141" i="7"/>
  <c r="N1141" i="7" s="1"/>
  <c r="D1142" i="7"/>
  <c r="N1142" i="7" s="1"/>
  <c r="D1143" i="7"/>
  <c r="N1143" i="7" s="1"/>
  <c r="D1144" i="7"/>
  <c r="N1144" i="7" s="1"/>
  <c r="D1145" i="7"/>
  <c r="N1145" i="7" s="1"/>
  <c r="D1146" i="7"/>
  <c r="N1146" i="7" s="1"/>
  <c r="D1147" i="7"/>
  <c r="N1147" i="7" s="1"/>
  <c r="D1148" i="7"/>
  <c r="N1148" i="7" s="1"/>
  <c r="D1149" i="7"/>
  <c r="N1149" i="7" s="1"/>
  <c r="D1150" i="7"/>
  <c r="N1150" i="7" s="1"/>
  <c r="D1151" i="7"/>
  <c r="N1151" i="7" s="1"/>
  <c r="D1152" i="7"/>
  <c r="N1152" i="7" s="1"/>
  <c r="D1153" i="7"/>
  <c r="N1153" i="7" s="1"/>
  <c r="D1154" i="7"/>
  <c r="N1154" i="7" s="1"/>
  <c r="D1155" i="7"/>
  <c r="N1155" i="7" s="1"/>
  <c r="D1156" i="7"/>
  <c r="N1156" i="7" s="1"/>
  <c r="D1157" i="7"/>
  <c r="N1157" i="7" s="1"/>
  <c r="D1158" i="7"/>
  <c r="N1158" i="7" s="1"/>
  <c r="D1159" i="7"/>
  <c r="N1159" i="7" s="1"/>
  <c r="D1160" i="7"/>
  <c r="N1160" i="7" s="1"/>
  <c r="D1161" i="7"/>
  <c r="N1161" i="7" s="1"/>
  <c r="D1162" i="7"/>
  <c r="N1162" i="7" s="1"/>
  <c r="D1163" i="7"/>
  <c r="N1163" i="7" s="1"/>
  <c r="D1164" i="7"/>
  <c r="N1164" i="7" s="1"/>
  <c r="D1165" i="7"/>
  <c r="N1165" i="7" s="1"/>
  <c r="D1166" i="7"/>
  <c r="N1166" i="7" s="1"/>
  <c r="D1167" i="7"/>
  <c r="N1167" i="7" s="1"/>
  <c r="D1168" i="7"/>
  <c r="N1168" i="7" s="1"/>
  <c r="D1169" i="7"/>
  <c r="N1169" i="7" s="1"/>
  <c r="D1170" i="7"/>
  <c r="N1170" i="7" s="1"/>
  <c r="D1171" i="7"/>
  <c r="N1171" i="7" s="1"/>
  <c r="D1172" i="7"/>
  <c r="N1172" i="7" s="1"/>
  <c r="D1173" i="7"/>
  <c r="N1173" i="7" s="1"/>
  <c r="D1174" i="7"/>
  <c r="N1174" i="7" s="1"/>
  <c r="D1175" i="7"/>
  <c r="N1175" i="7" s="1"/>
  <c r="D1176" i="7"/>
  <c r="N1176" i="7" s="1"/>
  <c r="D1177" i="7"/>
  <c r="N1177" i="7" s="1"/>
  <c r="D1178" i="7"/>
  <c r="N1178" i="7" s="1"/>
  <c r="D1179" i="7"/>
  <c r="N1179" i="7" s="1"/>
  <c r="D1180" i="7"/>
  <c r="N1180" i="7" s="1"/>
  <c r="D1181" i="7"/>
  <c r="N1181" i="7" s="1"/>
  <c r="D1182" i="7"/>
  <c r="N1182" i="7" s="1"/>
  <c r="D1183" i="7"/>
  <c r="N1183" i="7" s="1"/>
  <c r="D1184" i="7"/>
  <c r="N1184" i="7" s="1"/>
  <c r="D1185" i="7"/>
  <c r="N1185" i="7" s="1"/>
  <c r="D1186" i="7"/>
  <c r="N1186" i="7" s="1"/>
  <c r="D1187" i="7"/>
  <c r="N1187" i="7" s="1"/>
  <c r="D1188" i="7"/>
  <c r="N1188" i="7" s="1"/>
  <c r="D1189" i="7"/>
  <c r="N1189" i="7" s="1"/>
  <c r="D1190" i="7"/>
  <c r="N1190" i="7" s="1"/>
  <c r="D1191" i="7"/>
  <c r="N1191" i="7" s="1"/>
  <c r="D1192" i="7"/>
  <c r="N1192" i="7" s="1"/>
  <c r="D1193" i="7"/>
  <c r="N1193" i="7" s="1"/>
  <c r="D1194" i="7"/>
  <c r="N1194" i="7" s="1"/>
  <c r="D1195" i="7"/>
  <c r="N1195" i="7" s="1"/>
  <c r="D1196" i="7"/>
  <c r="N1196" i="7" s="1"/>
  <c r="D1197" i="7"/>
  <c r="N1197" i="7" s="1"/>
  <c r="D1198" i="7"/>
  <c r="N1198" i="7" s="1"/>
  <c r="D1199" i="7"/>
  <c r="N1199" i="7" s="1"/>
  <c r="D1200" i="7"/>
  <c r="N1200" i="7" s="1"/>
  <c r="D1201" i="7"/>
  <c r="N1201" i="7" s="1"/>
  <c r="D1202" i="7"/>
  <c r="N1202" i="7" s="1"/>
  <c r="D1203" i="7"/>
  <c r="N1203" i="7" s="1"/>
  <c r="D1204" i="7"/>
  <c r="N1204" i="7" s="1"/>
  <c r="D1205" i="7"/>
  <c r="N1205" i="7" s="1"/>
  <c r="D1206" i="7"/>
  <c r="N1206" i="7" s="1"/>
  <c r="D1207" i="7"/>
  <c r="N1207" i="7" s="1"/>
  <c r="D1208" i="7"/>
  <c r="N1208" i="7" s="1"/>
  <c r="D1209" i="7"/>
  <c r="N1209" i="7" s="1"/>
  <c r="D1210" i="7"/>
  <c r="N1210" i="7" s="1"/>
  <c r="D1211" i="7"/>
  <c r="N1211" i="7" s="1"/>
  <c r="D1212" i="7"/>
  <c r="N1212" i="7" s="1"/>
  <c r="D1213" i="7"/>
  <c r="N1213" i="7" s="1"/>
  <c r="D1214" i="7"/>
  <c r="N1214" i="7" s="1"/>
  <c r="D1215" i="7"/>
  <c r="N1215" i="7" s="1"/>
  <c r="D1216" i="7"/>
  <c r="N1216" i="7" s="1"/>
  <c r="D1217" i="7"/>
  <c r="N1217" i="7" s="1"/>
  <c r="D1218" i="7"/>
  <c r="N1218" i="7" s="1"/>
  <c r="D1219" i="7"/>
  <c r="N1219" i="7" s="1"/>
  <c r="D1220" i="7"/>
  <c r="N1220" i="7" s="1"/>
  <c r="D1221" i="7"/>
  <c r="N1221" i="7" s="1"/>
  <c r="D1222" i="7"/>
  <c r="N1222" i="7" s="1"/>
  <c r="D1223" i="7"/>
  <c r="N1223" i="7" s="1"/>
  <c r="D1224" i="7"/>
  <c r="N1224" i="7" s="1"/>
  <c r="D1225" i="7"/>
  <c r="N1225" i="7" s="1"/>
  <c r="D1226" i="7"/>
  <c r="N1226" i="7" s="1"/>
  <c r="D1227" i="7"/>
  <c r="N1227" i="7" s="1"/>
  <c r="D1228" i="7"/>
  <c r="N1228" i="7" s="1"/>
  <c r="D1229" i="7"/>
  <c r="N1229" i="7" s="1"/>
  <c r="D1230" i="7"/>
  <c r="N1230" i="7" s="1"/>
  <c r="D1231" i="7"/>
  <c r="N1231" i="7" s="1"/>
  <c r="D1232" i="7"/>
  <c r="N1232" i="7" s="1"/>
  <c r="D1233" i="7"/>
  <c r="N1233" i="7" s="1"/>
  <c r="D1234" i="7"/>
  <c r="N1234" i="7" s="1"/>
  <c r="D1235" i="7"/>
  <c r="N1235" i="7" s="1"/>
  <c r="D1236" i="7"/>
  <c r="N1236" i="7" s="1"/>
  <c r="D1237" i="7"/>
  <c r="N1237" i="7" s="1"/>
  <c r="D1238" i="7"/>
  <c r="N1238" i="7" s="1"/>
  <c r="D1239" i="7"/>
  <c r="N1239" i="7" s="1"/>
  <c r="D1240" i="7"/>
  <c r="N1240" i="7" s="1"/>
  <c r="D1241" i="7"/>
  <c r="N1241" i="7" s="1"/>
  <c r="D1242" i="7"/>
  <c r="N1242" i="7" s="1"/>
  <c r="D1243" i="7"/>
  <c r="N1243" i="7" s="1"/>
  <c r="D1244" i="7"/>
  <c r="N1244" i="7" s="1"/>
  <c r="D1245" i="7"/>
  <c r="N1245" i="7" s="1"/>
  <c r="D1246" i="7"/>
  <c r="N1246" i="7" s="1"/>
  <c r="D1247" i="7"/>
  <c r="N1247" i="7" s="1"/>
  <c r="D1248" i="7"/>
  <c r="N1248" i="7" s="1"/>
  <c r="D1249" i="7"/>
  <c r="N1249" i="7" s="1"/>
  <c r="D1250" i="7"/>
  <c r="N1250" i="7" s="1"/>
  <c r="D1251" i="7"/>
  <c r="N1251" i="7" s="1"/>
  <c r="D1252" i="7"/>
  <c r="N1252" i="7" s="1"/>
  <c r="D1253" i="7"/>
  <c r="N1253" i="7" s="1"/>
  <c r="D1254" i="7"/>
  <c r="N1254" i="7" s="1"/>
  <c r="D1255" i="7"/>
  <c r="N1255" i="7" s="1"/>
  <c r="D1256" i="7"/>
  <c r="N1256" i="7" s="1"/>
  <c r="D1257" i="7"/>
  <c r="N1257" i="7" s="1"/>
  <c r="D1258" i="7"/>
  <c r="N1258" i="7" s="1"/>
  <c r="D1259" i="7"/>
  <c r="N1259" i="7" s="1"/>
  <c r="D1260" i="7"/>
  <c r="N1260" i="7" s="1"/>
  <c r="D1261" i="7"/>
  <c r="N1261" i="7" s="1"/>
  <c r="D1262" i="7"/>
  <c r="N1262" i="7" s="1"/>
  <c r="D1263" i="7"/>
  <c r="N1263" i="7" s="1"/>
  <c r="D1264" i="7"/>
  <c r="N1264" i="7" s="1"/>
  <c r="D1265" i="7"/>
  <c r="N1265" i="7" s="1"/>
  <c r="D1266" i="7"/>
  <c r="N1266" i="7" s="1"/>
  <c r="D1267" i="7"/>
  <c r="N1267" i="7" s="1"/>
  <c r="D1268" i="7"/>
  <c r="N1268" i="7" s="1"/>
  <c r="D1269" i="7"/>
  <c r="N1269" i="7" s="1"/>
  <c r="D1270" i="7"/>
  <c r="N1270" i="7" s="1"/>
  <c r="D1271" i="7"/>
  <c r="N1271" i="7" s="1"/>
  <c r="D1272" i="7"/>
  <c r="N1272" i="7" s="1"/>
  <c r="D1273" i="7"/>
  <c r="N1273" i="7" s="1"/>
  <c r="D1274" i="7"/>
  <c r="N1274" i="7" s="1"/>
  <c r="D1275" i="7"/>
  <c r="N1275" i="7" s="1"/>
  <c r="D1276" i="7"/>
  <c r="N1276" i="7" s="1"/>
  <c r="D1277" i="7"/>
  <c r="N1277" i="7" s="1"/>
  <c r="D1278" i="7"/>
  <c r="N1278" i="7" s="1"/>
  <c r="D1279" i="7"/>
  <c r="N1279" i="7" s="1"/>
  <c r="D1280" i="7"/>
  <c r="N1280" i="7" s="1"/>
  <c r="D1281" i="7"/>
  <c r="N1281" i="7" s="1"/>
  <c r="D1282" i="7"/>
  <c r="N1282" i="7" s="1"/>
  <c r="D1283" i="7"/>
  <c r="N1283" i="7" s="1"/>
  <c r="D1284" i="7"/>
  <c r="N1284" i="7" s="1"/>
  <c r="D1285" i="7"/>
  <c r="N1285" i="7" s="1"/>
  <c r="D1286" i="7"/>
  <c r="N1286" i="7" s="1"/>
  <c r="D1287" i="7"/>
  <c r="N1287" i="7" s="1"/>
  <c r="D1288" i="7"/>
  <c r="N1288" i="7" s="1"/>
  <c r="D1289" i="7"/>
  <c r="N1289" i="7" s="1"/>
  <c r="D1290" i="7"/>
  <c r="N1290" i="7" s="1"/>
  <c r="D1291" i="7"/>
  <c r="N1291" i="7" s="1"/>
  <c r="D1292" i="7"/>
  <c r="N1292" i="7" s="1"/>
  <c r="D1293" i="7"/>
  <c r="N1293" i="7" s="1"/>
  <c r="D1294" i="7"/>
  <c r="N1294" i="7" s="1"/>
  <c r="D1295" i="7"/>
  <c r="N1295" i="7" s="1"/>
  <c r="D1296" i="7"/>
  <c r="N1296" i="7" s="1"/>
  <c r="D1297" i="7"/>
  <c r="N1297" i="7" s="1"/>
  <c r="D1298" i="7"/>
  <c r="N1298" i="7" s="1"/>
  <c r="D1299" i="7"/>
  <c r="N1299" i="7" s="1"/>
  <c r="D1300" i="7"/>
  <c r="N1300" i="7" s="1"/>
  <c r="D1301" i="7"/>
  <c r="N1301" i="7" s="1"/>
  <c r="D1302" i="7"/>
  <c r="N1302" i="7" s="1"/>
  <c r="D1303" i="7"/>
  <c r="N1303" i="7" s="1"/>
  <c r="D1304" i="7"/>
  <c r="N1304" i="7" s="1"/>
  <c r="D1305" i="7"/>
  <c r="N1305" i="7" s="1"/>
  <c r="D1306" i="7"/>
  <c r="N1306" i="7" s="1"/>
  <c r="D1307" i="7"/>
  <c r="N1307" i="7" s="1"/>
  <c r="D1308" i="7"/>
  <c r="N1308" i="7" s="1"/>
  <c r="D1309" i="7"/>
  <c r="N1309" i="7" s="1"/>
  <c r="D1310" i="7"/>
  <c r="N1310" i="7" s="1"/>
  <c r="D1311" i="7"/>
  <c r="N1311" i="7" s="1"/>
  <c r="D1312" i="7"/>
  <c r="N1312" i="7" s="1"/>
  <c r="D1313" i="7"/>
  <c r="N1313" i="7" s="1"/>
  <c r="D1314" i="7"/>
  <c r="N1314" i="7" s="1"/>
  <c r="D1315" i="7"/>
  <c r="N1315" i="7" s="1"/>
  <c r="D1316" i="7"/>
  <c r="N1316" i="7" s="1"/>
  <c r="D1317" i="7"/>
  <c r="N1317" i="7" s="1"/>
  <c r="D1318" i="7"/>
  <c r="N1318" i="7" s="1"/>
  <c r="D1319" i="7"/>
  <c r="N1319" i="7" s="1"/>
  <c r="D1320" i="7"/>
  <c r="N1320" i="7" s="1"/>
  <c r="D1321" i="7"/>
  <c r="N1321" i="7" s="1"/>
  <c r="D1322" i="7"/>
  <c r="N1322" i="7" s="1"/>
  <c r="D1323" i="7"/>
  <c r="N1323" i="7" s="1"/>
  <c r="D1324" i="7"/>
  <c r="N1324" i="7" s="1"/>
  <c r="D1325" i="7"/>
  <c r="N1325" i="7" s="1"/>
  <c r="D1326" i="7"/>
  <c r="N1326" i="7" s="1"/>
  <c r="D1327" i="7"/>
  <c r="N1327" i="7" s="1"/>
  <c r="D1328" i="7"/>
  <c r="N1328" i="7" s="1"/>
  <c r="D1329" i="7"/>
  <c r="N1329" i="7" s="1"/>
  <c r="D1330" i="7"/>
  <c r="N1330" i="7" s="1"/>
  <c r="D1331" i="7"/>
  <c r="N1331" i="7" s="1"/>
  <c r="D1332" i="7"/>
  <c r="N1332" i="7" s="1"/>
  <c r="D1333" i="7"/>
  <c r="N1333" i="7" s="1"/>
  <c r="D1334" i="7"/>
  <c r="N1334" i="7" s="1"/>
  <c r="D1335" i="7"/>
  <c r="N1335" i="7" s="1"/>
  <c r="D1336" i="7"/>
  <c r="N1336" i="7" s="1"/>
  <c r="D1337" i="7"/>
  <c r="N1337" i="7" s="1"/>
  <c r="D1338" i="7"/>
  <c r="N1338" i="7" s="1"/>
  <c r="D1339" i="7"/>
  <c r="N1339" i="7" s="1"/>
  <c r="D1340" i="7"/>
  <c r="N1340" i="7" s="1"/>
  <c r="D1341" i="7"/>
  <c r="N1341" i="7" s="1"/>
  <c r="D1342" i="7"/>
  <c r="N1342" i="7" s="1"/>
  <c r="D1343" i="7"/>
  <c r="N1343" i="7" s="1"/>
  <c r="D1344" i="7"/>
  <c r="N1344" i="7" s="1"/>
  <c r="D1345" i="7"/>
  <c r="N1345" i="7" s="1"/>
  <c r="D1346" i="7"/>
  <c r="N1346" i="7" s="1"/>
  <c r="D1347" i="7"/>
  <c r="N1347" i="7" s="1"/>
  <c r="D1348" i="7"/>
  <c r="N1348" i="7" s="1"/>
  <c r="D1349" i="7"/>
  <c r="N1349" i="7" s="1"/>
  <c r="D1350" i="7"/>
  <c r="N1350" i="7" s="1"/>
  <c r="D1351" i="7"/>
  <c r="N1351" i="7" s="1"/>
  <c r="D1352" i="7"/>
  <c r="N1352" i="7" s="1"/>
  <c r="D1353" i="7"/>
  <c r="N1353" i="7" s="1"/>
  <c r="D1354" i="7"/>
  <c r="N1354" i="7" s="1"/>
  <c r="D1355" i="7"/>
  <c r="N1355" i="7" s="1"/>
  <c r="D1356" i="7"/>
  <c r="N1356" i="7" s="1"/>
  <c r="D1357" i="7"/>
  <c r="N1357" i="7" s="1"/>
  <c r="D1358" i="7"/>
  <c r="N1358" i="7" s="1"/>
  <c r="D1359" i="7"/>
  <c r="N1359" i="7" s="1"/>
  <c r="D1360" i="7"/>
  <c r="N1360" i="7" s="1"/>
  <c r="D1361" i="7"/>
  <c r="N1361" i="7" s="1"/>
  <c r="D1362" i="7"/>
  <c r="N1362" i="7" s="1"/>
  <c r="D1363" i="7"/>
  <c r="N1363" i="7" s="1"/>
  <c r="D1364" i="7"/>
  <c r="N1364" i="7" s="1"/>
  <c r="D1365" i="7"/>
  <c r="N1365" i="7" s="1"/>
  <c r="D1366" i="7"/>
  <c r="N1366" i="7" s="1"/>
  <c r="D1367" i="7"/>
  <c r="N1367" i="7" s="1"/>
  <c r="D1368" i="7"/>
  <c r="N1368" i="7" s="1"/>
  <c r="D1369" i="7"/>
  <c r="N1369" i="7" s="1"/>
  <c r="D1370" i="7"/>
  <c r="N1370" i="7" s="1"/>
  <c r="D1371" i="7"/>
  <c r="N1371" i="7" s="1"/>
  <c r="D1372" i="7"/>
  <c r="N1372" i="7" s="1"/>
  <c r="D1373" i="7"/>
  <c r="N1373" i="7" s="1"/>
  <c r="D1374" i="7"/>
  <c r="N1374" i="7" s="1"/>
  <c r="D1375" i="7"/>
  <c r="N1375" i="7" s="1"/>
  <c r="D1376" i="7"/>
  <c r="N1376" i="7" s="1"/>
  <c r="D1377" i="7"/>
  <c r="N1377" i="7" s="1"/>
  <c r="D1378" i="7"/>
  <c r="N1378" i="7" s="1"/>
  <c r="D1379" i="7"/>
  <c r="N1379" i="7" s="1"/>
  <c r="D1380" i="7"/>
  <c r="N1380" i="7" s="1"/>
  <c r="D1381" i="7"/>
  <c r="N1381" i="7" s="1"/>
  <c r="D1382" i="7"/>
  <c r="N1382" i="7" s="1"/>
  <c r="D1383" i="7"/>
  <c r="N1383" i="7" s="1"/>
  <c r="D1384" i="7"/>
  <c r="N1384" i="7" s="1"/>
  <c r="D1385" i="7"/>
  <c r="N1385" i="7" s="1"/>
  <c r="D1386" i="7"/>
  <c r="N1386" i="7" s="1"/>
  <c r="D1387" i="7"/>
  <c r="N1387" i="7" s="1"/>
  <c r="D1388" i="7"/>
  <c r="N1388" i="7" s="1"/>
  <c r="D1389" i="7"/>
  <c r="N1389" i="7" s="1"/>
  <c r="D1390" i="7"/>
  <c r="N1390" i="7" s="1"/>
  <c r="D1391" i="7"/>
  <c r="N1391" i="7" s="1"/>
  <c r="D1392" i="7"/>
  <c r="N1392" i="7" s="1"/>
  <c r="D1393" i="7"/>
  <c r="N1393" i="7" s="1"/>
  <c r="D1394" i="7"/>
  <c r="N1394" i="7" s="1"/>
  <c r="D1395" i="7"/>
  <c r="N1395" i="7" s="1"/>
  <c r="D1396" i="7"/>
  <c r="N1396" i="7" s="1"/>
  <c r="D1397" i="7"/>
  <c r="N1397" i="7" s="1"/>
  <c r="D1398" i="7"/>
  <c r="N1398" i="7" s="1"/>
  <c r="D1399" i="7"/>
  <c r="N1399" i="7" s="1"/>
  <c r="D1400" i="7"/>
  <c r="N1400" i="7" s="1"/>
  <c r="D1401" i="7"/>
  <c r="N1401" i="7" s="1"/>
  <c r="D1402" i="7"/>
  <c r="N1402" i="7" s="1"/>
  <c r="D1403" i="7"/>
  <c r="N1403" i="7" s="1"/>
  <c r="D1404" i="7"/>
  <c r="N1404" i="7" s="1"/>
  <c r="D1405" i="7"/>
  <c r="N1405" i="7" s="1"/>
  <c r="D1406" i="7"/>
  <c r="N1406" i="7" s="1"/>
  <c r="D1407" i="7"/>
  <c r="N1407" i="7" s="1"/>
  <c r="D1408" i="7"/>
  <c r="N1408" i="7" s="1"/>
  <c r="D1409" i="7"/>
  <c r="N1409" i="7" s="1"/>
  <c r="D1410" i="7"/>
  <c r="N1410" i="7" s="1"/>
  <c r="D1411" i="7"/>
  <c r="N1411" i="7" s="1"/>
  <c r="D1412" i="7"/>
  <c r="N1412" i="7" s="1"/>
  <c r="D1413" i="7"/>
  <c r="N1413" i="7" s="1"/>
  <c r="D1414" i="7"/>
  <c r="N1414" i="7" s="1"/>
  <c r="D1415" i="7"/>
  <c r="N1415" i="7" s="1"/>
  <c r="D1416" i="7"/>
  <c r="N1416" i="7" s="1"/>
  <c r="D1417" i="7"/>
  <c r="N1417" i="7" s="1"/>
  <c r="D1418" i="7"/>
  <c r="N1418" i="7" s="1"/>
  <c r="D1419" i="7"/>
  <c r="N1419" i="7" s="1"/>
  <c r="D1420" i="7"/>
  <c r="N1420" i="7" s="1"/>
  <c r="D1421" i="7"/>
  <c r="N1421" i="7" s="1"/>
  <c r="D1422" i="7"/>
  <c r="N1422" i="7" s="1"/>
  <c r="D1423" i="7"/>
  <c r="N1423" i="7" s="1"/>
  <c r="D1424" i="7"/>
  <c r="N1424" i="7" s="1"/>
  <c r="D1425" i="7"/>
  <c r="N1425" i="7" s="1"/>
  <c r="D1426" i="7"/>
  <c r="N1426" i="7" s="1"/>
  <c r="D1427" i="7"/>
  <c r="N1427" i="7" s="1"/>
  <c r="D1428" i="7"/>
  <c r="N1428" i="7" s="1"/>
  <c r="D1429" i="7"/>
  <c r="N1429" i="7" s="1"/>
  <c r="D1430" i="7"/>
  <c r="N1430" i="7" s="1"/>
  <c r="D1431" i="7"/>
  <c r="N1431" i="7" s="1"/>
  <c r="D1432" i="7"/>
  <c r="N1432" i="7" s="1"/>
  <c r="D1433" i="7"/>
  <c r="N1433" i="7" s="1"/>
  <c r="D1434" i="7"/>
  <c r="N1434" i="7" s="1"/>
  <c r="D1435" i="7"/>
  <c r="N1435" i="7" s="1"/>
  <c r="D1436" i="7"/>
  <c r="N1436" i="7" s="1"/>
  <c r="D1437" i="7"/>
  <c r="N1437" i="7" s="1"/>
  <c r="D1438" i="7"/>
  <c r="N1438" i="7" s="1"/>
  <c r="D1439" i="7"/>
  <c r="N1439" i="7" s="1"/>
  <c r="D1440" i="7"/>
  <c r="N1440" i="7" s="1"/>
  <c r="D1441" i="7"/>
  <c r="N1441" i="7" s="1"/>
  <c r="D1442" i="7"/>
  <c r="N1442" i="7" s="1"/>
  <c r="D1443" i="7"/>
  <c r="N1443" i="7" s="1"/>
  <c r="D1444" i="7"/>
  <c r="N1444" i="7" s="1"/>
  <c r="D1445" i="7"/>
  <c r="N1445" i="7" s="1"/>
  <c r="D1446" i="7"/>
  <c r="N1446" i="7" s="1"/>
  <c r="D1447" i="7"/>
  <c r="N1447" i="7" s="1"/>
  <c r="D1448" i="7"/>
  <c r="N1448" i="7" s="1"/>
  <c r="D1449" i="7"/>
  <c r="N1449" i="7" s="1"/>
  <c r="D1450" i="7"/>
  <c r="N1450" i="7" s="1"/>
  <c r="D1451" i="7"/>
  <c r="N1451" i="7" s="1"/>
  <c r="D1452" i="7"/>
  <c r="N1452" i="7" s="1"/>
  <c r="D1453" i="7"/>
  <c r="N1453" i="7" s="1"/>
  <c r="D1454" i="7"/>
  <c r="N1454" i="7" s="1"/>
  <c r="D1455" i="7"/>
  <c r="N1455" i="7" s="1"/>
  <c r="D1456" i="7"/>
  <c r="N1456" i="7" s="1"/>
  <c r="D1457" i="7"/>
  <c r="N1457" i="7" s="1"/>
  <c r="D1458" i="7"/>
  <c r="N1458" i="7" s="1"/>
  <c r="D1459" i="7"/>
  <c r="N1459" i="7" s="1"/>
  <c r="D1460" i="7"/>
  <c r="N1460" i="7" s="1"/>
  <c r="D1461" i="7"/>
  <c r="N1461" i="7" s="1"/>
  <c r="D1462" i="7"/>
  <c r="N1462" i="7" s="1"/>
  <c r="D1463" i="7"/>
  <c r="N1463" i="7" s="1"/>
  <c r="D1464" i="7"/>
  <c r="N1464" i="7" s="1"/>
  <c r="D1465" i="7"/>
  <c r="N1465" i="7" s="1"/>
  <c r="D1466" i="7"/>
  <c r="N1466" i="7" s="1"/>
  <c r="D1467" i="7"/>
  <c r="N1467" i="7" s="1"/>
  <c r="D1468" i="7"/>
  <c r="N1468" i="7" s="1"/>
  <c r="D1469" i="7"/>
  <c r="N1469" i="7" s="1"/>
  <c r="D1470" i="7"/>
  <c r="N1470" i="7" s="1"/>
  <c r="D1471" i="7"/>
  <c r="N1471" i="7" s="1"/>
  <c r="D1472" i="7"/>
  <c r="N1472" i="7" s="1"/>
  <c r="D1473" i="7"/>
  <c r="N1473" i="7" s="1"/>
  <c r="D1474" i="7"/>
  <c r="N1474" i="7" s="1"/>
  <c r="D1475" i="7"/>
  <c r="N1475" i="7" s="1"/>
  <c r="D1476" i="7"/>
  <c r="N1476" i="7" s="1"/>
  <c r="D1477" i="7"/>
  <c r="N1477" i="7" s="1"/>
  <c r="D1478" i="7"/>
  <c r="N1478" i="7" s="1"/>
  <c r="D1479" i="7"/>
  <c r="N1479" i="7" s="1"/>
  <c r="D1480" i="7"/>
  <c r="N1480" i="7" s="1"/>
  <c r="D1481" i="7"/>
  <c r="N1481" i="7" s="1"/>
  <c r="D1482" i="7"/>
  <c r="N1482" i="7" s="1"/>
  <c r="D1483" i="7"/>
  <c r="N1483" i="7" s="1"/>
  <c r="D1484" i="7"/>
  <c r="N1484" i="7" s="1"/>
  <c r="D1485" i="7"/>
  <c r="N1485" i="7" s="1"/>
  <c r="D1486" i="7"/>
  <c r="N1486" i="7" s="1"/>
  <c r="D1487" i="7"/>
  <c r="N1487" i="7" s="1"/>
  <c r="D1488" i="7"/>
  <c r="N1488" i="7" s="1"/>
  <c r="D1489" i="7"/>
  <c r="N1489" i="7" s="1"/>
  <c r="D1490" i="7"/>
  <c r="N1490" i="7" s="1"/>
  <c r="D1491" i="7"/>
  <c r="N1491" i="7" s="1"/>
  <c r="D1492" i="7"/>
  <c r="N1492" i="7" s="1"/>
  <c r="D1493" i="7"/>
  <c r="N1493" i="7" s="1"/>
  <c r="D1494" i="7"/>
  <c r="N1494" i="7" s="1"/>
  <c r="D1495" i="7"/>
  <c r="N1495" i="7" s="1"/>
  <c r="D1496" i="7"/>
  <c r="N1496" i="7" s="1"/>
  <c r="D1497" i="7"/>
  <c r="N1497" i="7" s="1"/>
  <c r="D1498" i="7"/>
  <c r="N1498" i="7" s="1"/>
  <c r="D1499" i="7"/>
  <c r="N1499" i="7" s="1"/>
  <c r="D1500" i="7"/>
  <c r="N1500" i="7" s="1"/>
  <c r="D1501" i="7"/>
  <c r="N1501" i="7" s="1"/>
  <c r="D1502" i="7"/>
  <c r="N1502" i="7" s="1"/>
  <c r="D1503" i="7"/>
  <c r="N1503" i="7" s="1"/>
  <c r="D1504" i="7"/>
  <c r="N1504" i="7" s="1"/>
  <c r="D1505" i="7"/>
  <c r="N1505" i="7" s="1"/>
  <c r="D1506" i="7"/>
  <c r="N1506" i="7" s="1"/>
  <c r="D1507" i="7"/>
  <c r="N1507" i="7" s="1"/>
  <c r="D1508" i="7"/>
  <c r="N1508" i="7" s="1"/>
  <c r="D1509" i="7"/>
  <c r="N1509" i="7" s="1"/>
  <c r="D1510" i="7"/>
  <c r="N1510" i="7" s="1"/>
  <c r="D1511" i="7"/>
  <c r="N1511" i="7" s="1"/>
  <c r="D1512" i="7"/>
  <c r="N1512" i="7" s="1"/>
  <c r="D1513" i="7"/>
  <c r="N1513" i="7" s="1"/>
  <c r="D1514" i="7"/>
  <c r="N1514" i="7" s="1"/>
  <c r="D1515" i="7"/>
  <c r="N1515" i="7" s="1"/>
  <c r="D1516" i="7"/>
  <c r="N1516" i="7" s="1"/>
  <c r="D1517" i="7"/>
  <c r="N1517" i="7" s="1"/>
  <c r="D1518" i="7"/>
  <c r="N1518" i="7" s="1"/>
  <c r="D1519" i="7"/>
  <c r="N1519" i="7" s="1"/>
  <c r="D1520" i="7"/>
  <c r="N1520" i="7" s="1"/>
  <c r="D1521" i="7"/>
  <c r="N1521" i="7" s="1"/>
  <c r="D1522" i="7"/>
  <c r="N1522" i="7" s="1"/>
  <c r="D1523" i="7"/>
  <c r="N1523" i="7" s="1"/>
  <c r="D1524" i="7"/>
  <c r="N1524" i="7" s="1"/>
  <c r="D1525" i="7"/>
  <c r="N1525" i="7" s="1"/>
  <c r="D1526" i="7"/>
  <c r="N1526" i="7" s="1"/>
  <c r="D1527" i="7"/>
  <c r="N1527" i="7" s="1"/>
  <c r="D1528" i="7"/>
  <c r="N1528" i="7" s="1"/>
  <c r="D1529" i="7"/>
  <c r="N1529" i="7" s="1"/>
  <c r="D1530" i="7"/>
  <c r="N1530" i="7" s="1"/>
  <c r="D1531" i="7"/>
  <c r="N1531" i="7" s="1"/>
  <c r="D1532" i="7"/>
  <c r="N1532" i="7" s="1"/>
  <c r="D1533" i="7"/>
  <c r="N1533" i="7" s="1"/>
  <c r="D1534" i="7"/>
  <c r="N1534" i="7" s="1"/>
  <c r="D1535" i="7"/>
  <c r="N1535" i="7" s="1"/>
  <c r="D1536" i="7"/>
  <c r="N1536" i="7" s="1"/>
  <c r="D1537" i="7"/>
  <c r="N1537" i="7" s="1"/>
  <c r="D1538" i="7"/>
  <c r="N1538" i="7" s="1"/>
  <c r="D1539" i="7"/>
  <c r="N1539" i="7" s="1"/>
  <c r="D1540" i="7"/>
  <c r="N1540" i="7" s="1"/>
  <c r="D1541" i="7"/>
  <c r="N1541" i="7" s="1"/>
  <c r="D1542" i="7"/>
  <c r="N1542" i="7" s="1"/>
  <c r="D1543" i="7"/>
  <c r="N1543" i="7" s="1"/>
  <c r="D1544" i="7"/>
  <c r="N1544" i="7" s="1"/>
  <c r="D1545" i="7"/>
  <c r="N1545" i="7" s="1"/>
  <c r="D1546" i="7"/>
  <c r="N1546" i="7" s="1"/>
  <c r="D1547" i="7"/>
  <c r="N1547" i="7" s="1"/>
  <c r="D1548" i="7"/>
  <c r="N1548" i="7" s="1"/>
  <c r="D1549" i="7"/>
  <c r="N1549" i="7" s="1"/>
  <c r="D1550" i="7"/>
  <c r="N1550" i="7" s="1"/>
  <c r="D1551" i="7"/>
  <c r="N1551" i="7" s="1"/>
  <c r="D1552" i="7"/>
  <c r="N1552" i="7" s="1"/>
  <c r="D1553" i="7"/>
  <c r="N1553" i="7" s="1"/>
  <c r="D1554" i="7"/>
  <c r="N1554" i="7" s="1"/>
  <c r="D1555" i="7"/>
  <c r="N1555" i="7" s="1"/>
  <c r="D1556" i="7"/>
  <c r="N1556" i="7" s="1"/>
  <c r="D1557" i="7"/>
  <c r="N1557" i="7" s="1"/>
  <c r="D1558" i="7"/>
  <c r="N1558" i="7" s="1"/>
  <c r="D1559" i="7"/>
  <c r="N1559" i="7" s="1"/>
  <c r="D1560" i="7"/>
  <c r="N1560" i="7" s="1"/>
  <c r="D1561" i="7"/>
  <c r="N1561" i="7" s="1"/>
  <c r="D1562" i="7"/>
  <c r="N1562" i="7" s="1"/>
  <c r="D1563" i="7"/>
  <c r="N1563" i="7" s="1"/>
  <c r="D1564" i="7"/>
  <c r="N1564" i="7" s="1"/>
  <c r="D1565" i="7"/>
  <c r="N1565" i="7" s="1"/>
  <c r="D1566" i="7"/>
  <c r="N1566" i="7" s="1"/>
  <c r="D1567" i="7"/>
  <c r="N1567" i="7" s="1"/>
  <c r="D1568" i="7"/>
  <c r="N1568" i="7" s="1"/>
  <c r="D1569" i="7"/>
  <c r="N1569" i="7" s="1"/>
  <c r="D1570" i="7"/>
  <c r="N1570" i="7" s="1"/>
  <c r="D1571" i="7"/>
  <c r="N1571" i="7" s="1"/>
  <c r="D1572" i="7"/>
  <c r="N1572" i="7" s="1"/>
  <c r="D1573" i="7"/>
  <c r="N1573" i="7" s="1"/>
  <c r="D1574" i="7"/>
  <c r="N1574" i="7" s="1"/>
  <c r="D1575" i="7"/>
  <c r="N1575" i="7" s="1"/>
  <c r="D1576" i="7"/>
  <c r="N1576" i="7" s="1"/>
  <c r="D1577" i="7"/>
  <c r="N1577" i="7" s="1"/>
  <c r="D1578" i="7"/>
  <c r="N1578" i="7" s="1"/>
  <c r="D1579" i="7"/>
  <c r="N1579" i="7" s="1"/>
  <c r="D1580" i="7"/>
  <c r="N1580" i="7" s="1"/>
  <c r="D1581" i="7"/>
  <c r="N1581" i="7" s="1"/>
  <c r="D1582" i="7"/>
  <c r="N1582" i="7" s="1"/>
  <c r="D1583" i="7"/>
  <c r="N1583" i="7" s="1"/>
  <c r="D1584" i="7"/>
  <c r="N1584" i="7" s="1"/>
  <c r="D1585" i="7"/>
  <c r="N1585" i="7" s="1"/>
  <c r="D1586" i="7"/>
  <c r="N1586" i="7" s="1"/>
  <c r="D1587" i="7"/>
  <c r="N1587" i="7" s="1"/>
  <c r="D1588" i="7"/>
  <c r="N1588" i="7" s="1"/>
  <c r="D1589" i="7"/>
  <c r="N1589" i="7" s="1"/>
  <c r="D1590" i="7"/>
  <c r="N1590" i="7" s="1"/>
  <c r="D1591" i="7"/>
  <c r="N1591" i="7" s="1"/>
  <c r="D1592" i="7"/>
  <c r="N1592" i="7" s="1"/>
  <c r="D1593" i="7"/>
  <c r="N1593" i="7" s="1"/>
  <c r="D1594" i="7"/>
  <c r="N1594" i="7" s="1"/>
  <c r="D1595" i="7"/>
  <c r="N1595" i="7" s="1"/>
  <c r="D1596" i="7"/>
  <c r="N1596" i="7" s="1"/>
  <c r="D1597" i="7"/>
  <c r="N1597" i="7" s="1"/>
  <c r="D1598" i="7"/>
  <c r="N1598" i="7" s="1"/>
  <c r="D1599" i="7"/>
  <c r="N1599" i="7" s="1"/>
  <c r="D1600" i="7"/>
  <c r="N1600" i="7" s="1"/>
  <c r="D1601" i="7"/>
  <c r="N1601" i="7" s="1"/>
  <c r="D1602" i="7"/>
  <c r="N1602" i="7" s="1"/>
  <c r="D1603" i="7"/>
  <c r="N1603" i="7" s="1"/>
  <c r="D1604" i="7"/>
  <c r="N1604" i="7" s="1"/>
  <c r="D1605" i="7"/>
  <c r="N1605" i="7" s="1"/>
  <c r="D1606" i="7"/>
  <c r="N1606" i="7" s="1"/>
  <c r="D1607" i="7"/>
  <c r="N1607" i="7" s="1"/>
  <c r="D1608" i="7"/>
  <c r="N1608" i="7" s="1"/>
  <c r="D1609" i="7"/>
  <c r="N1609" i="7" s="1"/>
  <c r="D1610" i="7"/>
  <c r="N1610" i="7" s="1"/>
  <c r="D1611" i="7"/>
  <c r="N1611" i="7" s="1"/>
  <c r="D1612" i="7"/>
  <c r="N1612" i="7" s="1"/>
  <c r="D1613" i="7"/>
  <c r="N1613" i="7" s="1"/>
  <c r="D1614" i="7"/>
  <c r="N1614" i="7" s="1"/>
  <c r="D1615" i="7"/>
  <c r="N1615" i="7" s="1"/>
  <c r="D1616" i="7"/>
  <c r="N1616" i="7" s="1"/>
  <c r="D1617" i="7"/>
  <c r="N1617" i="7" s="1"/>
  <c r="D1618" i="7"/>
  <c r="N1618" i="7" s="1"/>
  <c r="D1619" i="7"/>
  <c r="N1619" i="7" s="1"/>
  <c r="D1620" i="7"/>
  <c r="N1620" i="7" s="1"/>
  <c r="D1621" i="7"/>
  <c r="N1621" i="7" s="1"/>
  <c r="D1622" i="7"/>
  <c r="N1622" i="7" s="1"/>
  <c r="D1623" i="7"/>
  <c r="N1623" i="7" s="1"/>
  <c r="D1624" i="7"/>
  <c r="N1624" i="7" s="1"/>
  <c r="D1625" i="7"/>
  <c r="N1625" i="7" s="1"/>
  <c r="D1626" i="7"/>
  <c r="N1626" i="7" s="1"/>
  <c r="D1627" i="7"/>
  <c r="N1627" i="7" s="1"/>
  <c r="D1628" i="7"/>
  <c r="N1628" i="7" s="1"/>
  <c r="D1629" i="7"/>
  <c r="N1629" i="7" s="1"/>
  <c r="D1630" i="7"/>
  <c r="N1630" i="7" s="1"/>
  <c r="D1631" i="7"/>
  <c r="N1631" i="7" s="1"/>
  <c r="D1632" i="7"/>
  <c r="N1632" i="7" s="1"/>
  <c r="D1633" i="7"/>
  <c r="N1633" i="7" s="1"/>
  <c r="D1634" i="7"/>
  <c r="N1634" i="7" s="1"/>
  <c r="D1635" i="7"/>
  <c r="N1635" i="7" s="1"/>
  <c r="D1636" i="7"/>
  <c r="N1636" i="7" s="1"/>
  <c r="D1637" i="7"/>
  <c r="N1637" i="7" s="1"/>
  <c r="D1638" i="7"/>
  <c r="N1638" i="7" s="1"/>
  <c r="D1639" i="7"/>
  <c r="N1639" i="7" s="1"/>
  <c r="D1640" i="7"/>
  <c r="N1640" i="7" s="1"/>
  <c r="D1641" i="7"/>
  <c r="N1641" i="7" s="1"/>
  <c r="D1642" i="7"/>
  <c r="N1642" i="7" s="1"/>
  <c r="D1643" i="7"/>
  <c r="N1643" i="7" s="1"/>
  <c r="D1644" i="7"/>
  <c r="N1644" i="7" s="1"/>
  <c r="D1645" i="7"/>
  <c r="N1645" i="7" s="1"/>
  <c r="D1646" i="7"/>
  <c r="N1646" i="7" s="1"/>
  <c r="D1647" i="7"/>
  <c r="N1647" i="7" s="1"/>
  <c r="D1648" i="7"/>
  <c r="N1648" i="7" s="1"/>
  <c r="D1649" i="7"/>
  <c r="N1649" i="7" s="1"/>
  <c r="D1650" i="7"/>
  <c r="N1650" i="7" s="1"/>
  <c r="D1651" i="7"/>
  <c r="N1651" i="7" s="1"/>
  <c r="D1652" i="7"/>
  <c r="N1652" i="7" s="1"/>
  <c r="D1653" i="7"/>
  <c r="N1653" i="7" s="1"/>
  <c r="D1654" i="7"/>
  <c r="N1654" i="7" s="1"/>
  <c r="D1655" i="7"/>
  <c r="N1655" i="7" s="1"/>
  <c r="D1656" i="7"/>
  <c r="N1656" i="7" s="1"/>
  <c r="D1657" i="7"/>
  <c r="N1657" i="7" s="1"/>
  <c r="D1658" i="7"/>
  <c r="N1658" i="7" s="1"/>
  <c r="D1659" i="7"/>
  <c r="N1659" i="7" s="1"/>
  <c r="D1660" i="7"/>
  <c r="N1660" i="7" s="1"/>
  <c r="D1661" i="7"/>
  <c r="N1661" i="7" s="1"/>
  <c r="D1662" i="7"/>
  <c r="N1662" i="7" s="1"/>
  <c r="D1663" i="7"/>
  <c r="N1663" i="7" s="1"/>
  <c r="D1664" i="7"/>
  <c r="N1664" i="7" s="1"/>
  <c r="D1665" i="7"/>
  <c r="N1665" i="7" s="1"/>
  <c r="D1666" i="7"/>
  <c r="N1666" i="7" s="1"/>
  <c r="D1667" i="7"/>
  <c r="N1667" i="7" s="1"/>
  <c r="D1668" i="7"/>
  <c r="N1668" i="7" s="1"/>
  <c r="D1669" i="7"/>
  <c r="N1669" i="7" s="1"/>
  <c r="D1670" i="7"/>
  <c r="N1670" i="7" s="1"/>
  <c r="D1671" i="7"/>
  <c r="N1671" i="7" s="1"/>
  <c r="D1672" i="7"/>
  <c r="N1672" i="7" s="1"/>
  <c r="D1673" i="7"/>
  <c r="N1673" i="7" s="1"/>
  <c r="D1674" i="7"/>
  <c r="N1674" i="7" s="1"/>
  <c r="D1675" i="7"/>
  <c r="N1675" i="7" s="1"/>
  <c r="D1676" i="7"/>
  <c r="N1676" i="7" s="1"/>
  <c r="D1677" i="7"/>
  <c r="N1677" i="7" s="1"/>
  <c r="D1678" i="7"/>
  <c r="N1678" i="7" s="1"/>
  <c r="D1679" i="7"/>
  <c r="N1679" i="7" s="1"/>
  <c r="D1680" i="7"/>
  <c r="N1680" i="7" s="1"/>
  <c r="D1681" i="7"/>
  <c r="N1681" i="7" s="1"/>
  <c r="D1682" i="7"/>
  <c r="N1682" i="7" s="1"/>
  <c r="D1683" i="7"/>
  <c r="N1683" i="7" s="1"/>
  <c r="D1684" i="7"/>
  <c r="N1684" i="7" s="1"/>
  <c r="D1685" i="7"/>
  <c r="N1685" i="7" s="1"/>
  <c r="D1686" i="7"/>
  <c r="N1686" i="7" s="1"/>
  <c r="D1687" i="7"/>
  <c r="N1687" i="7" s="1"/>
  <c r="D1688" i="7"/>
  <c r="N1688" i="7" s="1"/>
  <c r="D1689" i="7"/>
  <c r="N1689" i="7" s="1"/>
  <c r="D1690" i="7"/>
  <c r="N1690" i="7" s="1"/>
  <c r="D1691" i="7"/>
  <c r="N1691" i="7" s="1"/>
  <c r="D1692" i="7"/>
  <c r="N1692" i="7" s="1"/>
  <c r="D1693" i="7"/>
  <c r="N1693" i="7" s="1"/>
  <c r="D1694" i="7"/>
  <c r="N1694" i="7" s="1"/>
  <c r="D1695" i="7"/>
  <c r="N1695" i="7" s="1"/>
  <c r="D1696" i="7"/>
  <c r="N1696" i="7" s="1"/>
  <c r="D1697" i="7"/>
  <c r="N1697" i="7" s="1"/>
  <c r="D1698" i="7"/>
  <c r="N1698" i="7" s="1"/>
  <c r="D1699" i="7"/>
  <c r="N1699" i="7" s="1"/>
  <c r="D1700" i="7"/>
  <c r="N1700" i="7" s="1"/>
  <c r="D1701" i="7"/>
  <c r="N1701" i="7" s="1"/>
  <c r="D1702" i="7"/>
  <c r="N1702" i="7" s="1"/>
  <c r="D1703" i="7"/>
  <c r="N1703" i="7" s="1"/>
  <c r="D1704" i="7"/>
  <c r="N1704" i="7" s="1"/>
  <c r="D1705" i="7"/>
  <c r="N1705" i="7" s="1"/>
  <c r="D1706" i="7"/>
  <c r="N1706" i="7" s="1"/>
  <c r="D1707" i="7"/>
  <c r="N1707" i="7" s="1"/>
  <c r="D1708" i="7"/>
  <c r="N1708" i="7" s="1"/>
  <c r="D1709" i="7"/>
  <c r="N1709" i="7" s="1"/>
  <c r="D1710" i="7"/>
  <c r="N1710" i="7" s="1"/>
  <c r="D1711" i="7"/>
  <c r="N1711" i="7" s="1"/>
  <c r="D1712" i="7"/>
  <c r="N1712" i="7" s="1"/>
  <c r="D1713" i="7"/>
  <c r="N1713" i="7" s="1"/>
  <c r="D1714" i="7"/>
  <c r="N1714" i="7" s="1"/>
  <c r="D1715" i="7"/>
  <c r="N1715" i="7" s="1"/>
  <c r="D1716" i="7"/>
  <c r="N1716" i="7" s="1"/>
  <c r="D1717" i="7"/>
  <c r="N1717" i="7" s="1"/>
  <c r="D1718" i="7"/>
  <c r="N1718" i="7" s="1"/>
  <c r="D1719" i="7"/>
  <c r="N1719" i="7" s="1"/>
  <c r="D1720" i="7"/>
  <c r="N1720" i="7" s="1"/>
  <c r="D1721" i="7"/>
  <c r="N1721" i="7" s="1"/>
  <c r="D1722" i="7"/>
  <c r="N1722" i="7" s="1"/>
  <c r="D1723" i="7"/>
  <c r="N1723" i="7" s="1"/>
  <c r="D1724" i="7"/>
  <c r="N1724" i="7" s="1"/>
  <c r="D1725" i="7"/>
  <c r="N1725" i="7" s="1"/>
  <c r="D1726" i="7"/>
  <c r="N1726" i="7" s="1"/>
  <c r="D1727" i="7"/>
  <c r="N1727" i="7" s="1"/>
  <c r="D1728" i="7"/>
  <c r="N1728" i="7" s="1"/>
  <c r="D1729" i="7"/>
  <c r="N1729" i="7" s="1"/>
  <c r="D1730" i="7"/>
  <c r="N1730" i="7" s="1"/>
  <c r="D1731" i="7"/>
  <c r="N1731" i="7" s="1"/>
  <c r="D1732" i="7"/>
  <c r="N1732" i="7" s="1"/>
  <c r="D1733" i="7"/>
  <c r="N1733" i="7" s="1"/>
  <c r="D1734" i="7"/>
  <c r="N1734" i="7" s="1"/>
  <c r="D1735" i="7"/>
  <c r="N1735" i="7" s="1"/>
  <c r="D1736" i="7"/>
  <c r="N1736" i="7" s="1"/>
  <c r="D1737" i="7"/>
  <c r="N1737" i="7" s="1"/>
  <c r="D1738" i="7"/>
  <c r="N1738" i="7" s="1"/>
  <c r="D1739" i="7"/>
  <c r="N1739" i="7" s="1"/>
  <c r="D1740" i="7"/>
  <c r="N1740" i="7" s="1"/>
  <c r="D1741" i="7"/>
  <c r="N1741" i="7" s="1"/>
  <c r="D1742" i="7"/>
  <c r="N1742" i="7" s="1"/>
  <c r="D1743" i="7"/>
  <c r="N1743" i="7" s="1"/>
  <c r="D1744" i="7"/>
  <c r="N1744" i="7" s="1"/>
  <c r="D1745" i="7"/>
  <c r="N1745" i="7" s="1"/>
  <c r="D1746" i="7"/>
  <c r="N1746" i="7" s="1"/>
  <c r="D1747" i="7"/>
  <c r="N1747" i="7" s="1"/>
  <c r="D1748" i="7"/>
  <c r="N1748" i="7" s="1"/>
  <c r="D1749" i="7"/>
  <c r="N1749" i="7" s="1"/>
  <c r="D1750" i="7"/>
  <c r="N1750" i="7" s="1"/>
  <c r="D1751" i="7"/>
  <c r="N1751" i="7" s="1"/>
  <c r="D1752" i="7"/>
  <c r="N1752" i="7" s="1"/>
  <c r="D1753" i="7"/>
  <c r="N1753" i="7" s="1"/>
  <c r="D1754" i="7"/>
  <c r="N1754" i="7" s="1"/>
  <c r="D1755" i="7"/>
  <c r="N1755" i="7" s="1"/>
  <c r="D1756" i="7"/>
  <c r="N1756" i="7" s="1"/>
  <c r="D1757" i="7"/>
  <c r="N1757" i="7" s="1"/>
  <c r="D1758" i="7"/>
  <c r="N1758" i="7" s="1"/>
  <c r="D1759" i="7"/>
  <c r="N1759" i="7" s="1"/>
  <c r="D1760" i="7"/>
  <c r="N1760" i="7" s="1"/>
  <c r="D1761" i="7"/>
  <c r="N1761" i="7" s="1"/>
  <c r="D1762" i="7"/>
  <c r="N1762" i="7" s="1"/>
  <c r="D1763" i="7"/>
  <c r="N1763" i="7" s="1"/>
  <c r="D1764" i="7"/>
  <c r="N1764" i="7" s="1"/>
  <c r="D1765" i="7"/>
  <c r="N1765" i="7" s="1"/>
  <c r="D1766" i="7"/>
  <c r="N1766" i="7" s="1"/>
  <c r="D1767" i="7"/>
  <c r="N1767" i="7" s="1"/>
  <c r="D1768" i="7"/>
  <c r="N1768" i="7" s="1"/>
  <c r="D1769" i="7"/>
  <c r="N1769" i="7" s="1"/>
  <c r="D1770" i="7"/>
  <c r="N1770" i="7" s="1"/>
  <c r="D1771" i="7"/>
  <c r="N1771" i="7" s="1"/>
  <c r="D1772" i="7"/>
  <c r="N1772" i="7" s="1"/>
  <c r="D1773" i="7"/>
  <c r="N1773" i="7" s="1"/>
  <c r="D1774" i="7"/>
  <c r="N1774" i="7" s="1"/>
  <c r="D1775" i="7"/>
  <c r="N1775" i="7" s="1"/>
  <c r="D1776" i="7"/>
  <c r="N1776" i="7" s="1"/>
  <c r="D1777" i="7"/>
  <c r="N1777" i="7" s="1"/>
  <c r="D1778" i="7"/>
  <c r="N1778" i="7" s="1"/>
  <c r="D1779" i="7"/>
  <c r="N1779" i="7" s="1"/>
  <c r="D1780" i="7"/>
  <c r="N1780" i="7" s="1"/>
  <c r="D1781" i="7"/>
  <c r="N1781" i="7" s="1"/>
  <c r="D1782" i="7"/>
  <c r="N1782" i="7" s="1"/>
  <c r="D1783" i="7"/>
  <c r="N1783" i="7" s="1"/>
  <c r="D1784" i="7"/>
  <c r="N1784" i="7" s="1"/>
  <c r="D1785" i="7"/>
  <c r="N1785" i="7" s="1"/>
  <c r="D1786" i="7"/>
  <c r="N1786" i="7" s="1"/>
  <c r="D1787" i="7"/>
  <c r="N1787" i="7" s="1"/>
  <c r="D1788" i="7"/>
  <c r="N1788" i="7" s="1"/>
  <c r="D1789" i="7"/>
  <c r="N1789" i="7" s="1"/>
  <c r="D1790" i="7"/>
  <c r="N1790" i="7" s="1"/>
  <c r="D1791" i="7"/>
  <c r="N1791" i="7" s="1"/>
  <c r="D1792" i="7"/>
  <c r="N1792" i="7" s="1"/>
  <c r="D1793" i="7"/>
  <c r="N1793" i="7" s="1"/>
  <c r="D1794" i="7"/>
  <c r="N1794" i="7" s="1"/>
  <c r="D1795" i="7"/>
  <c r="N1795" i="7" s="1"/>
  <c r="D1796" i="7"/>
  <c r="N1796" i="7" s="1"/>
  <c r="D1797" i="7"/>
  <c r="N1797" i="7" s="1"/>
  <c r="D1798" i="7"/>
  <c r="N1798" i="7" s="1"/>
  <c r="D1799" i="7"/>
  <c r="N1799" i="7" s="1"/>
  <c r="D1800" i="7"/>
  <c r="N1800" i="7" s="1"/>
  <c r="D1801" i="7"/>
  <c r="N1801" i="7" s="1"/>
  <c r="D1802" i="7"/>
  <c r="N1802" i="7" s="1"/>
  <c r="D1803" i="7"/>
  <c r="N1803" i="7" s="1"/>
  <c r="D1804" i="7"/>
  <c r="N1804" i="7" s="1"/>
  <c r="D1805" i="7"/>
  <c r="N1805" i="7" s="1"/>
  <c r="D1806" i="7"/>
  <c r="N1806" i="7" s="1"/>
  <c r="D1807" i="7"/>
  <c r="N1807" i="7" s="1"/>
  <c r="D1808" i="7"/>
  <c r="N1808" i="7" s="1"/>
  <c r="D1809" i="7"/>
  <c r="N1809" i="7" s="1"/>
  <c r="D1810" i="7"/>
  <c r="N1810" i="7" s="1"/>
  <c r="D1811" i="7"/>
  <c r="N1811" i="7" s="1"/>
  <c r="D1812" i="7"/>
  <c r="N1812" i="7" s="1"/>
  <c r="D1813" i="7"/>
  <c r="N1813" i="7" s="1"/>
  <c r="D1814" i="7"/>
  <c r="N1814" i="7" s="1"/>
  <c r="D1815" i="7"/>
  <c r="N1815" i="7" s="1"/>
  <c r="D1816" i="7"/>
  <c r="N1816" i="7" s="1"/>
  <c r="D1817" i="7"/>
  <c r="N1817" i="7" s="1"/>
  <c r="D1818" i="7"/>
  <c r="N1818" i="7" s="1"/>
  <c r="D1819" i="7"/>
  <c r="N1819" i="7" s="1"/>
  <c r="D1820" i="7"/>
  <c r="N1820" i="7" s="1"/>
  <c r="D1821" i="7"/>
  <c r="N1821" i="7" s="1"/>
  <c r="D1822" i="7"/>
  <c r="N1822" i="7" s="1"/>
  <c r="D1823" i="7"/>
  <c r="N1823" i="7" s="1"/>
  <c r="D1824" i="7"/>
  <c r="N1824" i="7" s="1"/>
  <c r="D1825" i="7"/>
  <c r="N1825" i="7" s="1"/>
  <c r="D1826" i="7"/>
  <c r="N1826" i="7" s="1"/>
  <c r="D1827" i="7"/>
  <c r="N1827" i="7" s="1"/>
  <c r="D1828" i="7"/>
  <c r="N1828" i="7" s="1"/>
  <c r="D1829" i="7"/>
  <c r="N1829" i="7" s="1"/>
  <c r="D1830" i="7"/>
  <c r="N1830" i="7" s="1"/>
  <c r="D1831" i="7"/>
  <c r="N1831" i="7" s="1"/>
  <c r="D1832" i="7"/>
  <c r="N1832" i="7" s="1"/>
  <c r="D1833" i="7"/>
  <c r="N1833" i="7" s="1"/>
  <c r="D1834" i="7"/>
  <c r="N1834" i="7" s="1"/>
  <c r="D1835" i="7"/>
  <c r="N1835" i="7" s="1"/>
  <c r="D1836" i="7"/>
  <c r="N1836" i="7" s="1"/>
  <c r="D1837" i="7"/>
  <c r="N1837" i="7" s="1"/>
  <c r="D1838" i="7"/>
  <c r="N1838" i="7" s="1"/>
  <c r="D1839" i="7"/>
  <c r="N1839" i="7" s="1"/>
  <c r="D1840" i="7"/>
  <c r="N1840" i="7" s="1"/>
  <c r="D1841" i="7"/>
  <c r="N1841" i="7" s="1"/>
  <c r="D1842" i="7"/>
  <c r="N1842" i="7" s="1"/>
  <c r="D1843" i="7"/>
  <c r="N1843" i="7" s="1"/>
  <c r="D1844" i="7"/>
  <c r="N1844" i="7" s="1"/>
  <c r="D1845" i="7"/>
  <c r="N1845" i="7" s="1"/>
  <c r="D1846" i="7"/>
  <c r="N1846" i="7" s="1"/>
  <c r="D1847" i="7"/>
  <c r="N1847" i="7" s="1"/>
  <c r="D1848" i="7"/>
  <c r="N1848" i="7" s="1"/>
  <c r="D1849" i="7"/>
  <c r="N1849" i="7" s="1"/>
  <c r="D1850" i="7"/>
  <c r="N1850" i="7" s="1"/>
  <c r="D1851" i="7"/>
  <c r="N1851" i="7" s="1"/>
  <c r="D1852" i="7"/>
  <c r="N1852" i="7" s="1"/>
  <c r="D1853" i="7"/>
  <c r="N1853" i="7" s="1"/>
  <c r="D1854" i="7"/>
  <c r="N1854" i="7" s="1"/>
  <c r="D1855" i="7"/>
  <c r="N1855" i="7" s="1"/>
  <c r="D1856" i="7"/>
  <c r="N1856" i="7" s="1"/>
  <c r="D1857" i="7"/>
  <c r="N1857" i="7" s="1"/>
  <c r="D1858" i="7"/>
  <c r="N1858" i="7" s="1"/>
  <c r="D1859" i="7"/>
  <c r="N1859" i="7" s="1"/>
  <c r="D1860" i="7"/>
  <c r="N1860" i="7" s="1"/>
  <c r="D1861" i="7"/>
  <c r="N1861" i="7" s="1"/>
  <c r="D1862" i="7"/>
  <c r="N1862" i="7" s="1"/>
  <c r="D1863" i="7"/>
  <c r="N1863" i="7" s="1"/>
  <c r="D1864" i="7"/>
  <c r="N1864" i="7" s="1"/>
  <c r="D1865" i="7"/>
  <c r="N1865" i="7" s="1"/>
  <c r="D1866" i="7"/>
  <c r="N1866" i="7" s="1"/>
  <c r="D1867" i="7"/>
  <c r="N1867" i="7" s="1"/>
  <c r="D1868" i="7"/>
  <c r="N1868" i="7" s="1"/>
  <c r="D1869" i="7"/>
  <c r="N1869" i="7" s="1"/>
  <c r="D1870" i="7"/>
  <c r="N1870" i="7" s="1"/>
  <c r="D1871" i="7"/>
  <c r="N1871" i="7" s="1"/>
  <c r="D1872" i="7"/>
  <c r="N1872" i="7" s="1"/>
  <c r="D1873" i="7"/>
  <c r="N1873" i="7" s="1"/>
  <c r="D1874" i="7"/>
  <c r="N1874" i="7" s="1"/>
  <c r="D1875" i="7"/>
  <c r="N1875" i="7" s="1"/>
  <c r="D1876" i="7"/>
  <c r="N1876" i="7" s="1"/>
  <c r="D1877" i="7"/>
  <c r="N1877" i="7" s="1"/>
  <c r="D1878" i="7"/>
  <c r="N1878" i="7" s="1"/>
  <c r="D1879" i="7"/>
  <c r="N1879" i="7" s="1"/>
  <c r="D1880" i="7"/>
  <c r="N1880" i="7" s="1"/>
  <c r="D1881" i="7"/>
  <c r="N1881" i="7" s="1"/>
  <c r="D1882" i="7"/>
  <c r="N1882" i="7" s="1"/>
  <c r="D1883" i="7"/>
  <c r="N1883" i="7" s="1"/>
  <c r="D1884" i="7"/>
  <c r="N1884" i="7" s="1"/>
  <c r="D1885" i="7"/>
  <c r="N1885" i="7" s="1"/>
  <c r="D1886" i="7"/>
  <c r="N1886" i="7" s="1"/>
  <c r="D1887" i="7"/>
  <c r="N1887" i="7" s="1"/>
  <c r="D1888" i="7"/>
  <c r="N1888" i="7" s="1"/>
  <c r="D1889" i="7"/>
  <c r="N1889" i="7" s="1"/>
  <c r="D1890" i="7"/>
  <c r="N1890" i="7" s="1"/>
  <c r="D1891" i="7"/>
  <c r="N1891" i="7" s="1"/>
  <c r="D1892" i="7"/>
  <c r="N1892" i="7" s="1"/>
  <c r="D1893" i="7"/>
  <c r="N1893" i="7" s="1"/>
  <c r="D1894" i="7"/>
  <c r="N1894" i="7" s="1"/>
  <c r="D1895" i="7"/>
  <c r="N1895" i="7" s="1"/>
  <c r="D1896" i="7"/>
  <c r="N1896" i="7" s="1"/>
  <c r="D1897" i="7"/>
  <c r="N1897" i="7" s="1"/>
  <c r="D1898" i="7"/>
  <c r="N1898" i="7" s="1"/>
  <c r="D1899" i="7"/>
  <c r="N1899" i="7" s="1"/>
  <c r="D1900" i="7"/>
  <c r="N1900" i="7" s="1"/>
  <c r="D1901" i="7"/>
  <c r="N1901" i="7" s="1"/>
  <c r="D1902" i="7"/>
  <c r="N1902" i="7" s="1"/>
  <c r="D1903" i="7"/>
  <c r="N1903" i="7" s="1"/>
  <c r="D1904" i="7"/>
  <c r="N1904" i="7" s="1"/>
  <c r="D1905" i="7"/>
  <c r="N1905" i="7" s="1"/>
  <c r="D1906" i="7"/>
  <c r="N1906" i="7" s="1"/>
  <c r="D1907" i="7"/>
  <c r="N1907" i="7" s="1"/>
  <c r="D1908" i="7"/>
  <c r="N1908" i="7" s="1"/>
  <c r="D1909" i="7"/>
  <c r="N1909" i="7" s="1"/>
  <c r="D1910" i="7"/>
  <c r="N1910" i="7" s="1"/>
  <c r="D1911" i="7"/>
  <c r="N1911" i="7" s="1"/>
  <c r="D1912" i="7"/>
  <c r="N1912" i="7" s="1"/>
  <c r="D1913" i="7"/>
  <c r="N1913" i="7" s="1"/>
  <c r="D1914" i="7"/>
  <c r="N1914" i="7" s="1"/>
  <c r="D1915" i="7"/>
  <c r="N1915" i="7" s="1"/>
  <c r="D1916" i="7"/>
  <c r="N1916" i="7" s="1"/>
  <c r="D1917" i="7"/>
  <c r="N1917" i="7" s="1"/>
  <c r="D1918" i="7"/>
  <c r="N1918" i="7" s="1"/>
  <c r="D1919" i="7"/>
  <c r="N1919" i="7" s="1"/>
  <c r="D1920" i="7"/>
  <c r="N1920" i="7" s="1"/>
  <c r="D1921" i="7"/>
  <c r="N1921" i="7" s="1"/>
  <c r="D1922" i="7"/>
  <c r="N1922" i="7" s="1"/>
  <c r="D1923" i="7"/>
  <c r="N1923" i="7" s="1"/>
  <c r="D1924" i="7"/>
  <c r="N1924" i="7" s="1"/>
  <c r="D1925" i="7"/>
  <c r="N1925" i="7" s="1"/>
  <c r="D1926" i="7"/>
  <c r="N1926" i="7" s="1"/>
  <c r="D1927" i="7"/>
  <c r="N1927" i="7" s="1"/>
  <c r="D1928" i="7"/>
  <c r="N1928" i="7" s="1"/>
  <c r="D1929" i="7"/>
  <c r="N1929" i="7" s="1"/>
  <c r="D1930" i="7"/>
  <c r="N1930" i="7" s="1"/>
  <c r="D1931" i="7"/>
  <c r="N1931" i="7" s="1"/>
  <c r="D1932" i="7"/>
  <c r="N1932" i="7" s="1"/>
  <c r="D1933" i="7"/>
  <c r="N1933" i="7" s="1"/>
  <c r="D1934" i="7"/>
  <c r="N1934" i="7" s="1"/>
  <c r="D1935" i="7"/>
  <c r="N1935" i="7" s="1"/>
  <c r="D1936" i="7"/>
  <c r="N1936" i="7" s="1"/>
  <c r="D1937" i="7"/>
  <c r="N1937" i="7" s="1"/>
  <c r="D1938" i="7"/>
  <c r="N1938" i="7" s="1"/>
  <c r="D1939" i="7"/>
  <c r="N1939" i="7" s="1"/>
  <c r="D1940" i="7"/>
  <c r="N1940" i="7" s="1"/>
  <c r="D1941" i="7"/>
  <c r="N1941" i="7" s="1"/>
  <c r="D1942" i="7"/>
  <c r="N1942" i="7" s="1"/>
  <c r="D1943" i="7"/>
  <c r="N1943" i="7" s="1"/>
  <c r="D1944" i="7"/>
  <c r="N1944" i="7" s="1"/>
  <c r="D1945" i="7"/>
  <c r="N1945" i="7" s="1"/>
  <c r="D1946" i="7"/>
  <c r="N1946" i="7" s="1"/>
  <c r="D1947" i="7"/>
  <c r="N1947" i="7" s="1"/>
  <c r="D1948" i="7"/>
  <c r="N1948" i="7" s="1"/>
  <c r="D1949" i="7"/>
  <c r="N1949" i="7" s="1"/>
  <c r="D1950" i="7"/>
  <c r="N1950" i="7" s="1"/>
  <c r="D1951" i="7"/>
  <c r="N1951" i="7" s="1"/>
  <c r="D1952" i="7"/>
  <c r="N1952" i="7" s="1"/>
  <c r="D1953" i="7"/>
  <c r="N1953" i="7" s="1"/>
  <c r="D1954" i="7"/>
  <c r="N1954" i="7" s="1"/>
  <c r="D1955" i="7"/>
  <c r="N1955" i="7" s="1"/>
  <c r="D1956" i="7"/>
  <c r="N1956" i="7" s="1"/>
  <c r="D1957" i="7"/>
  <c r="N1957" i="7" s="1"/>
  <c r="D1958" i="7"/>
  <c r="N1958" i="7" s="1"/>
  <c r="D1959" i="7"/>
  <c r="N1959" i="7" s="1"/>
  <c r="D1960" i="7"/>
  <c r="N1960" i="7" s="1"/>
  <c r="D1961" i="7"/>
  <c r="N1961" i="7" s="1"/>
  <c r="D1962" i="7"/>
  <c r="N1962" i="7" s="1"/>
  <c r="D1963" i="7"/>
  <c r="N1963" i="7" s="1"/>
  <c r="D1964" i="7"/>
  <c r="N1964" i="7" s="1"/>
  <c r="D1965" i="7"/>
  <c r="N1965" i="7" s="1"/>
  <c r="D1966" i="7"/>
  <c r="N1966" i="7" s="1"/>
  <c r="D1967" i="7"/>
  <c r="N1967" i="7" s="1"/>
  <c r="D1968" i="7"/>
  <c r="N1968" i="7" s="1"/>
  <c r="D1969" i="7"/>
  <c r="N1969" i="7" s="1"/>
  <c r="D1970" i="7"/>
  <c r="N1970" i="7" s="1"/>
  <c r="D1971" i="7"/>
  <c r="N1971" i="7" s="1"/>
  <c r="D1972" i="7"/>
  <c r="N1972" i="7" s="1"/>
  <c r="D1973" i="7"/>
  <c r="N1973" i="7" s="1"/>
  <c r="D1974" i="7"/>
  <c r="N1974" i="7" s="1"/>
  <c r="D1975" i="7"/>
  <c r="N1975" i="7" s="1"/>
  <c r="D1976" i="7"/>
  <c r="N1976" i="7" s="1"/>
  <c r="D1977" i="7"/>
  <c r="N1977" i="7" s="1"/>
  <c r="D1978" i="7"/>
  <c r="N1978" i="7" s="1"/>
  <c r="D1979" i="7"/>
  <c r="N1979" i="7" s="1"/>
  <c r="D1980" i="7"/>
  <c r="N1980" i="7" s="1"/>
  <c r="D1981" i="7"/>
  <c r="N1981" i="7" s="1"/>
  <c r="D1982" i="7"/>
  <c r="N1982" i="7" s="1"/>
  <c r="D1983" i="7"/>
  <c r="N1983" i="7" s="1"/>
  <c r="D1984" i="7"/>
  <c r="N1984" i="7" s="1"/>
  <c r="D1985" i="7"/>
  <c r="N1985" i="7" s="1"/>
  <c r="D1986" i="7"/>
  <c r="N1986" i="7" s="1"/>
  <c r="D1987" i="7"/>
  <c r="N1987" i="7" s="1"/>
  <c r="D1988" i="7"/>
  <c r="N1988" i="7" s="1"/>
  <c r="D1989" i="7"/>
  <c r="N1989" i="7" s="1"/>
  <c r="D1990" i="7"/>
  <c r="N1990" i="7" s="1"/>
  <c r="D1991" i="7"/>
  <c r="N1991" i="7" s="1"/>
  <c r="D1992" i="7"/>
  <c r="N1992" i="7" s="1"/>
  <c r="D1993" i="7"/>
  <c r="N1993" i="7" s="1"/>
  <c r="D1994" i="7"/>
  <c r="N1994" i="7" s="1"/>
  <c r="D1995" i="7"/>
  <c r="N1995" i="7" s="1"/>
  <c r="D1996" i="7"/>
  <c r="N1996" i="7" s="1"/>
  <c r="D1997" i="7"/>
  <c r="N1997" i="7" s="1"/>
  <c r="D1998" i="7"/>
  <c r="N1998" i="7" s="1"/>
  <c r="D1999" i="7"/>
  <c r="N1999" i="7" s="1"/>
  <c r="D2000" i="7"/>
  <c r="N2000" i="7" s="1"/>
  <c r="D2001" i="7"/>
  <c r="N2001" i="7" s="1"/>
  <c r="D2002" i="7"/>
  <c r="N2002" i="7" s="1"/>
  <c r="D2003" i="7"/>
  <c r="N2003" i="7" s="1"/>
  <c r="D2004" i="7"/>
  <c r="N2004" i="7" s="1"/>
  <c r="D2005" i="7"/>
  <c r="N2005" i="7" s="1"/>
  <c r="D2006" i="7"/>
  <c r="N2006" i="7" s="1"/>
  <c r="D2007" i="7"/>
  <c r="N2007" i="7" s="1"/>
  <c r="D2008" i="7"/>
  <c r="N2008" i="7" s="1"/>
  <c r="D2009" i="7"/>
  <c r="N2009" i="7" s="1"/>
  <c r="D2010" i="7"/>
  <c r="N2010" i="7" s="1"/>
  <c r="D2011" i="7"/>
  <c r="N2011" i="7" s="1"/>
  <c r="D2012" i="7"/>
  <c r="N2012" i="7" s="1"/>
  <c r="D2013" i="7"/>
  <c r="N2013" i="7" s="1"/>
  <c r="D2014" i="7"/>
  <c r="N2014" i="7" s="1"/>
  <c r="D2015" i="7"/>
  <c r="N2015" i="7" s="1"/>
  <c r="D2016" i="7"/>
  <c r="N2016" i="7" s="1"/>
  <c r="D2017" i="7"/>
  <c r="N2017" i="7" s="1"/>
  <c r="D2018" i="7"/>
  <c r="N2018" i="7" s="1"/>
  <c r="D2019" i="7"/>
  <c r="N2019" i="7" s="1"/>
  <c r="D2020" i="7"/>
  <c r="N2020" i="7" s="1"/>
  <c r="D2021" i="7"/>
  <c r="N2021" i="7" s="1"/>
  <c r="D2022" i="7"/>
  <c r="N2022" i="7" s="1"/>
  <c r="D2023" i="7"/>
  <c r="N2023" i="7" s="1"/>
  <c r="D2024" i="7"/>
  <c r="N2024" i="7" s="1"/>
  <c r="D2025" i="7"/>
  <c r="N2025" i="7" s="1"/>
  <c r="D2026" i="7"/>
  <c r="N2026" i="7" s="1"/>
  <c r="D2027" i="7"/>
  <c r="N2027" i="7" s="1"/>
  <c r="D2028" i="7"/>
  <c r="N2028" i="7" s="1"/>
  <c r="D2029" i="7"/>
  <c r="N2029" i="7" s="1"/>
  <c r="D2030" i="7"/>
  <c r="N2030" i="7" s="1"/>
  <c r="D2031" i="7"/>
  <c r="N2031" i="7" s="1"/>
  <c r="D2032" i="7"/>
  <c r="N2032" i="7" s="1"/>
  <c r="D2033" i="7"/>
  <c r="N2033" i="7" s="1"/>
  <c r="D2034" i="7"/>
  <c r="N2034" i="7" s="1"/>
  <c r="D2035" i="7"/>
  <c r="N2035" i="7" s="1"/>
  <c r="D2036" i="7"/>
  <c r="N2036" i="7" s="1"/>
  <c r="D2037" i="7"/>
  <c r="N2037" i="7" s="1"/>
  <c r="D2038" i="7"/>
  <c r="N2038" i="7" s="1"/>
  <c r="D2039" i="7"/>
  <c r="N2039" i="7" s="1"/>
  <c r="D2040" i="7"/>
  <c r="N2040" i="7" s="1"/>
  <c r="D2041" i="7"/>
  <c r="N2041" i="7" s="1"/>
  <c r="D2042" i="7"/>
  <c r="N2042" i="7" s="1"/>
  <c r="D2043" i="7"/>
  <c r="N2043" i="7" s="1"/>
  <c r="D2044" i="7"/>
  <c r="N2044" i="7" s="1"/>
  <c r="D2045" i="7"/>
  <c r="N2045" i="7" s="1"/>
  <c r="D2046" i="7"/>
  <c r="N2046" i="7" s="1"/>
  <c r="D2047" i="7"/>
  <c r="N2047" i="7" s="1"/>
  <c r="D2048" i="7"/>
  <c r="N2048" i="7" s="1"/>
  <c r="D2049" i="7"/>
  <c r="N2049" i="7" s="1"/>
  <c r="D2050" i="7"/>
  <c r="N2050" i="7" s="1"/>
  <c r="D2051" i="7"/>
  <c r="N2051" i="7" s="1"/>
  <c r="D2052" i="7"/>
  <c r="N2052" i="7" s="1"/>
  <c r="D2053" i="7"/>
  <c r="N2053" i="7" s="1"/>
  <c r="D2054" i="7"/>
  <c r="N2054" i="7" s="1"/>
  <c r="D2055" i="7"/>
  <c r="N2055" i="7" s="1"/>
  <c r="D2056" i="7"/>
  <c r="N2056" i="7" s="1"/>
  <c r="D2057" i="7"/>
  <c r="N2057" i="7" s="1"/>
  <c r="D2058" i="7"/>
  <c r="N2058" i="7" s="1"/>
  <c r="D2059" i="7"/>
  <c r="N2059" i="7" s="1"/>
  <c r="D2060" i="7"/>
  <c r="N2060" i="7" s="1"/>
  <c r="D2061" i="7"/>
  <c r="N2061" i="7" s="1"/>
  <c r="D2062" i="7"/>
  <c r="N2062" i="7" s="1"/>
  <c r="D2063" i="7"/>
  <c r="N2063" i="7" s="1"/>
  <c r="D2064" i="7"/>
  <c r="N2064" i="7" s="1"/>
  <c r="D2065" i="7"/>
  <c r="N2065" i="7" s="1"/>
  <c r="D2066" i="7"/>
  <c r="N2066" i="7" s="1"/>
  <c r="D2067" i="7"/>
  <c r="N2067" i="7" s="1"/>
  <c r="D2068" i="7"/>
  <c r="N2068" i="7" s="1"/>
  <c r="D2069" i="7"/>
  <c r="N2069" i="7" s="1"/>
  <c r="D2070" i="7"/>
  <c r="N2070" i="7" s="1"/>
  <c r="D2071" i="7"/>
  <c r="N2071" i="7" s="1"/>
  <c r="D2072" i="7"/>
  <c r="N2072" i="7" s="1"/>
  <c r="D2073" i="7"/>
  <c r="N2073" i="7" s="1"/>
  <c r="D2074" i="7"/>
  <c r="N2074" i="7" s="1"/>
  <c r="D2075" i="7"/>
  <c r="N2075" i="7" s="1"/>
  <c r="D2076" i="7"/>
  <c r="N2076" i="7" s="1"/>
  <c r="D2077" i="7"/>
  <c r="N2077" i="7" s="1"/>
  <c r="D2078" i="7"/>
  <c r="N2078" i="7" s="1"/>
  <c r="D2079" i="7"/>
  <c r="N2079" i="7" s="1"/>
  <c r="D2080" i="7"/>
  <c r="N2080" i="7" s="1"/>
  <c r="D2081" i="7"/>
  <c r="N2081" i="7" s="1"/>
  <c r="D2082" i="7"/>
  <c r="N2082" i="7" s="1"/>
  <c r="D2083" i="7"/>
  <c r="N2083" i="7" s="1"/>
  <c r="D2084" i="7"/>
  <c r="N2084" i="7" s="1"/>
  <c r="D2085" i="7"/>
  <c r="N2085" i="7" s="1"/>
  <c r="D2086" i="7"/>
  <c r="N2086" i="7" s="1"/>
  <c r="D2087" i="7"/>
  <c r="N2087" i="7" s="1"/>
  <c r="D2088" i="7"/>
  <c r="N2088" i="7" s="1"/>
  <c r="D2089" i="7"/>
  <c r="N2089" i="7" s="1"/>
  <c r="D2090" i="7"/>
  <c r="N2090" i="7" s="1"/>
  <c r="D2091" i="7"/>
  <c r="N2091" i="7" s="1"/>
  <c r="D2092" i="7"/>
  <c r="N2092" i="7" s="1"/>
  <c r="D2093" i="7"/>
  <c r="N2093" i="7" s="1"/>
  <c r="D2094" i="7"/>
  <c r="N2094" i="7" s="1"/>
  <c r="D2095" i="7"/>
  <c r="N2095" i="7" s="1"/>
  <c r="D2096" i="7"/>
  <c r="N2096" i="7" s="1"/>
  <c r="D2097" i="7"/>
  <c r="N2097" i="7" s="1"/>
  <c r="D2098" i="7"/>
  <c r="N2098" i="7" s="1"/>
  <c r="D2099" i="7"/>
  <c r="N2099" i="7" s="1"/>
  <c r="D2100" i="7"/>
  <c r="N2100" i="7" s="1"/>
  <c r="D2101" i="7"/>
  <c r="N2101" i="7" s="1"/>
  <c r="D2102" i="7"/>
  <c r="N2102" i="7" s="1"/>
  <c r="D2103" i="7"/>
  <c r="N2103" i="7" s="1"/>
  <c r="D2104" i="7"/>
  <c r="N2104" i="7" s="1"/>
  <c r="D2105" i="7"/>
  <c r="N2105" i="7" s="1"/>
  <c r="D2106" i="7"/>
  <c r="N2106" i="7" s="1"/>
  <c r="D2107" i="7"/>
  <c r="N2107" i="7" s="1"/>
  <c r="D2108" i="7"/>
  <c r="N2108" i="7" s="1"/>
  <c r="D2109" i="7"/>
  <c r="N2109" i="7" s="1"/>
  <c r="D2110" i="7"/>
  <c r="N2110" i="7" s="1"/>
  <c r="D2111" i="7"/>
  <c r="N2111" i="7" s="1"/>
  <c r="D2112" i="7"/>
  <c r="N2112" i="7" s="1"/>
  <c r="D2113" i="7"/>
  <c r="N2113" i="7" s="1"/>
  <c r="D2114" i="7"/>
  <c r="N2114" i="7" s="1"/>
  <c r="D2115" i="7"/>
  <c r="N2115" i="7" s="1"/>
  <c r="D2116" i="7"/>
  <c r="N2116" i="7" s="1"/>
  <c r="D2117" i="7"/>
  <c r="N2117" i="7" s="1"/>
  <c r="D2118" i="7"/>
  <c r="N2118" i="7" s="1"/>
  <c r="D2119" i="7"/>
  <c r="N2119" i="7" s="1"/>
  <c r="D2120" i="7"/>
  <c r="N2120" i="7" s="1"/>
  <c r="D2121" i="7"/>
  <c r="N2121" i="7" s="1"/>
  <c r="D2122" i="7"/>
  <c r="N2122" i="7" s="1"/>
  <c r="D2123" i="7"/>
  <c r="N2123" i="7" s="1"/>
  <c r="D2124" i="7"/>
  <c r="N2124" i="7" s="1"/>
  <c r="D2125" i="7"/>
  <c r="N2125" i="7" s="1"/>
  <c r="D2126" i="7"/>
  <c r="N2126" i="7" s="1"/>
  <c r="D2127" i="7"/>
  <c r="N2127" i="7" s="1"/>
  <c r="D2128" i="7"/>
  <c r="N2128" i="7" s="1"/>
  <c r="D2129" i="7"/>
  <c r="N2129" i="7" s="1"/>
  <c r="D2130" i="7"/>
  <c r="N2130" i="7" s="1"/>
  <c r="D2131" i="7"/>
  <c r="N2131" i="7" s="1"/>
  <c r="D2132" i="7"/>
  <c r="N2132" i="7" s="1"/>
  <c r="D2133" i="7"/>
  <c r="N2133" i="7" s="1"/>
  <c r="D2134" i="7"/>
  <c r="N2134" i="7" s="1"/>
  <c r="D2135" i="7"/>
  <c r="N2135" i="7" s="1"/>
  <c r="D2136" i="7"/>
  <c r="N2136" i="7" s="1"/>
  <c r="D2137" i="7"/>
  <c r="N2137" i="7" s="1"/>
  <c r="D2138" i="7"/>
  <c r="N2138" i="7" s="1"/>
  <c r="D2139" i="7"/>
  <c r="N2139" i="7" s="1"/>
  <c r="D2140" i="7"/>
  <c r="N2140" i="7" s="1"/>
  <c r="D2141" i="7"/>
  <c r="N2141" i="7" s="1"/>
  <c r="D2142" i="7"/>
  <c r="N2142" i="7" s="1"/>
  <c r="D2143" i="7"/>
  <c r="N2143" i="7" s="1"/>
  <c r="D2144" i="7"/>
  <c r="N2144" i="7" s="1"/>
  <c r="D2145" i="7"/>
  <c r="N2145" i="7" s="1"/>
  <c r="D2146" i="7"/>
  <c r="N2146" i="7" s="1"/>
  <c r="D2147" i="7"/>
  <c r="N2147" i="7" s="1"/>
  <c r="D2148" i="7"/>
  <c r="N2148" i="7" s="1"/>
  <c r="D2149" i="7"/>
  <c r="N2149" i="7" s="1"/>
  <c r="D2150" i="7"/>
  <c r="N2150" i="7" s="1"/>
  <c r="D2151" i="7"/>
  <c r="N2151" i="7" s="1"/>
  <c r="D2152" i="7"/>
  <c r="N2152" i="7" s="1"/>
  <c r="D2153" i="7"/>
  <c r="N2153" i="7" s="1"/>
  <c r="D2154" i="7"/>
  <c r="N2154" i="7" s="1"/>
  <c r="D2155" i="7"/>
  <c r="N2155" i="7" s="1"/>
  <c r="D2156" i="7"/>
  <c r="N2156" i="7" s="1"/>
  <c r="D2157" i="7"/>
  <c r="N2157" i="7" s="1"/>
  <c r="D2158" i="7"/>
  <c r="N2158" i="7" s="1"/>
  <c r="D2159" i="7"/>
  <c r="N2159" i="7" s="1"/>
  <c r="D2160" i="7"/>
  <c r="N2160" i="7" s="1"/>
  <c r="D2161" i="7"/>
  <c r="N2161" i="7" s="1"/>
  <c r="D2162" i="7"/>
  <c r="N2162" i="7" s="1"/>
  <c r="D2163" i="7"/>
  <c r="N2163" i="7" s="1"/>
  <c r="D2164" i="7"/>
  <c r="N2164" i="7" s="1"/>
  <c r="D2165" i="7"/>
  <c r="N2165" i="7" s="1"/>
  <c r="D2166" i="7"/>
  <c r="N2166" i="7" s="1"/>
  <c r="D2167" i="7"/>
  <c r="N2167" i="7" s="1"/>
  <c r="D2168" i="7"/>
  <c r="N2168" i="7" s="1"/>
  <c r="D2169" i="7"/>
  <c r="N2169" i="7" s="1"/>
  <c r="D2170" i="7"/>
  <c r="N2170" i="7" s="1"/>
  <c r="D2171" i="7"/>
  <c r="N2171" i="7" s="1"/>
  <c r="D2172" i="7"/>
  <c r="N2172" i="7" s="1"/>
  <c r="D2173" i="7"/>
  <c r="N2173" i="7" s="1"/>
  <c r="D2174" i="7"/>
  <c r="N2174" i="7" s="1"/>
  <c r="D2175" i="7"/>
  <c r="N2175" i="7" s="1"/>
  <c r="D2176" i="7"/>
  <c r="N2176" i="7" s="1"/>
  <c r="D2177" i="7"/>
  <c r="N2177" i="7" s="1"/>
  <c r="D2178" i="7"/>
  <c r="N2178" i="7" s="1"/>
  <c r="D2179" i="7"/>
  <c r="N2179" i="7" s="1"/>
  <c r="D2180" i="7"/>
  <c r="N2180" i="7" s="1"/>
  <c r="D2181" i="7"/>
  <c r="N2181" i="7" s="1"/>
  <c r="D2182" i="7"/>
  <c r="N2182" i="7" s="1"/>
  <c r="D2183" i="7"/>
  <c r="N2183" i="7" s="1"/>
  <c r="D2184" i="7"/>
  <c r="N2184" i="7" s="1"/>
  <c r="D2185" i="7"/>
  <c r="N2185" i="7" s="1"/>
  <c r="D2186" i="7"/>
  <c r="N2186" i="7" s="1"/>
  <c r="D2187" i="7"/>
  <c r="N2187" i="7" s="1"/>
  <c r="D2188" i="7"/>
  <c r="N2188" i="7" s="1"/>
  <c r="D2189" i="7"/>
  <c r="N2189" i="7" s="1"/>
  <c r="D2190" i="7"/>
  <c r="N2190" i="7" s="1"/>
  <c r="D2191" i="7"/>
  <c r="N2191" i="7" s="1"/>
  <c r="D2192" i="7"/>
  <c r="N2192" i="7" s="1"/>
  <c r="D2193" i="7"/>
  <c r="N2193" i="7" s="1"/>
  <c r="D2194" i="7"/>
  <c r="N2194" i="7" s="1"/>
  <c r="D2195" i="7"/>
  <c r="N2195" i="7" s="1"/>
  <c r="D2196" i="7"/>
  <c r="N2196" i="7" s="1"/>
  <c r="D2197" i="7"/>
  <c r="N2197" i="7" s="1"/>
  <c r="D2198" i="7"/>
  <c r="N2198" i="7" s="1"/>
  <c r="D2199" i="7"/>
  <c r="N2199" i="7" s="1"/>
  <c r="D2200" i="7"/>
  <c r="N2200" i="7" s="1"/>
  <c r="D2201" i="7"/>
  <c r="N2201" i="7" s="1"/>
  <c r="D2202" i="7"/>
  <c r="N2202" i="7" s="1"/>
  <c r="D2203" i="7"/>
  <c r="N2203" i="7" s="1"/>
  <c r="D2204" i="7"/>
  <c r="N2204" i="7" s="1"/>
  <c r="D2205" i="7"/>
  <c r="N2205" i="7" s="1"/>
  <c r="D2206" i="7"/>
  <c r="N2206" i="7" s="1"/>
  <c r="D2207" i="7"/>
  <c r="N2207" i="7" s="1"/>
  <c r="D2208" i="7"/>
  <c r="N2208" i="7" s="1"/>
  <c r="D2209" i="7"/>
  <c r="N2209" i="7" s="1"/>
  <c r="D2210" i="7"/>
  <c r="N2210" i="7" s="1"/>
  <c r="D2211" i="7"/>
  <c r="N2211" i="7" s="1"/>
  <c r="D2212" i="7"/>
  <c r="N2212" i="7" s="1"/>
  <c r="D2213" i="7"/>
  <c r="N2213" i="7" s="1"/>
  <c r="D2214" i="7"/>
  <c r="N2214" i="7" s="1"/>
  <c r="D2215" i="7"/>
  <c r="N2215" i="7" s="1"/>
  <c r="D2216" i="7"/>
  <c r="N2216" i="7" s="1"/>
  <c r="D2217" i="7"/>
  <c r="N2217" i="7" s="1"/>
  <c r="D2218" i="7"/>
  <c r="N2218" i="7" s="1"/>
  <c r="D2219" i="7"/>
  <c r="N2219" i="7" s="1"/>
  <c r="D2220" i="7"/>
  <c r="N2220" i="7" s="1"/>
  <c r="D2221" i="7"/>
  <c r="N2221" i="7" s="1"/>
  <c r="D2222" i="7"/>
  <c r="N2222" i="7" s="1"/>
  <c r="D2223" i="7"/>
  <c r="N2223" i="7" s="1"/>
  <c r="D2224" i="7"/>
  <c r="N2224" i="7" s="1"/>
  <c r="D2225" i="7"/>
  <c r="N2225" i="7" s="1"/>
  <c r="D2226" i="7"/>
  <c r="N2226" i="7" s="1"/>
  <c r="D2227" i="7"/>
  <c r="N2227" i="7" s="1"/>
  <c r="D2228" i="7"/>
  <c r="N2228" i="7" s="1"/>
  <c r="D2229" i="7"/>
  <c r="N2229" i="7" s="1"/>
  <c r="D2230" i="7"/>
  <c r="N2230" i="7" s="1"/>
  <c r="D2231" i="7"/>
  <c r="N2231" i="7" s="1"/>
  <c r="D2232" i="7"/>
  <c r="N2232" i="7" s="1"/>
  <c r="D2233" i="7"/>
  <c r="N2233" i="7" s="1"/>
  <c r="D2234" i="7"/>
  <c r="N2234" i="7" s="1"/>
  <c r="D2235" i="7"/>
  <c r="N2235" i="7" s="1"/>
  <c r="D2236" i="7"/>
  <c r="N2236" i="7" s="1"/>
  <c r="D2237" i="7"/>
  <c r="N2237" i="7" s="1"/>
  <c r="D2238" i="7"/>
  <c r="N2238" i="7" s="1"/>
  <c r="D2239" i="7"/>
  <c r="N2239" i="7" s="1"/>
  <c r="D2240" i="7"/>
  <c r="N2240" i="7" s="1"/>
  <c r="D2241" i="7"/>
  <c r="N2241" i="7" s="1"/>
  <c r="D2242" i="7"/>
  <c r="N2242" i="7" s="1"/>
  <c r="D2243" i="7"/>
  <c r="N2243" i="7" s="1"/>
  <c r="D2244" i="7"/>
  <c r="N2244" i="7" s="1"/>
  <c r="D2245" i="7"/>
  <c r="N2245" i="7" s="1"/>
  <c r="D2246" i="7"/>
  <c r="N2246" i="7" s="1"/>
  <c r="D2247" i="7"/>
  <c r="N2247" i="7" s="1"/>
  <c r="D2248" i="7"/>
  <c r="N2248" i="7" s="1"/>
  <c r="D2249" i="7"/>
  <c r="N2249" i="7" s="1"/>
  <c r="D2250" i="7"/>
  <c r="N2250" i="7" s="1"/>
  <c r="D2251" i="7"/>
  <c r="N2251" i="7" s="1"/>
  <c r="D2252" i="7"/>
  <c r="N2252" i="7" s="1"/>
  <c r="D2253" i="7"/>
  <c r="N2253" i="7" s="1"/>
  <c r="D2254" i="7"/>
  <c r="N2254" i="7" s="1"/>
  <c r="D2255" i="7"/>
  <c r="N2255" i="7" s="1"/>
  <c r="D2256" i="7"/>
  <c r="N2256" i="7" s="1"/>
  <c r="D2257" i="7"/>
  <c r="N2257" i="7" s="1"/>
  <c r="D2258" i="7"/>
  <c r="N2258" i="7" s="1"/>
  <c r="D2259" i="7"/>
  <c r="N2259" i="7" s="1"/>
  <c r="D2260" i="7"/>
  <c r="N2260" i="7" s="1"/>
  <c r="D2261" i="7"/>
  <c r="N2261" i="7" s="1"/>
  <c r="D2262" i="7"/>
  <c r="N2262" i="7" s="1"/>
  <c r="D2263" i="7"/>
  <c r="N2263" i="7" s="1"/>
  <c r="D2264" i="7"/>
  <c r="N2264" i="7" s="1"/>
  <c r="D2265" i="7"/>
  <c r="N2265" i="7" s="1"/>
  <c r="D2266" i="7"/>
  <c r="N2266" i="7" s="1"/>
  <c r="D2267" i="7"/>
  <c r="N2267" i="7" s="1"/>
  <c r="D2268" i="7"/>
  <c r="N2268" i="7" s="1"/>
  <c r="D2269" i="7"/>
  <c r="N2269" i="7" s="1"/>
  <c r="D2270" i="7"/>
  <c r="N2270" i="7" s="1"/>
  <c r="D2271" i="7"/>
  <c r="N2271" i="7" s="1"/>
  <c r="D2272" i="7"/>
  <c r="N2272" i="7" s="1"/>
  <c r="D2273" i="7"/>
  <c r="N2273" i="7" s="1"/>
  <c r="D2274" i="7"/>
  <c r="N2274" i="7" s="1"/>
  <c r="D2275" i="7"/>
  <c r="N2275" i="7" s="1"/>
  <c r="D2276" i="7"/>
  <c r="N2276" i="7" s="1"/>
  <c r="D2277" i="7"/>
  <c r="N2277" i="7" s="1"/>
  <c r="D2278" i="7"/>
  <c r="N2278" i="7" s="1"/>
  <c r="D2279" i="7"/>
  <c r="N2279" i="7" s="1"/>
  <c r="D2280" i="7"/>
  <c r="N2280" i="7" s="1"/>
  <c r="D2281" i="7"/>
  <c r="N2281" i="7" s="1"/>
  <c r="D2282" i="7"/>
  <c r="N2282" i="7" s="1"/>
  <c r="D2283" i="7"/>
  <c r="N2283" i="7" s="1"/>
  <c r="D2284" i="7"/>
  <c r="N2284" i="7" s="1"/>
  <c r="D2285" i="7"/>
  <c r="N2285" i="7" s="1"/>
  <c r="D2286" i="7"/>
  <c r="N2286" i="7" s="1"/>
  <c r="D2287" i="7"/>
  <c r="N2287" i="7" s="1"/>
  <c r="D2288" i="7"/>
  <c r="N2288" i="7" s="1"/>
  <c r="D2289" i="7"/>
  <c r="N2289" i="7" s="1"/>
  <c r="D2290" i="7"/>
  <c r="N2290" i="7" s="1"/>
  <c r="D2291" i="7"/>
  <c r="N2291" i="7" s="1"/>
  <c r="D2292" i="7"/>
  <c r="N2292" i="7" s="1"/>
  <c r="D2293" i="7"/>
  <c r="N2293" i="7" s="1"/>
  <c r="D2294" i="7"/>
  <c r="N2294" i="7" s="1"/>
  <c r="D2295" i="7"/>
  <c r="N2295" i="7" s="1"/>
  <c r="D2296" i="7"/>
  <c r="N2296" i="7" s="1"/>
  <c r="D2297" i="7"/>
  <c r="N2297" i="7" s="1"/>
  <c r="D2298" i="7"/>
  <c r="N2298" i="7" s="1"/>
  <c r="D2299" i="7"/>
  <c r="N2299" i="7" s="1"/>
  <c r="D2300" i="7"/>
  <c r="N2300" i="7" s="1"/>
  <c r="D2301" i="7"/>
  <c r="N2301" i="7" s="1"/>
  <c r="D2302" i="7"/>
  <c r="N2302" i="7" s="1"/>
  <c r="D2303" i="7"/>
  <c r="N2303" i="7" s="1"/>
  <c r="D2304" i="7"/>
  <c r="N2304" i="7" s="1"/>
  <c r="D2305" i="7"/>
  <c r="N2305" i="7" s="1"/>
  <c r="D2306" i="7"/>
  <c r="N2306" i="7" s="1"/>
  <c r="D2307" i="7"/>
  <c r="N2307" i="7" s="1"/>
  <c r="D2308" i="7"/>
  <c r="N2308" i="7" s="1"/>
  <c r="D2309" i="7"/>
  <c r="N2309" i="7" s="1"/>
  <c r="D2310" i="7"/>
  <c r="N2310" i="7" s="1"/>
  <c r="D2311" i="7"/>
  <c r="N2311" i="7" s="1"/>
  <c r="D2312" i="7"/>
  <c r="N2312" i="7" s="1"/>
  <c r="D2313" i="7"/>
  <c r="N2313" i="7" s="1"/>
  <c r="D2314" i="7"/>
  <c r="N2314" i="7" s="1"/>
  <c r="D2315" i="7"/>
  <c r="N2315" i="7" s="1"/>
  <c r="D2316" i="7"/>
  <c r="N2316" i="7" s="1"/>
  <c r="D2317" i="7"/>
  <c r="N2317" i="7" s="1"/>
  <c r="D2318" i="7"/>
  <c r="N2318" i="7" s="1"/>
  <c r="D2319" i="7"/>
  <c r="N2319" i="7" s="1"/>
  <c r="D2320" i="7"/>
  <c r="N2320" i="7" s="1"/>
  <c r="D2321" i="7"/>
  <c r="N2321" i="7" s="1"/>
  <c r="D2322" i="7"/>
  <c r="N2322" i="7" s="1"/>
  <c r="D2323" i="7"/>
  <c r="N2323" i="7" s="1"/>
  <c r="D2324" i="7"/>
  <c r="N2324" i="7" s="1"/>
  <c r="D2325" i="7"/>
  <c r="N2325" i="7" s="1"/>
  <c r="D2326" i="7"/>
  <c r="N2326" i="7" s="1"/>
  <c r="D2327" i="7"/>
  <c r="N2327" i="7" s="1"/>
  <c r="D2328" i="7"/>
  <c r="N2328" i="7" s="1"/>
  <c r="D2329" i="7"/>
  <c r="N2329" i="7" s="1"/>
  <c r="D2330" i="7"/>
  <c r="N2330" i="7" s="1"/>
  <c r="D2331" i="7"/>
  <c r="N2331" i="7" s="1"/>
  <c r="D2332" i="7"/>
  <c r="N2332" i="7" s="1"/>
  <c r="D2333" i="7"/>
  <c r="N2333" i="7" s="1"/>
  <c r="D2334" i="7"/>
  <c r="N2334" i="7" s="1"/>
  <c r="D2335" i="7"/>
  <c r="N2335" i="7" s="1"/>
  <c r="D2336" i="7"/>
  <c r="N2336" i="7" s="1"/>
  <c r="D2337" i="7"/>
  <c r="N2337" i="7" s="1"/>
  <c r="D2338" i="7"/>
  <c r="N2338" i="7" s="1"/>
  <c r="D2339" i="7"/>
  <c r="N2339" i="7" s="1"/>
  <c r="D2340" i="7"/>
  <c r="N2340" i="7" s="1"/>
  <c r="D2341" i="7"/>
  <c r="N2341" i="7" s="1"/>
  <c r="D2342" i="7"/>
  <c r="N2342" i="7" s="1"/>
  <c r="D2343" i="7"/>
  <c r="N2343" i="7" s="1"/>
  <c r="D2344" i="7"/>
  <c r="N2344" i="7" s="1"/>
  <c r="D2345" i="7"/>
  <c r="N2345" i="7" s="1"/>
  <c r="D2346" i="7"/>
  <c r="N2346" i="7" s="1"/>
  <c r="D2347" i="7"/>
  <c r="N2347" i="7" s="1"/>
  <c r="D2348" i="7"/>
  <c r="N2348" i="7" s="1"/>
  <c r="D2349" i="7"/>
  <c r="N2349" i="7" s="1"/>
  <c r="D2350" i="7"/>
  <c r="N2350" i="7" s="1"/>
  <c r="D2351" i="7"/>
  <c r="N2351" i="7" s="1"/>
  <c r="D2352" i="7"/>
  <c r="N2352" i="7" s="1"/>
  <c r="D2353" i="7"/>
  <c r="N2353" i="7" s="1"/>
  <c r="D2354" i="7"/>
  <c r="N2354" i="7" s="1"/>
  <c r="D2355" i="7"/>
  <c r="N2355" i="7" s="1"/>
  <c r="D2356" i="7"/>
  <c r="N2356" i="7" s="1"/>
  <c r="D2357" i="7"/>
  <c r="N2357" i="7" s="1"/>
  <c r="D2358" i="7"/>
  <c r="N2358" i="7" s="1"/>
  <c r="D2359" i="7"/>
  <c r="N2359" i="7" s="1"/>
  <c r="D2360" i="7"/>
  <c r="N2360" i="7" s="1"/>
  <c r="D2361" i="7"/>
  <c r="N2361" i="7" s="1"/>
  <c r="D2362" i="7"/>
  <c r="N2362" i="7" s="1"/>
  <c r="D2363" i="7"/>
  <c r="N2363" i="7" s="1"/>
  <c r="D2364" i="7"/>
  <c r="N2364" i="7" s="1"/>
  <c r="D2365" i="7"/>
  <c r="N2365" i="7" s="1"/>
  <c r="D2366" i="7"/>
  <c r="N2366" i="7" s="1"/>
  <c r="D2367" i="7"/>
  <c r="N2367" i="7" s="1"/>
  <c r="D2368" i="7"/>
  <c r="N2368" i="7" s="1"/>
  <c r="D2369" i="7"/>
  <c r="N2369" i="7" s="1"/>
  <c r="D2370" i="7"/>
  <c r="N2370" i="7" s="1"/>
  <c r="D2371" i="7"/>
  <c r="N2371" i="7" s="1"/>
  <c r="D2372" i="7"/>
  <c r="N2372" i="7" s="1"/>
  <c r="D2373" i="7"/>
  <c r="N2373" i="7" s="1"/>
  <c r="D2374" i="7"/>
  <c r="N2374" i="7" s="1"/>
  <c r="D2375" i="7"/>
  <c r="N2375" i="7" s="1"/>
  <c r="D2376" i="7"/>
  <c r="N2376" i="7" s="1"/>
  <c r="D2377" i="7"/>
  <c r="N2377" i="7" s="1"/>
  <c r="D2378" i="7"/>
  <c r="N2378" i="7" s="1"/>
  <c r="D2379" i="7"/>
  <c r="N2379" i="7" s="1"/>
  <c r="D2380" i="7"/>
  <c r="N2380" i="7" s="1"/>
  <c r="D2381" i="7"/>
  <c r="N2381" i="7" s="1"/>
  <c r="D2382" i="7"/>
  <c r="N2382" i="7" s="1"/>
  <c r="D2383" i="7"/>
  <c r="N2383" i="7" s="1"/>
  <c r="D2384" i="7"/>
  <c r="N2384" i="7" s="1"/>
  <c r="D2385" i="7"/>
  <c r="N2385" i="7" s="1"/>
  <c r="D2386" i="7"/>
  <c r="N2386" i="7" s="1"/>
  <c r="D2387" i="7"/>
  <c r="N2387" i="7" s="1"/>
  <c r="D2388" i="7"/>
  <c r="N2388" i="7" s="1"/>
  <c r="D2389" i="7"/>
  <c r="N2389" i="7" s="1"/>
  <c r="D2390" i="7"/>
  <c r="N2390" i="7" s="1"/>
  <c r="D2391" i="7"/>
  <c r="N2391" i="7" s="1"/>
  <c r="D2392" i="7"/>
  <c r="N2392" i="7" s="1"/>
  <c r="D2393" i="7"/>
  <c r="N2393" i="7" s="1"/>
  <c r="D2394" i="7"/>
  <c r="N2394" i="7" s="1"/>
  <c r="D2395" i="7"/>
  <c r="N2395" i="7" s="1"/>
  <c r="D2396" i="7"/>
  <c r="N2396" i="7" s="1"/>
  <c r="D2397" i="7"/>
  <c r="N2397" i="7" s="1"/>
  <c r="D2398" i="7"/>
  <c r="N2398" i="7" s="1"/>
  <c r="D2399" i="7"/>
  <c r="N2399" i="7" s="1"/>
  <c r="D2400" i="7"/>
  <c r="N2400" i="7" s="1"/>
  <c r="D2401" i="7"/>
  <c r="N2401" i="7" s="1"/>
  <c r="D2402" i="7"/>
  <c r="N2402" i="7" s="1"/>
  <c r="D2403" i="7"/>
  <c r="N2403" i="7" s="1"/>
  <c r="D2404" i="7"/>
  <c r="N2404" i="7" s="1"/>
  <c r="D2405" i="7"/>
  <c r="N2405" i="7" s="1"/>
  <c r="D2406" i="7"/>
  <c r="N2406" i="7" s="1"/>
  <c r="D2407" i="7"/>
  <c r="N2407" i="7" s="1"/>
  <c r="D2408" i="7"/>
  <c r="N2408" i="7" s="1"/>
  <c r="D2409" i="7"/>
  <c r="N2409" i="7" s="1"/>
  <c r="D2410" i="7"/>
  <c r="N2410" i="7" s="1"/>
  <c r="D2411" i="7"/>
  <c r="N2411" i="7" s="1"/>
  <c r="D2412" i="7"/>
  <c r="N2412" i="7" s="1"/>
  <c r="D2413" i="7"/>
  <c r="N2413" i="7" s="1"/>
  <c r="D2414" i="7"/>
  <c r="N2414" i="7" s="1"/>
  <c r="D2415" i="7"/>
  <c r="N2415" i="7" s="1"/>
  <c r="D2416" i="7"/>
  <c r="N2416" i="7" s="1"/>
  <c r="D2417" i="7"/>
  <c r="N2417" i="7" s="1"/>
  <c r="D2418" i="7"/>
  <c r="N2418" i="7" s="1"/>
  <c r="D2419" i="7"/>
  <c r="N2419" i="7" s="1"/>
  <c r="D2420" i="7"/>
  <c r="N2420" i="7" s="1"/>
  <c r="D2421" i="7"/>
  <c r="N2421" i="7" s="1"/>
  <c r="D2422" i="7"/>
  <c r="N2422" i="7" s="1"/>
  <c r="D2423" i="7"/>
  <c r="N2423" i="7" s="1"/>
  <c r="D2424" i="7"/>
  <c r="N2424" i="7" s="1"/>
  <c r="D2425" i="7"/>
  <c r="N2425" i="7" s="1"/>
  <c r="D2426" i="7"/>
  <c r="N2426" i="7" s="1"/>
  <c r="D2427" i="7"/>
  <c r="N2427" i="7" s="1"/>
  <c r="D2428" i="7"/>
  <c r="N2428" i="7" s="1"/>
  <c r="D2429" i="7"/>
  <c r="N2429" i="7" s="1"/>
  <c r="D2430" i="7"/>
  <c r="N2430" i="7" s="1"/>
  <c r="D2431" i="7"/>
  <c r="N2431" i="7" s="1"/>
  <c r="D2432" i="7"/>
  <c r="N2432" i="7" s="1"/>
  <c r="D2433" i="7"/>
  <c r="N2433" i="7" s="1"/>
  <c r="D2434" i="7"/>
  <c r="N2434" i="7" s="1"/>
  <c r="D2435" i="7"/>
  <c r="N2435" i="7" s="1"/>
  <c r="D2436" i="7"/>
  <c r="N2436" i="7" s="1"/>
  <c r="D2437" i="7"/>
  <c r="N2437" i="7" s="1"/>
  <c r="D2438" i="7"/>
  <c r="N2438" i="7" s="1"/>
  <c r="D2439" i="7"/>
  <c r="N2439" i="7" s="1"/>
  <c r="D2440" i="7"/>
  <c r="N2440" i="7" s="1"/>
  <c r="D2441" i="7"/>
  <c r="N2441" i="7" s="1"/>
  <c r="D2442" i="7"/>
  <c r="N2442" i="7" s="1"/>
  <c r="D2443" i="7"/>
  <c r="N2443" i="7" s="1"/>
  <c r="D2444" i="7"/>
  <c r="N2444" i="7" s="1"/>
  <c r="D2445" i="7"/>
  <c r="N2445" i="7" s="1"/>
  <c r="D2446" i="7"/>
  <c r="N2446" i="7" s="1"/>
  <c r="D2447" i="7"/>
  <c r="N2447" i="7" s="1"/>
  <c r="D2448" i="7"/>
  <c r="N2448" i="7" s="1"/>
  <c r="D2449" i="7"/>
  <c r="N2449" i="7" s="1"/>
  <c r="D2450" i="7"/>
  <c r="N2450" i="7" s="1"/>
  <c r="D2451" i="7"/>
  <c r="N2451" i="7" s="1"/>
  <c r="D2452" i="7"/>
  <c r="N2452" i="7" s="1"/>
  <c r="D2453" i="7"/>
  <c r="N2453" i="7" s="1"/>
  <c r="D2454" i="7"/>
  <c r="N2454" i="7" s="1"/>
  <c r="D2455" i="7"/>
  <c r="N2455" i="7" s="1"/>
  <c r="D2456" i="7"/>
  <c r="N2456" i="7" s="1"/>
  <c r="D2457" i="7"/>
  <c r="N2457" i="7" s="1"/>
  <c r="D2458" i="7"/>
  <c r="N2458" i="7" s="1"/>
  <c r="D2459" i="7"/>
  <c r="N2459" i="7" s="1"/>
  <c r="D2460" i="7"/>
  <c r="N2460" i="7" s="1"/>
  <c r="D2461" i="7"/>
  <c r="N2461" i="7" s="1"/>
  <c r="D2462" i="7"/>
  <c r="N2462" i="7" s="1"/>
  <c r="D2463" i="7"/>
  <c r="N2463" i="7" s="1"/>
  <c r="D2464" i="7"/>
  <c r="N2464" i="7" s="1"/>
  <c r="D2465" i="7"/>
  <c r="N2465" i="7" s="1"/>
  <c r="D2466" i="7"/>
  <c r="N2466" i="7" s="1"/>
  <c r="D2467" i="7"/>
  <c r="N2467" i="7" s="1"/>
  <c r="D2468" i="7"/>
  <c r="N2468" i="7" s="1"/>
  <c r="D2469" i="7"/>
  <c r="N2469" i="7" s="1"/>
  <c r="D2470" i="7"/>
  <c r="N2470" i="7" s="1"/>
  <c r="D2471" i="7"/>
  <c r="N2471" i="7" s="1"/>
  <c r="D2472" i="7"/>
  <c r="N2472" i="7" s="1"/>
  <c r="D2473" i="7"/>
  <c r="N2473" i="7" s="1"/>
  <c r="D2474" i="7"/>
  <c r="N2474" i="7" s="1"/>
  <c r="D2475" i="7"/>
  <c r="N2475" i="7" s="1"/>
  <c r="D2476" i="7"/>
  <c r="N2476" i="7" s="1"/>
  <c r="D2477" i="7"/>
  <c r="N2477" i="7" s="1"/>
  <c r="D2478" i="7"/>
  <c r="N2478" i="7" s="1"/>
  <c r="D2479" i="7"/>
  <c r="N2479" i="7" s="1"/>
  <c r="D2480" i="7"/>
  <c r="N2480" i="7" s="1"/>
  <c r="D2481" i="7"/>
  <c r="N2481" i="7" s="1"/>
  <c r="D2482" i="7"/>
  <c r="N2482" i="7" s="1"/>
  <c r="D2483" i="7"/>
  <c r="N2483" i="7" s="1"/>
  <c r="D2484" i="7"/>
  <c r="N2484" i="7" s="1"/>
  <c r="D2485" i="7"/>
  <c r="N2485" i="7" s="1"/>
  <c r="D2486" i="7"/>
  <c r="N2486" i="7" s="1"/>
  <c r="D2487" i="7"/>
  <c r="N2487" i="7" s="1"/>
  <c r="D2488" i="7"/>
  <c r="N2488" i="7" s="1"/>
  <c r="D2489" i="7"/>
  <c r="N2489" i="7" s="1"/>
  <c r="D2490" i="7"/>
  <c r="N2490" i="7" s="1"/>
  <c r="D2491" i="7"/>
  <c r="N2491" i="7" s="1"/>
  <c r="D2492" i="7"/>
  <c r="N2492" i="7" s="1"/>
  <c r="D2493" i="7"/>
  <c r="N2493" i="7" s="1"/>
  <c r="D2494" i="7"/>
  <c r="N2494" i="7" s="1"/>
  <c r="D2495" i="7"/>
  <c r="N2495" i="7" s="1"/>
  <c r="D2496" i="7"/>
  <c r="N2496" i="7" s="1"/>
  <c r="D2497" i="7"/>
  <c r="N2497" i="7" s="1"/>
  <c r="D2498" i="7"/>
  <c r="N2498" i="7" s="1"/>
  <c r="D2499" i="7"/>
  <c r="N2499" i="7" s="1"/>
  <c r="D2500" i="7"/>
  <c r="N2500" i="7" s="1"/>
  <c r="D2501" i="7"/>
  <c r="N2501" i="7" s="1"/>
  <c r="D2502" i="7"/>
  <c r="N2502" i="7" s="1"/>
  <c r="D2503" i="7"/>
  <c r="N2503" i="7" s="1"/>
  <c r="D2504" i="7"/>
  <c r="N2504" i="7" s="1"/>
  <c r="D2505" i="7"/>
  <c r="N2505" i="7" s="1"/>
  <c r="D2506" i="7"/>
  <c r="N2506" i="7" s="1"/>
  <c r="D2507" i="7"/>
  <c r="N2507" i="7" s="1"/>
  <c r="D2508" i="7"/>
  <c r="N2508" i="7" s="1"/>
  <c r="D2509" i="7"/>
  <c r="N2509" i="7" s="1"/>
  <c r="D2510" i="7"/>
  <c r="N2510" i="7" s="1"/>
  <c r="D2511" i="7"/>
  <c r="N2511" i="7" s="1"/>
  <c r="D2512" i="7"/>
  <c r="N2512" i="7" s="1"/>
  <c r="D2513" i="7"/>
  <c r="N2513" i="7" s="1"/>
  <c r="D2514" i="7"/>
  <c r="N2514" i="7" s="1"/>
  <c r="D2515" i="7"/>
  <c r="N2515" i="7" s="1"/>
  <c r="D2516" i="7"/>
  <c r="N2516" i="7" s="1"/>
  <c r="D2517" i="7"/>
  <c r="N2517" i="7" s="1"/>
  <c r="D2518" i="7"/>
  <c r="N2518" i="7" s="1"/>
  <c r="D2519" i="7"/>
  <c r="N2519" i="7" s="1"/>
  <c r="D2520" i="7"/>
  <c r="N2520" i="7" s="1"/>
  <c r="D2521" i="7"/>
  <c r="N2521" i="7" s="1"/>
  <c r="D2522" i="7"/>
  <c r="N2522" i="7" s="1"/>
  <c r="D2523" i="7"/>
  <c r="N2523" i="7" s="1"/>
  <c r="D2524" i="7"/>
  <c r="N2524" i="7" s="1"/>
  <c r="D2525" i="7"/>
  <c r="N2525" i="7" s="1"/>
  <c r="D2526" i="7"/>
  <c r="N2526" i="7" s="1"/>
  <c r="D2527" i="7"/>
  <c r="N2527" i="7" s="1"/>
  <c r="D2528" i="7"/>
  <c r="N2528" i="7" s="1"/>
  <c r="D2529" i="7"/>
  <c r="N2529" i="7" s="1"/>
  <c r="D2530" i="7"/>
  <c r="N2530" i="7" s="1"/>
  <c r="D2531" i="7"/>
  <c r="N2531" i="7" s="1"/>
  <c r="D2532" i="7"/>
  <c r="N2532" i="7" s="1"/>
  <c r="D2533" i="7"/>
  <c r="N2533" i="7" s="1"/>
  <c r="D2534" i="7"/>
  <c r="N2534" i="7" s="1"/>
  <c r="D2535" i="7"/>
  <c r="N2535" i="7" s="1"/>
  <c r="D2536" i="7"/>
  <c r="N2536" i="7" s="1"/>
  <c r="D2537" i="7"/>
  <c r="N2537" i="7" s="1"/>
  <c r="D2538" i="7"/>
  <c r="N2538" i="7" s="1"/>
  <c r="D2539" i="7"/>
  <c r="N2539" i="7" s="1"/>
  <c r="D2540" i="7"/>
  <c r="N2540" i="7" s="1"/>
  <c r="D2541" i="7"/>
  <c r="N2541" i="7" s="1"/>
  <c r="D2542" i="7"/>
  <c r="N2542" i="7" s="1"/>
  <c r="D2543" i="7"/>
  <c r="N2543" i="7" s="1"/>
  <c r="D2544" i="7"/>
  <c r="N2544" i="7" s="1"/>
  <c r="D2545" i="7"/>
  <c r="N2545" i="7" s="1"/>
  <c r="D2546" i="7"/>
  <c r="N2546" i="7" s="1"/>
  <c r="D2547" i="7"/>
  <c r="N2547" i="7" s="1"/>
  <c r="D2548" i="7"/>
  <c r="N2548" i="7" s="1"/>
  <c r="D2549" i="7"/>
  <c r="N2549" i="7" s="1"/>
  <c r="D2550" i="7"/>
  <c r="N2550" i="7" s="1"/>
  <c r="D2551" i="7"/>
  <c r="N2551" i="7" s="1"/>
  <c r="D2552" i="7"/>
  <c r="N2552" i="7" s="1"/>
  <c r="D2553" i="7"/>
  <c r="N2553" i="7" s="1"/>
  <c r="D2554" i="7"/>
  <c r="N2554" i="7" s="1"/>
  <c r="D2555" i="7"/>
  <c r="N2555" i="7" s="1"/>
  <c r="D2556" i="7"/>
  <c r="N2556" i="7" s="1"/>
  <c r="D2557" i="7"/>
  <c r="N2557" i="7" s="1"/>
  <c r="D2558" i="7"/>
  <c r="N2558" i="7" s="1"/>
  <c r="D2559" i="7"/>
  <c r="N2559" i="7" s="1"/>
  <c r="D2560" i="7"/>
  <c r="N2560" i="7" s="1"/>
  <c r="D2561" i="7"/>
  <c r="N2561" i="7" s="1"/>
  <c r="D2562" i="7"/>
  <c r="N2562" i="7" s="1"/>
  <c r="D2563" i="7"/>
  <c r="N2563" i="7" s="1"/>
  <c r="D2564" i="7"/>
  <c r="N2564" i="7" s="1"/>
  <c r="D2565" i="7"/>
  <c r="N2565" i="7" s="1"/>
  <c r="D2566" i="7"/>
  <c r="N2566" i="7" s="1"/>
  <c r="D2567" i="7"/>
  <c r="N2567" i="7" s="1"/>
  <c r="D2568" i="7"/>
  <c r="N2568" i="7" s="1"/>
  <c r="D2569" i="7"/>
  <c r="N2569" i="7" s="1"/>
  <c r="D2570" i="7"/>
  <c r="N2570" i="7" s="1"/>
  <c r="D2571" i="7"/>
  <c r="N2571" i="7" s="1"/>
  <c r="D2572" i="7"/>
  <c r="N2572" i="7" s="1"/>
  <c r="D2573" i="7"/>
  <c r="N2573" i="7" s="1"/>
  <c r="D2574" i="7"/>
  <c r="N2574" i="7" s="1"/>
  <c r="D2575" i="7"/>
  <c r="N2575" i="7" s="1"/>
  <c r="D2576" i="7"/>
  <c r="N2576" i="7" s="1"/>
  <c r="D2577" i="7"/>
  <c r="N2577" i="7" s="1"/>
  <c r="D2578" i="7"/>
  <c r="N2578" i="7" s="1"/>
  <c r="D2579" i="7"/>
  <c r="N2579" i="7" s="1"/>
  <c r="D2580" i="7"/>
  <c r="N2580" i="7" s="1"/>
  <c r="D2581" i="7"/>
  <c r="N2581" i="7" s="1"/>
  <c r="D2582" i="7"/>
  <c r="N2582" i="7" s="1"/>
  <c r="D2583" i="7"/>
  <c r="N2583" i="7" s="1"/>
  <c r="D2584" i="7"/>
  <c r="N2584" i="7" s="1"/>
  <c r="D2585" i="7"/>
  <c r="N2585" i="7" s="1"/>
  <c r="D2586" i="7"/>
  <c r="N2586" i="7" s="1"/>
  <c r="D2587" i="7"/>
  <c r="N2587" i="7" s="1"/>
  <c r="D2588" i="7"/>
  <c r="N2588" i="7" s="1"/>
  <c r="D2589" i="7"/>
  <c r="N2589" i="7" s="1"/>
  <c r="D2590" i="7"/>
  <c r="N2590" i="7" s="1"/>
  <c r="D2591" i="7"/>
  <c r="N2591" i="7" s="1"/>
  <c r="D2592" i="7"/>
  <c r="N2592" i="7" s="1"/>
  <c r="D2593" i="7"/>
  <c r="N2593" i="7" s="1"/>
  <c r="D2594" i="7"/>
  <c r="N2594" i="7" s="1"/>
  <c r="D2595" i="7"/>
  <c r="N2595" i="7" s="1"/>
  <c r="D2596" i="7"/>
  <c r="N2596" i="7" s="1"/>
  <c r="D2597" i="7"/>
  <c r="N2597" i="7" s="1"/>
  <c r="D2598" i="7"/>
  <c r="N2598" i="7" s="1"/>
  <c r="D2599" i="7"/>
  <c r="N2599" i="7" s="1"/>
  <c r="D2600" i="7"/>
  <c r="N2600" i="7" s="1"/>
  <c r="D2601" i="7"/>
  <c r="N2601" i="7" s="1"/>
  <c r="D2602" i="7"/>
  <c r="N2602" i="7" s="1"/>
  <c r="D2603" i="7"/>
  <c r="N2603" i="7" s="1"/>
  <c r="D2604" i="7"/>
  <c r="N2604" i="7" s="1"/>
  <c r="D2605" i="7"/>
  <c r="N2605" i="7" s="1"/>
  <c r="D2606" i="7"/>
  <c r="N2606" i="7" s="1"/>
  <c r="D2607" i="7"/>
  <c r="N2607" i="7" s="1"/>
  <c r="D2608" i="7"/>
  <c r="N2608" i="7" s="1"/>
  <c r="D2609" i="7"/>
  <c r="N2609" i="7" s="1"/>
  <c r="D2610" i="7"/>
  <c r="N2610" i="7" s="1"/>
  <c r="D2611" i="7"/>
  <c r="N2611" i="7" s="1"/>
  <c r="D2612" i="7"/>
  <c r="N2612" i="7" s="1"/>
  <c r="D2613" i="7"/>
  <c r="N2613" i="7" s="1"/>
  <c r="D2614" i="7"/>
  <c r="N2614" i="7" s="1"/>
  <c r="D2615" i="7"/>
  <c r="N2615" i="7" s="1"/>
  <c r="D2616" i="7"/>
  <c r="N2616" i="7" s="1"/>
  <c r="D2617" i="7"/>
  <c r="N2617" i="7" s="1"/>
  <c r="D2618" i="7"/>
  <c r="N2618" i="7" s="1"/>
  <c r="D2619" i="7"/>
  <c r="N2619" i="7" s="1"/>
  <c r="D2620" i="7"/>
  <c r="N2620" i="7" s="1"/>
  <c r="D2621" i="7"/>
  <c r="N2621" i="7" s="1"/>
  <c r="D2622" i="7"/>
  <c r="N2622" i="7" s="1"/>
  <c r="D2623" i="7"/>
  <c r="N2623" i="7" s="1"/>
  <c r="D2624" i="7"/>
  <c r="N2624" i="7" s="1"/>
  <c r="D2625" i="7"/>
  <c r="N2625" i="7" s="1"/>
  <c r="D2626" i="7"/>
  <c r="N2626" i="7" s="1"/>
  <c r="D2627" i="7"/>
  <c r="N2627" i="7" s="1"/>
  <c r="D2628" i="7"/>
  <c r="N2628" i="7" s="1"/>
  <c r="D2629" i="7"/>
  <c r="N2629" i="7" s="1"/>
  <c r="D2630" i="7"/>
  <c r="N2630" i="7" s="1"/>
  <c r="D2631" i="7"/>
  <c r="N2631" i="7" s="1"/>
  <c r="D2632" i="7"/>
  <c r="N2632" i="7" s="1"/>
  <c r="D2633" i="7"/>
  <c r="N2633" i="7" s="1"/>
  <c r="D2634" i="7"/>
  <c r="N2634" i="7" s="1"/>
  <c r="D2635" i="7"/>
  <c r="N2635" i="7" s="1"/>
  <c r="D2636" i="7"/>
  <c r="N2636" i="7" s="1"/>
  <c r="D2637" i="7"/>
  <c r="N2637" i="7" s="1"/>
  <c r="D2638" i="7"/>
  <c r="N2638" i="7" s="1"/>
  <c r="D2639" i="7"/>
  <c r="N2639" i="7" s="1"/>
  <c r="D2640" i="7"/>
  <c r="N2640" i="7" s="1"/>
  <c r="D2641" i="7"/>
  <c r="N2641" i="7" s="1"/>
  <c r="D2642" i="7"/>
  <c r="N2642" i="7" s="1"/>
  <c r="D2643" i="7"/>
  <c r="N2643" i="7" s="1"/>
  <c r="D2644" i="7"/>
  <c r="N2644" i="7" s="1"/>
  <c r="D2645" i="7"/>
  <c r="N2645" i="7" s="1"/>
  <c r="D2646" i="7"/>
  <c r="N2646" i="7" s="1"/>
  <c r="D2647" i="7"/>
  <c r="N2647" i="7" s="1"/>
  <c r="D2648" i="7"/>
  <c r="N2648" i="7" s="1"/>
  <c r="D2649" i="7"/>
  <c r="N2649" i="7" s="1"/>
  <c r="D2650" i="7"/>
  <c r="N2650" i="7" s="1"/>
  <c r="D2651" i="7"/>
  <c r="N2651" i="7" s="1"/>
  <c r="D2652" i="7"/>
  <c r="N2652" i="7" s="1"/>
  <c r="D2653" i="7"/>
  <c r="N2653" i="7" s="1"/>
  <c r="D2654" i="7"/>
  <c r="N2654" i="7" s="1"/>
  <c r="D2655" i="7"/>
  <c r="N2655" i="7" s="1"/>
  <c r="D2656" i="7"/>
  <c r="N2656" i="7" s="1"/>
  <c r="D2657" i="7"/>
  <c r="N2657" i="7" s="1"/>
  <c r="D2658" i="7"/>
  <c r="N2658" i="7" s="1"/>
  <c r="D2659" i="7"/>
  <c r="N2659" i="7" s="1"/>
  <c r="D2660" i="7"/>
  <c r="N2660" i="7" s="1"/>
  <c r="D2661" i="7"/>
  <c r="N2661" i="7" s="1"/>
  <c r="D2662" i="7"/>
  <c r="N2662" i="7" s="1"/>
  <c r="D2663" i="7"/>
  <c r="N2663" i="7" s="1"/>
  <c r="D2664" i="7"/>
  <c r="N2664" i="7" s="1"/>
  <c r="D2665" i="7"/>
  <c r="N2665" i="7" s="1"/>
  <c r="D2666" i="7"/>
  <c r="N2666" i="7" s="1"/>
  <c r="D2667" i="7"/>
  <c r="N2667" i="7" s="1"/>
  <c r="D2668" i="7"/>
  <c r="N2668" i="7" s="1"/>
  <c r="D2669" i="7"/>
  <c r="N2669" i="7" s="1"/>
  <c r="D2670" i="7"/>
  <c r="N2670" i="7" s="1"/>
  <c r="D2671" i="7"/>
  <c r="N2671" i="7" s="1"/>
  <c r="D2672" i="7"/>
  <c r="N2672" i="7" s="1"/>
  <c r="D2673" i="7"/>
  <c r="N2673" i="7" s="1"/>
  <c r="D2674" i="7"/>
  <c r="N2674" i="7" s="1"/>
  <c r="D2675" i="7"/>
  <c r="N2675" i="7" s="1"/>
  <c r="D2676" i="7"/>
  <c r="N2676" i="7" s="1"/>
  <c r="D2677" i="7"/>
  <c r="N2677" i="7" s="1"/>
  <c r="D2678" i="7"/>
  <c r="N2678" i="7" s="1"/>
  <c r="D2679" i="7"/>
  <c r="N2679" i="7" s="1"/>
  <c r="D2680" i="7"/>
  <c r="N2680" i="7" s="1"/>
  <c r="D2681" i="7"/>
  <c r="N2681" i="7" s="1"/>
  <c r="D2682" i="7"/>
  <c r="N2682" i="7" s="1"/>
  <c r="D2683" i="7"/>
  <c r="N2683" i="7" s="1"/>
  <c r="D2684" i="7"/>
  <c r="N2684" i="7" s="1"/>
  <c r="D2685" i="7"/>
  <c r="N2685" i="7" s="1"/>
  <c r="D2686" i="7"/>
  <c r="N2686" i="7" s="1"/>
  <c r="D2687" i="7"/>
  <c r="N2687" i="7" s="1"/>
  <c r="D2688" i="7"/>
  <c r="N2688" i="7" s="1"/>
  <c r="D2689" i="7"/>
  <c r="N2689" i="7" s="1"/>
  <c r="D2690" i="7"/>
  <c r="N2690" i="7" s="1"/>
  <c r="D2691" i="7"/>
  <c r="N2691" i="7" s="1"/>
  <c r="D2692" i="7"/>
  <c r="N2692" i="7" s="1"/>
  <c r="D2693" i="7"/>
  <c r="N2693" i="7" s="1"/>
  <c r="D2694" i="7"/>
  <c r="N2694" i="7" s="1"/>
  <c r="D2695" i="7"/>
  <c r="N2695" i="7" s="1"/>
  <c r="D2696" i="7"/>
  <c r="N2696" i="7" s="1"/>
  <c r="D2697" i="7"/>
  <c r="N2697" i="7" s="1"/>
  <c r="D2698" i="7"/>
  <c r="N2698" i="7" s="1"/>
  <c r="D2699" i="7"/>
  <c r="N2699" i="7" s="1"/>
  <c r="D2700" i="7"/>
  <c r="N2700" i="7" s="1"/>
  <c r="D2701" i="7"/>
  <c r="N2701" i="7" s="1"/>
  <c r="D2702" i="7"/>
  <c r="N2702" i="7" s="1"/>
  <c r="D2703" i="7"/>
  <c r="N2703" i="7" s="1"/>
  <c r="D2704" i="7"/>
  <c r="N2704" i="7" s="1"/>
  <c r="D2705" i="7"/>
  <c r="N2705" i="7" s="1"/>
  <c r="D2706" i="7"/>
  <c r="N2706" i="7" s="1"/>
  <c r="D2707" i="7"/>
  <c r="N2707" i="7" s="1"/>
  <c r="D2708" i="7"/>
  <c r="N2708" i="7" s="1"/>
  <c r="D2709" i="7"/>
  <c r="N2709" i="7" s="1"/>
  <c r="D2710" i="7"/>
  <c r="N2710" i="7" s="1"/>
  <c r="D2711" i="7"/>
  <c r="N2711" i="7" s="1"/>
  <c r="D2712" i="7"/>
  <c r="N2712" i="7" s="1"/>
  <c r="D2713" i="7"/>
  <c r="N2713" i="7" s="1"/>
  <c r="D2714" i="7"/>
  <c r="N2714" i="7" s="1"/>
  <c r="D2715" i="7"/>
  <c r="N2715" i="7" s="1"/>
  <c r="D2716" i="7"/>
  <c r="N2716" i="7" s="1"/>
  <c r="D2717" i="7"/>
  <c r="N2717" i="7" s="1"/>
  <c r="D2718" i="7"/>
  <c r="N2718" i="7" s="1"/>
  <c r="D2719" i="7"/>
  <c r="N2719" i="7" s="1"/>
  <c r="D2720" i="7"/>
  <c r="N2720" i="7" s="1"/>
  <c r="D2721" i="7"/>
  <c r="N2721" i="7" s="1"/>
  <c r="D2722" i="7"/>
  <c r="N2722" i="7" s="1"/>
  <c r="D2723" i="7"/>
  <c r="N2723" i="7" s="1"/>
  <c r="D2724" i="7"/>
  <c r="N2724" i="7" s="1"/>
  <c r="D2725" i="7"/>
  <c r="N2725" i="7" s="1"/>
  <c r="D2726" i="7"/>
  <c r="N2726" i="7" s="1"/>
  <c r="D2727" i="7"/>
  <c r="N2727" i="7" s="1"/>
  <c r="D2728" i="7"/>
  <c r="N2728" i="7" s="1"/>
  <c r="D2729" i="7"/>
  <c r="N2729" i="7" s="1"/>
  <c r="D2730" i="7"/>
  <c r="N2730" i="7" s="1"/>
  <c r="D2731" i="7"/>
  <c r="N2731" i="7" s="1"/>
  <c r="D2732" i="7"/>
  <c r="N2732" i="7" s="1"/>
  <c r="D2733" i="7"/>
  <c r="N2733" i="7" s="1"/>
  <c r="D2734" i="7"/>
  <c r="N2734" i="7" s="1"/>
  <c r="D2735" i="7"/>
  <c r="N2735" i="7" s="1"/>
  <c r="D2736" i="7"/>
  <c r="N2736" i="7" s="1"/>
  <c r="D2737" i="7"/>
  <c r="N2737" i="7" s="1"/>
  <c r="D2738" i="7"/>
  <c r="N2738" i="7" s="1"/>
  <c r="D2739" i="7"/>
  <c r="N2739" i="7" s="1"/>
  <c r="D2740" i="7"/>
  <c r="N2740" i="7" s="1"/>
  <c r="D2741" i="7"/>
  <c r="N2741" i="7" s="1"/>
  <c r="D2742" i="7"/>
  <c r="N2742" i="7" s="1"/>
  <c r="D2743" i="7"/>
  <c r="N2743" i="7" s="1"/>
  <c r="D2744" i="7"/>
  <c r="N2744" i="7" s="1"/>
  <c r="D2745" i="7"/>
  <c r="N2745" i="7" s="1"/>
  <c r="D2746" i="7"/>
  <c r="N2746" i="7" s="1"/>
  <c r="D2747" i="7"/>
  <c r="N2747" i="7" s="1"/>
  <c r="D2748" i="7"/>
  <c r="N2748" i="7" s="1"/>
  <c r="D2749" i="7"/>
  <c r="N2749" i="7" s="1"/>
  <c r="D2750" i="7"/>
  <c r="N2750" i="7" s="1"/>
  <c r="D2751" i="7"/>
  <c r="N2751" i="7" s="1"/>
  <c r="D2752" i="7"/>
  <c r="N2752" i="7" s="1"/>
  <c r="D2753" i="7"/>
  <c r="N2753" i="7" s="1"/>
  <c r="D2754" i="7"/>
  <c r="N2754" i="7" s="1"/>
  <c r="D2755" i="7"/>
  <c r="N2755" i="7" s="1"/>
  <c r="D2756" i="7"/>
  <c r="N2756" i="7" s="1"/>
  <c r="D2757" i="7"/>
  <c r="N2757" i="7" s="1"/>
  <c r="D2758" i="7"/>
  <c r="N2758" i="7" s="1"/>
  <c r="D2759" i="7"/>
  <c r="N2759" i="7" s="1"/>
  <c r="D2760" i="7"/>
  <c r="N2760" i="7" s="1"/>
  <c r="D2761" i="7"/>
  <c r="N2761" i="7" s="1"/>
  <c r="D2762" i="7"/>
  <c r="N2762" i="7" s="1"/>
  <c r="D2763" i="7"/>
  <c r="N2763" i="7" s="1"/>
  <c r="D2764" i="7"/>
  <c r="N2764" i="7" s="1"/>
  <c r="D2765" i="7"/>
  <c r="N2765" i="7" s="1"/>
  <c r="D2766" i="7"/>
  <c r="N2766" i="7" s="1"/>
  <c r="D2767" i="7"/>
  <c r="N2767" i="7" s="1"/>
  <c r="D2768" i="7"/>
  <c r="N2768" i="7" s="1"/>
  <c r="D2769" i="7"/>
  <c r="N2769" i="7" s="1"/>
  <c r="D2770" i="7"/>
  <c r="N2770" i="7" s="1"/>
  <c r="D2771" i="7"/>
  <c r="N2771" i="7" s="1"/>
  <c r="D2772" i="7"/>
  <c r="N2772" i="7" s="1"/>
  <c r="D2773" i="7"/>
  <c r="N2773" i="7" s="1"/>
  <c r="D2774" i="7"/>
  <c r="N2774" i="7" s="1"/>
  <c r="D2775" i="7"/>
  <c r="N2775" i="7" s="1"/>
  <c r="D2776" i="7"/>
  <c r="N2776" i="7" s="1"/>
  <c r="D2777" i="7"/>
  <c r="N2777" i="7" s="1"/>
  <c r="D2778" i="7"/>
  <c r="N2778" i="7" s="1"/>
  <c r="D2779" i="7"/>
  <c r="N2779" i="7" s="1"/>
  <c r="D2780" i="7"/>
  <c r="N2780" i="7" s="1"/>
  <c r="D2781" i="7"/>
  <c r="N2781" i="7" s="1"/>
  <c r="D2782" i="7"/>
  <c r="N2782" i="7" s="1"/>
  <c r="D2783" i="7"/>
  <c r="N2783" i="7" s="1"/>
  <c r="D2784" i="7"/>
  <c r="N2784" i="7" s="1"/>
  <c r="D2785" i="7"/>
  <c r="N2785" i="7" s="1"/>
  <c r="D2786" i="7"/>
  <c r="N2786" i="7" s="1"/>
  <c r="D2787" i="7"/>
  <c r="N2787" i="7" s="1"/>
  <c r="D2788" i="7"/>
  <c r="N2788" i="7" s="1"/>
  <c r="D2789" i="7"/>
  <c r="N2789" i="7" s="1"/>
  <c r="D2790" i="7"/>
  <c r="N2790" i="7" s="1"/>
  <c r="D2791" i="7"/>
  <c r="N2791" i="7" s="1"/>
  <c r="D2792" i="7"/>
  <c r="N2792" i="7" s="1"/>
  <c r="D2793" i="7"/>
  <c r="N2793" i="7" s="1"/>
  <c r="D2794" i="7"/>
  <c r="N2794" i="7" s="1"/>
  <c r="D2795" i="7"/>
  <c r="N2795" i="7" s="1"/>
  <c r="D2796" i="7"/>
  <c r="N2796" i="7" s="1"/>
  <c r="D2797" i="7"/>
  <c r="N2797" i="7" s="1"/>
  <c r="D2798" i="7"/>
  <c r="N2798" i="7" s="1"/>
  <c r="D2799" i="7"/>
  <c r="N2799" i="7" s="1"/>
  <c r="D2800" i="7"/>
  <c r="N2800" i="7" s="1"/>
  <c r="D2801" i="7"/>
  <c r="N2801" i="7" s="1"/>
  <c r="D2802" i="7"/>
  <c r="N2802" i="7" s="1"/>
  <c r="D2803" i="7"/>
  <c r="N2803" i="7" s="1"/>
  <c r="D2804" i="7"/>
  <c r="N2804" i="7" s="1"/>
  <c r="D2805" i="7"/>
  <c r="N2805" i="7" s="1"/>
  <c r="D2806" i="7"/>
  <c r="N2806" i="7" s="1"/>
  <c r="D2807" i="7"/>
  <c r="N2807" i="7" s="1"/>
  <c r="D2808" i="7"/>
  <c r="N2808" i="7" s="1"/>
  <c r="D2809" i="7"/>
  <c r="N2809" i="7" s="1"/>
  <c r="D2810" i="7"/>
  <c r="N2810" i="7" s="1"/>
  <c r="D2811" i="7"/>
  <c r="N2811" i="7" s="1"/>
  <c r="D2812" i="7"/>
  <c r="N2812" i="7" s="1"/>
  <c r="D2813" i="7"/>
  <c r="N2813" i="7" s="1"/>
  <c r="D2814" i="7"/>
  <c r="N2814" i="7" s="1"/>
  <c r="D2815" i="7"/>
  <c r="N2815" i="7" s="1"/>
  <c r="D2816" i="7"/>
  <c r="N2816" i="7" s="1"/>
  <c r="D2817" i="7"/>
  <c r="N2817" i="7" s="1"/>
  <c r="D2818" i="7"/>
  <c r="N2818" i="7" s="1"/>
  <c r="D2819" i="7"/>
  <c r="N2819" i="7" s="1"/>
  <c r="D2820" i="7"/>
  <c r="N2820" i="7" s="1"/>
  <c r="D2821" i="7"/>
  <c r="N2821" i="7" s="1"/>
  <c r="D2822" i="7"/>
  <c r="N2822" i="7" s="1"/>
  <c r="D2823" i="7"/>
  <c r="N2823" i="7" s="1"/>
  <c r="D2824" i="7"/>
  <c r="N2824" i="7" s="1"/>
  <c r="D2825" i="7"/>
  <c r="N2825" i="7" s="1"/>
  <c r="D2826" i="7"/>
  <c r="N2826" i="7" s="1"/>
  <c r="D2827" i="7"/>
  <c r="N2827" i="7" s="1"/>
  <c r="D2828" i="7"/>
  <c r="N2828" i="7" s="1"/>
  <c r="D2829" i="7"/>
  <c r="N2829" i="7" s="1"/>
  <c r="D2830" i="7"/>
  <c r="N2830" i="7" s="1"/>
  <c r="D2831" i="7"/>
  <c r="N2831" i="7" s="1"/>
  <c r="D2832" i="7"/>
  <c r="N2832" i="7" s="1"/>
  <c r="D2833" i="7"/>
  <c r="N2833" i="7" s="1"/>
  <c r="D2834" i="7"/>
  <c r="N2834" i="7" s="1"/>
  <c r="D2835" i="7"/>
  <c r="N2835" i="7" s="1"/>
  <c r="D2836" i="7"/>
  <c r="N2836" i="7" s="1"/>
  <c r="D2837" i="7"/>
  <c r="N2837" i="7" s="1"/>
  <c r="D2838" i="7"/>
  <c r="N2838" i="7" s="1"/>
  <c r="D2839" i="7"/>
  <c r="N2839" i="7" s="1"/>
  <c r="D2840" i="7"/>
  <c r="N2840" i="7" s="1"/>
  <c r="D2841" i="7"/>
  <c r="N2841" i="7" s="1"/>
  <c r="D2842" i="7"/>
  <c r="N2842" i="7" s="1"/>
  <c r="D2843" i="7"/>
  <c r="N2843" i="7" s="1"/>
  <c r="D2844" i="7"/>
  <c r="N2844" i="7" s="1"/>
  <c r="D2845" i="7"/>
  <c r="N2845" i="7" s="1"/>
  <c r="D2846" i="7"/>
  <c r="N2846" i="7" s="1"/>
  <c r="D2847" i="7"/>
  <c r="N2847" i="7" s="1"/>
  <c r="D2848" i="7"/>
  <c r="N2848" i="7" s="1"/>
  <c r="D2849" i="7"/>
  <c r="N2849" i="7" s="1"/>
  <c r="D2850" i="7"/>
  <c r="N2850" i="7" s="1"/>
  <c r="D2851" i="7"/>
  <c r="N2851" i="7" s="1"/>
  <c r="D2852" i="7"/>
  <c r="N2852" i="7" s="1"/>
  <c r="D2853" i="7"/>
  <c r="N2853" i="7" s="1"/>
  <c r="D2854" i="7"/>
  <c r="N2854" i="7" s="1"/>
  <c r="D2855" i="7"/>
  <c r="N2855" i="7" s="1"/>
  <c r="D2856" i="7"/>
  <c r="N2856" i="7" s="1"/>
  <c r="D2857" i="7"/>
  <c r="N2857" i="7" s="1"/>
  <c r="D2858" i="7"/>
  <c r="N2858" i="7" s="1"/>
  <c r="D2859" i="7"/>
  <c r="N2859" i="7" s="1"/>
  <c r="D2860" i="7"/>
  <c r="N2860" i="7" s="1"/>
  <c r="D2861" i="7"/>
  <c r="N2861" i="7" s="1"/>
  <c r="D2862" i="7"/>
  <c r="N2862" i="7" s="1"/>
  <c r="D2863" i="7"/>
  <c r="N2863" i="7" s="1"/>
  <c r="D2864" i="7"/>
  <c r="N2864" i="7" s="1"/>
  <c r="D2865" i="7"/>
  <c r="N2865" i="7" s="1"/>
  <c r="D2866" i="7"/>
  <c r="N2866" i="7" s="1"/>
  <c r="D2867" i="7"/>
  <c r="N2867" i="7" s="1"/>
  <c r="D2868" i="7"/>
  <c r="N2868" i="7" s="1"/>
  <c r="D2869" i="7"/>
  <c r="N2869" i="7" s="1"/>
  <c r="D2870" i="7"/>
  <c r="N2870" i="7" s="1"/>
  <c r="D2871" i="7"/>
  <c r="N2871" i="7" s="1"/>
  <c r="D2872" i="7"/>
  <c r="N2872" i="7" s="1"/>
  <c r="D2873" i="7"/>
  <c r="N2873" i="7" s="1"/>
  <c r="D2874" i="7"/>
  <c r="N2874" i="7" s="1"/>
  <c r="D2875" i="7"/>
  <c r="N2875" i="7" s="1"/>
  <c r="D2876" i="7"/>
  <c r="N2876" i="7" s="1"/>
  <c r="D2877" i="7"/>
  <c r="N2877" i="7" s="1"/>
  <c r="D2878" i="7"/>
  <c r="N2878" i="7" s="1"/>
  <c r="D2879" i="7"/>
  <c r="N2879" i="7" s="1"/>
  <c r="D2880" i="7"/>
  <c r="N2880" i="7" s="1"/>
  <c r="D2881" i="7"/>
  <c r="N2881" i="7" s="1"/>
  <c r="D2882" i="7"/>
  <c r="N2882" i="7" s="1"/>
  <c r="D2883" i="7"/>
  <c r="N2883" i="7" s="1"/>
  <c r="D2884" i="7"/>
  <c r="N2884" i="7" s="1"/>
  <c r="D2885" i="7"/>
  <c r="N2885" i="7" s="1"/>
  <c r="D2886" i="7"/>
  <c r="N2886" i="7" s="1"/>
  <c r="D2887" i="7"/>
  <c r="N2887" i="7" s="1"/>
  <c r="D2888" i="7"/>
  <c r="N2888" i="7" s="1"/>
  <c r="D2889" i="7"/>
  <c r="N2889" i="7" s="1"/>
  <c r="D2890" i="7"/>
  <c r="N2890" i="7" s="1"/>
  <c r="D2891" i="7"/>
  <c r="N2891" i="7" s="1"/>
  <c r="D2892" i="7"/>
  <c r="N2892" i="7" s="1"/>
  <c r="D2893" i="7"/>
  <c r="N2893" i="7" s="1"/>
  <c r="D2894" i="7"/>
  <c r="N2894" i="7" s="1"/>
  <c r="D2895" i="7"/>
  <c r="N2895" i="7" s="1"/>
  <c r="D2896" i="7"/>
  <c r="N2896" i="7" s="1"/>
  <c r="D2897" i="7"/>
  <c r="N2897" i="7" s="1"/>
  <c r="D2898" i="7"/>
  <c r="N2898" i="7" s="1"/>
  <c r="D2899" i="7"/>
  <c r="N2899" i="7" s="1"/>
  <c r="D2900" i="7"/>
  <c r="N2900" i="7" s="1"/>
  <c r="D2901" i="7"/>
  <c r="N2901" i="7" s="1"/>
  <c r="D2902" i="7"/>
  <c r="N2902" i="7" s="1"/>
  <c r="D2903" i="7"/>
  <c r="N2903" i="7" s="1"/>
  <c r="D2904" i="7"/>
  <c r="N2904" i="7" s="1"/>
  <c r="D2905" i="7"/>
  <c r="N2905" i="7" s="1"/>
  <c r="D2906" i="7"/>
  <c r="N2906" i="7" s="1"/>
  <c r="D2907" i="7"/>
  <c r="N2907" i="7" s="1"/>
  <c r="D2908" i="7"/>
  <c r="N2908" i="7" s="1"/>
  <c r="D2909" i="7"/>
  <c r="N2909" i="7" s="1"/>
  <c r="D2910" i="7"/>
  <c r="N2910" i="7" s="1"/>
  <c r="D2911" i="7"/>
  <c r="N2911" i="7" s="1"/>
  <c r="D2912" i="7"/>
  <c r="N2912" i="7" s="1"/>
  <c r="D2913" i="7"/>
  <c r="N2913" i="7" s="1"/>
  <c r="D2914" i="7"/>
  <c r="N2914" i="7" s="1"/>
  <c r="D2915" i="7"/>
  <c r="N2915" i="7" s="1"/>
  <c r="D2916" i="7"/>
  <c r="N2916" i="7" s="1"/>
  <c r="D2917" i="7"/>
  <c r="N2917" i="7" s="1"/>
  <c r="D2918" i="7"/>
  <c r="N2918" i="7" s="1"/>
  <c r="D2919" i="7"/>
  <c r="N2919" i="7" s="1"/>
  <c r="D2920" i="7"/>
  <c r="N2920" i="7" s="1"/>
  <c r="D2921" i="7"/>
  <c r="N2921" i="7" s="1"/>
  <c r="D2922" i="7"/>
  <c r="N2922" i="7" s="1"/>
  <c r="D2923" i="7"/>
  <c r="N2923" i="7" s="1"/>
  <c r="D2924" i="7"/>
  <c r="N2924" i="7" s="1"/>
  <c r="D2925" i="7"/>
  <c r="N2925" i="7" s="1"/>
  <c r="D2926" i="7"/>
  <c r="N2926" i="7" s="1"/>
  <c r="D2927" i="7"/>
  <c r="N2927" i="7" s="1"/>
  <c r="D2928" i="7"/>
  <c r="N2928" i="7" s="1"/>
  <c r="D2929" i="7"/>
  <c r="N2929" i="7" s="1"/>
  <c r="D2930" i="7"/>
  <c r="N2930" i="7" s="1"/>
  <c r="D2931" i="7"/>
  <c r="N2931" i="7" s="1"/>
  <c r="D2932" i="7"/>
  <c r="N2932" i="7" s="1"/>
  <c r="D2933" i="7"/>
  <c r="N2933" i="7" s="1"/>
  <c r="D2934" i="7"/>
  <c r="N2934" i="7" s="1"/>
  <c r="D2935" i="7"/>
  <c r="N2935" i="7" s="1"/>
  <c r="D2936" i="7"/>
  <c r="N2936" i="7" s="1"/>
  <c r="D2937" i="7"/>
  <c r="N2937" i="7" s="1"/>
  <c r="D2938" i="7"/>
  <c r="N2938" i="7" s="1"/>
  <c r="D2939" i="7"/>
  <c r="N2939" i="7" s="1"/>
  <c r="D2940" i="7"/>
  <c r="N2940" i="7" s="1"/>
  <c r="D2941" i="7"/>
  <c r="N2941" i="7" s="1"/>
  <c r="D2942" i="7"/>
  <c r="N2942" i="7" s="1"/>
  <c r="D2943" i="7"/>
  <c r="N2943" i="7" s="1"/>
  <c r="D2944" i="7"/>
  <c r="N2944" i="7" s="1"/>
  <c r="D2945" i="7"/>
  <c r="N2945" i="7" s="1"/>
  <c r="D2946" i="7"/>
  <c r="N2946" i="7" s="1"/>
  <c r="D2947" i="7"/>
  <c r="N2947" i="7" s="1"/>
  <c r="D2948" i="7"/>
  <c r="N2948" i="7" s="1"/>
  <c r="D2949" i="7"/>
  <c r="N2949" i="7" s="1"/>
  <c r="D2950" i="7"/>
  <c r="N2950" i="7" s="1"/>
  <c r="D2951" i="7"/>
  <c r="N2951" i="7" s="1"/>
  <c r="D2952" i="7"/>
  <c r="N2952" i="7" s="1"/>
  <c r="D2953" i="7"/>
  <c r="N2953" i="7" s="1"/>
  <c r="D2954" i="7"/>
  <c r="N2954" i="7" s="1"/>
  <c r="D2955" i="7"/>
  <c r="N2955" i="7" s="1"/>
  <c r="D2956" i="7"/>
  <c r="N2956" i="7" s="1"/>
  <c r="D2957" i="7"/>
  <c r="N2957" i="7" s="1"/>
  <c r="D2958" i="7"/>
  <c r="N2958" i="7" s="1"/>
  <c r="D2959" i="7"/>
  <c r="N2959" i="7" s="1"/>
  <c r="D2960" i="7"/>
  <c r="N2960" i="7" s="1"/>
  <c r="D2961" i="7"/>
  <c r="N2961" i="7" s="1"/>
  <c r="D2962" i="7"/>
  <c r="N2962" i="7" s="1"/>
  <c r="D2963" i="7"/>
  <c r="N2963" i="7" s="1"/>
  <c r="D2964" i="7"/>
  <c r="N2964" i="7" s="1"/>
  <c r="D2965" i="7"/>
  <c r="N2965" i="7" s="1"/>
  <c r="D2966" i="7"/>
  <c r="N2966" i="7" s="1"/>
  <c r="D2967" i="7"/>
  <c r="N2967" i="7" s="1"/>
  <c r="D2968" i="7"/>
  <c r="N2968" i="7" s="1"/>
  <c r="D2969" i="7"/>
  <c r="N2969" i="7" s="1"/>
  <c r="D2970" i="7"/>
  <c r="N2970" i="7" s="1"/>
  <c r="D2971" i="7"/>
  <c r="N2971" i="7" s="1"/>
  <c r="D2972" i="7"/>
  <c r="N2972" i="7" s="1"/>
  <c r="D2973" i="7"/>
  <c r="N2973" i="7" s="1"/>
  <c r="D2974" i="7"/>
  <c r="N2974" i="7" s="1"/>
  <c r="D2975" i="7"/>
  <c r="N2975" i="7" s="1"/>
  <c r="D2976" i="7"/>
  <c r="N2976" i="7" s="1"/>
  <c r="D2977" i="7"/>
  <c r="N2977" i="7" s="1"/>
  <c r="D2978" i="7"/>
  <c r="N2978" i="7" s="1"/>
  <c r="D2979" i="7"/>
  <c r="N2979" i="7" s="1"/>
  <c r="D2980" i="7"/>
  <c r="N2980" i="7" s="1"/>
  <c r="D2981" i="7"/>
  <c r="N2981" i="7" s="1"/>
  <c r="D2982" i="7"/>
  <c r="N2982" i="7" s="1"/>
  <c r="D2983" i="7"/>
  <c r="N2983" i="7" s="1"/>
  <c r="D2984" i="7"/>
  <c r="N2984" i="7" s="1"/>
  <c r="D2985" i="7"/>
  <c r="N2985" i="7" s="1"/>
  <c r="D2986" i="7"/>
  <c r="N2986" i="7" s="1"/>
  <c r="D2987" i="7"/>
  <c r="N2987" i="7" s="1"/>
  <c r="D2988" i="7"/>
  <c r="N2988" i="7" s="1"/>
  <c r="D2989" i="7"/>
  <c r="N2989" i="7" s="1"/>
  <c r="D2990" i="7"/>
  <c r="N2990" i="7" s="1"/>
  <c r="D2991" i="7"/>
  <c r="N2991" i="7" s="1"/>
  <c r="D2992" i="7"/>
  <c r="N2992" i="7" s="1"/>
  <c r="D2993" i="7"/>
  <c r="N2993" i="7" s="1"/>
  <c r="D2994" i="7"/>
  <c r="N2994" i="7" s="1"/>
  <c r="D2995" i="7"/>
  <c r="N2995" i="7" s="1"/>
  <c r="D2996" i="7"/>
  <c r="N2996" i="7" s="1"/>
  <c r="D2997" i="7"/>
  <c r="N2997" i="7" s="1"/>
  <c r="D2998" i="7"/>
  <c r="N2998" i="7" s="1"/>
  <c r="D2999" i="7"/>
  <c r="N2999" i="7" s="1"/>
  <c r="D3000" i="7"/>
  <c r="N3000" i="7" s="1"/>
  <c r="D3" i="7"/>
  <c r="N3" i="7" s="1"/>
  <c r="D4" i="7"/>
  <c r="N4" i="7" s="1"/>
  <c r="D5" i="7"/>
  <c r="N5" i="7" s="1"/>
  <c r="D6" i="7"/>
  <c r="N6" i="7" s="1"/>
  <c r="D7" i="7"/>
  <c r="N7" i="7" s="1"/>
  <c r="D8" i="7"/>
  <c r="N8" i="7" s="1"/>
  <c r="D9" i="7"/>
  <c r="N9" i="7" s="1"/>
  <c r="D10" i="7"/>
  <c r="N10" i="7" s="1"/>
  <c r="D11" i="7"/>
  <c r="N11" i="7" s="1"/>
  <c r="D12" i="7"/>
  <c r="N12" i="7" s="1"/>
  <c r="D13" i="7"/>
  <c r="N13" i="7" s="1"/>
  <c r="D14" i="7"/>
  <c r="N14" i="7" s="1"/>
  <c r="D15" i="7"/>
  <c r="N15" i="7" s="1"/>
  <c r="D16" i="7"/>
  <c r="N16" i="7" s="1"/>
  <c r="D17" i="7"/>
  <c r="N17" i="7" s="1"/>
  <c r="D18" i="7"/>
  <c r="N18" i="7" s="1"/>
  <c r="D19" i="7"/>
  <c r="N19" i="7" s="1"/>
  <c r="D20" i="7"/>
  <c r="N20" i="7" s="1"/>
  <c r="D21" i="7"/>
  <c r="N21" i="7" s="1"/>
  <c r="D22" i="7"/>
  <c r="N22" i="7" s="1"/>
  <c r="D23" i="7"/>
  <c r="N23" i="7" s="1"/>
  <c r="D24" i="7"/>
  <c r="N24" i="7" s="1"/>
  <c r="D25" i="7"/>
  <c r="N25" i="7" s="1"/>
  <c r="D26" i="7"/>
  <c r="N26" i="7" s="1"/>
  <c r="D27" i="7"/>
  <c r="N27" i="7" s="1"/>
  <c r="D28" i="7"/>
  <c r="N28" i="7" s="1"/>
  <c r="D29" i="7"/>
  <c r="N29" i="7" s="1"/>
  <c r="D2" i="7"/>
  <c r="N2" i="7" s="1"/>
  <c r="K1730" i="7" l="1"/>
  <c r="L1730" i="7" s="1"/>
  <c r="M1730" i="7" s="1"/>
  <c r="K39" i="7"/>
  <c r="L39" i="7" s="1"/>
  <c r="M39" i="7" s="1"/>
  <c r="K31" i="7"/>
  <c r="L31" i="7" s="1"/>
  <c r="K924" i="7"/>
  <c r="L924" i="7" s="1"/>
  <c r="M924" i="7" s="1"/>
  <c r="K128" i="7"/>
  <c r="L128" i="7" s="1"/>
  <c r="M128" i="7" s="1"/>
  <c r="K1539" i="7"/>
  <c r="L1539" i="7" s="1"/>
  <c r="M1539" i="7" s="1"/>
  <c r="K2997" i="7"/>
  <c r="L2997" i="7" s="1"/>
  <c r="M2997" i="7" s="1"/>
  <c r="K2989" i="7"/>
  <c r="L2989" i="7" s="1"/>
  <c r="K2421" i="7"/>
  <c r="L2421" i="7" s="1"/>
  <c r="K509" i="7"/>
  <c r="L509" i="7" s="1"/>
  <c r="M509" i="7" s="1"/>
  <c r="K504" i="7"/>
  <c r="L504" i="7" s="1"/>
  <c r="M504" i="7" s="1"/>
  <c r="K437" i="7"/>
  <c r="L437" i="7" s="1"/>
  <c r="K867" i="7"/>
  <c r="L867" i="7" s="1"/>
  <c r="M867" i="7" s="1"/>
  <c r="K499" i="7"/>
  <c r="L499" i="7" s="1"/>
  <c r="M499" i="7" s="1"/>
  <c r="K491" i="7"/>
  <c r="L491" i="7" s="1"/>
  <c r="M491" i="7" s="1"/>
  <c r="K315" i="7"/>
  <c r="L315" i="7" s="1"/>
  <c r="K155" i="7"/>
  <c r="L155" i="7" s="1"/>
  <c r="M155" i="7" s="1"/>
  <c r="K147" i="7"/>
  <c r="L147" i="7" s="1"/>
  <c r="K139" i="7"/>
  <c r="L139" i="7" s="1"/>
  <c r="K2190" i="7"/>
  <c r="L2190" i="7" s="1"/>
  <c r="K2126" i="7"/>
  <c r="L2126" i="7" s="1"/>
  <c r="K2078" i="7"/>
  <c r="L2078" i="7" s="1"/>
  <c r="M2078" i="7" s="1"/>
  <c r="K2070" i="7"/>
  <c r="L2070" i="7" s="1"/>
  <c r="M2070" i="7" s="1"/>
  <c r="K2879" i="7"/>
  <c r="L2879" i="7" s="1"/>
  <c r="K2065" i="7"/>
  <c r="L2065" i="7" s="1"/>
  <c r="K1726" i="7"/>
  <c r="L1726" i="7" s="1"/>
  <c r="K2271" i="7"/>
  <c r="L2271" i="7" s="1"/>
  <c r="M2271" i="7" s="1"/>
  <c r="K2263" i="7"/>
  <c r="L2263" i="7" s="1"/>
  <c r="M2263" i="7" s="1"/>
  <c r="K450" i="7"/>
  <c r="L450" i="7" s="1"/>
  <c r="M450" i="7" s="1"/>
  <c r="K410" i="7"/>
  <c r="L410" i="7" s="1"/>
  <c r="K1085" i="7"/>
  <c r="L1085" i="7" s="1"/>
  <c r="M1085" i="7" s="1"/>
  <c r="K2448" i="7"/>
  <c r="L2448" i="7" s="1"/>
  <c r="M2448" i="7" s="1"/>
  <c r="K869" i="7"/>
  <c r="L869" i="7" s="1"/>
  <c r="M869" i="7" s="1"/>
  <c r="K829" i="7"/>
  <c r="L829" i="7" s="1"/>
  <c r="K2694" i="7"/>
  <c r="L2694" i="7" s="1"/>
  <c r="K1528" i="7"/>
  <c r="L1528" i="7" s="1"/>
  <c r="M1528" i="7" s="1"/>
  <c r="K616" i="7"/>
  <c r="L616" i="7" s="1"/>
  <c r="K521" i="7"/>
  <c r="L521" i="7" s="1"/>
  <c r="K556" i="7"/>
  <c r="L556" i="7" s="1"/>
  <c r="K148" i="7"/>
  <c r="L148" i="7" s="1"/>
  <c r="M148" i="7" s="1"/>
  <c r="K375" i="7"/>
  <c r="L375" i="7" s="1"/>
  <c r="M375" i="7" s="1"/>
  <c r="K263" i="7"/>
  <c r="L263" i="7" s="1"/>
  <c r="M263" i="7" s="1"/>
  <c r="K247" i="7"/>
  <c r="L247" i="7" s="1"/>
  <c r="M247" i="7" s="1"/>
  <c r="K666" i="7"/>
  <c r="L666" i="7" s="1"/>
  <c r="M666" i="7" s="1"/>
  <c r="K637" i="7"/>
  <c r="L637" i="7" s="1"/>
  <c r="K2898" i="7"/>
  <c r="L2898" i="7" s="1"/>
  <c r="K2893" i="7"/>
  <c r="L2893" i="7" s="1"/>
  <c r="K2834" i="7"/>
  <c r="L2834" i="7" s="1"/>
  <c r="M2834" i="7" s="1"/>
  <c r="K2290" i="7"/>
  <c r="L2290" i="7" s="1"/>
  <c r="M2290" i="7" s="1"/>
  <c r="K2223" i="7"/>
  <c r="L2223" i="7" s="1"/>
  <c r="M2223" i="7" s="1"/>
  <c r="K1895" i="7"/>
  <c r="L1895" i="7" s="1"/>
  <c r="M1895" i="7" s="1"/>
  <c r="K1887" i="7"/>
  <c r="L1887" i="7" s="1"/>
  <c r="M1887" i="7" s="1"/>
  <c r="K1727" i="7"/>
  <c r="L1727" i="7" s="1"/>
  <c r="K1620" i="7"/>
  <c r="L1620" i="7" s="1"/>
  <c r="K1481" i="7"/>
  <c r="L1481" i="7" s="1"/>
  <c r="M1481" i="7" s="1"/>
  <c r="K1417" i="7"/>
  <c r="L1417" i="7" s="1"/>
  <c r="M1417" i="7" s="1"/>
  <c r="K1393" i="7"/>
  <c r="L1393" i="7" s="1"/>
  <c r="M1393" i="7" s="1"/>
  <c r="K1305" i="7"/>
  <c r="L1305" i="7" s="1"/>
  <c r="M1305" i="7" s="1"/>
  <c r="K2037" i="7"/>
  <c r="L2037" i="7" s="1"/>
  <c r="K2544" i="7"/>
  <c r="L2544" i="7" s="1"/>
  <c r="M2544" i="7" s="1"/>
  <c r="K2424" i="7"/>
  <c r="L2424" i="7" s="1"/>
  <c r="M2424" i="7" s="1"/>
  <c r="K1287" i="7"/>
  <c r="L1287" i="7" s="1"/>
  <c r="K1023" i="7"/>
  <c r="L1023" i="7" s="1"/>
  <c r="K983" i="7"/>
  <c r="L983" i="7" s="1"/>
  <c r="K83" i="7"/>
  <c r="L83" i="7" s="1"/>
  <c r="K67" i="7"/>
  <c r="L67" i="7" s="1"/>
  <c r="M67" i="7" s="1"/>
  <c r="K43" i="7"/>
  <c r="L43" i="7" s="1"/>
  <c r="M43" i="7" s="1"/>
  <c r="K2939" i="7"/>
  <c r="L2939" i="7" s="1"/>
  <c r="M2939" i="7" s="1"/>
  <c r="K2923" i="7"/>
  <c r="L2923" i="7" s="1"/>
  <c r="M2923" i="7" s="1"/>
  <c r="K2192" i="7"/>
  <c r="L2192" i="7" s="1"/>
  <c r="M2192" i="7" s="1"/>
  <c r="K1629" i="7"/>
  <c r="L1629" i="7" s="1"/>
  <c r="K1621" i="7"/>
  <c r="L1621" i="7" s="1"/>
  <c r="K727" i="7"/>
  <c r="L727" i="7" s="1"/>
  <c r="M727" i="7" s="1"/>
  <c r="K193" i="7"/>
  <c r="L193" i="7" s="1"/>
  <c r="M193" i="7" s="1"/>
  <c r="K110" i="7"/>
  <c r="L110" i="7" s="1"/>
  <c r="M110" i="7" s="1"/>
  <c r="K102" i="7"/>
  <c r="L102" i="7" s="1"/>
  <c r="M102" i="7" s="1"/>
  <c r="K2798" i="7"/>
  <c r="L2798" i="7" s="1"/>
  <c r="K2243" i="7"/>
  <c r="L2243" i="7" s="1"/>
  <c r="K866" i="7"/>
  <c r="L866" i="7" s="1"/>
  <c r="M866" i="7" s="1"/>
  <c r="K583" i="7"/>
  <c r="L583" i="7" s="1"/>
  <c r="K396" i="7"/>
  <c r="L396" i="7" s="1"/>
  <c r="M396" i="7" s="1"/>
  <c r="K316" i="7"/>
  <c r="L316" i="7" s="1"/>
  <c r="M316" i="7" s="1"/>
  <c r="K2679" i="7"/>
  <c r="L2679" i="7" s="1"/>
  <c r="K2276" i="7"/>
  <c r="L2276" i="7" s="1"/>
  <c r="M2276" i="7" s="1"/>
  <c r="K2025" i="7"/>
  <c r="L2025" i="7" s="1"/>
  <c r="K787" i="7"/>
  <c r="L787" i="7" s="1"/>
  <c r="K95" i="7"/>
  <c r="L95" i="7" s="1"/>
  <c r="K2587" i="7"/>
  <c r="L2587" i="7" s="1"/>
  <c r="M2587" i="7" s="1"/>
  <c r="K2579" i="7"/>
  <c r="L2579" i="7" s="1"/>
  <c r="K2523" i="7"/>
  <c r="L2523" i="7" s="1"/>
  <c r="M2523" i="7" s="1"/>
  <c r="K2165" i="7"/>
  <c r="L2165" i="7" s="1"/>
  <c r="M2165" i="7" s="1"/>
  <c r="K1830" i="7"/>
  <c r="L1830" i="7" s="1"/>
  <c r="K1747" i="7"/>
  <c r="L1747" i="7" s="1"/>
  <c r="M1747" i="7" s="1"/>
  <c r="K1682" i="7"/>
  <c r="L1682" i="7" s="1"/>
  <c r="M1682" i="7" s="1"/>
  <c r="K1623" i="7"/>
  <c r="L1623" i="7" s="1"/>
  <c r="M1623" i="7" s="1"/>
  <c r="K1300" i="7"/>
  <c r="L1300" i="7" s="1"/>
  <c r="M1300" i="7" s="1"/>
  <c r="K1292" i="7"/>
  <c r="L1292" i="7" s="1"/>
  <c r="M1292" i="7" s="1"/>
  <c r="K1241" i="7"/>
  <c r="L1241" i="7" s="1"/>
  <c r="M1241" i="7" s="1"/>
  <c r="K1206" i="7"/>
  <c r="L1206" i="7" s="1"/>
  <c r="K844" i="7"/>
  <c r="L844" i="7" s="1"/>
  <c r="K828" i="7"/>
  <c r="L828" i="7" s="1"/>
  <c r="M828" i="7" s="1"/>
  <c r="K785" i="7"/>
  <c r="L785" i="7" s="1"/>
  <c r="M785" i="7" s="1"/>
  <c r="K761" i="7"/>
  <c r="L761" i="7" s="1"/>
  <c r="M761" i="7" s="1"/>
  <c r="K753" i="7"/>
  <c r="L753" i="7" s="1"/>
  <c r="M753" i="7" s="1"/>
  <c r="K716" i="7"/>
  <c r="L716" i="7" s="1"/>
  <c r="M716" i="7" s="1"/>
  <c r="K160" i="7"/>
  <c r="L160" i="7" s="1"/>
  <c r="K88" i="7"/>
  <c r="L88" i="7" s="1"/>
  <c r="M88" i="7" s="1"/>
  <c r="K45" i="7"/>
  <c r="L45" i="7" s="1"/>
  <c r="K2620" i="7"/>
  <c r="L2620" i="7" s="1"/>
  <c r="K2612" i="7"/>
  <c r="L2612" i="7" s="1"/>
  <c r="M2612" i="7" s="1"/>
  <c r="K1565" i="7"/>
  <c r="L1565" i="7" s="1"/>
  <c r="M1565" i="7" s="1"/>
  <c r="K123" i="7"/>
  <c r="L123" i="7" s="1"/>
  <c r="K182" i="7"/>
  <c r="L182" i="7" s="1"/>
  <c r="M182" i="7" s="1"/>
  <c r="K169" i="7"/>
  <c r="L169" i="7" s="1"/>
  <c r="M169" i="7" s="1"/>
  <c r="K24" i="7"/>
  <c r="L24" i="7" s="1"/>
  <c r="K2971" i="7"/>
  <c r="L2971" i="7" s="1"/>
  <c r="M2971" i="7" s="1"/>
  <c r="K2548" i="7"/>
  <c r="L2548" i="7" s="1"/>
  <c r="K2452" i="7"/>
  <c r="L2452" i="7" s="1"/>
  <c r="K2174" i="7"/>
  <c r="L2174" i="7" s="1"/>
  <c r="M2174" i="7" s="1"/>
  <c r="K2134" i="7"/>
  <c r="L2134" i="7" s="1"/>
  <c r="K1831" i="7"/>
  <c r="L1831" i="7" s="1"/>
  <c r="M1831" i="7" s="1"/>
  <c r="K1664" i="7"/>
  <c r="L1664" i="7" s="1"/>
  <c r="M1664" i="7" s="1"/>
  <c r="K1568" i="7"/>
  <c r="L1568" i="7" s="1"/>
  <c r="K1560" i="7"/>
  <c r="L1560" i="7" s="1"/>
  <c r="K1544" i="7"/>
  <c r="L1544" i="7" s="1"/>
  <c r="K1536" i="7"/>
  <c r="L1536" i="7" s="1"/>
  <c r="K1317" i="7"/>
  <c r="L1317" i="7" s="1"/>
  <c r="M1317" i="7" s="1"/>
  <c r="K1199" i="7"/>
  <c r="L1199" i="7" s="1"/>
  <c r="M1199" i="7" s="1"/>
  <c r="K1036" i="7"/>
  <c r="L1036" i="7" s="1"/>
  <c r="M1036" i="7" s="1"/>
  <c r="K465" i="7"/>
  <c r="L465" i="7" s="1"/>
  <c r="M465" i="7" s="1"/>
  <c r="K457" i="7"/>
  <c r="L457" i="7" s="1"/>
  <c r="M457" i="7" s="1"/>
  <c r="K297" i="7"/>
  <c r="L297" i="7" s="1"/>
  <c r="M297" i="7" s="1"/>
  <c r="K94" i="7"/>
  <c r="L94" i="7" s="1"/>
  <c r="M94" i="7" s="1"/>
  <c r="K2062" i="7"/>
  <c r="L2062" i="7" s="1"/>
  <c r="M2062" i="7" s="1"/>
  <c r="K1947" i="7"/>
  <c r="L1947" i="7" s="1"/>
  <c r="M1947" i="7" s="1"/>
  <c r="K661" i="7"/>
  <c r="L661" i="7" s="1"/>
  <c r="M661" i="7" s="1"/>
  <c r="K2648" i="7"/>
  <c r="L2648" i="7" s="1"/>
  <c r="M2648" i="7" s="1"/>
  <c r="K2608" i="7"/>
  <c r="L2608" i="7" s="1"/>
  <c r="M2608" i="7" s="1"/>
  <c r="K399" i="7"/>
  <c r="L399" i="7" s="1"/>
  <c r="M399" i="7" s="1"/>
  <c r="K2710" i="7"/>
  <c r="L2710" i="7" s="1"/>
  <c r="K2683" i="7"/>
  <c r="L2683" i="7" s="1"/>
  <c r="M2683" i="7" s="1"/>
  <c r="K2113" i="7"/>
  <c r="L2113" i="7" s="1"/>
  <c r="M2113" i="7" s="1"/>
  <c r="K2097" i="7"/>
  <c r="L2097" i="7" s="1"/>
  <c r="M2097" i="7" s="1"/>
  <c r="K2060" i="7"/>
  <c r="L2060" i="7" s="1"/>
  <c r="M2060" i="7" s="1"/>
  <c r="K1934" i="7"/>
  <c r="L1934" i="7" s="1"/>
  <c r="K1902" i="7"/>
  <c r="L1902" i="7" s="1"/>
  <c r="K1406" i="7"/>
  <c r="L1406" i="7" s="1"/>
  <c r="K1243" i="7"/>
  <c r="L1243" i="7" s="1"/>
  <c r="M1243" i="7" s="1"/>
  <c r="K2988" i="7"/>
  <c r="L2988" i="7" s="1"/>
  <c r="M2988" i="7" s="1"/>
  <c r="K2653" i="7"/>
  <c r="L2653" i="7" s="1"/>
  <c r="M2653" i="7" s="1"/>
  <c r="K2511" i="7"/>
  <c r="L2511" i="7" s="1"/>
  <c r="M2511" i="7" s="1"/>
  <c r="K2321" i="7"/>
  <c r="L2321" i="7" s="1"/>
  <c r="M2321" i="7" s="1"/>
  <c r="K2119" i="7"/>
  <c r="L2119" i="7" s="1"/>
  <c r="M2119" i="7" s="1"/>
  <c r="K1809" i="7"/>
  <c r="L1809" i="7" s="1"/>
  <c r="M1809" i="7" s="1"/>
  <c r="K1766" i="7"/>
  <c r="L1766" i="7" s="1"/>
  <c r="K1731" i="7"/>
  <c r="L1731" i="7" s="1"/>
  <c r="M1731" i="7" s="1"/>
  <c r="K1728" i="7"/>
  <c r="L1728" i="7" s="1"/>
  <c r="M1728" i="7" s="1"/>
  <c r="K1609" i="7"/>
  <c r="L1609" i="7" s="1"/>
  <c r="M1609" i="7" s="1"/>
  <c r="K1601" i="7"/>
  <c r="L1601" i="7" s="1"/>
  <c r="M1601" i="7" s="1"/>
  <c r="K1593" i="7"/>
  <c r="L1593" i="7" s="1"/>
  <c r="M1593" i="7" s="1"/>
  <c r="K1585" i="7"/>
  <c r="L1585" i="7" s="1"/>
  <c r="M1585" i="7" s="1"/>
  <c r="K1577" i="7"/>
  <c r="L1577" i="7" s="1"/>
  <c r="M1577" i="7" s="1"/>
  <c r="K1569" i="7"/>
  <c r="L1569" i="7" s="1"/>
  <c r="M1569" i="7" s="1"/>
  <c r="K1372" i="7"/>
  <c r="L1372" i="7" s="1"/>
  <c r="M1372" i="7" s="1"/>
  <c r="K1313" i="7"/>
  <c r="L1313" i="7" s="1"/>
  <c r="M1313" i="7" s="1"/>
  <c r="K1135" i="7"/>
  <c r="L1135" i="7" s="1"/>
  <c r="K1127" i="7"/>
  <c r="L1127" i="7" s="1"/>
  <c r="K796" i="7"/>
  <c r="L796" i="7" s="1"/>
  <c r="M796" i="7" s="1"/>
  <c r="K641" i="7"/>
  <c r="L641" i="7" s="1"/>
  <c r="M641" i="7" s="1"/>
  <c r="K630" i="7"/>
  <c r="L630" i="7" s="1"/>
  <c r="M630" i="7" s="1"/>
  <c r="K445" i="7"/>
  <c r="L445" i="7" s="1"/>
  <c r="M445" i="7" s="1"/>
  <c r="K426" i="7"/>
  <c r="L426" i="7" s="1"/>
  <c r="K418" i="7"/>
  <c r="L418" i="7" s="1"/>
  <c r="K292" i="7"/>
  <c r="L292" i="7" s="1"/>
  <c r="M292" i="7" s="1"/>
  <c r="K131" i="7"/>
  <c r="L131" i="7" s="1"/>
  <c r="K80" i="7"/>
  <c r="L80" i="7" s="1"/>
  <c r="M80" i="7" s="1"/>
  <c r="K2790" i="7"/>
  <c r="L2790" i="7" s="1"/>
  <c r="K2777" i="7"/>
  <c r="L2777" i="7" s="1"/>
  <c r="K2758" i="7"/>
  <c r="L2758" i="7" s="1"/>
  <c r="K2750" i="7"/>
  <c r="L2750" i="7" s="1"/>
  <c r="K2745" i="7"/>
  <c r="L2745" i="7" s="1"/>
  <c r="K2713" i="7"/>
  <c r="L2713" i="7" s="1"/>
  <c r="K2667" i="7"/>
  <c r="L2667" i="7" s="1"/>
  <c r="M2667" i="7" s="1"/>
  <c r="K2635" i="7"/>
  <c r="L2635" i="7" s="1"/>
  <c r="K2611" i="7"/>
  <c r="L2611" i="7" s="1"/>
  <c r="K2568" i="7"/>
  <c r="L2568" i="7" s="1"/>
  <c r="M2568" i="7" s="1"/>
  <c r="K2525" i="7"/>
  <c r="L2525" i="7" s="1"/>
  <c r="M2525" i="7" s="1"/>
  <c r="K2522" i="7"/>
  <c r="L2522" i="7" s="1"/>
  <c r="K2437" i="7"/>
  <c r="L2437" i="7" s="1"/>
  <c r="K1275" i="7"/>
  <c r="L1275" i="7" s="1"/>
  <c r="M1275" i="7" s="1"/>
  <c r="K3000" i="7"/>
  <c r="L3000" i="7" s="1"/>
  <c r="M3000" i="7" s="1"/>
  <c r="K2555" i="7"/>
  <c r="L2555" i="7" s="1"/>
  <c r="K2547" i="7"/>
  <c r="L2547" i="7" s="1"/>
  <c r="M2547" i="7" s="1"/>
  <c r="K2440" i="7"/>
  <c r="L2440" i="7" s="1"/>
  <c r="M2440" i="7" s="1"/>
  <c r="K2268" i="7"/>
  <c r="L2268" i="7" s="1"/>
  <c r="K2257" i="7"/>
  <c r="L2257" i="7" s="1"/>
  <c r="K2085" i="7"/>
  <c r="L2085" i="7" s="1"/>
  <c r="K2069" i="7"/>
  <c r="L2069" i="7" s="1"/>
  <c r="K2046" i="7"/>
  <c r="L2046" i="7" s="1"/>
  <c r="M2046" i="7" s="1"/>
  <c r="K1698" i="7"/>
  <c r="L1698" i="7" s="1"/>
  <c r="M1698" i="7" s="1"/>
  <c r="K1524" i="7"/>
  <c r="L1524" i="7" s="1"/>
  <c r="K1500" i="7"/>
  <c r="L1500" i="7" s="1"/>
  <c r="M1500" i="7" s="1"/>
  <c r="K1262" i="7"/>
  <c r="L1262" i="7" s="1"/>
  <c r="K1181" i="7"/>
  <c r="L1181" i="7" s="1"/>
  <c r="M1181" i="7" s="1"/>
  <c r="K1130" i="7"/>
  <c r="L1130" i="7" s="1"/>
  <c r="M1130" i="7" s="1"/>
  <c r="K1125" i="7"/>
  <c r="L1125" i="7" s="1"/>
  <c r="M1125" i="7" s="1"/>
  <c r="K959" i="7"/>
  <c r="L959" i="7" s="1"/>
  <c r="M959" i="7" s="1"/>
  <c r="K419" i="7"/>
  <c r="L419" i="7" s="1"/>
  <c r="K320" i="7"/>
  <c r="L320" i="7" s="1"/>
  <c r="M320" i="7" s="1"/>
  <c r="K175" i="7"/>
  <c r="L175" i="7" s="1"/>
  <c r="M175" i="7" s="1"/>
  <c r="K159" i="7"/>
  <c r="L159" i="7" s="1"/>
  <c r="M159" i="7" s="1"/>
  <c r="K143" i="7"/>
  <c r="L143" i="7" s="1"/>
  <c r="K132" i="7"/>
  <c r="L132" i="7" s="1"/>
  <c r="M132" i="7" s="1"/>
  <c r="K86" i="7"/>
  <c r="L86" i="7" s="1"/>
  <c r="M86" i="7" s="1"/>
  <c r="K27" i="7"/>
  <c r="L27" i="7" s="1"/>
  <c r="M27" i="7" s="1"/>
  <c r="K2826" i="7"/>
  <c r="L2826" i="7" s="1"/>
  <c r="M2826" i="7" s="1"/>
  <c r="K1746" i="7"/>
  <c r="L1746" i="7" s="1"/>
  <c r="M1746" i="7" s="1"/>
  <c r="K1656" i="7"/>
  <c r="L1656" i="7" s="1"/>
  <c r="M1656" i="7" s="1"/>
  <c r="K1346" i="7"/>
  <c r="L1346" i="7" s="1"/>
  <c r="M1346" i="7" s="1"/>
  <c r="K1311" i="7"/>
  <c r="L1311" i="7" s="1"/>
  <c r="M1311" i="7" s="1"/>
  <c r="K454" i="7"/>
  <c r="K430" i="7"/>
  <c r="L430" i="7" s="1"/>
  <c r="K414" i="7"/>
  <c r="L414" i="7" s="1"/>
  <c r="K2727" i="7"/>
  <c r="L2727" i="7" s="1"/>
  <c r="M2727" i="7" s="1"/>
  <c r="K2695" i="7"/>
  <c r="L2695" i="7" s="1"/>
  <c r="M2695" i="7" s="1"/>
  <c r="K2692" i="7"/>
  <c r="L2692" i="7" s="1"/>
  <c r="M2692" i="7" s="1"/>
  <c r="K2633" i="7"/>
  <c r="L2633" i="7" s="1"/>
  <c r="K2483" i="7"/>
  <c r="L2483" i="7" s="1"/>
  <c r="K2376" i="7"/>
  <c r="L2376" i="7" s="1"/>
  <c r="M2376" i="7" s="1"/>
  <c r="K2325" i="7"/>
  <c r="L2325" i="7" s="1"/>
  <c r="K2301" i="7"/>
  <c r="L2301" i="7" s="1"/>
  <c r="K2293" i="7"/>
  <c r="L2293" i="7" s="1"/>
  <c r="K2282" i="7"/>
  <c r="L2282" i="7" s="1"/>
  <c r="M2282" i="7" s="1"/>
  <c r="K1392" i="7"/>
  <c r="L1392" i="7" s="1"/>
  <c r="K1176" i="7"/>
  <c r="L1176" i="7" s="1"/>
  <c r="M1176" i="7" s="1"/>
  <c r="K1010" i="7"/>
  <c r="L1010" i="7" s="1"/>
  <c r="M1010" i="7" s="1"/>
  <c r="K970" i="7"/>
  <c r="L970" i="7" s="1"/>
  <c r="M970" i="7" s="1"/>
  <c r="K954" i="7"/>
  <c r="L954" i="7" s="1"/>
  <c r="K935" i="7"/>
  <c r="L935" i="7" s="1"/>
  <c r="K919" i="7"/>
  <c r="L919" i="7" s="1"/>
  <c r="M919" i="7" s="1"/>
  <c r="K610" i="7"/>
  <c r="L610" i="7" s="1"/>
  <c r="M610" i="7" s="1"/>
  <c r="K594" i="7"/>
  <c r="L594" i="7" s="1"/>
  <c r="M594" i="7" s="1"/>
  <c r="K2786" i="7"/>
  <c r="L2786" i="7" s="1"/>
  <c r="M2786" i="7" s="1"/>
  <c r="K2754" i="7"/>
  <c r="L2754" i="7" s="1"/>
  <c r="M2754" i="7" s="1"/>
  <c r="K2655" i="7"/>
  <c r="L2655" i="7" s="1"/>
  <c r="K2639" i="7"/>
  <c r="L2639" i="7" s="1"/>
  <c r="K2580" i="7"/>
  <c r="L2580" i="7" s="1"/>
  <c r="M2580" i="7" s="1"/>
  <c r="K2564" i="7"/>
  <c r="L2564" i="7" s="1"/>
  <c r="M2564" i="7" s="1"/>
  <c r="K2486" i="7"/>
  <c r="L2486" i="7" s="1"/>
  <c r="M2486" i="7" s="1"/>
  <c r="K2406" i="7"/>
  <c r="L2406" i="7" s="1"/>
  <c r="M2406" i="7" s="1"/>
  <c r="K2398" i="7"/>
  <c r="L2398" i="7" s="1"/>
  <c r="M2398" i="7" s="1"/>
  <c r="K2395" i="7"/>
  <c r="L2395" i="7" s="1"/>
  <c r="M2395" i="7" s="1"/>
  <c r="K1854" i="7"/>
  <c r="L1854" i="7" s="1"/>
  <c r="M1854" i="7" s="1"/>
  <c r="K1827" i="7"/>
  <c r="L1827" i="7" s="1"/>
  <c r="M1827" i="7" s="1"/>
  <c r="K1819" i="7"/>
  <c r="L1819" i="7" s="1"/>
  <c r="M1819" i="7" s="1"/>
  <c r="K1803" i="7"/>
  <c r="L1803" i="7" s="1"/>
  <c r="M1803" i="7" s="1"/>
  <c r="K1683" i="7"/>
  <c r="L1683" i="7" s="1"/>
  <c r="M1683" i="7" s="1"/>
  <c r="K1678" i="7"/>
  <c r="L1678" i="7" s="1"/>
  <c r="M1678" i="7" s="1"/>
  <c r="K1613" i="7"/>
  <c r="L1613" i="7" s="1"/>
  <c r="K1479" i="7"/>
  <c r="L1479" i="7" s="1"/>
  <c r="K1471" i="7"/>
  <c r="L1471" i="7" s="1"/>
  <c r="K1436" i="7"/>
  <c r="L1436" i="7" s="1"/>
  <c r="M1436" i="7" s="1"/>
  <c r="K1401" i="7"/>
  <c r="L1401" i="7" s="1"/>
  <c r="M1401" i="7" s="1"/>
  <c r="K1304" i="7"/>
  <c r="L1304" i="7" s="1"/>
  <c r="K1263" i="7"/>
  <c r="L1263" i="7" s="1"/>
  <c r="K1255" i="7"/>
  <c r="L1255" i="7" s="1"/>
  <c r="K1179" i="7"/>
  <c r="L1179" i="7" s="1"/>
  <c r="K766" i="7"/>
  <c r="L766" i="7" s="1"/>
  <c r="M766" i="7" s="1"/>
  <c r="K747" i="7"/>
  <c r="L747" i="7" s="1"/>
  <c r="M747" i="7" s="1"/>
  <c r="K739" i="7"/>
  <c r="L739" i="7" s="1"/>
  <c r="M739" i="7" s="1"/>
  <c r="K581" i="7"/>
  <c r="L581" i="7" s="1"/>
  <c r="K495" i="7"/>
  <c r="L495" i="7" s="1"/>
  <c r="M495" i="7" s="1"/>
  <c r="K385" i="7"/>
  <c r="L385" i="7" s="1"/>
  <c r="M385" i="7" s="1"/>
  <c r="K275" i="7"/>
  <c r="L275" i="7" s="1"/>
  <c r="K267" i="7"/>
  <c r="L267" i="7" s="1"/>
  <c r="K259" i="7"/>
  <c r="L259" i="7" s="1"/>
  <c r="K171" i="7"/>
  <c r="L171" i="7" s="1"/>
  <c r="M171" i="7" s="1"/>
  <c r="K79" i="7"/>
  <c r="L79" i="7" s="1"/>
  <c r="K71" i="7"/>
  <c r="L71" i="7" s="1"/>
  <c r="M71" i="7" s="1"/>
  <c r="K2996" i="7"/>
  <c r="L2996" i="7" s="1"/>
  <c r="M2996" i="7" s="1"/>
  <c r="K2926" i="7"/>
  <c r="L2926" i="7" s="1"/>
  <c r="M2926" i="7" s="1"/>
  <c r="K2484" i="7"/>
  <c r="L2484" i="7" s="1"/>
  <c r="K2073" i="7"/>
  <c r="L2073" i="7" s="1"/>
  <c r="M2073" i="7" s="1"/>
  <c r="K1442" i="7"/>
  <c r="L1442" i="7" s="1"/>
  <c r="M1442" i="7" s="1"/>
  <c r="K1434" i="7"/>
  <c r="L1434" i="7" s="1"/>
  <c r="M1434" i="7" s="1"/>
  <c r="K1261" i="7"/>
  <c r="L1261" i="7" s="1"/>
  <c r="M1261" i="7" s="1"/>
  <c r="K1215" i="7"/>
  <c r="L1215" i="7" s="1"/>
  <c r="M1215" i="7" s="1"/>
  <c r="K912" i="7"/>
  <c r="L912" i="7" s="1"/>
  <c r="M912" i="7" s="1"/>
  <c r="K817" i="7"/>
  <c r="L817" i="7" s="1"/>
  <c r="M817" i="7" s="1"/>
  <c r="K694" i="7"/>
  <c r="L694" i="7" s="1"/>
  <c r="K383" i="7"/>
  <c r="L383" i="7" s="1"/>
  <c r="M383" i="7" s="1"/>
  <c r="K351" i="7"/>
  <c r="L351" i="7" s="1"/>
  <c r="M351" i="7" s="1"/>
  <c r="K2259" i="7"/>
  <c r="L2259" i="7" s="1"/>
  <c r="M2259" i="7" s="1"/>
  <c r="K1622" i="7"/>
  <c r="L1622" i="7" s="1"/>
  <c r="M1622" i="7" s="1"/>
  <c r="K2978" i="7"/>
  <c r="L2978" i="7" s="1"/>
  <c r="M2978" i="7" s="1"/>
  <c r="K2951" i="7"/>
  <c r="L2951" i="7" s="1"/>
  <c r="K2902" i="7"/>
  <c r="L2902" i="7" s="1"/>
  <c r="K2802" i="7"/>
  <c r="L2802" i="7" s="1"/>
  <c r="M2802" i="7" s="1"/>
  <c r="K2420" i="7"/>
  <c r="L2420" i="7" s="1"/>
  <c r="K2339" i="7"/>
  <c r="L2339" i="7" s="1"/>
  <c r="M2339" i="7" s="1"/>
  <c r="K2042" i="7"/>
  <c r="L2042" i="7" s="1"/>
  <c r="M2042" i="7" s="1"/>
  <c r="K2034" i="7"/>
  <c r="L2034" i="7" s="1"/>
  <c r="M2034" i="7" s="1"/>
  <c r="K1875" i="7"/>
  <c r="L1875" i="7" s="1"/>
  <c r="M1875" i="7" s="1"/>
  <c r="K1799" i="7"/>
  <c r="L1799" i="7" s="1"/>
  <c r="M1799" i="7" s="1"/>
  <c r="K1791" i="7"/>
  <c r="L1791" i="7" s="1"/>
  <c r="M1791" i="7" s="1"/>
  <c r="K1276" i="7"/>
  <c r="L1276" i="7" s="1"/>
  <c r="M1276" i="7" s="1"/>
  <c r="K1273" i="7"/>
  <c r="L1273" i="7" s="1"/>
  <c r="M1273" i="7" s="1"/>
  <c r="K1265" i="7"/>
  <c r="L1265" i="7" s="1"/>
  <c r="M1265" i="7" s="1"/>
  <c r="K1226" i="7"/>
  <c r="L1226" i="7" s="1"/>
  <c r="K1221" i="7"/>
  <c r="L1221" i="7" s="1"/>
  <c r="K1183" i="7"/>
  <c r="L1183" i="7" s="1"/>
  <c r="K888" i="7"/>
  <c r="L888" i="7" s="1"/>
  <c r="K434" i="7"/>
  <c r="L434" i="7" s="1"/>
  <c r="K362" i="7"/>
  <c r="L362" i="7" s="1"/>
  <c r="M362" i="7" s="1"/>
  <c r="K313" i="7"/>
  <c r="L313" i="7" s="1"/>
  <c r="K294" i="7"/>
  <c r="L294" i="7" s="1"/>
  <c r="M294" i="7" s="1"/>
  <c r="K1440" i="7"/>
  <c r="L1440" i="7" s="1"/>
  <c r="K2973" i="7"/>
  <c r="L2973" i="7" s="1"/>
  <c r="K2859" i="7"/>
  <c r="L2859" i="7" s="1"/>
  <c r="M2859" i="7" s="1"/>
  <c r="K2854" i="7"/>
  <c r="L2854" i="7" s="1"/>
  <c r="M2854" i="7" s="1"/>
  <c r="K2740" i="7"/>
  <c r="L2740" i="7" s="1"/>
  <c r="M2740" i="7" s="1"/>
  <c r="K2724" i="7"/>
  <c r="L2724" i="7" s="1"/>
  <c r="M2724" i="7" s="1"/>
  <c r="K2630" i="7"/>
  <c r="L2630" i="7" s="1"/>
  <c r="M2630" i="7" s="1"/>
  <c r="K2560" i="7"/>
  <c r="L2560" i="7" s="1"/>
  <c r="M2560" i="7" s="1"/>
  <c r="K2552" i="7"/>
  <c r="L2552" i="7" s="1"/>
  <c r="M2552" i="7" s="1"/>
  <c r="K2541" i="7"/>
  <c r="L2541" i="7" s="1"/>
  <c r="M2541" i="7" s="1"/>
  <c r="K2508" i="7"/>
  <c r="L2508" i="7" s="1"/>
  <c r="K2500" i="7"/>
  <c r="L2500" i="7" s="1"/>
  <c r="K2492" i="7"/>
  <c r="L2492" i="7" s="1"/>
  <c r="M2492" i="7" s="1"/>
  <c r="K2476" i="7"/>
  <c r="L2476" i="7" s="1"/>
  <c r="M2476" i="7" s="1"/>
  <c r="K2372" i="7"/>
  <c r="L2372" i="7" s="1"/>
  <c r="K2241" i="7"/>
  <c r="L2241" i="7" s="1"/>
  <c r="M2241" i="7" s="1"/>
  <c r="K2187" i="7"/>
  <c r="L2187" i="7" s="1"/>
  <c r="M2187" i="7" s="1"/>
  <c r="K2144" i="7"/>
  <c r="L2144" i="7" s="1"/>
  <c r="K2059" i="7"/>
  <c r="L2059" i="7" s="1"/>
  <c r="M2059" i="7" s="1"/>
  <c r="K2048" i="7"/>
  <c r="L2048" i="7" s="1"/>
  <c r="M2048" i="7" s="1"/>
  <c r="K1892" i="7"/>
  <c r="L1892" i="7" s="1"/>
  <c r="M1892" i="7" s="1"/>
  <c r="K1886" i="7"/>
  <c r="L1886" i="7" s="1"/>
  <c r="M1886" i="7" s="1"/>
  <c r="K1878" i="7"/>
  <c r="L1878" i="7" s="1"/>
  <c r="K1859" i="7"/>
  <c r="L1859" i="7" s="1"/>
  <c r="M1859" i="7" s="1"/>
  <c r="K1743" i="7"/>
  <c r="L1743" i="7" s="1"/>
  <c r="K1712" i="7"/>
  <c r="L1712" i="7" s="1"/>
  <c r="M1712" i="7" s="1"/>
  <c r="K1695" i="7"/>
  <c r="L1695" i="7" s="1"/>
  <c r="K1588" i="7"/>
  <c r="L1588" i="7" s="1"/>
  <c r="M1588" i="7" s="1"/>
  <c r="K1540" i="7"/>
  <c r="L1540" i="7" s="1"/>
  <c r="K1510" i="7"/>
  <c r="L1510" i="7" s="1"/>
  <c r="K1368" i="7"/>
  <c r="L1368" i="7" s="1"/>
  <c r="K1175" i="7"/>
  <c r="L1175" i="7" s="1"/>
  <c r="K976" i="7"/>
  <c r="L976" i="7" s="1"/>
  <c r="M976" i="7" s="1"/>
  <c r="K952" i="7"/>
  <c r="L952" i="7" s="1"/>
  <c r="M952" i="7" s="1"/>
  <c r="K911" i="7"/>
  <c r="L911" i="7" s="1"/>
  <c r="M911" i="7" s="1"/>
  <c r="K871" i="7"/>
  <c r="L871" i="7" s="1"/>
  <c r="M871" i="7" s="1"/>
  <c r="K843" i="7"/>
  <c r="L843" i="7" s="1"/>
  <c r="M843" i="7" s="1"/>
  <c r="K742" i="7"/>
  <c r="L742" i="7" s="1"/>
  <c r="K734" i="7"/>
  <c r="L734" i="7" s="1"/>
  <c r="K681" i="7"/>
  <c r="L681" i="7" s="1"/>
  <c r="K586" i="7"/>
  <c r="L586" i="7" s="1"/>
  <c r="M586" i="7" s="1"/>
  <c r="K513" i="7"/>
  <c r="L513" i="7" s="1"/>
  <c r="M513" i="7" s="1"/>
  <c r="K472" i="7"/>
  <c r="L472" i="7" s="1"/>
  <c r="K464" i="7"/>
  <c r="L464" i="7" s="1"/>
  <c r="K388" i="7"/>
  <c r="L388" i="7" s="1"/>
  <c r="M388" i="7" s="1"/>
  <c r="K346" i="7"/>
  <c r="L346" i="7" s="1"/>
  <c r="M346" i="7" s="1"/>
  <c r="K338" i="7"/>
  <c r="L338" i="7" s="1"/>
  <c r="M338" i="7" s="1"/>
  <c r="K203" i="7"/>
  <c r="L203" i="7" s="1"/>
  <c r="M203" i="7" s="1"/>
  <c r="K142" i="7"/>
  <c r="L142" i="7" s="1"/>
  <c r="M142" i="7" s="1"/>
  <c r="K78" i="7"/>
  <c r="L78" i="7" s="1"/>
  <c r="M78" i="7" s="1"/>
  <c r="K32" i="7"/>
  <c r="L32" i="7" s="1"/>
  <c r="M32" i="7" s="1"/>
  <c r="K2830" i="7"/>
  <c r="L2830" i="7" s="1"/>
  <c r="M2830" i="7" s="1"/>
  <c r="K2765" i="7"/>
  <c r="L2765" i="7" s="1"/>
  <c r="M2765" i="7" s="1"/>
  <c r="K2332" i="7"/>
  <c r="L2332" i="7" s="1"/>
  <c r="K1922" i="7"/>
  <c r="L1922" i="7" s="1"/>
  <c r="K1679" i="7"/>
  <c r="L1679" i="7" s="1"/>
  <c r="K1374" i="7"/>
  <c r="L1374" i="7" s="1"/>
  <c r="K1293" i="7"/>
  <c r="L1293" i="7" s="1"/>
  <c r="M1293" i="7" s="1"/>
  <c r="K1239" i="7"/>
  <c r="L1239" i="7" s="1"/>
  <c r="M1239" i="7" s="1"/>
  <c r="K1236" i="7"/>
  <c r="L1236" i="7" s="1"/>
  <c r="K1230" i="7"/>
  <c r="L1230" i="7" s="1"/>
  <c r="M1230" i="7" s="1"/>
  <c r="K1198" i="7"/>
  <c r="L1198" i="7" s="1"/>
  <c r="K1195" i="7"/>
  <c r="L1195" i="7" s="1"/>
  <c r="K1167" i="7"/>
  <c r="L1167" i="7" s="1"/>
  <c r="K1151" i="7"/>
  <c r="L1151" i="7" s="1"/>
  <c r="K1140" i="7"/>
  <c r="L1140" i="7" s="1"/>
  <c r="M1140" i="7" s="1"/>
  <c r="K1062" i="7"/>
  <c r="L1062" i="7" s="1"/>
  <c r="M1062" i="7" s="1"/>
  <c r="K1046" i="7"/>
  <c r="L1046" i="7" s="1"/>
  <c r="M1046" i="7" s="1"/>
  <c r="K1012" i="7"/>
  <c r="L1012" i="7" s="1"/>
  <c r="M1012" i="7" s="1"/>
  <c r="K1004" i="7"/>
  <c r="L1004" i="7" s="1"/>
  <c r="M1004" i="7" s="1"/>
  <c r="K996" i="7"/>
  <c r="L996" i="7" s="1"/>
  <c r="M996" i="7" s="1"/>
  <c r="K955" i="7"/>
  <c r="L955" i="7" s="1"/>
  <c r="K880" i="7"/>
  <c r="L880" i="7" s="1"/>
  <c r="K789" i="7"/>
  <c r="L789" i="7" s="1"/>
  <c r="K699" i="7"/>
  <c r="L699" i="7" s="1"/>
  <c r="M699" i="7" s="1"/>
  <c r="K668" i="7"/>
  <c r="L668" i="7" s="1"/>
  <c r="M668" i="7" s="1"/>
  <c r="K652" i="7"/>
  <c r="L652" i="7" s="1"/>
  <c r="M652" i="7" s="1"/>
  <c r="K644" i="7"/>
  <c r="L644" i="7" s="1"/>
  <c r="M644" i="7" s="1"/>
  <c r="K603" i="7"/>
  <c r="L603" i="7" s="1"/>
  <c r="M603" i="7" s="1"/>
  <c r="K560" i="7"/>
  <c r="L560" i="7" s="1"/>
  <c r="M560" i="7" s="1"/>
  <c r="K554" i="7"/>
  <c r="L554" i="7" s="1"/>
  <c r="M554" i="7" s="1"/>
  <c r="K391" i="7"/>
  <c r="L391" i="7" s="1"/>
  <c r="M391" i="7" s="1"/>
  <c r="K322" i="7"/>
  <c r="L322" i="7" s="1"/>
  <c r="M322" i="7" s="1"/>
  <c r="K295" i="7"/>
  <c r="L295" i="7" s="1"/>
  <c r="K265" i="7"/>
  <c r="L265" i="7" s="1"/>
  <c r="K257" i="7"/>
  <c r="L257" i="7" s="1"/>
  <c r="K209" i="7"/>
  <c r="L209" i="7" s="1"/>
  <c r="M209" i="7" s="1"/>
  <c r="K115" i="7"/>
  <c r="L115" i="7" s="1"/>
  <c r="K2979" i="7"/>
  <c r="L2979" i="7" s="1"/>
  <c r="K2781" i="7"/>
  <c r="L2781" i="7" s="1"/>
  <c r="M2781" i="7" s="1"/>
  <c r="K2773" i="7"/>
  <c r="L2773" i="7" s="1"/>
  <c r="M2773" i="7" s="1"/>
  <c r="K1710" i="7"/>
  <c r="L1710" i="7" s="1"/>
  <c r="K2966" i="7"/>
  <c r="L2966" i="7" s="1"/>
  <c r="M2966" i="7" s="1"/>
  <c r="K2955" i="7"/>
  <c r="L2955" i="7" s="1"/>
  <c r="M2955" i="7" s="1"/>
  <c r="K2892" i="7"/>
  <c r="L2892" i="7" s="1"/>
  <c r="K2809" i="7"/>
  <c r="L2809" i="7" s="1"/>
  <c r="K2561" i="7"/>
  <c r="L2561" i="7" s="1"/>
  <c r="K2485" i="7"/>
  <c r="L2485" i="7" s="1"/>
  <c r="K2469" i="7"/>
  <c r="L2469" i="7" s="1"/>
  <c r="K2373" i="7"/>
  <c r="L2373" i="7" s="1"/>
  <c r="K2335" i="7"/>
  <c r="L2335" i="7" s="1"/>
  <c r="M2335" i="7" s="1"/>
  <c r="K2207" i="7"/>
  <c r="L2207" i="7" s="1"/>
  <c r="M2207" i="7" s="1"/>
  <c r="K2166" i="7"/>
  <c r="L2166" i="7" s="1"/>
  <c r="K2158" i="7"/>
  <c r="L2158" i="7" s="1"/>
  <c r="M2158" i="7" s="1"/>
  <c r="K2150" i="7"/>
  <c r="L2150" i="7" s="1"/>
  <c r="M2150" i="7" s="1"/>
  <c r="K2080" i="7"/>
  <c r="L2080" i="7" s="1"/>
  <c r="K2038" i="7"/>
  <c r="L2038" i="7" s="1"/>
  <c r="M2038" i="7" s="1"/>
  <c r="K2030" i="7"/>
  <c r="L2030" i="7" s="1"/>
  <c r="M2030" i="7" s="1"/>
  <c r="K1787" i="7"/>
  <c r="L1787" i="7" s="1"/>
  <c r="M1787" i="7" s="1"/>
  <c r="K1674" i="7"/>
  <c r="L1674" i="7" s="1"/>
  <c r="M1674" i="7" s="1"/>
  <c r="K1600" i="7"/>
  <c r="L1600" i="7" s="1"/>
  <c r="K1576" i="7"/>
  <c r="L1576" i="7" s="1"/>
  <c r="K1541" i="7"/>
  <c r="L1541" i="7" s="1"/>
  <c r="K1361" i="7"/>
  <c r="L1361" i="7" s="1"/>
  <c r="M1361" i="7" s="1"/>
  <c r="K1329" i="7"/>
  <c r="L1329" i="7" s="1"/>
  <c r="M1329" i="7" s="1"/>
  <c r="K1296" i="7"/>
  <c r="L1296" i="7" s="1"/>
  <c r="K1277" i="7"/>
  <c r="L1277" i="7" s="1"/>
  <c r="K1204" i="7"/>
  <c r="L1204" i="7" s="1"/>
  <c r="M1204" i="7" s="1"/>
  <c r="K1201" i="7"/>
  <c r="L1201" i="7" s="1"/>
  <c r="M1201" i="7" s="1"/>
  <c r="K1165" i="7"/>
  <c r="L1165" i="7" s="1"/>
  <c r="M1165" i="7" s="1"/>
  <c r="K1162" i="7"/>
  <c r="L1162" i="7" s="1"/>
  <c r="K1157" i="7"/>
  <c r="L1157" i="7" s="1"/>
  <c r="M1157" i="7" s="1"/>
  <c r="K1092" i="7"/>
  <c r="L1092" i="7" s="1"/>
  <c r="M1092" i="7" s="1"/>
  <c r="K1084" i="7"/>
  <c r="L1084" i="7" s="1"/>
  <c r="M1084" i="7" s="1"/>
  <c r="K1076" i="7"/>
  <c r="L1076" i="7" s="1"/>
  <c r="M1076" i="7" s="1"/>
  <c r="K1044" i="7"/>
  <c r="L1044" i="7" s="1"/>
  <c r="M1044" i="7" s="1"/>
  <c r="K1015" i="7"/>
  <c r="L1015" i="7" s="1"/>
  <c r="K991" i="7"/>
  <c r="L991" i="7" s="1"/>
  <c r="K923" i="7"/>
  <c r="L923" i="7" s="1"/>
  <c r="K909" i="7"/>
  <c r="L909" i="7" s="1"/>
  <c r="K903" i="7"/>
  <c r="L903" i="7" s="1"/>
  <c r="M903" i="7" s="1"/>
  <c r="K825" i="7"/>
  <c r="L825" i="7" s="1"/>
  <c r="M825" i="7" s="1"/>
  <c r="K765" i="7"/>
  <c r="L765" i="7" s="1"/>
  <c r="K697" i="7"/>
  <c r="L697" i="7" s="1"/>
  <c r="M697" i="7" s="1"/>
  <c r="K606" i="7"/>
  <c r="L606" i="7" s="1"/>
  <c r="K571" i="7"/>
  <c r="L571" i="7" s="1"/>
  <c r="M571" i="7" s="1"/>
  <c r="K533" i="7"/>
  <c r="L533" i="7" s="1"/>
  <c r="M533" i="7" s="1"/>
  <c r="K522" i="7"/>
  <c r="L522" i="7" s="1"/>
  <c r="K369" i="7"/>
  <c r="L369" i="7" s="1"/>
  <c r="M369" i="7" s="1"/>
  <c r="K336" i="7"/>
  <c r="L336" i="7" s="1"/>
  <c r="M336" i="7" s="1"/>
  <c r="K252" i="7"/>
  <c r="L252" i="7" s="1"/>
  <c r="M252" i="7" s="1"/>
  <c r="K236" i="7"/>
  <c r="L236" i="7" s="1"/>
  <c r="M236" i="7" s="1"/>
  <c r="K228" i="7"/>
  <c r="L228" i="7" s="1"/>
  <c r="M228" i="7" s="1"/>
  <c r="K220" i="7"/>
  <c r="L220" i="7" s="1"/>
  <c r="M220" i="7" s="1"/>
  <c r="K204" i="7"/>
  <c r="L204" i="7" s="1"/>
  <c r="M204" i="7" s="1"/>
  <c r="K190" i="7"/>
  <c r="L190" i="7" s="1"/>
  <c r="M190" i="7" s="1"/>
  <c r="K151" i="7"/>
  <c r="L151" i="7" s="1"/>
  <c r="K99" i="7"/>
  <c r="L99" i="7" s="1"/>
  <c r="K1505" i="7"/>
  <c r="L1505" i="7" s="1"/>
  <c r="M1505" i="7" s="1"/>
  <c r="K2915" i="7"/>
  <c r="L2915" i="7" s="1"/>
  <c r="M2915" i="7" s="1"/>
  <c r="K2658" i="7"/>
  <c r="L2658" i="7" s="1"/>
  <c r="K2645" i="7"/>
  <c r="L2645" i="7" s="1"/>
  <c r="M2645" i="7" s="1"/>
  <c r="K2642" i="7"/>
  <c r="L2642" i="7" s="1"/>
  <c r="M2642" i="7" s="1"/>
  <c r="K2572" i="7"/>
  <c r="L2572" i="7" s="1"/>
  <c r="K2496" i="7"/>
  <c r="L2496" i="7" s="1"/>
  <c r="M2496" i="7" s="1"/>
  <c r="K2488" i="7"/>
  <c r="L2488" i="7" s="1"/>
  <c r="M2488" i="7" s="1"/>
  <c r="K2472" i="7"/>
  <c r="L2472" i="7" s="1"/>
  <c r="M2472" i="7" s="1"/>
  <c r="K2436" i="7"/>
  <c r="L2436" i="7" s="1"/>
  <c r="K2411" i="7"/>
  <c r="L2411" i="7" s="1"/>
  <c r="M2411" i="7" s="1"/>
  <c r="K2392" i="7"/>
  <c r="L2392" i="7" s="1"/>
  <c r="M2392" i="7" s="1"/>
  <c r="K2384" i="7"/>
  <c r="L2384" i="7" s="1"/>
  <c r="M2384" i="7" s="1"/>
  <c r="K2355" i="7"/>
  <c r="L2355" i="7" s="1"/>
  <c r="M2355" i="7" s="1"/>
  <c r="K2347" i="7"/>
  <c r="L2347" i="7" s="1"/>
  <c r="M2347" i="7" s="1"/>
  <c r="K2251" i="7"/>
  <c r="L2251" i="7" s="1"/>
  <c r="K2183" i="7"/>
  <c r="L2183" i="7" s="1"/>
  <c r="M2183" i="7" s="1"/>
  <c r="K2180" i="7"/>
  <c r="L2180" i="7" s="1"/>
  <c r="M2180" i="7" s="1"/>
  <c r="K2091" i="7"/>
  <c r="L2091" i="7" s="1"/>
  <c r="M2091" i="7" s="1"/>
  <c r="K2022" i="7"/>
  <c r="L2022" i="7" s="1"/>
  <c r="M2022" i="7" s="1"/>
  <c r="K1990" i="7"/>
  <c r="L1990" i="7" s="1"/>
  <c r="M1990" i="7" s="1"/>
  <c r="K1931" i="7"/>
  <c r="L1931" i="7" s="1"/>
  <c r="M1931" i="7" s="1"/>
  <c r="K1923" i="7"/>
  <c r="L1923" i="7" s="1"/>
  <c r="M1923" i="7" s="1"/>
  <c r="K1915" i="7"/>
  <c r="L1915" i="7" s="1"/>
  <c r="M1915" i="7" s="1"/>
  <c r="K1907" i="7"/>
  <c r="L1907" i="7" s="1"/>
  <c r="M1907" i="7" s="1"/>
  <c r="K1888" i="7"/>
  <c r="L1888" i="7" s="1"/>
  <c r="M1888" i="7" s="1"/>
  <c r="K1874" i="7"/>
  <c r="L1874" i="7" s="1"/>
  <c r="K1806" i="7"/>
  <c r="L1806" i="7" s="1"/>
  <c r="K1798" i="7"/>
  <c r="L1798" i="7" s="1"/>
  <c r="M1798" i="7" s="1"/>
  <c r="K1774" i="7"/>
  <c r="L1774" i="7" s="1"/>
  <c r="K1755" i="7"/>
  <c r="L1755" i="7" s="1"/>
  <c r="M1755" i="7" s="1"/>
  <c r="K1691" i="7"/>
  <c r="L1691" i="7" s="1"/>
  <c r="M1691" i="7" s="1"/>
  <c r="K1614" i="7"/>
  <c r="L1614" i="7" s="1"/>
  <c r="M1614" i="7" s="1"/>
  <c r="K1476" i="7"/>
  <c r="L1476" i="7" s="1"/>
  <c r="K1468" i="7"/>
  <c r="L1468" i="7" s="1"/>
  <c r="M1468" i="7" s="1"/>
  <c r="K1388" i="7"/>
  <c r="L1388" i="7" s="1"/>
  <c r="M1388" i="7" s="1"/>
  <c r="K1380" i="7"/>
  <c r="L1380" i="7" s="1"/>
  <c r="M1380" i="7" s="1"/>
  <c r="K1286" i="7"/>
  <c r="L1286" i="7" s="1"/>
  <c r="M1286" i="7" s="1"/>
  <c r="K1228" i="7"/>
  <c r="L1228" i="7" s="1"/>
  <c r="K1225" i="7"/>
  <c r="L1225" i="7" s="1"/>
  <c r="M1225" i="7" s="1"/>
  <c r="K1219" i="7"/>
  <c r="L1219" i="7" s="1"/>
  <c r="M1219" i="7" s="1"/>
  <c r="K422" i="7"/>
  <c r="L422" i="7" s="1"/>
  <c r="K334" i="7"/>
  <c r="L334" i="7" s="1"/>
  <c r="K323" i="7"/>
  <c r="L323" i="7" s="1"/>
  <c r="K301" i="7"/>
  <c r="L301" i="7" s="1"/>
  <c r="K2066" i="7"/>
  <c r="L2066" i="7" s="1"/>
  <c r="M2066" i="7" s="1"/>
  <c r="K1997" i="7"/>
  <c r="L1997" i="7" s="1"/>
  <c r="M1997" i="7" s="1"/>
  <c r="K1898" i="7"/>
  <c r="L1898" i="7" s="1"/>
  <c r="K2039" i="7"/>
  <c r="L2039" i="7" s="1"/>
  <c r="M2039" i="7" s="1"/>
  <c r="K1645" i="7"/>
  <c r="L1645" i="7" s="1"/>
  <c r="M1645" i="7" s="1"/>
  <c r="K1474" i="7"/>
  <c r="L1474" i="7" s="1"/>
  <c r="M1474" i="7" s="1"/>
  <c r="K1246" i="7"/>
  <c r="L1246" i="7" s="1"/>
  <c r="K1188" i="7"/>
  <c r="L1188" i="7" s="1"/>
  <c r="M1188" i="7" s="1"/>
  <c r="K1098" i="7"/>
  <c r="L1098" i="7" s="1"/>
  <c r="M1098" i="7" s="1"/>
  <c r="K1090" i="7"/>
  <c r="L1090" i="7" s="1"/>
  <c r="M1090" i="7" s="1"/>
  <c r="K1074" i="7"/>
  <c r="L1074" i="7" s="1"/>
  <c r="M1074" i="7" s="1"/>
  <c r="K1071" i="7"/>
  <c r="L1071" i="7" s="1"/>
  <c r="K975" i="7"/>
  <c r="L975" i="7" s="1"/>
  <c r="K964" i="7"/>
  <c r="L964" i="7" s="1"/>
  <c r="M964" i="7" s="1"/>
  <c r="K612" i="7"/>
  <c r="L612" i="7" s="1"/>
  <c r="M612" i="7" s="1"/>
  <c r="K604" i="7"/>
  <c r="L604" i="7" s="1"/>
  <c r="K555" i="7"/>
  <c r="L555" i="7" s="1"/>
  <c r="M555" i="7" s="1"/>
  <c r="K528" i="7"/>
  <c r="L528" i="7" s="1"/>
  <c r="K258" i="7"/>
  <c r="L258" i="7" s="1"/>
  <c r="M258" i="7" s="1"/>
  <c r="K250" i="7"/>
  <c r="L250" i="7" s="1"/>
  <c r="M250" i="7" s="1"/>
  <c r="K242" i="7"/>
  <c r="L242" i="7" s="1"/>
  <c r="M242" i="7" s="1"/>
  <c r="K234" i="7"/>
  <c r="L234" i="7" s="1"/>
  <c r="K226" i="7"/>
  <c r="L226" i="7" s="1"/>
  <c r="K168" i="7"/>
  <c r="L168" i="7" s="1"/>
  <c r="K2267" i="7"/>
  <c r="L2267" i="7" s="1"/>
  <c r="M2267" i="7" s="1"/>
  <c r="K1749" i="7"/>
  <c r="L1749" i="7" s="1"/>
  <c r="K2967" i="7"/>
  <c r="L2967" i="7" s="1"/>
  <c r="K2956" i="7"/>
  <c r="L2956" i="7" s="1"/>
  <c r="K2918" i="7"/>
  <c r="L2918" i="7" s="1"/>
  <c r="M2918" i="7" s="1"/>
  <c r="K2818" i="7"/>
  <c r="L2818" i="7" s="1"/>
  <c r="M2818" i="7" s="1"/>
  <c r="K2807" i="7"/>
  <c r="L2807" i="7" s="1"/>
  <c r="M2807" i="7" s="1"/>
  <c r="K2675" i="7"/>
  <c r="L2675" i="7" s="1"/>
  <c r="K2551" i="7"/>
  <c r="L2551" i="7" s="1"/>
  <c r="M2551" i="7" s="1"/>
  <c r="K1220" i="7"/>
  <c r="L1220" i="7" s="1"/>
  <c r="M1220" i="7" s="1"/>
  <c r="K1163" i="7"/>
  <c r="L1163" i="7" s="1"/>
  <c r="M1163" i="7" s="1"/>
  <c r="K1034" i="7"/>
  <c r="L1034" i="7" s="1"/>
  <c r="M1034" i="7" s="1"/>
  <c r="K1031" i="7"/>
  <c r="L1031" i="7" s="1"/>
  <c r="K1028" i="7"/>
  <c r="L1028" i="7" s="1"/>
  <c r="M1028" i="7" s="1"/>
  <c r="K951" i="7"/>
  <c r="L951" i="7" s="1"/>
  <c r="M951" i="7" s="1"/>
  <c r="K853" i="7"/>
  <c r="L853" i="7" s="1"/>
  <c r="M853" i="7" s="1"/>
  <c r="K845" i="7"/>
  <c r="L845" i="7" s="1"/>
  <c r="M845" i="7" s="1"/>
  <c r="K788" i="7"/>
  <c r="L788" i="7" s="1"/>
  <c r="K769" i="7"/>
  <c r="L769" i="7" s="1"/>
  <c r="M769" i="7" s="1"/>
  <c r="K763" i="7"/>
  <c r="L763" i="7" s="1"/>
  <c r="K689" i="7"/>
  <c r="L689" i="7" s="1"/>
  <c r="M689" i="7" s="1"/>
  <c r="K686" i="7"/>
  <c r="L686" i="7" s="1"/>
  <c r="K675" i="7"/>
  <c r="L675" i="7" s="1"/>
  <c r="M675" i="7" s="1"/>
  <c r="K534" i="7"/>
  <c r="L534" i="7" s="1"/>
  <c r="K515" i="7"/>
  <c r="L515" i="7" s="1"/>
  <c r="K507" i="7"/>
  <c r="L507" i="7" s="1"/>
  <c r="M507" i="7" s="1"/>
  <c r="K299" i="7"/>
  <c r="L299" i="7" s="1"/>
  <c r="K288" i="7"/>
  <c r="L288" i="7" s="1"/>
  <c r="M288" i="7" s="1"/>
  <c r="K216" i="7"/>
  <c r="L216" i="7" s="1"/>
  <c r="M216" i="7" s="1"/>
  <c r="K177" i="7"/>
  <c r="L177" i="7" s="1"/>
  <c r="M177" i="7" s="1"/>
  <c r="K72" i="7"/>
  <c r="L72" i="7" s="1"/>
  <c r="M72" i="7" s="1"/>
  <c r="K64" i="7"/>
  <c r="L64" i="7" s="1"/>
  <c r="M64" i="7" s="1"/>
  <c r="K48" i="7"/>
  <c r="L48" i="7" s="1"/>
  <c r="M48" i="7" s="1"/>
  <c r="K15" i="7"/>
  <c r="L15" i="7" s="1"/>
  <c r="K9" i="7"/>
  <c r="L9" i="7" s="1"/>
  <c r="M9" i="7" s="1"/>
  <c r="K2905" i="7"/>
  <c r="L2905" i="7" s="1"/>
  <c r="M2905" i="7" s="1"/>
  <c r="K2836" i="7"/>
  <c r="L2836" i="7" s="1"/>
  <c r="K2822" i="7"/>
  <c r="L2822" i="7" s="1"/>
  <c r="K2814" i="7"/>
  <c r="L2814" i="7" s="1"/>
  <c r="K2782" i="7"/>
  <c r="L2782" i="7" s="1"/>
  <c r="K2766" i="7"/>
  <c r="L2766" i="7" s="1"/>
  <c r="K2743" i="7"/>
  <c r="L2743" i="7" s="1"/>
  <c r="M2743" i="7" s="1"/>
  <c r="K2595" i="7"/>
  <c r="L2595" i="7" s="1"/>
  <c r="M2595" i="7" s="1"/>
  <c r="K2933" i="7"/>
  <c r="L2933" i="7" s="1"/>
  <c r="M2933" i="7" s="1"/>
  <c r="K2896" i="7"/>
  <c r="L2896" i="7" s="1"/>
  <c r="M2896" i="7" s="1"/>
  <c r="K2858" i="7"/>
  <c r="L2858" i="7" s="1"/>
  <c r="K2730" i="7"/>
  <c r="L2730" i="7" s="1"/>
  <c r="M2730" i="7" s="1"/>
  <c r="K2722" i="7"/>
  <c r="L2722" i="7" s="1"/>
  <c r="M2722" i="7" s="1"/>
  <c r="K2706" i="7"/>
  <c r="L2706" i="7" s="1"/>
  <c r="M2706" i="7" s="1"/>
  <c r="K2999" i="7"/>
  <c r="L2999" i="7" s="1"/>
  <c r="M2999" i="7" s="1"/>
  <c r="K2965" i="7"/>
  <c r="L2965" i="7" s="1"/>
  <c r="M2965" i="7" s="1"/>
  <c r="K2869" i="7"/>
  <c r="L2869" i="7" s="1"/>
  <c r="K2744" i="7"/>
  <c r="L2744" i="7" s="1"/>
  <c r="K2717" i="7"/>
  <c r="L2717" i="7" s="1"/>
  <c r="M2717" i="7" s="1"/>
  <c r="K2709" i="7"/>
  <c r="L2709" i="7" s="1"/>
  <c r="M2709" i="7" s="1"/>
  <c r="K2701" i="7"/>
  <c r="L2701" i="7" s="1"/>
  <c r="M2701" i="7" s="1"/>
  <c r="K2981" i="7"/>
  <c r="L2981" i="7" s="1"/>
  <c r="M2981" i="7" s="1"/>
  <c r="K2943" i="7"/>
  <c r="L2943" i="7" s="1"/>
  <c r="K2940" i="7"/>
  <c r="L2940" i="7" s="1"/>
  <c r="K2934" i="7"/>
  <c r="L2934" i="7" s="1"/>
  <c r="M2934" i="7" s="1"/>
  <c r="K2920" i="7"/>
  <c r="L2920" i="7" s="1"/>
  <c r="K2872" i="7"/>
  <c r="L2872" i="7" s="1"/>
  <c r="M2872" i="7" s="1"/>
  <c r="K2851" i="7"/>
  <c r="L2851" i="7" s="1"/>
  <c r="M2851" i="7" s="1"/>
  <c r="K2843" i="7"/>
  <c r="L2843" i="7" s="1"/>
  <c r="M2843" i="7" s="1"/>
  <c r="K2804" i="7"/>
  <c r="L2804" i="7" s="1"/>
  <c r="M2804" i="7" s="1"/>
  <c r="K2770" i="7"/>
  <c r="L2770" i="7" s="1"/>
  <c r="M2770" i="7" s="1"/>
  <c r="K2759" i="7"/>
  <c r="L2759" i="7" s="1"/>
  <c r="M2759" i="7" s="1"/>
  <c r="K2756" i="7"/>
  <c r="L2756" i="7" s="1"/>
  <c r="M2756" i="7" s="1"/>
  <c r="K2736" i="7"/>
  <c r="L2736" i="7" s="1"/>
  <c r="M2736" i="7" s="1"/>
  <c r="K1608" i="7"/>
  <c r="L1608" i="7" s="1"/>
  <c r="K1465" i="7"/>
  <c r="L1465" i="7" s="1"/>
  <c r="M1465" i="7" s="1"/>
  <c r="K29" i="7"/>
  <c r="L29" i="7" s="1"/>
  <c r="K2865" i="7"/>
  <c r="L2865" i="7" s="1"/>
  <c r="K2849" i="7"/>
  <c r="L2849" i="7" s="1"/>
  <c r="M2849" i="7" s="1"/>
  <c r="K2827" i="7"/>
  <c r="L2827" i="7" s="1"/>
  <c r="M2827" i="7" s="1"/>
  <c r="K2824" i="7"/>
  <c r="L2824" i="7" s="1"/>
  <c r="M2824" i="7" s="1"/>
  <c r="K2810" i="7"/>
  <c r="L2810" i="7" s="1"/>
  <c r="M2810" i="7" s="1"/>
  <c r="K2779" i="7"/>
  <c r="L2779" i="7" s="1"/>
  <c r="M2779" i="7" s="1"/>
  <c r="K2771" i="7"/>
  <c r="L2771" i="7" s="1"/>
  <c r="M2771" i="7" s="1"/>
  <c r="K2763" i="7"/>
  <c r="L2763" i="7" s="1"/>
  <c r="M2763" i="7" s="1"/>
  <c r="K2726" i="7"/>
  <c r="L2726" i="7" s="1"/>
  <c r="K2800" i="7"/>
  <c r="L2800" i="7" s="1"/>
  <c r="K2752" i="7"/>
  <c r="L2752" i="7" s="1"/>
  <c r="K2746" i="7"/>
  <c r="L2746" i="7" s="1"/>
  <c r="M2746" i="7" s="1"/>
  <c r="K2738" i="7"/>
  <c r="L2738" i="7" s="1"/>
  <c r="M2738" i="7" s="1"/>
  <c r="K2627" i="7"/>
  <c r="L2627" i="7" s="1"/>
  <c r="M2627" i="7" s="1"/>
  <c r="K2624" i="7"/>
  <c r="L2624" i="7" s="1"/>
  <c r="M2624" i="7" s="1"/>
  <c r="K2604" i="7"/>
  <c r="L2604" i="7" s="1"/>
  <c r="K2596" i="7"/>
  <c r="L2596" i="7" s="1"/>
  <c r="M2596" i="7" s="1"/>
  <c r="K2576" i="7"/>
  <c r="L2576" i="7" s="1"/>
  <c r="M2576" i="7" s="1"/>
  <c r="K2527" i="7"/>
  <c r="L2527" i="7" s="1"/>
  <c r="M2527" i="7" s="1"/>
  <c r="K2443" i="7"/>
  <c r="L2443" i="7" s="1"/>
  <c r="M2443" i="7" s="1"/>
  <c r="K2414" i="7"/>
  <c r="L2414" i="7" s="1"/>
  <c r="M2414" i="7" s="1"/>
  <c r="K2389" i="7"/>
  <c r="L2389" i="7" s="1"/>
  <c r="K2333" i="7"/>
  <c r="L2333" i="7" s="1"/>
  <c r="K2291" i="7"/>
  <c r="L2291" i="7" s="1"/>
  <c r="M2291" i="7" s="1"/>
  <c r="K2256" i="7"/>
  <c r="L2256" i="7" s="1"/>
  <c r="M2256" i="7" s="1"/>
  <c r="K2184" i="7"/>
  <c r="L2184" i="7" s="1"/>
  <c r="K2181" i="7"/>
  <c r="L2181" i="7" s="1"/>
  <c r="M2181" i="7" s="1"/>
  <c r="K2172" i="7"/>
  <c r="L2172" i="7" s="1"/>
  <c r="M2172" i="7" s="1"/>
  <c r="K2167" i="7"/>
  <c r="L2167" i="7" s="1"/>
  <c r="M2167" i="7" s="1"/>
  <c r="K2159" i="7"/>
  <c r="L2159" i="7" s="1"/>
  <c r="M2159" i="7" s="1"/>
  <c r="K2151" i="7"/>
  <c r="L2151" i="7" s="1"/>
  <c r="M2151" i="7" s="1"/>
  <c r="K2110" i="7"/>
  <c r="L2110" i="7" s="1"/>
  <c r="M2110" i="7" s="1"/>
  <c r="K2107" i="7"/>
  <c r="L2107" i="7" s="1"/>
  <c r="M2107" i="7" s="1"/>
  <c r="K2094" i="7"/>
  <c r="L2094" i="7" s="1"/>
  <c r="M2094" i="7" s="1"/>
  <c r="K2071" i="7"/>
  <c r="L2071" i="7" s="1"/>
  <c r="K2068" i="7"/>
  <c r="L2068" i="7" s="1"/>
  <c r="K1986" i="7"/>
  <c r="L1986" i="7" s="1"/>
  <c r="M1986" i="7" s="1"/>
  <c r="K1950" i="7"/>
  <c r="L1950" i="7" s="1"/>
  <c r="K1939" i="7"/>
  <c r="L1939" i="7" s="1"/>
  <c r="M1939" i="7" s="1"/>
  <c r="K1930" i="7"/>
  <c r="L1930" i="7" s="1"/>
  <c r="K1911" i="7"/>
  <c r="L1911" i="7" s="1"/>
  <c r="M1911" i="7" s="1"/>
  <c r="K1889" i="7"/>
  <c r="L1889" i="7" s="1"/>
  <c r="M1889" i="7" s="1"/>
  <c r="K1857" i="7"/>
  <c r="L1857" i="7" s="1"/>
  <c r="M1857" i="7" s="1"/>
  <c r="K1835" i="7"/>
  <c r="L1835" i="7" s="1"/>
  <c r="M1835" i="7" s="1"/>
  <c r="K1823" i="7"/>
  <c r="L1823" i="7" s="1"/>
  <c r="M1823" i="7" s="1"/>
  <c r="K1818" i="7"/>
  <c r="L1818" i="7" s="1"/>
  <c r="M1818" i="7" s="1"/>
  <c r="K1815" i="7"/>
  <c r="L1815" i="7" s="1"/>
  <c r="M1815" i="7" s="1"/>
  <c r="K1807" i="7"/>
  <c r="L1807" i="7" s="1"/>
  <c r="M1807" i="7" s="1"/>
  <c r="K1771" i="7"/>
  <c r="L1771" i="7" s="1"/>
  <c r="M1771" i="7" s="1"/>
  <c r="K1763" i="7"/>
  <c r="L1763" i="7" s="1"/>
  <c r="M1763" i="7" s="1"/>
  <c r="K1742" i="7"/>
  <c r="L1742" i="7" s="1"/>
  <c r="K1718" i="7"/>
  <c r="L1718" i="7" s="1"/>
  <c r="M1718" i="7" s="1"/>
  <c r="K1707" i="7"/>
  <c r="L1707" i="7" s="1"/>
  <c r="M1707" i="7" s="1"/>
  <c r="K1677" i="7"/>
  <c r="L1677" i="7" s="1"/>
  <c r="M1677" i="7" s="1"/>
  <c r="K1671" i="7"/>
  <c r="L1671" i="7" s="1"/>
  <c r="M1671" i="7" s="1"/>
  <c r="K1662" i="7"/>
  <c r="L1662" i="7" s="1"/>
  <c r="M1662" i="7" s="1"/>
  <c r="K1651" i="7"/>
  <c r="L1651" i="7" s="1"/>
  <c r="M1651" i="7" s="1"/>
  <c r="K1648" i="7"/>
  <c r="L1648" i="7" s="1"/>
  <c r="K1640" i="7"/>
  <c r="L1640" i="7" s="1"/>
  <c r="K1558" i="7"/>
  <c r="L1558" i="7" s="1"/>
  <c r="M1558" i="7" s="1"/>
  <c r="K1530" i="7"/>
  <c r="L1530" i="7" s="1"/>
  <c r="M1530" i="7" s="1"/>
  <c r="K1484" i="7"/>
  <c r="L1484" i="7" s="1"/>
  <c r="K1473" i="7"/>
  <c r="L1473" i="7" s="1"/>
  <c r="M1473" i="7" s="1"/>
  <c r="K1437" i="7"/>
  <c r="L1437" i="7" s="1"/>
  <c r="M1437" i="7" s="1"/>
  <c r="K1415" i="7"/>
  <c r="L1415" i="7" s="1"/>
  <c r="K2644" i="7"/>
  <c r="L2644" i="7" s="1"/>
  <c r="M2644" i="7" s="1"/>
  <c r="K2565" i="7"/>
  <c r="L2565" i="7" s="1"/>
  <c r="M2565" i="7" s="1"/>
  <c r="K2135" i="7"/>
  <c r="L2135" i="7" s="1"/>
  <c r="K2121" i="7"/>
  <c r="L2121" i="7" s="1"/>
  <c r="M2121" i="7" s="1"/>
  <c r="K2045" i="7"/>
  <c r="L2045" i="7" s="1"/>
  <c r="K2028" i="7"/>
  <c r="L2028" i="7" s="1"/>
  <c r="M2028" i="7" s="1"/>
  <c r="K1962" i="7"/>
  <c r="L1962" i="7" s="1"/>
  <c r="M1962" i="7" s="1"/>
  <c r="K1945" i="7"/>
  <c r="L1945" i="7" s="1"/>
  <c r="K1802" i="7"/>
  <c r="L1802" i="7" s="1"/>
  <c r="M1802" i="7" s="1"/>
  <c r="K1666" i="7"/>
  <c r="L1666" i="7" s="1"/>
  <c r="M1666" i="7" s="1"/>
  <c r="K1564" i="7"/>
  <c r="L1564" i="7" s="1"/>
  <c r="K1509" i="7"/>
  <c r="L1509" i="7" s="1"/>
  <c r="M1509" i="7" s="1"/>
  <c r="K1421" i="7"/>
  <c r="L1421" i="7" s="1"/>
  <c r="M1421" i="7" s="1"/>
  <c r="K1402" i="7"/>
  <c r="L1402" i="7" s="1"/>
  <c r="M1402" i="7" s="1"/>
  <c r="K2687" i="7"/>
  <c r="L2687" i="7" s="1"/>
  <c r="M2687" i="7" s="1"/>
  <c r="K2647" i="7"/>
  <c r="L2647" i="7" s="1"/>
  <c r="M2647" i="7" s="1"/>
  <c r="K2625" i="7"/>
  <c r="L2625" i="7" s="1"/>
  <c r="K2557" i="7"/>
  <c r="L2557" i="7" s="1"/>
  <c r="M2557" i="7" s="1"/>
  <c r="K2537" i="7"/>
  <c r="L2537" i="7" s="1"/>
  <c r="M2537" i="7" s="1"/>
  <c r="K2514" i="7"/>
  <c r="L2514" i="7" s="1"/>
  <c r="M2514" i="7" s="1"/>
  <c r="K2478" i="7"/>
  <c r="L2478" i="7" s="1"/>
  <c r="M2478" i="7" s="1"/>
  <c r="K2461" i="7"/>
  <c r="L2461" i="7" s="1"/>
  <c r="K2453" i="7"/>
  <c r="L2453" i="7" s="1"/>
  <c r="K2432" i="7"/>
  <c r="L2432" i="7" s="1"/>
  <c r="M2432" i="7" s="1"/>
  <c r="K2379" i="7"/>
  <c r="L2379" i="7" s="1"/>
  <c r="M2379" i="7" s="1"/>
  <c r="K2314" i="7"/>
  <c r="L2314" i="7" s="1"/>
  <c r="M2314" i="7" s="1"/>
  <c r="K2308" i="7"/>
  <c r="L2308" i="7" s="1"/>
  <c r="M2308" i="7" s="1"/>
  <c r="K2300" i="7"/>
  <c r="L2300" i="7" s="1"/>
  <c r="K2283" i="7"/>
  <c r="L2283" i="7" s="1"/>
  <c r="M2283" i="7" s="1"/>
  <c r="K2248" i="7"/>
  <c r="L2248" i="7" s="1"/>
  <c r="M2248" i="7" s="1"/>
  <c r="K2242" i="7"/>
  <c r="L2242" i="7" s="1"/>
  <c r="M2242" i="7" s="1"/>
  <c r="K2222" i="7"/>
  <c r="L2222" i="7" s="1"/>
  <c r="M2222" i="7" s="1"/>
  <c r="K2216" i="7"/>
  <c r="L2216" i="7" s="1"/>
  <c r="M2216" i="7" s="1"/>
  <c r="K2138" i="7"/>
  <c r="L2138" i="7" s="1"/>
  <c r="M2138" i="7" s="1"/>
  <c r="K2014" i="7"/>
  <c r="L2014" i="7" s="1"/>
  <c r="M2014" i="7" s="1"/>
  <c r="K2008" i="7"/>
  <c r="L2008" i="7" s="1"/>
  <c r="K1928" i="7"/>
  <c r="L1928" i="7" s="1"/>
  <c r="K1873" i="7"/>
  <c r="L1873" i="7" s="1"/>
  <c r="K1864" i="7"/>
  <c r="L1864" i="7" s="1"/>
  <c r="M1864" i="7" s="1"/>
  <c r="K1839" i="7"/>
  <c r="L1839" i="7" s="1"/>
  <c r="M1839" i="7" s="1"/>
  <c r="K1808" i="7"/>
  <c r="L1808" i="7" s="1"/>
  <c r="M1808" i="7" s="1"/>
  <c r="K1786" i="7"/>
  <c r="L1786" i="7" s="1"/>
  <c r="M1786" i="7" s="1"/>
  <c r="K1778" i="7"/>
  <c r="L1778" i="7" s="1"/>
  <c r="M1778" i="7" s="1"/>
  <c r="K1775" i="7"/>
  <c r="L1775" i="7" s="1"/>
  <c r="M1775" i="7" s="1"/>
  <c r="K1758" i="7"/>
  <c r="L1758" i="7" s="1"/>
  <c r="K1719" i="7"/>
  <c r="L1719" i="7" s="1"/>
  <c r="K1711" i="7"/>
  <c r="L1711" i="7" s="1"/>
  <c r="K1652" i="7"/>
  <c r="L1652" i="7" s="1"/>
  <c r="K1649" i="7"/>
  <c r="L1649" i="7" s="1"/>
  <c r="M1649" i="7" s="1"/>
  <c r="K1630" i="7"/>
  <c r="L1630" i="7" s="1"/>
  <c r="M1630" i="7" s="1"/>
  <c r="K1570" i="7"/>
  <c r="L1570" i="7" s="1"/>
  <c r="M1570" i="7" s="1"/>
  <c r="K1567" i="7"/>
  <c r="L1567" i="7" s="1"/>
  <c r="M1567" i="7" s="1"/>
  <c r="K1559" i="7"/>
  <c r="L1559" i="7" s="1"/>
  <c r="M1559" i="7" s="1"/>
  <c r="K1556" i="7"/>
  <c r="L1556" i="7" s="1"/>
  <c r="K1488" i="7"/>
  <c r="L1488" i="7" s="1"/>
  <c r="K1485" i="7"/>
  <c r="L1485" i="7" s="1"/>
  <c r="M1485" i="7" s="1"/>
  <c r="K1462" i="7"/>
  <c r="L1462" i="7" s="1"/>
  <c r="K1443" i="7"/>
  <c r="L1443" i="7" s="1"/>
  <c r="M1443" i="7" s="1"/>
  <c r="K2690" i="7"/>
  <c r="L2690" i="7" s="1"/>
  <c r="M2690" i="7" s="1"/>
  <c r="K2563" i="7"/>
  <c r="L2563" i="7" s="1"/>
  <c r="M2563" i="7" s="1"/>
  <c r="K2540" i="7"/>
  <c r="L2540" i="7" s="1"/>
  <c r="K2501" i="7"/>
  <c r="L2501" i="7" s="1"/>
  <c r="M2501" i="7" s="1"/>
  <c r="K2470" i="7"/>
  <c r="L2470" i="7" s="1"/>
  <c r="M2470" i="7" s="1"/>
  <c r="K2456" i="7"/>
  <c r="L2456" i="7" s="1"/>
  <c r="M2456" i="7" s="1"/>
  <c r="K2435" i="7"/>
  <c r="L2435" i="7" s="1"/>
  <c r="M2435" i="7" s="1"/>
  <c r="K2404" i="7"/>
  <c r="L2404" i="7" s="1"/>
  <c r="K2371" i="7"/>
  <c r="L2371" i="7" s="1"/>
  <c r="M2371" i="7" s="1"/>
  <c r="K2340" i="7"/>
  <c r="L2340" i="7" s="1"/>
  <c r="K2337" i="7"/>
  <c r="L2337" i="7" s="1"/>
  <c r="M2337" i="7" s="1"/>
  <c r="K2303" i="7"/>
  <c r="L2303" i="7" s="1"/>
  <c r="M2303" i="7" s="1"/>
  <c r="K2295" i="7"/>
  <c r="L2295" i="7" s="1"/>
  <c r="M2295" i="7" s="1"/>
  <c r="K2289" i="7"/>
  <c r="L2289" i="7" s="1"/>
  <c r="M2289" i="7" s="1"/>
  <c r="K2269" i="7"/>
  <c r="L2269" i="7" s="1"/>
  <c r="K2261" i="7"/>
  <c r="L2261" i="7" s="1"/>
  <c r="K2258" i="7"/>
  <c r="L2258" i="7" s="1"/>
  <c r="M2258" i="7" s="1"/>
  <c r="K2231" i="7"/>
  <c r="L2231" i="7" s="1"/>
  <c r="M2231" i="7" s="1"/>
  <c r="K2208" i="7"/>
  <c r="L2208" i="7" s="1"/>
  <c r="M2208" i="7" s="1"/>
  <c r="K2191" i="7"/>
  <c r="L2191" i="7" s="1"/>
  <c r="M2191" i="7" s="1"/>
  <c r="K2092" i="7"/>
  <c r="L2092" i="7" s="1"/>
  <c r="K2089" i="7"/>
  <c r="L2089" i="7" s="1"/>
  <c r="M2089" i="7" s="1"/>
  <c r="K2026" i="7"/>
  <c r="L2026" i="7" s="1"/>
  <c r="M2026" i="7" s="1"/>
  <c r="K2017" i="7"/>
  <c r="L2017" i="7" s="1"/>
  <c r="K1904" i="7"/>
  <c r="L1904" i="7" s="1"/>
  <c r="K1896" i="7"/>
  <c r="L1896" i="7" s="1"/>
  <c r="K1893" i="7"/>
  <c r="L1893" i="7" s="1"/>
  <c r="K1870" i="7"/>
  <c r="L1870" i="7" s="1"/>
  <c r="K1842" i="7"/>
  <c r="L1842" i="7" s="1"/>
  <c r="K1811" i="7"/>
  <c r="L1811" i="7" s="1"/>
  <c r="M1811" i="7" s="1"/>
  <c r="K1732" i="7"/>
  <c r="L1732" i="7" s="1"/>
  <c r="M1732" i="7" s="1"/>
  <c r="K1714" i="7"/>
  <c r="L1714" i="7" s="1"/>
  <c r="M1714" i="7" s="1"/>
  <c r="K1702" i="7"/>
  <c r="L1702" i="7" s="1"/>
  <c r="M1702" i="7" s="1"/>
  <c r="K1699" i="7"/>
  <c r="L1699" i="7" s="1"/>
  <c r="M1699" i="7" s="1"/>
  <c r="K1658" i="7"/>
  <c r="L1658" i="7" s="1"/>
  <c r="M1658" i="7" s="1"/>
  <c r="K1636" i="7"/>
  <c r="L1636" i="7" s="1"/>
  <c r="K1581" i="7"/>
  <c r="L1581" i="7" s="1"/>
  <c r="K1562" i="7"/>
  <c r="L1562" i="7" s="1"/>
  <c r="M1562" i="7" s="1"/>
  <c r="K1515" i="7"/>
  <c r="L1515" i="7" s="1"/>
  <c r="M1515" i="7" s="1"/>
  <c r="K1469" i="7"/>
  <c r="L1469" i="7" s="1"/>
  <c r="M1469" i="7" s="1"/>
  <c r="K1457" i="7"/>
  <c r="L1457" i="7" s="1"/>
  <c r="M1457" i="7" s="1"/>
  <c r="K1446" i="7"/>
  <c r="L1446" i="7" s="1"/>
  <c r="K1430" i="7"/>
  <c r="L1430" i="7" s="1"/>
  <c r="K2734" i="7"/>
  <c r="L2734" i="7" s="1"/>
  <c r="K2665" i="7"/>
  <c r="L2665" i="7" s="1"/>
  <c r="M2665" i="7" s="1"/>
  <c r="K2606" i="7"/>
  <c r="L2606" i="7" s="1"/>
  <c r="M2606" i="7" s="1"/>
  <c r="K2589" i="7"/>
  <c r="L2589" i="7" s="1"/>
  <c r="M2589" i="7" s="1"/>
  <c r="K2535" i="7"/>
  <c r="L2535" i="7" s="1"/>
  <c r="M2535" i="7" s="1"/>
  <c r="K2529" i="7"/>
  <c r="L2529" i="7" s="1"/>
  <c r="K2512" i="7"/>
  <c r="L2512" i="7" s="1"/>
  <c r="M2512" i="7" s="1"/>
  <c r="K2504" i="7"/>
  <c r="L2504" i="7" s="1"/>
  <c r="M2504" i="7" s="1"/>
  <c r="K2459" i="7"/>
  <c r="L2459" i="7" s="1"/>
  <c r="M2459" i="7" s="1"/>
  <c r="K2445" i="7"/>
  <c r="L2445" i="7" s="1"/>
  <c r="K2430" i="7"/>
  <c r="L2430" i="7" s="1"/>
  <c r="M2430" i="7" s="1"/>
  <c r="K2388" i="7"/>
  <c r="L2388" i="7" s="1"/>
  <c r="K2363" i="7"/>
  <c r="L2363" i="7" s="1"/>
  <c r="M2363" i="7" s="1"/>
  <c r="K2349" i="7"/>
  <c r="L2349" i="7" s="1"/>
  <c r="K2346" i="7"/>
  <c r="L2346" i="7" s="1"/>
  <c r="M2346" i="7" s="1"/>
  <c r="K2343" i="7"/>
  <c r="L2343" i="7" s="1"/>
  <c r="M2343" i="7" s="1"/>
  <c r="K2315" i="7"/>
  <c r="L2315" i="7" s="1"/>
  <c r="K2249" i="7"/>
  <c r="L2249" i="7" s="1"/>
  <c r="M2249" i="7" s="1"/>
  <c r="K2229" i="7"/>
  <c r="L2229" i="7" s="1"/>
  <c r="K2200" i="7"/>
  <c r="L2200" i="7" s="1"/>
  <c r="M2200" i="7" s="1"/>
  <c r="K2155" i="7"/>
  <c r="L2155" i="7" s="1"/>
  <c r="M2155" i="7" s="1"/>
  <c r="K2142" i="7"/>
  <c r="L2142" i="7" s="1"/>
  <c r="M2142" i="7" s="1"/>
  <c r="K2101" i="7"/>
  <c r="L2101" i="7" s="1"/>
  <c r="K2087" i="7"/>
  <c r="L2087" i="7" s="1"/>
  <c r="K2052" i="7"/>
  <c r="L2052" i="7" s="1"/>
  <c r="K2020" i="7"/>
  <c r="L2020" i="7" s="1"/>
  <c r="M2020" i="7" s="1"/>
  <c r="K1958" i="7"/>
  <c r="L1958" i="7" s="1"/>
  <c r="M1958" i="7" s="1"/>
  <c r="K1946" i="7"/>
  <c r="L1946" i="7" s="1"/>
  <c r="M1946" i="7" s="1"/>
  <c r="K1929" i="7"/>
  <c r="L1929" i="7" s="1"/>
  <c r="K1910" i="7"/>
  <c r="L1910" i="7" s="1"/>
  <c r="K1891" i="7"/>
  <c r="L1891" i="7" s="1"/>
  <c r="M1891" i="7" s="1"/>
  <c r="K1882" i="7"/>
  <c r="L1882" i="7" s="1"/>
  <c r="M1882" i="7" s="1"/>
  <c r="K1879" i="7"/>
  <c r="L1879" i="7" s="1"/>
  <c r="K1837" i="7"/>
  <c r="L1837" i="7" s="1"/>
  <c r="K1814" i="7"/>
  <c r="L1814" i="7" s="1"/>
  <c r="M1814" i="7" s="1"/>
  <c r="K1795" i="7"/>
  <c r="L1795" i="7" s="1"/>
  <c r="M1795" i="7" s="1"/>
  <c r="K1762" i="7"/>
  <c r="L1762" i="7" s="1"/>
  <c r="M1762" i="7" s="1"/>
  <c r="K1744" i="7"/>
  <c r="L1744" i="7" s="1"/>
  <c r="M1744" i="7" s="1"/>
  <c r="K1738" i="7"/>
  <c r="L1738" i="7" s="1"/>
  <c r="M1738" i="7" s="1"/>
  <c r="K1557" i="7"/>
  <c r="L1557" i="7" s="1"/>
  <c r="K1548" i="7"/>
  <c r="L1548" i="7" s="1"/>
  <c r="K1529" i="7"/>
  <c r="L1529" i="7" s="1"/>
  <c r="M1529" i="7" s="1"/>
  <c r="K1526" i="7"/>
  <c r="L1526" i="7" s="1"/>
  <c r="M1526" i="7" s="1"/>
  <c r="K1513" i="7"/>
  <c r="L1513" i="7" s="1"/>
  <c r="M1513" i="7" s="1"/>
  <c r="K1489" i="7"/>
  <c r="L1489" i="7" s="1"/>
  <c r="M1489" i="7" s="1"/>
  <c r="K1486" i="7"/>
  <c r="L1486" i="7" s="1"/>
  <c r="K1472" i="7"/>
  <c r="L1472" i="7" s="1"/>
  <c r="K2688" i="7"/>
  <c r="L2688" i="7" s="1"/>
  <c r="M2688" i="7" s="1"/>
  <c r="K2680" i="7"/>
  <c r="L2680" i="7" s="1"/>
  <c r="K2677" i="7"/>
  <c r="L2677" i="7" s="1"/>
  <c r="M2677" i="7" s="1"/>
  <c r="K2671" i="7"/>
  <c r="L2671" i="7" s="1"/>
  <c r="M2671" i="7" s="1"/>
  <c r="K2643" i="7"/>
  <c r="L2643" i="7" s="1"/>
  <c r="M2643" i="7" s="1"/>
  <c r="K2592" i="7"/>
  <c r="L2592" i="7" s="1"/>
  <c r="M2592" i="7" s="1"/>
  <c r="K2553" i="7"/>
  <c r="L2553" i="7" s="1"/>
  <c r="M2553" i="7" s="1"/>
  <c r="K2524" i="7"/>
  <c r="L2524" i="7" s="1"/>
  <c r="K2499" i="7"/>
  <c r="L2499" i="7" s="1"/>
  <c r="M2499" i="7" s="1"/>
  <c r="K2491" i="7"/>
  <c r="L2491" i="7" s="1"/>
  <c r="M2491" i="7" s="1"/>
  <c r="K2468" i="7"/>
  <c r="L2468" i="7" s="1"/>
  <c r="K2428" i="7"/>
  <c r="L2428" i="7" s="1"/>
  <c r="M2428" i="7" s="1"/>
  <c r="K2422" i="7"/>
  <c r="L2422" i="7" s="1"/>
  <c r="M2422" i="7" s="1"/>
  <c r="K2419" i="7"/>
  <c r="L2419" i="7" s="1"/>
  <c r="M2419" i="7" s="1"/>
  <c r="K2397" i="7"/>
  <c r="L2397" i="7" s="1"/>
  <c r="K2369" i="7"/>
  <c r="L2369" i="7" s="1"/>
  <c r="M2369" i="7" s="1"/>
  <c r="K2341" i="7"/>
  <c r="L2341" i="7" s="1"/>
  <c r="K2338" i="7"/>
  <c r="L2338" i="7" s="1"/>
  <c r="M2338" i="7" s="1"/>
  <c r="K2327" i="7"/>
  <c r="L2327" i="7" s="1"/>
  <c r="M2327" i="7" s="1"/>
  <c r="K2324" i="7"/>
  <c r="L2324" i="7" s="1"/>
  <c r="K2281" i="7"/>
  <c r="L2281" i="7" s="1"/>
  <c r="M2281" i="7" s="1"/>
  <c r="K2250" i="7"/>
  <c r="L2250" i="7" s="1"/>
  <c r="M2250" i="7" s="1"/>
  <c r="K2240" i="7"/>
  <c r="L2240" i="7" s="1"/>
  <c r="M2240" i="7" s="1"/>
  <c r="K2145" i="7"/>
  <c r="L2145" i="7" s="1"/>
  <c r="M2145" i="7" s="1"/>
  <c r="K2112" i="7"/>
  <c r="L2112" i="7" s="1"/>
  <c r="K2044" i="7"/>
  <c r="L2044" i="7" s="1"/>
  <c r="M2044" i="7" s="1"/>
  <c r="K2033" i="7"/>
  <c r="L2033" i="7" s="1"/>
  <c r="K2018" i="7"/>
  <c r="L2018" i="7" s="1"/>
  <c r="M2018" i="7" s="1"/>
  <c r="K2012" i="7"/>
  <c r="L2012" i="7" s="1"/>
  <c r="M2012" i="7" s="1"/>
  <c r="K1969" i="7"/>
  <c r="L1969" i="7" s="1"/>
  <c r="M1969" i="7" s="1"/>
  <c r="K1894" i="7"/>
  <c r="L1894" i="7" s="1"/>
  <c r="M1894" i="7" s="1"/>
  <c r="K1860" i="7"/>
  <c r="L1860" i="7" s="1"/>
  <c r="M1860" i="7" s="1"/>
  <c r="K1843" i="7"/>
  <c r="L1843" i="7" s="1"/>
  <c r="M1843" i="7" s="1"/>
  <c r="K1828" i="7"/>
  <c r="L1828" i="7" s="1"/>
  <c r="M1828" i="7" s="1"/>
  <c r="K1793" i="7"/>
  <c r="L1793" i="7" s="1"/>
  <c r="M1793" i="7" s="1"/>
  <c r="K1751" i="7"/>
  <c r="L1751" i="7" s="1"/>
  <c r="M1751" i="7" s="1"/>
  <c r="K1673" i="7"/>
  <c r="L1673" i="7" s="1"/>
  <c r="K1598" i="7"/>
  <c r="L1598" i="7" s="1"/>
  <c r="M1598" i="7" s="1"/>
  <c r="K1563" i="7"/>
  <c r="L1563" i="7" s="1"/>
  <c r="M1563" i="7" s="1"/>
  <c r="K1538" i="7"/>
  <c r="K1516" i="7"/>
  <c r="L1516" i="7" s="1"/>
  <c r="K1508" i="7"/>
  <c r="L1508" i="7" s="1"/>
  <c r="M1508" i="7" s="1"/>
  <c r="K1470" i="7"/>
  <c r="L1470" i="7" s="1"/>
  <c r="K1439" i="7"/>
  <c r="L1439" i="7" s="1"/>
  <c r="K1409" i="7"/>
  <c r="L1409" i="7" s="1"/>
  <c r="M1409" i="7" s="1"/>
  <c r="K1422" i="7"/>
  <c r="L1422" i="7" s="1"/>
  <c r="K1377" i="7"/>
  <c r="L1377" i="7" s="1"/>
  <c r="M1377" i="7" s="1"/>
  <c r="K1369" i="7"/>
  <c r="L1369" i="7" s="1"/>
  <c r="M1369" i="7" s="1"/>
  <c r="K1350" i="7"/>
  <c r="L1350" i="7" s="1"/>
  <c r="K1281" i="7"/>
  <c r="L1281" i="7" s="1"/>
  <c r="M1281" i="7" s="1"/>
  <c r="K1270" i="7"/>
  <c r="L1270" i="7" s="1"/>
  <c r="K1254" i="7"/>
  <c r="L1254" i="7" s="1"/>
  <c r="K1237" i="7"/>
  <c r="L1237" i="7" s="1"/>
  <c r="K1222" i="7"/>
  <c r="L1222" i="7" s="1"/>
  <c r="K1139" i="7"/>
  <c r="L1139" i="7" s="1"/>
  <c r="K1117" i="7"/>
  <c r="L1117" i="7" s="1"/>
  <c r="M1117" i="7" s="1"/>
  <c r="K1106" i="7"/>
  <c r="L1106" i="7" s="1"/>
  <c r="M1106" i="7" s="1"/>
  <c r="K1068" i="7"/>
  <c r="L1068" i="7" s="1"/>
  <c r="M1068" i="7" s="1"/>
  <c r="K1057" i="7"/>
  <c r="L1057" i="7" s="1"/>
  <c r="M1057" i="7" s="1"/>
  <c r="K1049" i="7"/>
  <c r="L1049" i="7" s="1"/>
  <c r="M1049" i="7" s="1"/>
  <c r="K1029" i="7"/>
  <c r="L1029" i="7" s="1"/>
  <c r="M1029" i="7" s="1"/>
  <c r="K1016" i="7"/>
  <c r="L1016" i="7" s="1"/>
  <c r="M1016" i="7" s="1"/>
  <c r="K1002" i="7"/>
  <c r="L1002" i="7" s="1"/>
  <c r="M1002" i="7" s="1"/>
  <c r="K999" i="7"/>
  <c r="L999" i="7" s="1"/>
  <c r="K988" i="7"/>
  <c r="L988" i="7" s="1"/>
  <c r="M988" i="7" s="1"/>
  <c r="K961" i="7"/>
  <c r="L961" i="7" s="1"/>
  <c r="M961" i="7" s="1"/>
  <c r="K939" i="7"/>
  <c r="L939" i="7" s="1"/>
  <c r="K931" i="7"/>
  <c r="L931" i="7" s="1"/>
  <c r="K908" i="7"/>
  <c r="L908" i="7" s="1"/>
  <c r="M908" i="7" s="1"/>
  <c r="K905" i="7"/>
  <c r="L905" i="7" s="1"/>
  <c r="M905" i="7" s="1"/>
  <c r="K822" i="7"/>
  <c r="L822" i="7" s="1"/>
  <c r="M822" i="7" s="1"/>
  <c r="K802" i="7"/>
  <c r="L802" i="7" s="1"/>
  <c r="M802" i="7" s="1"/>
  <c r="K793" i="7"/>
  <c r="L793" i="7" s="1"/>
  <c r="M793" i="7" s="1"/>
  <c r="K764" i="7"/>
  <c r="L764" i="7" s="1"/>
  <c r="K731" i="7"/>
  <c r="L731" i="7" s="1"/>
  <c r="M731" i="7" s="1"/>
  <c r="K723" i="7"/>
  <c r="L723" i="7" s="1"/>
  <c r="M723" i="7" s="1"/>
  <c r="K717" i="7"/>
  <c r="L717" i="7" s="1"/>
  <c r="M717" i="7" s="1"/>
  <c r="K676" i="7"/>
  <c r="L676" i="7" s="1"/>
  <c r="M676" i="7" s="1"/>
  <c r="K667" i="7"/>
  <c r="L667" i="7" s="1"/>
  <c r="M667" i="7" s="1"/>
  <c r="K615" i="7"/>
  <c r="L615" i="7" s="1"/>
  <c r="K590" i="7"/>
  <c r="L590" i="7" s="1"/>
  <c r="K587" i="7"/>
  <c r="L587" i="7" s="1"/>
  <c r="M587" i="7" s="1"/>
  <c r="K582" i="7"/>
  <c r="L582" i="7" s="1"/>
  <c r="K559" i="7"/>
  <c r="L559" i="7" s="1"/>
  <c r="M559" i="7" s="1"/>
  <c r="K514" i="7"/>
  <c r="L514" i="7" s="1"/>
  <c r="M514" i="7" s="1"/>
  <c r="K481" i="7"/>
  <c r="L481" i="7" s="1"/>
  <c r="K478" i="7"/>
  <c r="L478" i="7" s="1"/>
  <c r="M478" i="7" s="1"/>
  <c r="K452" i="7"/>
  <c r="L452" i="7" s="1"/>
  <c r="M452" i="7" s="1"/>
  <c r="K435" i="7"/>
  <c r="L435" i="7" s="1"/>
  <c r="M435" i="7" s="1"/>
  <c r="K340" i="7"/>
  <c r="L340" i="7" s="1"/>
  <c r="M340" i="7" s="1"/>
  <c r="K312" i="7"/>
  <c r="L312" i="7" s="1"/>
  <c r="M312" i="7" s="1"/>
  <c r="K283" i="7"/>
  <c r="L283" i="7" s="1"/>
  <c r="K224" i="7"/>
  <c r="L224" i="7" s="1"/>
  <c r="M224" i="7" s="1"/>
  <c r="K134" i="7"/>
  <c r="L134" i="7" s="1"/>
  <c r="M134" i="7" s="1"/>
  <c r="K100" i="7"/>
  <c r="L100" i="7" s="1"/>
  <c r="M100" i="7" s="1"/>
  <c r="K1452" i="7"/>
  <c r="L1452" i="7" s="1"/>
  <c r="K1433" i="7"/>
  <c r="L1433" i="7" s="1"/>
  <c r="M1433" i="7" s="1"/>
  <c r="K1428" i="7"/>
  <c r="L1428" i="7" s="1"/>
  <c r="M1428" i="7" s="1"/>
  <c r="K1411" i="7"/>
  <c r="L1411" i="7" s="1"/>
  <c r="M1411" i="7" s="1"/>
  <c r="K1403" i="7"/>
  <c r="L1403" i="7" s="1"/>
  <c r="M1403" i="7" s="1"/>
  <c r="K1378" i="7"/>
  <c r="L1378" i="7" s="1"/>
  <c r="M1378" i="7" s="1"/>
  <c r="K1332" i="7"/>
  <c r="L1332" i="7" s="1"/>
  <c r="M1332" i="7" s="1"/>
  <c r="K1327" i="7"/>
  <c r="L1327" i="7" s="1"/>
  <c r="K1268" i="7"/>
  <c r="L1268" i="7" s="1"/>
  <c r="K1257" i="7"/>
  <c r="L1257" i="7" s="1"/>
  <c r="M1257" i="7" s="1"/>
  <c r="K1252" i="7"/>
  <c r="L1252" i="7" s="1"/>
  <c r="M1252" i="7" s="1"/>
  <c r="K1207" i="7"/>
  <c r="L1207" i="7" s="1"/>
  <c r="M1207" i="7" s="1"/>
  <c r="K1202" i="7"/>
  <c r="L1202" i="7" s="1"/>
  <c r="K1196" i="7"/>
  <c r="L1196" i="7" s="1"/>
  <c r="M1196" i="7" s="1"/>
  <c r="K1164" i="7"/>
  <c r="L1164" i="7" s="1"/>
  <c r="M1164" i="7" s="1"/>
  <c r="K1161" i="7"/>
  <c r="L1161" i="7" s="1"/>
  <c r="M1161" i="7" s="1"/>
  <c r="K1156" i="7"/>
  <c r="L1156" i="7" s="1"/>
  <c r="M1156" i="7" s="1"/>
  <c r="K1148" i="7"/>
  <c r="L1148" i="7" s="1"/>
  <c r="M1148" i="7" s="1"/>
  <c r="K1063" i="7"/>
  <c r="L1063" i="7" s="1"/>
  <c r="K1058" i="7"/>
  <c r="L1058" i="7" s="1"/>
  <c r="M1058" i="7" s="1"/>
  <c r="K1055" i="7"/>
  <c r="L1055" i="7" s="1"/>
  <c r="K1039" i="7"/>
  <c r="L1039" i="7" s="1"/>
  <c r="K989" i="7"/>
  <c r="L989" i="7" s="1"/>
  <c r="M989" i="7" s="1"/>
  <c r="K986" i="7"/>
  <c r="L986" i="7" s="1"/>
  <c r="M986" i="7" s="1"/>
  <c r="K932" i="7"/>
  <c r="L932" i="7" s="1"/>
  <c r="M932" i="7" s="1"/>
  <c r="K929" i="7"/>
  <c r="L929" i="7" s="1"/>
  <c r="M929" i="7" s="1"/>
  <c r="K920" i="7"/>
  <c r="L920" i="7" s="1"/>
  <c r="K879" i="7"/>
  <c r="L879" i="7" s="1"/>
  <c r="M879" i="7" s="1"/>
  <c r="K782" i="7"/>
  <c r="L782" i="7" s="1"/>
  <c r="M782" i="7" s="1"/>
  <c r="K779" i="7"/>
  <c r="L779" i="7" s="1"/>
  <c r="M779" i="7" s="1"/>
  <c r="K729" i="7"/>
  <c r="L729" i="7" s="1"/>
  <c r="M729" i="7" s="1"/>
  <c r="K726" i="7"/>
  <c r="L726" i="7" s="1"/>
  <c r="K660" i="7"/>
  <c r="L660" i="7" s="1"/>
  <c r="M660" i="7" s="1"/>
  <c r="K657" i="7"/>
  <c r="L657" i="7" s="1"/>
  <c r="M657" i="7" s="1"/>
  <c r="K622" i="7"/>
  <c r="L622" i="7" s="1"/>
  <c r="K613" i="7"/>
  <c r="L613" i="7" s="1"/>
  <c r="K605" i="7"/>
  <c r="L605" i="7" s="1"/>
  <c r="K573" i="7"/>
  <c r="L573" i="7" s="1"/>
  <c r="K565" i="7"/>
  <c r="L565" i="7" s="1"/>
  <c r="M565" i="7" s="1"/>
  <c r="K557" i="7"/>
  <c r="L557" i="7" s="1"/>
  <c r="M557" i="7" s="1"/>
  <c r="K520" i="7"/>
  <c r="L520" i="7" s="1"/>
  <c r="K444" i="7"/>
  <c r="L444" i="7" s="1"/>
  <c r="K429" i="7"/>
  <c r="L429" i="7" s="1"/>
  <c r="K387" i="7"/>
  <c r="L387" i="7" s="1"/>
  <c r="K378" i="7"/>
  <c r="L378" i="7" s="1"/>
  <c r="M378" i="7" s="1"/>
  <c r="K364" i="7"/>
  <c r="L364" i="7" s="1"/>
  <c r="M364" i="7" s="1"/>
  <c r="K355" i="7"/>
  <c r="L355" i="7" s="1"/>
  <c r="K335" i="7"/>
  <c r="L335" i="7" s="1"/>
  <c r="M335" i="7" s="1"/>
  <c r="K327" i="7"/>
  <c r="L327" i="7" s="1"/>
  <c r="M327" i="7" s="1"/>
  <c r="K307" i="7"/>
  <c r="L307" i="7" s="1"/>
  <c r="K304" i="7"/>
  <c r="L304" i="7" s="1"/>
  <c r="M304" i="7" s="1"/>
  <c r="K243" i="7"/>
  <c r="L243" i="7" s="1"/>
  <c r="K227" i="7"/>
  <c r="L227" i="7" s="1"/>
  <c r="M227" i="7" s="1"/>
  <c r="K183" i="7"/>
  <c r="L183" i="7" s="1"/>
  <c r="M183" i="7" s="1"/>
  <c r="K154" i="7"/>
  <c r="L154" i="7" s="1"/>
  <c r="K103" i="7"/>
  <c r="L103" i="7" s="1"/>
  <c r="K1389" i="7"/>
  <c r="L1389" i="7" s="1"/>
  <c r="M1389" i="7" s="1"/>
  <c r="K1330" i="7"/>
  <c r="L1330" i="7" s="1"/>
  <c r="M1330" i="7" s="1"/>
  <c r="K1053" i="7"/>
  <c r="L1053" i="7" s="1"/>
  <c r="M1053" i="7" s="1"/>
  <c r="K1045" i="7"/>
  <c r="L1045" i="7" s="1"/>
  <c r="M1045" i="7" s="1"/>
  <c r="K1003" i="7"/>
  <c r="L1003" i="7" s="1"/>
  <c r="K649" i="7"/>
  <c r="L649" i="7" s="1"/>
  <c r="M649" i="7" s="1"/>
  <c r="K620" i="7"/>
  <c r="L620" i="7" s="1"/>
  <c r="M620" i="7" s="1"/>
  <c r="K608" i="7"/>
  <c r="L608" i="7" s="1"/>
  <c r="M608" i="7" s="1"/>
  <c r="K600" i="7"/>
  <c r="L600" i="7" s="1"/>
  <c r="K577" i="7"/>
  <c r="L577" i="7" s="1"/>
  <c r="M577" i="7" s="1"/>
  <c r="K367" i="7"/>
  <c r="L367" i="7" s="1"/>
  <c r="M367" i="7" s="1"/>
  <c r="K174" i="7"/>
  <c r="L174" i="7" s="1"/>
  <c r="M174" i="7" s="1"/>
  <c r="K126" i="7"/>
  <c r="L126" i="7" s="1"/>
  <c r="K106" i="7"/>
  <c r="L106" i="7" s="1"/>
  <c r="M106" i="7" s="1"/>
  <c r="K63" i="7"/>
  <c r="L63" i="7" s="1"/>
  <c r="K47" i="7"/>
  <c r="L47" i="7" s="1"/>
  <c r="K981" i="7"/>
  <c r="L981" i="7" s="1"/>
  <c r="M981" i="7" s="1"/>
  <c r="K900" i="7"/>
  <c r="L900" i="7" s="1"/>
  <c r="M900" i="7" s="1"/>
  <c r="K874" i="7"/>
  <c r="L874" i="7" s="1"/>
  <c r="K850" i="7"/>
  <c r="L850" i="7" s="1"/>
  <c r="K826" i="7"/>
  <c r="L826" i="7" s="1"/>
  <c r="K777" i="7"/>
  <c r="L777" i="7" s="1"/>
  <c r="M777" i="7" s="1"/>
  <c r="K692" i="7"/>
  <c r="L692" i="7" s="1"/>
  <c r="M692" i="7" s="1"/>
  <c r="K614" i="7"/>
  <c r="L614" i="7" s="1"/>
  <c r="M614" i="7" s="1"/>
  <c r="K502" i="7"/>
  <c r="L502" i="7" s="1"/>
  <c r="K249" i="7"/>
  <c r="L249" i="7" s="1"/>
  <c r="K217" i="7"/>
  <c r="L217" i="7" s="1"/>
  <c r="M217" i="7" s="1"/>
  <c r="K198" i="7"/>
  <c r="L198" i="7" s="1"/>
  <c r="K192" i="7"/>
  <c r="L192" i="7" s="1"/>
  <c r="M192" i="7" s="1"/>
  <c r="K161" i="7"/>
  <c r="L161" i="7" s="1"/>
  <c r="K138" i="7"/>
  <c r="L138" i="7" s="1"/>
  <c r="M138" i="7" s="1"/>
  <c r="K124" i="7"/>
  <c r="L124" i="7" s="1"/>
  <c r="M124" i="7" s="1"/>
  <c r="K104" i="7"/>
  <c r="L104" i="7" s="1"/>
  <c r="K66" i="7"/>
  <c r="L66" i="7" s="1"/>
  <c r="M66" i="7" s="1"/>
  <c r="K1349" i="7"/>
  <c r="L1349" i="7" s="1"/>
  <c r="M1349" i="7" s="1"/>
  <c r="K1269" i="7"/>
  <c r="L1269" i="7" s="1"/>
  <c r="M1269" i="7" s="1"/>
  <c r="K1214" i="7"/>
  <c r="L1214" i="7" s="1"/>
  <c r="K1191" i="7"/>
  <c r="L1191" i="7" s="1"/>
  <c r="M1191" i="7" s="1"/>
  <c r="K1185" i="7"/>
  <c r="L1185" i="7" s="1"/>
  <c r="M1185" i="7" s="1"/>
  <c r="K1182" i="7"/>
  <c r="L1182" i="7" s="1"/>
  <c r="M1182" i="7" s="1"/>
  <c r="K1143" i="7"/>
  <c r="L1143" i="7" s="1"/>
  <c r="K1075" i="7"/>
  <c r="L1075" i="7" s="1"/>
  <c r="K638" i="7"/>
  <c r="L638" i="7" s="1"/>
  <c r="K439" i="7"/>
  <c r="L439" i="7" s="1"/>
  <c r="M439" i="7" s="1"/>
  <c r="K413" i="7"/>
  <c r="L413" i="7" s="1"/>
  <c r="M413" i="7" s="1"/>
  <c r="K405" i="7"/>
  <c r="L405" i="7" s="1"/>
  <c r="K353" i="7"/>
  <c r="L353" i="7" s="1"/>
  <c r="M353" i="7" s="1"/>
  <c r="K308" i="7"/>
  <c r="L308" i="7" s="1"/>
  <c r="M308" i="7" s="1"/>
  <c r="K291" i="7"/>
  <c r="L291" i="7" s="1"/>
  <c r="M291" i="7" s="1"/>
  <c r="K40" i="7"/>
  <c r="L40" i="7" s="1"/>
  <c r="M40" i="7" s="1"/>
  <c r="K1390" i="7"/>
  <c r="L1390" i="7" s="1"/>
  <c r="K1297" i="7"/>
  <c r="L1297" i="7" s="1"/>
  <c r="M1297" i="7" s="1"/>
  <c r="K1272" i="7"/>
  <c r="L1272" i="7" s="1"/>
  <c r="K1264" i="7"/>
  <c r="L1264" i="7" s="1"/>
  <c r="K1212" i="7"/>
  <c r="L1212" i="7" s="1"/>
  <c r="M1212" i="7" s="1"/>
  <c r="K1189" i="7"/>
  <c r="L1189" i="7" s="1"/>
  <c r="M1189" i="7" s="1"/>
  <c r="K1146" i="7"/>
  <c r="L1146" i="7" s="1"/>
  <c r="M1146" i="7" s="1"/>
  <c r="K1141" i="7"/>
  <c r="L1141" i="7" s="1"/>
  <c r="M1141" i="7" s="1"/>
  <c r="K1116" i="7"/>
  <c r="L1116" i="7" s="1"/>
  <c r="M1116" i="7" s="1"/>
  <c r="K1111" i="7"/>
  <c r="L1111" i="7" s="1"/>
  <c r="K1103" i="7"/>
  <c r="L1103" i="7" s="1"/>
  <c r="K1070" i="7"/>
  <c r="L1070" i="7" s="1"/>
  <c r="M1070" i="7" s="1"/>
  <c r="K1040" i="7"/>
  <c r="L1040" i="7" s="1"/>
  <c r="M1040" i="7" s="1"/>
  <c r="K958" i="7"/>
  <c r="L958" i="7" s="1"/>
  <c r="K936" i="7"/>
  <c r="L936" i="7" s="1"/>
  <c r="M936" i="7" s="1"/>
  <c r="K916" i="7"/>
  <c r="L916" i="7" s="1"/>
  <c r="M916" i="7" s="1"/>
  <c r="K907" i="7"/>
  <c r="L907" i="7" s="1"/>
  <c r="K904" i="7"/>
  <c r="L904" i="7" s="1"/>
  <c r="M904" i="7" s="1"/>
  <c r="K887" i="7"/>
  <c r="L887" i="7" s="1"/>
  <c r="K881" i="7"/>
  <c r="L881" i="7" s="1"/>
  <c r="M881" i="7" s="1"/>
  <c r="K868" i="7"/>
  <c r="L868" i="7" s="1"/>
  <c r="M868" i="7" s="1"/>
  <c r="K801" i="7"/>
  <c r="L801" i="7" s="1"/>
  <c r="M801" i="7" s="1"/>
  <c r="K798" i="7"/>
  <c r="L798" i="7" s="1"/>
  <c r="M798" i="7" s="1"/>
  <c r="K795" i="7"/>
  <c r="L795" i="7" s="1"/>
  <c r="M795" i="7" s="1"/>
  <c r="K722" i="7"/>
  <c r="L722" i="7" s="1"/>
  <c r="K704" i="7"/>
  <c r="L704" i="7" s="1"/>
  <c r="M704" i="7" s="1"/>
  <c r="K635" i="7"/>
  <c r="L635" i="7" s="1"/>
  <c r="K621" i="7"/>
  <c r="L621" i="7" s="1"/>
  <c r="K601" i="7"/>
  <c r="L601" i="7" s="1"/>
  <c r="M601" i="7" s="1"/>
  <c r="K592" i="7"/>
  <c r="L592" i="7" s="1"/>
  <c r="M592" i="7" s="1"/>
  <c r="K572" i="7"/>
  <c r="L572" i="7" s="1"/>
  <c r="K544" i="7"/>
  <c r="L544" i="7" s="1"/>
  <c r="K539" i="7"/>
  <c r="L539" i="7" s="1"/>
  <c r="K497" i="7"/>
  <c r="L497" i="7" s="1"/>
  <c r="M497" i="7" s="1"/>
  <c r="K486" i="7"/>
  <c r="L486" i="7" s="1"/>
  <c r="K480" i="7"/>
  <c r="L480" i="7" s="1"/>
  <c r="K449" i="7"/>
  <c r="L449" i="7" s="1"/>
  <c r="M449" i="7" s="1"/>
  <c r="K446" i="7"/>
  <c r="L446" i="7" s="1"/>
  <c r="M446" i="7" s="1"/>
  <c r="K359" i="7"/>
  <c r="L359" i="7" s="1"/>
  <c r="M359" i="7" s="1"/>
  <c r="K331" i="7"/>
  <c r="L331" i="7" s="1"/>
  <c r="K303" i="7"/>
  <c r="L303" i="7" s="1"/>
  <c r="M303" i="7" s="1"/>
  <c r="K176" i="7"/>
  <c r="L176" i="7" s="1"/>
  <c r="M176" i="7" s="1"/>
  <c r="K150" i="7"/>
  <c r="L150" i="7" s="1"/>
  <c r="M150" i="7" s="1"/>
  <c r="K136" i="7"/>
  <c r="L136" i="7" s="1"/>
  <c r="M136" i="7" s="1"/>
  <c r="K127" i="7"/>
  <c r="L127" i="7" s="1"/>
  <c r="K116" i="7"/>
  <c r="L116" i="7" s="1"/>
  <c r="M116" i="7" s="1"/>
  <c r="K107" i="7"/>
  <c r="L107" i="7" s="1"/>
  <c r="K2760" i="7"/>
  <c r="L2760" i="7" s="1"/>
  <c r="M2760" i="7" s="1"/>
  <c r="K2637" i="7"/>
  <c r="L2637" i="7" s="1"/>
  <c r="M2637" i="7" s="1"/>
  <c r="K2634" i="7"/>
  <c r="L2634" i="7" s="1"/>
  <c r="K2600" i="7"/>
  <c r="L2600" i="7" s="1"/>
  <c r="M2600" i="7" s="1"/>
  <c r="K2531" i="7"/>
  <c r="L2531" i="7" s="1"/>
  <c r="K2185" i="7"/>
  <c r="L2185" i="7" s="1"/>
  <c r="K2086" i="7"/>
  <c r="L2086" i="7" s="1"/>
  <c r="M2086" i="7" s="1"/>
  <c r="K2994" i="7"/>
  <c r="L2994" i="7" s="1"/>
  <c r="M2994" i="7" s="1"/>
  <c r="K2987" i="7"/>
  <c r="L2987" i="7" s="1"/>
  <c r="M2987" i="7" s="1"/>
  <c r="K2984" i="7"/>
  <c r="L2984" i="7" s="1"/>
  <c r="M2984" i="7" s="1"/>
  <c r="K6" i="7"/>
  <c r="L6" i="7" s="1"/>
  <c r="M6" i="7" s="1"/>
  <c r="K2995" i="7"/>
  <c r="L2995" i="7" s="1"/>
  <c r="K2972" i="7"/>
  <c r="L2972" i="7" s="1"/>
  <c r="M2972" i="7" s="1"/>
  <c r="K2960" i="7"/>
  <c r="L2960" i="7" s="1"/>
  <c r="K2928" i="7"/>
  <c r="L2928" i="7" s="1"/>
  <c r="K2603" i="7"/>
  <c r="L2603" i="7" s="1"/>
  <c r="M2603" i="7" s="1"/>
  <c r="K2464" i="7"/>
  <c r="L2464" i="7" s="1"/>
  <c r="M2464" i="7" s="1"/>
  <c r="K2374" i="7"/>
  <c r="L2374" i="7" s="1"/>
  <c r="M2374" i="7" s="1"/>
  <c r="K2850" i="7"/>
  <c r="L2850" i="7" s="1"/>
  <c r="M2850" i="7" s="1"/>
  <c r="K2842" i="7"/>
  <c r="L2842" i="7" s="1"/>
  <c r="K2794" i="7"/>
  <c r="L2794" i="7" s="1"/>
  <c r="M2794" i="7" s="1"/>
  <c r="K2674" i="7"/>
  <c r="L2674" i="7" s="1"/>
  <c r="M2674" i="7" s="1"/>
  <c r="K2610" i="7"/>
  <c r="L2610" i="7" s="1"/>
  <c r="K2380" i="7"/>
  <c r="L2380" i="7" s="1"/>
  <c r="M2380" i="7" s="1"/>
  <c r="K21" i="7"/>
  <c r="L21" i="7" s="1"/>
  <c r="M21" i="7" s="1"/>
  <c r="K2985" i="7"/>
  <c r="L2985" i="7" s="1"/>
  <c r="K2949" i="7"/>
  <c r="L2949" i="7" s="1"/>
  <c r="M2949" i="7" s="1"/>
  <c r="K2946" i="7"/>
  <c r="L2946" i="7" s="1"/>
  <c r="M2946" i="7" s="1"/>
  <c r="K2912" i="7"/>
  <c r="L2912" i="7" s="1"/>
  <c r="K2861" i="7"/>
  <c r="L2861" i="7" s="1"/>
  <c r="K2650" i="7"/>
  <c r="L2650" i="7" s="1"/>
  <c r="M2650" i="7" s="1"/>
  <c r="K2616" i="7"/>
  <c r="L2616" i="7" s="1"/>
  <c r="M2616" i="7" s="1"/>
  <c r="K2451" i="7"/>
  <c r="L2451" i="7" s="1"/>
  <c r="M2451" i="7" s="1"/>
  <c r="K2405" i="7"/>
  <c r="L2405" i="7" s="1"/>
  <c r="K18" i="7"/>
  <c r="L18" i="7" s="1"/>
  <c r="M18" i="7" s="1"/>
  <c r="K22" i="7"/>
  <c r="L22" i="7" s="1"/>
  <c r="K2974" i="7"/>
  <c r="L2974" i="7" s="1"/>
  <c r="M2974" i="7" s="1"/>
  <c r="K2935" i="7"/>
  <c r="L2935" i="7" s="1"/>
  <c r="K2904" i="7"/>
  <c r="L2904" i="7" s="1"/>
  <c r="K2628" i="7"/>
  <c r="L2628" i="7" s="1"/>
  <c r="K2477" i="7"/>
  <c r="L2477" i="7" s="1"/>
  <c r="K2408" i="7"/>
  <c r="L2408" i="7" s="1"/>
  <c r="M2408" i="7" s="1"/>
  <c r="K2889" i="7"/>
  <c r="L2889" i="7" s="1"/>
  <c r="K2881" i="7"/>
  <c r="L2881" i="7" s="1"/>
  <c r="M2881" i="7" s="1"/>
  <c r="K16" i="7"/>
  <c r="L16" i="7" s="1"/>
  <c r="K7" i="7"/>
  <c r="L7" i="7" s="1"/>
  <c r="K2975" i="7"/>
  <c r="L2975" i="7" s="1"/>
  <c r="M2975" i="7" s="1"/>
  <c r="K2968" i="7"/>
  <c r="L2968" i="7" s="1"/>
  <c r="K2962" i="7"/>
  <c r="L2962" i="7" s="1"/>
  <c r="M2962" i="7" s="1"/>
  <c r="K2950" i="7"/>
  <c r="L2950" i="7" s="1"/>
  <c r="M2950" i="7" s="1"/>
  <c r="K2947" i="7"/>
  <c r="K2944" i="7"/>
  <c r="L2944" i="7" s="1"/>
  <c r="K2919" i="7"/>
  <c r="L2919" i="7" s="1"/>
  <c r="K2895" i="7"/>
  <c r="L2895" i="7" s="1"/>
  <c r="M2895" i="7" s="1"/>
  <c r="K2876" i="7"/>
  <c r="L2876" i="7" s="1"/>
  <c r="K2870" i="7"/>
  <c r="L2870" i="7" s="1"/>
  <c r="M2870" i="7" s="1"/>
  <c r="K2867" i="7"/>
  <c r="L2867" i="7" s="1"/>
  <c r="K2864" i="7"/>
  <c r="K2853" i="7"/>
  <c r="L2853" i="7" s="1"/>
  <c r="M2853" i="7" s="1"/>
  <c r="K2808" i="7"/>
  <c r="L2808" i="7" s="1"/>
  <c r="K2791" i="7"/>
  <c r="L2791" i="7" s="1"/>
  <c r="M2791" i="7" s="1"/>
  <c r="K2788" i="7"/>
  <c r="L2788" i="7" s="1"/>
  <c r="K2774" i="7"/>
  <c r="L2774" i="7" s="1"/>
  <c r="K2715" i="7"/>
  <c r="L2715" i="7" s="1"/>
  <c r="M2715" i="7" s="1"/>
  <c r="K2707" i="7"/>
  <c r="L2707" i="7" s="1"/>
  <c r="M2707" i="7" s="1"/>
  <c r="K2699" i="7"/>
  <c r="L2699" i="7" s="1"/>
  <c r="M2699" i="7" s="1"/>
  <c r="K2696" i="7"/>
  <c r="L2696" i="7" s="1"/>
  <c r="K2686" i="7"/>
  <c r="L2686" i="7" s="1"/>
  <c r="M2686" i="7" s="1"/>
  <c r="K2672" i="7"/>
  <c r="L2672" i="7" s="1"/>
  <c r="M2672" i="7" s="1"/>
  <c r="K2669" i="7"/>
  <c r="L2669" i="7" s="1"/>
  <c r="K2666" i="7"/>
  <c r="L2666" i="7" s="1"/>
  <c r="M2666" i="7" s="1"/>
  <c r="K2654" i="7"/>
  <c r="L2654" i="7" s="1"/>
  <c r="M2654" i="7" s="1"/>
  <c r="K2619" i="7"/>
  <c r="L2619" i="7" s="1"/>
  <c r="M2619" i="7" s="1"/>
  <c r="K2591" i="7"/>
  <c r="L2591" i="7" s="1"/>
  <c r="K2573" i="7"/>
  <c r="L2573" i="7" s="1"/>
  <c r="M2573" i="7" s="1"/>
  <c r="K2554" i="7"/>
  <c r="L2554" i="7" s="1"/>
  <c r="M2554" i="7" s="1"/>
  <c r="K2528" i="7"/>
  <c r="L2528" i="7" s="1"/>
  <c r="M2528" i="7" s="1"/>
  <c r="K2521" i="7"/>
  <c r="L2521" i="7" s="1"/>
  <c r="M2521" i="7" s="1"/>
  <c r="K2515" i="7"/>
  <c r="L2515" i="7" s="1"/>
  <c r="M2515" i="7" s="1"/>
  <c r="K2493" i="7"/>
  <c r="L2493" i="7" s="1"/>
  <c r="K2480" i="7"/>
  <c r="L2480" i="7" s="1"/>
  <c r="M2480" i="7" s="1"/>
  <c r="K2467" i="7"/>
  <c r="L2467" i="7" s="1"/>
  <c r="M2467" i="7" s="1"/>
  <c r="K2446" i="7"/>
  <c r="L2446" i="7" s="1"/>
  <c r="M2446" i="7" s="1"/>
  <c r="K2427" i="7"/>
  <c r="L2427" i="7" s="1"/>
  <c r="M2427" i="7" s="1"/>
  <c r="K2396" i="7"/>
  <c r="L2396" i="7" s="1"/>
  <c r="M2396" i="7" s="1"/>
  <c r="K2390" i="7"/>
  <c r="L2390" i="7" s="1"/>
  <c r="M2390" i="7" s="1"/>
  <c r="K2370" i="7"/>
  <c r="L2370" i="7" s="1"/>
  <c r="M2370" i="7" s="1"/>
  <c r="K2364" i="7"/>
  <c r="L2364" i="7" s="1"/>
  <c r="M2364" i="7" s="1"/>
  <c r="K1655" i="7"/>
  <c r="L1655" i="7" s="1"/>
  <c r="K2509" i="7"/>
  <c r="L2509" i="7" s="1"/>
  <c r="M2509" i="7" s="1"/>
  <c r="K2462" i="7"/>
  <c r="L2462" i="7" s="1"/>
  <c r="M2462" i="7" s="1"/>
  <c r="K2412" i="7"/>
  <c r="L2412" i="7" s="1"/>
  <c r="M2412" i="7" s="1"/>
  <c r="K2381" i="7"/>
  <c r="L2381" i="7" s="1"/>
  <c r="K2367" i="7"/>
  <c r="L2367" i="7" s="1"/>
  <c r="M2367" i="7" s="1"/>
  <c r="K2356" i="7"/>
  <c r="L2356" i="7" s="1"/>
  <c r="M2356" i="7" s="1"/>
  <c r="K2136" i="7"/>
  <c r="L2136" i="7" s="1"/>
  <c r="M2136" i="7" s="1"/>
  <c r="K1767" i="7"/>
  <c r="L1767" i="7" s="1"/>
  <c r="M1767" i="7" s="1"/>
  <c r="K2907" i="7"/>
  <c r="L2907" i="7" s="1"/>
  <c r="K2862" i="7"/>
  <c r="L2862" i="7" s="1"/>
  <c r="M2862" i="7" s="1"/>
  <c r="K2815" i="7"/>
  <c r="L2815" i="7" s="1"/>
  <c r="K2812" i="7"/>
  <c r="L2812" i="7" s="1"/>
  <c r="M2812" i="7" s="1"/>
  <c r="K2792" i="7"/>
  <c r="L2792" i="7" s="1"/>
  <c r="K2718" i="7"/>
  <c r="L2718" i="7" s="1"/>
  <c r="K2702" i="7"/>
  <c r="L2702" i="7" s="1"/>
  <c r="K2663" i="7"/>
  <c r="L2663" i="7" s="1"/>
  <c r="M2663" i="7" s="1"/>
  <c r="K2574" i="7"/>
  <c r="L2574" i="7" s="1"/>
  <c r="M2574" i="7" s="1"/>
  <c r="K2542" i="7"/>
  <c r="L2542" i="7" s="1"/>
  <c r="M2542" i="7" s="1"/>
  <c r="K2885" i="7"/>
  <c r="L2885" i="7" s="1"/>
  <c r="K2877" i="7"/>
  <c r="L2877" i="7" s="1"/>
  <c r="K2846" i="7"/>
  <c r="L2846" i="7" s="1"/>
  <c r="M2846" i="7" s="1"/>
  <c r="K2838" i="7"/>
  <c r="L2838" i="7" s="1"/>
  <c r="M2838" i="7" s="1"/>
  <c r="K2806" i="7"/>
  <c r="L2806" i="7" s="1"/>
  <c r="K2799" i="7"/>
  <c r="L2799" i="7" s="1"/>
  <c r="M2799" i="7" s="1"/>
  <c r="K2796" i="7"/>
  <c r="L2796" i="7" s="1"/>
  <c r="M2796" i="7" s="1"/>
  <c r="K2751" i="7"/>
  <c r="L2751" i="7" s="1"/>
  <c r="M2751" i="7" s="1"/>
  <c r="K2748" i="7"/>
  <c r="L2748" i="7" s="1"/>
  <c r="M2748" i="7" s="1"/>
  <c r="K2728" i="7"/>
  <c r="L2728" i="7" s="1"/>
  <c r="K2626" i="7"/>
  <c r="L2626" i="7" s="1"/>
  <c r="M2626" i="7" s="1"/>
  <c r="K2605" i="7"/>
  <c r="L2605" i="7" s="1"/>
  <c r="K2549" i="7"/>
  <c r="L2549" i="7" s="1"/>
  <c r="M2549" i="7" s="1"/>
  <c r="K2539" i="7"/>
  <c r="K2533" i="7"/>
  <c r="L2533" i="7" s="1"/>
  <c r="M2533" i="7" s="1"/>
  <c r="K2519" i="7"/>
  <c r="L2519" i="7" s="1"/>
  <c r="M2519" i="7" s="1"/>
  <c r="K2516" i="7"/>
  <c r="L2516" i="7" s="1"/>
  <c r="K2494" i="7"/>
  <c r="L2494" i="7" s="1"/>
  <c r="M2494" i="7" s="1"/>
  <c r="K2475" i="7"/>
  <c r="L2475" i="7" s="1"/>
  <c r="M2475" i="7" s="1"/>
  <c r="K2444" i="7"/>
  <c r="K2438" i="7"/>
  <c r="L2438" i="7" s="1"/>
  <c r="M2438" i="7" s="1"/>
  <c r="K2413" i="7"/>
  <c r="L2413" i="7" s="1"/>
  <c r="K2400" i="7"/>
  <c r="L2400" i="7" s="1"/>
  <c r="M2400" i="7" s="1"/>
  <c r="K2387" i="7"/>
  <c r="L2387" i="7" s="1"/>
  <c r="K2365" i="7"/>
  <c r="L2365" i="7" s="1"/>
  <c r="K2357" i="7"/>
  <c r="L2357" i="7" s="1"/>
  <c r="K2299" i="7"/>
  <c r="K1715" i="7"/>
  <c r="L1715" i="7" s="1"/>
  <c r="M1715" i="7" s="1"/>
  <c r="K1694" i="7"/>
  <c r="L1694" i="7" s="1"/>
  <c r="K14" i="7"/>
  <c r="L14" i="7" s="1"/>
  <c r="M14" i="7" s="1"/>
  <c r="K11" i="7"/>
  <c r="L11" i="7" s="1"/>
  <c r="M11" i="7" s="1"/>
  <c r="K2990" i="7"/>
  <c r="L2990" i="7" s="1"/>
  <c r="M2990" i="7" s="1"/>
  <c r="K2958" i="7"/>
  <c r="L2958" i="7" s="1"/>
  <c r="M2958" i="7" s="1"/>
  <c r="K2952" i="7"/>
  <c r="L2952" i="7" s="1"/>
  <c r="K2936" i="7"/>
  <c r="L2936" i="7" s="1"/>
  <c r="K2930" i="7"/>
  <c r="L2930" i="7" s="1"/>
  <c r="M2930" i="7" s="1"/>
  <c r="K2924" i="7"/>
  <c r="L2924" i="7" s="1"/>
  <c r="K2917" i="7"/>
  <c r="L2917" i="7" s="1"/>
  <c r="M2917" i="7" s="1"/>
  <c r="K2914" i="7"/>
  <c r="L2914" i="7" s="1"/>
  <c r="M2914" i="7" s="1"/>
  <c r="K2911" i="7"/>
  <c r="L2911" i="7" s="1"/>
  <c r="K2908" i="7"/>
  <c r="L2908" i="7" s="1"/>
  <c r="K2894" i="7"/>
  <c r="L2894" i="7" s="1"/>
  <c r="M2894" i="7" s="1"/>
  <c r="K2888" i="7"/>
  <c r="L2888" i="7" s="1"/>
  <c r="M2888" i="7" s="1"/>
  <c r="K2883" i="7"/>
  <c r="L2883" i="7" s="1"/>
  <c r="K2866" i="7"/>
  <c r="L2866" i="7" s="1"/>
  <c r="K2832" i="7"/>
  <c r="L2832" i="7" s="1"/>
  <c r="M2832" i="7" s="1"/>
  <c r="K2823" i="7"/>
  <c r="L2823" i="7" s="1"/>
  <c r="M2823" i="7" s="1"/>
  <c r="K2820" i="7"/>
  <c r="L2820" i="7" s="1"/>
  <c r="M2820" i="7" s="1"/>
  <c r="K2816" i="7"/>
  <c r="K2793" i="7"/>
  <c r="L2793" i="7" s="1"/>
  <c r="K2778" i="7"/>
  <c r="L2778" i="7" s="1"/>
  <c r="M2778" i="7" s="1"/>
  <c r="K2762" i="7"/>
  <c r="L2762" i="7" s="1"/>
  <c r="K2742" i="7"/>
  <c r="L2742" i="7" s="1"/>
  <c r="K2735" i="7"/>
  <c r="L2735" i="7" s="1"/>
  <c r="M2735" i="7" s="1"/>
  <c r="K2732" i="7"/>
  <c r="L2732" i="7" s="1"/>
  <c r="M2732" i="7" s="1"/>
  <c r="K2685" i="7"/>
  <c r="L2685" i="7" s="1"/>
  <c r="K2682" i="7"/>
  <c r="L2682" i="7" s="1"/>
  <c r="K2661" i="7"/>
  <c r="L2661" i="7" s="1"/>
  <c r="M2661" i="7" s="1"/>
  <c r="K2652" i="7"/>
  <c r="L2652" i="7" s="1"/>
  <c r="M2652" i="7" s="1"/>
  <c r="K2636" i="7"/>
  <c r="L2636" i="7" s="1"/>
  <c r="M2636" i="7" s="1"/>
  <c r="K2623" i="7"/>
  <c r="L2623" i="7" s="1"/>
  <c r="M2623" i="7" s="1"/>
  <c r="K2584" i="7"/>
  <c r="L2584" i="7" s="1"/>
  <c r="M2584" i="7" s="1"/>
  <c r="K2578" i="7"/>
  <c r="L2578" i="7" s="1"/>
  <c r="K2571" i="7"/>
  <c r="L2571" i="7" s="1"/>
  <c r="M2571" i="7" s="1"/>
  <c r="K2559" i="7"/>
  <c r="L2559" i="7" s="1"/>
  <c r="M2559" i="7" s="1"/>
  <c r="K2536" i="7"/>
  <c r="L2536" i="7" s="1"/>
  <c r="M2536" i="7" s="1"/>
  <c r="K2530" i="7"/>
  <c r="L2530" i="7" s="1"/>
  <c r="K2513" i="7"/>
  <c r="L2513" i="7" s="1"/>
  <c r="K2507" i="7"/>
  <c r="L2507" i="7" s="1"/>
  <c r="M2507" i="7" s="1"/>
  <c r="K2460" i="7"/>
  <c r="L2460" i="7" s="1"/>
  <c r="M2460" i="7" s="1"/>
  <c r="K2454" i="7"/>
  <c r="L2454" i="7" s="1"/>
  <c r="M2454" i="7" s="1"/>
  <c r="K2429" i="7"/>
  <c r="L2429" i="7" s="1"/>
  <c r="K2416" i="7"/>
  <c r="L2416" i="7" s="1"/>
  <c r="M2416" i="7" s="1"/>
  <c r="K2403" i="7"/>
  <c r="L2403" i="7" s="1"/>
  <c r="M2403" i="7" s="1"/>
  <c r="K2382" i="7"/>
  <c r="L2382" i="7" s="1"/>
  <c r="M2382" i="7" s="1"/>
  <c r="K2368" i="7"/>
  <c r="L2368" i="7" s="1"/>
  <c r="M2368" i="7" s="1"/>
  <c r="K2331" i="7"/>
  <c r="L2331" i="7" s="1"/>
  <c r="M2331" i="7" s="1"/>
  <c r="K2878" i="7"/>
  <c r="L2878" i="7" s="1"/>
  <c r="M2878" i="7" s="1"/>
  <c r="K2729" i="7"/>
  <c r="L2729" i="7" s="1"/>
  <c r="K2714" i="7"/>
  <c r="L2714" i="7" s="1"/>
  <c r="M2714" i="7" s="1"/>
  <c r="K2698" i="7"/>
  <c r="L2698" i="7" s="1"/>
  <c r="M2698" i="7" s="1"/>
  <c r="K2668" i="7"/>
  <c r="L2668" i="7" s="1"/>
  <c r="K2659" i="7"/>
  <c r="L2659" i="7" s="1"/>
  <c r="M2659" i="7" s="1"/>
  <c r="K2656" i="7"/>
  <c r="L2656" i="7" s="1"/>
  <c r="M2656" i="7" s="1"/>
  <c r="K2621" i="7"/>
  <c r="L2621" i="7" s="1"/>
  <c r="M2621" i="7" s="1"/>
  <c r="K2597" i="7"/>
  <c r="L2597" i="7" s="1"/>
  <c r="M2597" i="7" s="1"/>
  <c r="K2520" i="7"/>
  <c r="L2520" i="7" s="1"/>
  <c r="M2520" i="7" s="1"/>
  <c r="K2309" i="7"/>
  <c r="L2309" i="7" s="1"/>
  <c r="K2306" i="7"/>
  <c r="L2306" i="7" s="1"/>
  <c r="M2306" i="7" s="1"/>
  <c r="K2277" i="7"/>
  <c r="L2277" i="7" s="1"/>
  <c r="K2274" i="7"/>
  <c r="L2274" i="7" s="1"/>
  <c r="M2274" i="7" s="1"/>
  <c r="K2235" i="7"/>
  <c r="K2228" i="7"/>
  <c r="L2228" i="7" s="1"/>
  <c r="M2228" i="7" s="1"/>
  <c r="K2215" i="7"/>
  <c r="L2215" i="7" s="1"/>
  <c r="K2206" i="7"/>
  <c r="L2206" i="7" s="1"/>
  <c r="M2206" i="7" s="1"/>
  <c r="K2182" i="7"/>
  <c r="L2182" i="7" s="1"/>
  <c r="M2182" i="7" s="1"/>
  <c r="K2170" i="7"/>
  <c r="L2170" i="7" s="1"/>
  <c r="M2170" i="7" s="1"/>
  <c r="K2163" i="7"/>
  <c r="L2163" i="7" s="1"/>
  <c r="M2163" i="7" s="1"/>
  <c r="K2132" i="7"/>
  <c r="L2132" i="7" s="1"/>
  <c r="K2103" i="7"/>
  <c r="L2103" i="7" s="1"/>
  <c r="K2096" i="7"/>
  <c r="L2096" i="7" s="1"/>
  <c r="K2083" i="7"/>
  <c r="L2083" i="7" s="1"/>
  <c r="M2083" i="7" s="1"/>
  <c r="K2077" i="7"/>
  <c r="L2077" i="7" s="1"/>
  <c r="K2051" i="7"/>
  <c r="L2051" i="7" s="1"/>
  <c r="M2051" i="7" s="1"/>
  <c r="K2031" i="7"/>
  <c r="L2031" i="7" s="1"/>
  <c r="M2031" i="7" s="1"/>
  <c r="K2021" i="7"/>
  <c r="L2021" i="7" s="1"/>
  <c r="K2011" i="7"/>
  <c r="L2011" i="7" s="1"/>
  <c r="M2011" i="7" s="1"/>
  <c r="K2006" i="7"/>
  <c r="L2006" i="7" s="1"/>
  <c r="M2006" i="7" s="1"/>
  <c r="K2003" i="7"/>
  <c r="L2003" i="7" s="1"/>
  <c r="M2003" i="7" s="1"/>
  <c r="K2000" i="7"/>
  <c r="L2000" i="7" s="1"/>
  <c r="K1978" i="7"/>
  <c r="L1978" i="7" s="1"/>
  <c r="M1978" i="7" s="1"/>
  <c r="K1975" i="7"/>
  <c r="L1975" i="7" s="1"/>
  <c r="M1975" i="7" s="1"/>
  <c r="K1972" i="7"/>
  <c r="L1972" i="7" s="1"/>
  <c r="K1943" i="7"/>
  <c r="L1943" i="7" s="1"/>
  <c r="K1940" i="7"/>
  <c r="L1940" i="7" s="1"/>
  <c r="K1933" i="7"/>
  <c r="L1933" i="7" s="1"/>
  <c r="K1914" i="7"/>
  <c r="L1914" i="7" s="1"/>
  <c r="K1899" i="7"/>
  <c r="L1899" i="7" s="1"/>
  <c r="M1899" i="7" s="1"/>
  <c r="K1890" i="7"/>
  <c r="L1890" i="7" s="1"/>
  <c r="M1890" i="7" s="1"/>
  <c r="K1867" i="7"/>
  <c r="L1867" i="7" s="1"/>
  <c r="M1867" i="7" s="1"/>
  <c r="K1858" i="7"/>
  <c r="L1858" i="7" s="1"/>
  <c r="M1858" i="7" s="1"/>
  <c r="K1855" i="7"/>
  <c r="L1855" i="7" s="1"/>
  <c r="M1855" i="7" s="1"/>
  <c r="K1849" i="7"/>
  <c r="L1849" i="7" s="1"/>
  <c r="K1833" i="7"/>
  <c r="L1833" i="7" s="1"/>
  <c r="M1833" i="7" s="1"/>
  <c r="K1829" i="7"/>
  <c r="L1829" i="7" s="1"/>
  <c r="K1781" i="7"/>
  <c r="L1781" i="7" s="1"/>
  <c r="K1764" i="7"/>
  <c r="L1764" i="7" s="1"/>
  <c r="M1764" i="7" s="1"/>
  <c r="K1735" i="7"/>
  <c r="L1735" i="7" s="1"/>
  <c r="K1722" i="7"/>
  <c r="L1722" i="7" s="1"/>
  <c r="M1722" i="7" s="1"/>
  <c r="K1883" i="7"/>
  <c r="L1883" i="7" s="1"/>
  <c r="M1883" i="7" s="1"/>
  <c r="K2322" i="7"/>
  <c r="L2322" i="7" s="1"/>
  <c r="M2322" i="7" s="1"/>
  <c r="K2319" i="7"/>
  <c r="L2319" i="7" s="1"/>
  <c r="M2319" i="7" s="1"/>
  <c r="K2307" i="7"/>
  <c r="L2307" i="7" s="1"/>
  <c r="M2307" i="7" s="1"/>
  <c r="K2287" i="7"/>
  <c r="L2287" i="7" s="1"/>
  <c r="M2287" i="7" s="1"/>
  <c r="K2284" i="7"/>
  <c r="L2284" i="7" s="1"/>
  <c r="K2275" i="7"/>
  <c r="L2275" i="7" s="1"/>
  <c r="K2255" i="7"/>
  <c r="L2255" i="7" s="1"/>
  <c r="M2255" i="7" s="1"/>
  <c r="K2252" i="7"/>
  <c r="L2252" i="7" s="1"/>
  <c r="K2239" i="7"/>
  <c r="L2239" i="7" s="1"/>
  <c r="M2239" i="7" s="1"/>
  <c r="K2236" i="7"/>
  <c r="L2236" i="7" s="1"/>
  <c r="K2225" i="7"/>
  <c r="L2225" i="7" s="1"/>
  <c r="K2198" i="7"/>
  <c r="L2198" i="7" s="1"/>
  <c r="M2198" i="7" s="1"/>
  <c r="K2189" i="7"/>
  <c r="K2186" i="7"/>
  <c r="L2186" i="7" s="1"/>
  <c r="M2186" i="7" s="1"/>
  <c r="K2177" i="7"/>
  <c r="L2177" i="7" s="1"/>
  <c r="M2177" i="7" s="1"/>
  <c r="K2164" i="7"/>
  <c r="K2161" i="7"/>
  <c r="L2161" i="7" s="1"/>
  <c r="M2161" i="7" s="1"/>
  <c r="K2152" i="7"/>
  <c r="L2152" i="7" s="1"/>
  <c r="K2143" i="7"/>
  <c r="L2143" i="7" s="1"/>
  <c r="M2143" i="7" s="1"/>
  <c r="K2137" i="7"/>
  <c r="L2137" i="7" s="1"/>
  <c r="M2137" i="7" s="1"/>
  <c r="K2118" i="7"/>
  <c r="L2118" i="7" s="1"/>
  <c r="M2118" i="7" s="1"/>
  <c r="K2109" i="7"/>
  <c r="L2109" i="7" s="1"/>
  <c r="K2100" i="7"/>
  <c r="K2081" i="7"/>
  <c r="L2081" i="7" s="1"/>
  <c r="M2081" i="7" s="1"/>
  <c r="K2063" i="7"/>
  <c r="L2063" i="7" s="1"/>
  <c r="M2063" i="7" s="1"/>
  <c r="K2056" i="7"/>
  <c r="L2056" i="7" s="1"/>
  <c r="M2056" i="7" s="1"/>
  <c r="K2049" i="7"/>
  <c r="L2049" i="7" s="1"/>
  <c r="K1987" i="7"/>
  <c r="L1987" i="7" s="1"/>
  <c r="M1987" i="7" s="1"/>
  <c r="K1984" i="7"/>
  <c r="L1984" i="7" s="1"/>
  <c r="K1981" i="7"/>
  <c r="L1981" i="7" s="1"/>
  <c r="M1981" i="7" s="1"/>
  <c r="K1959" i="7"/>
  <c r="L1959" i="7" s="1"/>
  <c r="M1959" i="7" s="1"/>
  <c r="K1956" i="7"/>
  <c r="L1956" i="7" s="1"/>
  <c r="K1953" i="7"/>
  <c r="L1953" i="7" s="1"/>
  <c r="M1953" i="7" s="1"/>
  <c r="K1924" i="7"/>
  <c r="L1924" i="7" s="1"/>
  <c r="M1924" i="7" s="1"/>
  <c r="K1921" i="7"/>
  <c r="L1921" i="7" s="1"/>
  <c r="K1918" i="7"/>
  <c r="L1918" i="7" s="1"/>
  <c r="K1846" i="7"/>
  <c r="L1846" i="7" s="1"/>
  <c r="K1796" i="7"/>
  <c r="L1796" i="7" s="1"/>
  <c r="M1796" i="7" s="1"/>
  <c r="K1790" i="7"/>
  <c r="L1790" i="7" s="1"/>
  <c r="M1790" i="7" s="1"/>
  <c r="K1739" i="7"/>
  <c r="L1739" i="7" s="1"/>
  <c r="M1739" i="7" s="1"/>
  <c r="K1733" i="7"/>
  <c r="L1733" i="7" s="1"/>
  <c r="M1733" i="7" s="1"/>
  <c r="K1706" i="7"/>
  <c r="L1706" i="7" s="1"/>
  <c r="M1706" i="7" s="1"/>
  <c r="K1686" i="7"/>
  <c r="L1686" i="7" s="1"/>
  <c r="M1686" i="7" s="1"/>
  <c r="K1639" i="7"/>
  <c r="L1639" i="7" s="1"/>
  <c r="M1639" i="7" s="1"/>
  <c r="K1612" i="7"/>
  <c r="L1612" i="7" s="1"/>
  <c r="K1425" i="7"/>
  <c r="L1425" i="7" s="1"/>
  <c r="M1425" i="7" s="1"/>
  <c r="K2004" i="7"/>
  <c r="L2004" i="7" s="1"/>
  <c r="K2001" i="7"/>
  <c r="L2001" i="7" s="1"/>
  <c r="M2001" i="7" s="1"/>
  <c r="K1976" i="7"/>
  <c r="L1976" i="7" s="1"/>
  <c r="K1973" i="7"/>
  <c r="L1973" i="7" s="1"/>
  <c r="M1973" i="7" s="1"/>
  <c r="K1900" i="7"/>
  <c r="L1900" i="7" s="1"/>
  <c r="K1871" i="7"/>
  <c r="L1871" i="7" s="1"/>
  <c r="M1871" i="7" s="1"/>
  <c r="K1862" i="7"/>
  <c r="L1862" i="7" s="1"/>
  <c r="M1862" i="7" s="1"/>
  <c r="K1850" i="7"/>
  <c r="L1850" i="7" s="1"/>
  <c r="M1850" i="7" s="1"/>
  <c r="K1834" i="7"/>
  <c r="L1834" i="7" s="1"/>
  <c r="M1834" i="7" s="1"/>
  <c r="K1782" i="7"/>
  <c r="L1782" i="7" s="1"/>
  <c r="M1782" i="7" s="1"/>
  <c r="K1776" i="7"/>
  <c r="L1776" i="7" s="1"/>
  <c r="M1776" i="7" s="1"/>
  <c r="K1769" i="7"/>
  <c r="L1769" i="7" s="1"/>
  <c r="M1769" i="7" s="1"/>
  <c r="K1759" i="7"/>
  <c r="L1759" i="7" s="1"/>
  <c r="M1759" i="7" s="1"/>
  <c r="K1753" i="7"/>
  <c r="L1753" i="7" s="1"/>
  <c r="K1723" i="7"/>
  <c r="L1723" i="7" s="1"/>
  <c r="M1723" i="7" s="1"/>
  <c r="K1703" i="7"/>
  <c r="L1703" i="7" s="1"/>
  <c r="K1696" i="7"/>
  <c r="L1696" i="7" s="1"/>
  <c r="M1696" i="7" s="1"/>
  <c r="K2323" i="7"/>
  <c r="L2323" i="7" s="1"/>
  <c r="M2323" i="7" s="1"/>
  <c r="K2317" i="7"/>
  <c r="L2317" i="7" s="1"/>
  <c r="K2297" i="7"/>
  <c r="L2297" i="7" s="1"/>
  <c r="M2297" i="7" s="1"/>
  <c r="K2285" i="7"/>
  <c r="L2285" i="7" s="1"/>
  <c r="K2265" i="7"/>
  <c r="L2265" i="7" s="1"/>
  <c r="K2253" i="7"/>
  <c r="L2253" i="7" s="1"/>
  <c r="K2237" i="7"/>
  <c r="L2237" i="7" s="1"/>
  <c r="K2233" i="7"/>
  <c r="L2233" i="7" s="1"/>
  <c r="M2233" i="7" s="1"/>
  <c r="K2226" i="7"/>
  <c r="L2226" i="7" s="1"/>
  <c r="K2199" i="7"/>
  <c r="L2199" i="7" s="1"/>
  <c r="M2199" i="7" s="1"/>
  <c r="K2175" i="7"/>
  <c r="L2175" i="7" s="1"/>
  <c r="M2175" i="7" s="1"/>
  <c r="K2153" i="7"/>
  <c r="L2153" i="7" s="1"/>
  <c r="M2153" i="7" s="1"/>
  <c r="K2128" i="7"/>
  <c r="L2128" i="7" s="1"/>
  <c r="M2128" i="7" s="1"/>
  <c r="K2088" i="7"/>
  <c r="L2088" i="7" s="1"/>
  <c r="M2088" i="7" s="1"/>
  <c r="K2079" i="7"/>
  <c r="L2079" i="7" s="1"/>
  <c r="K2075" i="7"/>
  <c r="L2075" i="7" s="1"/>
  <c r="M2075" i="7" s="1"/>
  <c r="K2057" i="7"/>
  <c r="L2057" i="7" s="1"/>
  <c r="K2041" i="7"/>
  <c r="L2041" i="7" s="1"/>
  <c r="K2023" i="7"/>
  <c r="L2023" i="7" s="1"/>
  <c r="M2023" i="7" s="1"/>
  <c r="K2007" i="7"/>
  <c r="L2007" i="7" s="1"/>
  <c r="M2007" i="7" s="1"/>
  <c r="K1982" i="7"/>
  <c r="L1982" i="7" s="1"/>
  <c r="M1982" i="7" s="1"/>
  <c r="K1979" i="7"/>
  <c r="L1979" i="7" s="1"/>
  <c r="M1979" i="7" s="1"/>
  <c r="K1954" i="7"/>
  <c r="L1954" i="7" s="1"/>
  <c r="M1954" i="7" s="1"/>
  <c r="K1951" i="7"/>
  <c r="L1951" i="7" s="1"/>
  <c r="M1951" i="7" s="1"/>
  <c r="K1938" i="7"/>
  <c r="L1938" i="7" s="1"/>
  <c r="K1935" i="7"/>
  <c r="L1935" i="7" s="1"/>
  <c r="K1919" i="7"/>
  <c r="L1919" i="7" s="1"/>
  <c r="M1919" i="7" s="1"/>
  <c r="K1909" i="7"/>
  <c r="L1909" i="7" s="1"/>
  <c r="K1906" i="7"/>
  <c r="L1906" i="7" s="1"/>
  <c r="M1906" i="7" s="1"/>
  <c r="K1903" i="7"/>
  <c r="L1903" i="7" s="1"/>
  <c r="M1903" i="7" s="1"/>
  <c r="K1856" i="7"/>
  <c r="L1856" i="7" s="1"/>
  <c r="M1856" i="7" s="1"/>
  <c r="K1847" i="7"/>
  <c r="L1847" i="7" s="1"/>
  <c r="M1847" i="7" s="1"/>
  <c r="K1841" i="7"/>
  <c r="L1841" i="7" s="1"/>
  <c r="K1838" i="7"/>
  <c r="L1838" i="7" s="1"/>
  <c r="K1822" i="7"/>
  <c r="L1822" i="7" s="1"/>
  <c r="K1813" i="7"/>
  <c r="L1813" i="7" s="1"/>
  <c r="K1810" i="7"/>
  <c r="L1810" i="7" s="1"/>
  <c r="M1810" i="7" s="1"/>
  <c r="K1794" i="7"/>
  <c r="L1794" i="7" s="1"/>
  <c r="M1794" i="7" s="1"/>
  <c r="K1785" i="7"/>
  <c r="L1785" i="7" s="1"/>
  <c r="M1785" i="7" s="1"/>
  <c r="K1779" i="7"/>
  <c r="L1779" i="7" s="1"/>
  <c r="M1779" i="7" s="1"/>
  <c r="K1756" i="7"/>
  <c r="L1756" i="7" s="1"/>
  <c r="M1756" i="7" s="1"/>
  <c r="K1750" i="7"/>
  <c r="L1750" i="7" s="1"/>
  <c r="M1750" i="7" s="1"/>
  <c r="K1737" i="7"/>
  <c r="L1737" i="7" s="1"/>
  <c r="M1737" i="7" s="1"/>
  <c r="K1717" i="7"/>
  <c r="L1717" i="7" s="1"/>
  <c r="M1717" i="7" s="1"/>
  <c r="K1690" i="7"/>
  <c r="L1690" i="7" s="1"/>
  <c r="M1690" i="7" s="1"/>
  <c r="K1628" i="7"/>
  <c r="L1628" i="7" s="1"/>
  <c r="K1590" i="7"/>
  <c r="L1590" i="7" s="1"/>
  <c r="M1590" i="7" s="1"/>
  <c r="K1549" i="7"/>
  <c r="L1549" i="7" s="1"/>
  <c r="K1734" i="7"/>
  <c r="L1734" i="7" s="1"/>
  <c r="M1734" i="7" s="1"/>
  <c r="K1604" i="7"/>
  <c r="L1604" i="7" s="1"/>
  <c r="M1604" i="7" s="1"/>
  <c r="K2360" i="7"/>
  <c r="L2360" i="7" s="1"/>
  <c r="M2360" i="7" s="1"/>
  <c r="K2351" i="7"/>
  <c r="L2351" i="7" s="1"/>
  <c r="M2351" i="7" s="1"/>
  <c r="K2330" i="7"/>
  <c r="L2330" i="7" s="1"/>
  <c r="M2330" i="7" s="1"/>
  <c r="K2311" i="7"/>
  <c r="L2311" i="7" s="1"/>
  <c r="M2311" i="7" s="1"/>
  <c r="K2305" i="7"/>
  <c r="L2305" i="7" s="1"/>
  <c r="M2305" i="7" s="1"/>
  <c r="K2298" i="7"/>
  <c r="L2298" i="7" s="1"/>
  <c r="M2298" i="7" s="1"/>
  <c r="K2292" i="7"/>
  <c r="L2292" i="7" s="1"/>
  <c r="K2279" i="7"/>
  <c r="L2279" i="7" s="1"/>
  <c r="M2279" i="7" s="1"/>
  <c r="K2273" i="7"/>
  <c r="L2273" i="7" s="1"/>
  <c r="M2273" i="7" s="1"/>
  <c r="K2266" i="7"/>
  <c r="L2266" i="7" s="1"/>
  <c r="M2266" i="7" s="1"/>
  <c r="K2260" i="7"/>
  <c r="L2260" i="7" s="1"/>
  <c r="K2247" i="7"/>
  <c r="L2247" i="7" s="1"/>
  <c r="M2247" i="7" s="1"/>
  <c r="K2234" i="7"/>
  <c r="L2234" i="7" s="1"/>
  <c r="M2234" i="7" s="1"/>
  <c r="K2224" i="7"/>
  <c r="L2224" i="7" s="1"/>
  <c r="M2224" i="7" s="1"/>
  <c r="K2220" i="7"/>
  <c r="L2220" i="7" s="1"/>
  <c r="M2220" i="7" s="1"/>
  <c r="K2214" i="7"/>
  <c r="L2214" i="7" s="1"/>
  <c r="M2214" i="7" s="1"/>
  <c r="K2160" i="7"/>
  <c r="L2160" i="7" s="1"/>
  <c r="K2129" i="7"/>
  <c r="L2129" i="7" s="1"/>
  <c r="M2129" i="7" s="1"/>
  <c r="K2125" i="7"/>
  <c r="L2125" i="7" s="1"/>
  <c r="K2105" i="7"/>
  <c r="L2105" i="7" s="1"/>
  <c r="M2105" i="7" s="1"/>
  <c r="K2102" i="7"/>
  <c r="L2102" i="7" s="1"/>
  <c r="M2102" i="7" s="1"/>
  <c r="K2076" i="7"/>
  <c r="L2076" i="7" s="1"/>
  <c r="M2076" i="7" s="1"/>
  <c r="K2061" i="7"/>
  <c r="L2061" i="7" s="1"/>
  <c r="K2054" i="7"/>
  <c r="L2054" i="7" s="1"/>
  <c r="M2054" i="7" s="1"/>
  <c r="K2036" i="7"/>
  <c r="L2036" i="7" s="1"/>
  <c r="M2036" i="7" s="1"/>
  <c r="K2005" i="7"/>
  <c r="L2005" i="7" s="1"/>
  <c r="M2005" i="7" s="1"/>
  <c r="K1977" i="7"/>
  <c r="L1977" i="7" s="1"/>
  <c r="K1926" i="7"/>
  <c r="L1926" i="7" s="1"/>
  <c r="K1901" i="7"/>
  <c r="L1901" i="7" s="1"/>
  <c r="K1866" i="7"/>
  <c r="L1866" i="7" s="1"/>
  <c r="M1866" i="7" s="1"/>
  <c r="K1863" i="7"/>
  <c r="L1863" i="7" s="1"/>
  <c r="M1863" i="7" s="1"/>
  <c r="K1851" i="7"/>
  <c r="L1851" i="7" s="1"/>
  <c r="M1851" i="7" s="1"/>
  <c r="K1826" i="7"/>
  <c r="L1826" i="7" s="1"/>
  <c r="M1826" i="7" s="1"/>
  <c r="K1820" i="7"/>
  <c r="L1820" i="7" s="1"/>
  <c r="M1820" i="7" s="1"/>
  <c r="K1804" i="7"/>
  <c r="L1804" i="7" s="1"/>
  <c r="M1804" i="7" s="1"/>
  <c r="K1783" i="7"/>
  <c r="L1783" i="7" s="1"/>
  <c r="M1783" i="7" s="1"/>
  <c r="K1777" i="7"/>
  <c r="L1777" i="7" s="1"/>
  <c r="M1777" i="7" s="1"/>
  <c r="K1773" i="7"/>
  <c r="L1773" i="7" s="1"/>
  <c r="K1770" i="7"/>
  <c r="L1770" i="7" s="1"/>
  <c r="M1770" i="7" s="1"/>
  <c r="K1754" i="7"/>
  <c r="L1754" i="7" s="1"/>
  <c r="M1754" i="7" s="1"/>
  <c r="K1748" i="7"/>
  <c r="L1748" i="7" s="1"/>
  <c r="M1748" i="7" s="1"/>
  <c r="K1701" i="7"/>
  <c r="L1701" i="7" s="1"/>
  <c r="M1701" i="7" s="1"/>
  <c r="K1580" i="7"/>
  <c r="K1597" i="7"/>
  <c r="L1597" i="7" s="1"/>
  <c r="K1532" i="7"/>
  <c r="L1532" i="7" s="1"/>
  <c r="K1521" i="7"/>
  <c r="L1521" i="7" s="1"/>
  <c r="M1521" i="7" s="1"/>
  <c r="K1493" i="7"/>
  <c r="L1493" i="7" s="1"/>
  <c r="M1493" i="7" s="1"/>
  <c r="K1478" i="7"/>
  <c r="L1478" i="7" s="1"/>
  <c r="K1475" i="7"/>
  <c r="L1475" i="7" s="1"/>
  <c r="M1475" i="7" s="1"/>
  <c r="K1463" i="7"/>
  <c r="L1463" i="7" s="1"/>
  <c r="K1419" i="7"/>
  <c r="L1419" i="7" s="1"/>
  <c r="M1419" i="7" s="1"/>
  <c r="K1396" i="7"/>
  <c r="L1396" i="7" s="1"/>
  <c r="M1396" i="7" s="1"/>
  <c r="K1387" i="7"/>
  <c r="L1387" i="7" s="1"/>
  <c r="M1387" i="7" s="1"/>
  <c r="K1353" i="7"/>
  <c r="L1353" i="7" s="1"/>
  <c r="M1353" i="7" s="1"/>
  <c r="K1345" i="7"/>
  <c r="L1345" i="7" s="1"/>
  <c r="M1345" i="7" s="1"/>
  <c r="K1342" i="7"/>
  <c r="L1342" i="7" s="1"/>
  <c r="K1337" i="7"/>
  <c r="L1337" i="7" s="1"/>
  <c r="M1337" i="7" s="1"/>
  <c r="K1334" i="7"/>
  <c r="L1334" i="7" s="1"/>
  <c r="K1302" i="7"/>
  <c r="L1302" i="7" s="1"/>
  <c r="M1302" i="7" s="1"/>
  <c r="K1284" i="7"/>
  <c r="L1284" i="7" s="1"/>
  <c r="M1284" i="7" s="1"/>
  <c r="K1249" i="7"/>
  <c r="L1249" i="7" s="1"/>
  <c r="M1249" i="7" s="1"/>
  <c r="K1210" i="7"/>
  <c r="L1210" i="7" s="1"/>
  <c r="K1200" i="7"/>
  <c r="L1200" i="7" s="1"/>
  <c r="M1200" i="7" s="1"/>
  <c r="K1193" i="7"/>
  <c r="L1193" i="7" s="1"/>
  <c r="M1193" i="7" s="1"/>
  <c r="K1190" i="7"/>
  <c r="L1190" i="7" s="1"/>
  <c r="M1190" i="7" s="1"/>
  <c r="K1184" i="7"/>
  <c r="L1184" i="7" s="1"/>
  <c r="M1184" i="7" s="1"/>
  <c r="K1172" i="7"/>
  <c r="L1172" i="7" s="1"/>
  <c r="M1172" i="7" s="1"/>
  <c r="K1122" i="7"/>
  <c r="L1122" i="7" s="1"/>
  <c r="M1122" i="7" s="1"/>
  <c r="K1108" i="7"/>
  <c r="L1108" i="7" s="1"/>
  <c r="M1108" i="7" s="1"/>
  <c r="K1065" i="7"/>
  <c r="L1065" i="7" s="1"/>
  <c r="M1065" i="7" s="1"/>
  <c r="K1006" i="7"/>
  <c r="L1006" i="7" s="1"/>
  <c r="M1006" i="7" s="1"/>
  <c r="K987" i="7"/>
  <c r="L987" i="7" s="1"/>
  <c r="K984" i="7"/>
  <c r="L984" i="7" s="1"/>
  <c r="M984" i="7" s="1"/>
  <c r="K972" i="7"/>
  <c r="L972" i="7" s="1"/>
  <c r="M972" i="7" s="1"/>
  <c r="K968" i="7"/>
  <c r="L968" i="7" s="1"/>
  <c r="M968" i="7" s="1"/>
  <c r="K956" i="7"/>
  <c r="L956" i="7" s="1"/>
  <c r="K947" i="7"/>
  <c r="L947" i="7" s="1"/>
  <c r="M947" i="7" s="1"/>
  <c r="K906" i="7"/>
  <c r="L906" i="7" s="1"/>
  <c r="M906" i="7" s="1"/>
  <c r="K895" i="7"/>
  <c r="L895" i="7" s="1"/>
  <c r="M895" i="7" s="1"/>
  <c r="K859" i="7"/>
  <c r="L859" i="7" s="1"/>
  <c r="M859" i="7" s="1"/>
  <c r="K809" i="7"/>
  <c r="L809" i="7" s="1"/>
  <c r="M809" i="7" s="1"/>
  <c r="K803" i="7"/>
  <c r="L803" i="7" s="1"/>
  <c r="K792" i="7"/>
  <c r="L792" i="7" s="1"/>
  <c r="M792" i="7" s="1"/>
  <c r="K780" i="7"/>
  <c r="L780" i="7" s="1"/>
  <c r="K774" i="7"/>
  <c r="L774" i="7" s="1"/>
  <c r="M774" i="7" s="1"/>
  <c r="K1685" i="7"/>
  <c r="L1685" i="7" s="1"/>
  <c r="M1685" i="7" s="1"/>
  <c r="K1660" i="7"/>
  <c r="L1660" i="7" s="1"/>
  <c r="K1650" i="7"/>
  <c r="L1650" i="7" s="1"/>
  <c r="M1650" i="7" s="1"/>
  <c r="K1644" i="7"/>
  <c r="L1644" i="7" s="1"/>
  <c r="K1641" i="7"/>
  <c r="L1641" i="7" s="1"/>
  <c r="M1641" i="7" s="1"/>
  <c r="K1632" i="7"/>
  <c r="L1632" i="7" s="1"/>
  <c r="K1616" i="7"/>
  <c r="L1616" i="7" s="1"/>
  <c r="K1603" i="7"/>
  <c r="L1603" i="7" s="1"/>
  <c r="M1603" i="7" s="1"/>
  <c r="K1592" i="7"/>
  <c r="L1592" i="7" s="1"/>
  <c r="K1589" i="7"/>
  <c r="L1589" i="7" s="1"/>
  <c r="K1572" i="7"/>
  <c r="L1572" i="7" s="1"/>
  <c r="K1550" i="7"/>
  <c r="L1550" i="7" s="1"/>
  <c r="M1550" i="7" s="1"/>
  <c r="K1546" i="7"/>
  <c r="L1546" i="7" s="1"/>
  <c r="M1546" i="7" s="1"/>
  <c r="K1502" i="7"/>
  <c r="L1502" i="7" s="1"/>
  <c r="K1467" i="7"/>
  <c r="L1467" i="7" s="1"/>
  <c r="M1467" i="7" s="1"/>
  <c r="K1460" i="7"/>
  <c r="L1460" i="7" s="1"/>
  <c r="M1460" i="7" s="1"/>
  <c r="K1454" i="7"/>
  <c r="L1454" i="7" s="1"/>
  <c r="K1394" i="7"/>
  <c r="L1394" i="7" s="1"/>
  <c r="M1394" i="7" s="1"/>
  <c r="K1385" i="7"/>
  <c r="L1385" i="7" s="1"/>
  <c r="M1385" i="7" s="1"/>
  <c r="K1382" i="7"/>
  <c r="L1382" i="7" s="1"/>
  <c r="K1356" i="7"/>
  <c r="L1356" i="7" s="1"/>
  <c r="M1356" i="7" s="1"/>
  <c r="K1351" i="7"/>
  <c r="L1351" i="7" s="1"/>
  <c r="K1340" i="7"/>
  <c r="L1340" i="7" s="1"/>
  <c r="M1340" i="7" s="1"/>
  <c r="K1266" i="7"/>
  <c r="L1266" i="7" s="1"/>
  <c r="M1266" i="7" s="1"/>
  <c r="K1253" i="7"/>
  <c r="K1244" i="7"/>
  <c r="L1244" i="7" s="1"/>
  <c r="M1244" i="7" s="1"/>
  <c r="K1158" i="7"/>
  <c r="L1158" i="7" s="1"/>
  <c r="M1158" i="7" s="1"/>
  <c r="K1149" i="7"/>
  <c r="L1149" i="7" s="1"/>
  <c r="M1149" i="7" s="1"/>
  <c r="K1114" i="7"/>
  <c r="L1114" i="7" s="1"/>
  <c r="M1114" i="7" s="1"/>
  <c r="K1109" i="7"/>
  <c r="L1109" i="7" s="1"/>
  <c r="M1109" i="7" s="1"/>
  <c r="K1100" i="7"/>
  <c r="L1100" i="7" s="1"/>
  <c r="M1100" i="7" s="1"/>
  <c r="K1095" i="7"/>
  <c r="L1095" i="7" s="1"/>
  <c r="K1060" i="7"/>
  <c r="L1060" i="7" s="1"/>
  <c r="M1060" i="7" s="1"/>
  <c r="K1054" i="7"/>
  <c r="L1054" i="7" s="1"/>
  <c r="M1054" i="7" s="1"/>
  <c r="K1042" i="7"/>
  <c r="L1042" i="7" s="1"/>
  <c r="M1042" i="7" s="1"/>
  <c r="K1037" i="7"/>
  <c r="L1037" i="7" s="1"/>
  <c r="M1037" i="7" s="1"/>
  <c r="K1013" i="7"/>
  <c r="L1013" i="7" s="1"/>
  <c r="M1013" i="7" s="1"/>
  <c r="K1009" i="7"/>
  <c r="L1009" i="7" s="1"/>
  <c r="M1009" i="7" s="1"/>
  <c r="K1000" i="7"/>
  <c r="L1000" i="7" s="1"/>
  <c r="M1000" i="7" s="1"/>
  <c r="K945" i="7"/>
  <c r="L945" i="7" s="1"/>
  <c r="M945" i="7" s="1"/>
  <c r="K927" i="7"/>
  <c r="L927" i="7" s="1"/>
  <c r="K878" i="7"/>
  <c r="L878" i="7" s="1"/>
  <c r="K835" i="7"/>
  <c r="L835" i="7" s="1"/>
  <c r="M835" i="7" s="1"/>
  <c r="K819" i="7"/>
  <c r="L819" i="7" s="1"/>
  <c r="M819" i="7" s="1"/>
  <c r="K800" i="7"/>
  <c r="L800" i="7" s="1"/>
  <c r="M800" i="7" s="1"/>
  <c r="K783" i="7"/>
  <c r="L783" i="7" s="1"/>
  <c r="M783" i="7" s="1"/>
  <c r="K707" i="7"/>
  <c r="L707" i="7" s="1"/>
  <c r="M707" i="7" s="1"/>
  <c r="K251" i="7"/>
  <c r="L251" i="7" s="1"/>
  <c r="K1584" i="7"/>
  <c r="L1584" i="7" s="1"/>
  <c r="K1533" i="7"/>
  <c r="L1533" i="7" s="1"/>
  <c r="M1533" i="7" s="1"/>
  <c r="K1414" i="7"/>
  <c r="L1414" i="7" s="1"/>
  <c r="K1391" i="7"/>
  <c r="K1343" i="7"/>
  <c r="K1335" i="7"/>
  <c r="L1335" i="7" s="1"/>
  <c r="K1312" i="7"/>
  <c r="L1312" i="7" s="1"/>
  <c r="K1309" i="7"/>
  <c r="L1309" i="7" s="1"/>
  <c r="M1309" i="7" s="1"/>
  <c r="K1285" i="7"/>
  <c r="L1285" i="7" s="1"/>
  <c r="M1285" i="7" s="1"/>
  <c r="K1173" i="7"/>
  <c r="L1173" i="7" s="1"/>
  <c r="M1173" i="7" s="1"/>
  <c r="K1170" i="7"/>
  <c r="L1170" i="7" s="1"/>
  <c r="M1170" i="7" s="1"/>
  <c r="K1101" i="7"/>
  <c r="L1101" i="7" s="1"/>
  <c r="M1101" i="7" s="1"/>
  <c r="K1087" i="7"/>
  <c r="L1087" i="7" s="1"/>
  <c r="K1066" i="7"/>
  <c r="L1066" i="7" s="1"/>
  <c r="M1066" i="7" s="1"/>
  <c r="K1026" i="7"/>
  <c r="L1026" i="7" s="1"/>
  <c r="K1020" i="7"/>
  <c r="L1020" i="7" s="1"/>
  <c r="M1020" i="7" s="1"/>
  <c r="K1007" i="7"/>
  <c r="L1007" i="7" s="1"/>
  <c r="K994" i="7"/>
  <c r="L994" i="7" s="1"/>
  <c r="M994" i="7" s="1"/>
  <c r="K973" i="7"/>
  <c r="L973" i="7" s="1"/>
  <c r="M973" i="7" s="1"/>
  <c r="K899" i="7"/>
  <c r="L899" i="7" s="1"/>
  <c r="M899" i="7" s="1"/>
  <c r="K889" i="7"/>
  <c r="L889" i="7" s="1"/>
  <c r="K886" i="7"/>
  <c r="L886" i="7" s="1"/>
  <c r="K860" i="7"/>
  <c r="L860" i="7" s="1"/>
  <c r="K820" i="7"/>
  <c r="L820" i="7" s="1"/>
  <c r="M820" i="7" s="1"/>
  <c r="K790" i="7"/>
  <c r="L790" i="7" s="1"/>
  <c r="M790" i="7" s="1"/>
  <c r="K771" i="7"/>
  <c r="L771" i="7" s="1"/>
  <c r="K1573" i="7"/>
  <c r="L1573" i="7" s="1"/>
  <c r="M1573" i="7" s="1"/>
  <c r="K1525" i="7"/>
  <c r="L1525" i="7" s="1"/>
  <c r="M1525" i="7" s="1"/>
  <c r="K1497" i="7"/>
  <c r="L1497" i="7" s="1"/>
  <c r="M1497" i="7" s="1"/>
  <c r="K1461" i="7"/>
  <c r="L1461" i="7" s="1"/>
  <c r="K1458" i="7"/>
  <c r="L1458" i="7" s="1"/>
  <c r="M1458" i="7" s="1"/>
  <c r="K1438" i="7"/>
  <c r="L1438" i="7" s="1"/>
  <c r="K1366" i="7"/>
  <c r="L1366" i="7" s="1"/>
  <c r="K1294" i="7"/>
  <c r="L1294" i="7" s="1"/>
  <c r="M1294" i="7" s="1"/>
  <c r="K1282" i="7"/>
  <c r="L1282" i="7" s="1"/>
  <c r="M1282" i="7" s="1"/>
  <c r="K1260" i="7"/>
  <c r="L1260" i="7" s="1"/>
  <c r="M1260" i="7" s="1"/>
  <c r="K1205" i="7"/>
  <c r="L1205" i="7" s="1"/>
  <c r="K1115" i="7"/>
  <c r="L1115" i="7" s="1"/>
  <c r="K1093" i="7"/>
  <c r="L1093" i="7" s="1"/>
  <c r="M1093" i="7" s="1"/>
  <c r="K1079" i="7"/>
  <c r="L1079" i="7" s="1"/>
  <c r="K1061" i="7"/>
  <c r="L1061" i="7" s="1"/>
  <c r="M1061" i="7" s="1"/>
  <c r="K1052" i="7"/>
  <c r="L1052" i="7" s="1"/>
  <c r="M1052" i="7" s="1"/>
  <c r="K1159" i="7"/>
  <c r="L1159" i="7" s="1"/>
  <c r="K943" i="7"/>
  <c r="L943" i="7" s="1"/>
  <c r="M943" i="7" s="1"/>
  <c r="K940" i="7"/>
  <c r="L940" i="7" s="1"/>
  <c r="M940" i="7" s="1"/>
  <c r="K934" i="7"/>
  <c r="L934" i="7" s="1"/>
  <c r="K836" i="7"/>
  <c r="L836" i="7" s="1"/>
  <c r="K814" i="7"/>
  <c r="L814" i="7" s="1"/>
  <c r="M814" i="7" s="1"/>
  <c r="K811" i="7"/>
  <c r="L811" i="7" s="1"/>
  <c r="M811" i="7" s="1"/>
  <c r="K805" i="7"/>
  <c r="L805" i="7" s="1"/>
  <c r="M805" i="7" s="1"/>
  <c r="K255" i="7"/>
  <c r="L255" i="7" s="1"/>
  <c r="M255" i="7" s="1"/>
  <c r="K1624" i="7"/>
  <c r="L1624" i="7" s="1"/>
  <c r="K1596" i="7"/>
  <c r="L1596" i="7" s="1"/>
  <c r="K1582" i="7"/>
  <c r="L1582" i="7" s="1"/>
  <c r="M1582" i="7" s="1"/>
  <c r="K1554" i="7"/>
  <c r="L1554" i="7" s="1"/>
  <c r="M1554" i="7" s="1"/>
  <c r="K1520" i="7"/>
  <c r="L1520" i="7" s="1"/>
  <c r="M1520" i="7" s="1"/>
  <c r="K1506" i="7"/>
  <c r="L1506" i="7" s="1"/>
  <c r="M1506" i="7" s="1"/>
  <c r="K1492" i="7"/>
  <c r="L1492" i="7" s="1"/>
  <c r="M1492" i="7" s="1"/>
  <c r="K1483" i="7"/>
  <c r="L1483" i="7" s="1"/>
  <c r="M1483" i="7" s="1"/>
  <c r="K1477" i="7"/>
  <c r="L1477" i="7" s="1"/>
  <c r="K1441" i="7"/>
  <c r="L1441" i="7" s="1"/>
  <c r="M1441" i="7" s="1"/>
  <c r="K1424" i="7"/>
  <c r="L1424" i="7" s="1"/>
  <c r="K1418" i="7"/>
  <c r="L1418" i="7" s="1"/>
  <c r="M1418" i="7" s="1"/>
  <c r="K1412" i="7"/>
  <c r="L1412" i="7" s="1"/>
  <c r="M1412" i="7" s="1"/>
  <c r="K1341" i="7"/>
  <c r="L1341" i="7" s="1"/>
  <c r="M1341" i="7" s="1"/>
  <c r="K1321" i="7"/>
  <c r="L1321" i="7" s="1"/>
  <c r="M1321" i="7" s="1"/>
  <c r="K1248" i="7"/>
  <c r="L1248" i="7" s="1"/>
  <c r="K1245" i="7"/>
  <c r="L1245" i="7" s="1"/>
  <c r="M1245" i="7" s="1"/>
  <c r="K1180" i="7"/>
  <c r="L1180" i="7" s="1"/>
  <c r="M1180" i="7" s="1"/>
  <c r="K1138" i="7"/>
  <c r="L1138" i="7" s="1"/>
  <c r="M1138" i="7" s="1"/>
  <c r="K1132" i="7"/>
  <c r="L1132" i="7" s="1"/>
  <c r="M1132" i="7" s="1"/>
  <c r="K1082" i="7"/>
  <c r="L1082" i="7" s="1"/>
  <c r="M1082" i="7" s="1"/>
  <c r="K1073" i="7"/>
  <c r="L1073" i="7" s="1"/>
  <c r="M1073" i="7" s="1"/>
  <c r="K1038" i="7"/>
  <c r="L1038" i="7" s="1"/>
  <c r="M1038" i="7" s="1"/>
  <c r="K995" i="7"/>
  <c r="L995" i="7" s="1"/>
  <c r="K992" i="7"/>
  <c r="L992" i="7" s="1"/>
  <c r="M992" i="7" s="1"/>
  <c r="K980" i="7"/>
  <c r="L980" i="7" s="1"/>
  <c r="M980" i="7" s="1"/>
  <c r="K967" i="7"/>
  <c r="L967" i="7" s="1"/>
  <c r="K922" i="7"/>
  <c r="L922" i="7" s="1"/>
  <c r="M922" i="7" s="1"/>
  <c r="K884" i="7"/>
  <c r="L884" i="7" s="1"/>
  <c r="M884" i="7" s="1"/>
  <c r="K861" i="7"/>
  <c r="L861" i="7" s="1"/>
  <c r="M861" i="7" s="1"/>
  <c r="K852" i="7"/>
  <c r="L852" i="7" s="1"/>
  <c r="K821" i="7"/>
  <c r="L821" i="7" s="1"/>
  <c r="M821" i="7" s="1"/>
  <c r="K743" i="7"/>
  <c r="L743" i="7" s="1"/>
  <c r="M743" i="7" s="1"/>
  <c r="K212" i="7"/>
  <c r="L212" i="7" s="1"/>
  <c r="M212" i="7" s="1"/>
  <c r="K1687" i="7"/>
  <c r="L1687" i="7" s="1"/>
  <c r="K1665" i="7"/>
  <c r="L1665" i="7" s="1"/>
  <c r="M1665" i="7" s="1"/>
  <c r="K1646" i="7"/>
  <c r="L1646" i="7" s="1"/>
  <c r="M1646" i="7" s="1"/>
  <c r="K1631" i="7"/>
  <c r="L1631" i="7" s="1"/>
  <c r="M1631" i="7" s="1"/>
  <c r="K1615" i="7"/>
  <c r="L1615" i="7" s="1"/>
  <c r="M1615" i="7" s="1"/>
  <c r="K1605" i="7"/>
  <c r="L1605" i="7" s="1"/>
  <c r="K1599" i="7"/>
  <c r="L1599" i="7" s="1"/>
  <c r="M1599" i="7" s="1"/>
  <c r="K1552" i="7"/>
  <c r="L1552" i="7" s="1"/>
  <c r="K1542" i="7"/>
  <c r="L1542" i="7" s="1"/>
  <c r="M1542" i="7" s="1"/>
  <c r="K1480" i="7"/>
  <c r="L1480" i="7" s="1"/>
  <c r="K1466" i="7"/>
  <c r="L1466" i="7" s="1"/>
  <c r="M1466" i="7" s="1"/>
  <c r="K1453" i="7"/>
  <c r="L1453" i="7" s="1"/>
  <c r="M1453" i="7" s="1"/>
  <c r="K1450" i="7"/>
  <c r="L1450" i="7" s="1"/>
  <c r="M1450" i="7" s="1"/>
  <c r="K1444" i="7"/>
  <c r="L1444" i="7" s="1"/>
  <c r="M1444" i="7" s="1"/>
  <c r="K1404" i="7"/>
  <c r="L1404" i="7" s="1"/>
  <c r="M1404" i="7" s="1"/>
  <c r="K1398" i="7"/>
  <c r="L1398" i="7" s="1"/>
  <c r="K1381" i="7"/>
  <c r="L1381" i="7" s="1"/>
  <c r="M1381" i="7" s="1"/>
  <c r="K1364" i="7"/>
  <c r="L1364" i="7" s="1"/>
  <c r="M1364" i="7" s="1"/>
  <c r="K1358" i="7"/>
  <c r="L1358" i="7" s="1"/>
  <c r="K1355" i="7"/>
  <c r="L1355" i="7" s="1"/>
  <c r="K1347" i="7"/>
  <c r="L1347" i="7" s="1"/>
  <c r="M1347" i="7" s="1"/>
  <c r="K1324" i="7"/>
  <c r="L1324" i="7" s="1"/>
  <c r="M1324" i="7" s="1"/>
  <c r="K1319" i="7"/>
  <c r="L1319" i="7" s="1"/>
  <c r="M1319" i="7" s="1"/>
  <c r="K1316" i="7"/>
  <c r="L1316" i="7" s="1"/>
  <c r="M1316" i="7" s="1"/>
  <c r="K1301" i="7"/>
  <c r="L1301" i="7" s="1"/>
  <c r="M1301" i="7" s="1"/>
  <c r="K1289" i="7"/>
  <c r="L1289" i="7" s="1"/>
  <c r="M1289" i="7" s="1"/>
  <c r="K1271" i="7"/>
  <c r="L1271" i="7" s="1"/>
  <c r="K1223" i="7"/>
  <c r="L1223" i="7" s="1"/>
  <c r="M1223" i="7" s="1"/>
  <c r="K1203" i="7"/>
  <c r="L1203" i="7" s="1"/>
  <c r="M1203" i="7" s="1"/>
  <c r="K1177" i="7"/>
  <c r="L1177" i="7" s="1"/>
  <c r="M1177" i="7" s="1"/>
  <c r="K1174" i="7"/>
  <c r="L1174" i="7" s="1"/>
  <c r="M1174" i="7" s="1"/>
  <c r="K1154" i="7"/>
  <c r="L1154" i="7" s="1"/>
  <c r="K1133" i="7"/>
  <c r="L1133" i="7" s="1"/>
  <c r="M1133" i="7" s="1"/>
  <c r="K1124" i="7"/>
  <c r="L1124" i="7" s="1"/>
  <c r="M1124" i="7" s="1"/>
  <c r="K1119" i="7"/>
  <c r="L1119" i="7" s="1"/>
  <c r="K1077" i="7"/>
  <c r="L1077" i="7" s="1"/>
  <c r="K1067" i="7"/>
  <c r="L1067" i="7" s="1"/>
  <c r="M1067" i="7" s="1"/>
  <c r="K1050" i="7"/>
  <c r="L1050" i="7" s="1"/>
  <c r="M1050" i="7" s="1"/>
  <c r="K1047" i="7"/>
  <c r="L1047" i="7" s="1"/>
  <c r="K1041" i="7"/>
  <c r="L1041" i="7" s="1"/>
  <c r="M1041" i="7" s="1"/>
  <c r="K1018" i="7"/>
  <c r="L1018" i="7" s="1"/>
  <c r="M1018" i="7" s="1"/>
  <c r="K1008" i="7"/>
  <c r="L1008" i="7" s="1"/>
  <c r="M1008" i="7" s="1"/>
  <c r="K971" i="7"/>
  <c r="L971" i="7" s="1"/>
  <c r="K965" i="7"/>
  <c r="L965" i="7" s="1"/>
  <c r="M965" i="7" s="1"/>
  <c r="K944" i="7"/>
  <c r="L944" i="7" s="1"/>
  <c r="M944" i="7" s="1"/>
  <c r="K873" i="7"/>
  <c r="L873" i="7" s="1"/>
  <c r="M873" i="7" s="1"/>
  <c r="K812" i="7"/>
  <c r="L812" i="7" s="1"/>
  <c r="K750" i="7"/>
  <c r="L750" i="7" s="1"/>
  <c r="M750" i="7" s="1"/>
  <c r="K737" i="7"/>
  <c r="L737" i="7" s="1"/>
  <c r="M737" i="7" s="1"/>
  <c r="K386" i="7"/>
  <c r="L386" i="7" s="1"/>
  <c r="K773" i="7"/>
  <c r="L773" i="7" s="1"/>
  <c r="M773" i="7" s="1"/>
  <c r="K758" i="7"/>
  <c r="L758" i="7" s="1"/>
  <c r="M758" i="7" s="1"/>
  <c r="K755" i="7"/>
  <c r="L755" i="7" s="1"/>
  <c r="M755" i="7" s="1"/>
  <c r="K745" i="7"/>
  <c r="L745" i="7" s="1"/>
  <c r="M745" i="7" s="1"/>
  <c r="K720" i="7"/>
  <c r="L720" i="7" s="1"/>
  <c r="M720" i="7" s="1"/>
  <c r="K714" i="7"/>
  <c r="L714" i="7" s="1"/>
  <c r="K705" i="7"/>
  <c r="L705" i="7" s="1"/>
  <c r="M705" i="7" s="1"/>
  <c r="K702" i="7"/>
  <c r="L702" i="7" s="1"/>
  <c r="K695" i="7"/>
  <c r="L695" i="7" s="1"/>
  <c r="M695" i="7" s="1"/>
  <c r="K679" i="7"/>
  <c r="L679" i="7" s="1"/>
  <c r="M679" i="7" s="1"/>
  <c r="K673" i="7"/>
  <c r="L673" i="7" s="1"/>
  <c r="M673" i="7" s="1"/>
  <c r="K670" i="7"/>
  <c r="L670" i="7" s="1"/>
  <c r="M670" i="7" s="1"/>
  <c r="K659" i="7"/>
  <c r="L659" i="7" s="1"/>
  <c r="K656" i="7"/>
  <c r="L656" i="7" s="1"/>
  <c r="K653" i="7"/>
  <c r="L653" i="7" s="1"/>
  <c r="M653" i="7" s="1"/>
  <c r="K631" i="7"/>
  <c r="L631" i="7" s="1"/>
  <c r="M631" i="7" s="1"/>
  <c r="K628" i="7"/>
  <c r="L628" i="7" s="1"/>
  <c r="M628" i="7" s="1"/>
  <c r="K589" i="7"/>
  <c r="L589" i="7" s="1"/>
  <c r="M589" i="7" s="1"/>
  <c r="K536" i="7"/>
  <c r="L536" i="7" s="1"/>
  <c r="M536" i="7" s="1"/>
  <c r="K494" i="7"/>
  <c r="K488" i="7"/>
  <c r="L488" i="7" s="1"/>
  <c r="K485" i="7"/>
  <c r="L485" i="7" s="1"/>
  <c r="M485" i="7" s="1"/>
  <c r="K455" i="7"/>
  <c r="L455" i="7" s="1"/>
  <c r="M455" i="7" s="1"/>
  <c r="K415" i="7"/>
  <c r="L415" i="7" s="1"/>
  <c r="M415" i="7" s="1"/>
  <c r="K412" i="7"/>
  <c r="L412" i="7" s="1"/>
  <c r="M412" i="7" s="1"/>
  <c r="K393" i="7"/>
  <c r="L393" i="7" s="1"/>
  <c r="K370" i="7"/>
  <c r="L370" i="7" s="1"/>
  <c r="M370" i="7" s="1"/>
  <c r="K328" i="7"/>
  <c r="L328" i="7" s="1"/>
  <c r="M328" i="7" s="1"/>
  <c r="K289" i="7"/>
  <c r="L289" i="7" s="1"/>
  <c r="M289" i="7" s="1"/>
  <c r="K279" i="7"/>
  <c r="L279" i="7" s="1"/>
  <c r="M279" i="7" s="1"/>
  <c r="K273" i="7"/>
  <c r="L273" i="7" s="1"/>
  <c r="K218" i="7"/>
  <c r="K194" i="7"/>
  <c r="L194" i="7" s="1"/>
  <c r="M194" i="7" s="1"/>
  <c r="K162" i="7"/>
  <c r="L162" i="7" s="1"/>
  <c r="K144" i="7"/>
  <c r="L144" i="7" s="1"/>
  <c r="M144" i="7" s="1"/>
  <c r="K118" i="7"/>
  <c r="L118" i="7" s="1"/>
  <c r="M118" i="7" s="1"/>
  <c r="K96" i="7"/>
  <c r="L96" i="7" s="1"/>
  <c r="M96" i="7" s="1"/>
  <c r="K92" i="7"/>
  <c r="L92" i="7" s="1"/>
  <c r="M92" i="7" s="1"/>
  <c r="K76" i="7"/>
  <c r="L76" i="7" s="1"/>
  <c r="K73" i="7"/>
  <c r="L73" i="7" s="1"/>
  <c r="M73" i="7" s="1"/>
  <c r="K69" i="7"/>
  <c r="L69" i="7" s="1"/>
  <c r="K62" i="7"/>
  <c r="K56" i="7"/>
  <c r="L56" i="7" s="1"/>
  <c r="M56" i="7" s="1"/>
  <c r="K746" i="7"/>
  <c r="L746" i="7" s="1"/>
  <c r="K540" i="7"/>
  <c r="L540" i="7" s="1"/>
  <c r="K525" i="7"/>
  <c r="L525" i="7" s="1"/>
  <c r="K462" i="7"/>
  <c r="L462" i="7" s="1"/>
  <c r="M462" i="7" s="1"/>
  <c r="K361" i="7"/>
  <c r="L361" i="7" s="1"/>
  <c r="M361" i="7" s="1"/>
  <c r="K306" i="7"/>
  <c r="L306" i="7" s="1"/>
  <c r="K271" i="7"/>
  <c r="L271" i="7" s="1"/>
  <c r="M271" i="7" s="1"/>
  <c r="K268" i="7"/>
  <c r="L268" i="7" s="1"/>
  <c r="M268" i="7" s="1"/>
  <c r="K256" i="7"/>
  <c r="L256" i="7" s="1"/>
  <c r="M256" i="7" s="1"/>
  <c r="K240" i="7"/>
  <c r="L240" i="7" s="1"/>
  <c r="M240" i="7" s="1"/>
  <c r="K231" i="7"/>
  <c r="L231" i="7" s="1"/>
  <c r="K201" i="7"/>
  <c r="L201" i="7" s="1"/>
  <c r="M201" i="7" s="1"/>
  <c r="K188" i="7"/>
  <c r="L188" i="7" s="1"/>
  <c r="M188" i="7" s="1"/>
  <c r="K165" i="7"/>
  <c r="K59" i="7"/>
  <c r="L59" i="7" s="1"/>
  <c r="M59" i="7" s="1"/>
  <c r="K42" i="7"/>
  <c r="L42" i="7" s="1"/>
  <c r="M42" i="7" s="1"/>
  <c r="K740" i="7"/>
  <c r="L740" i="7" s="1"/>
  <c r="M740" i="7" s="1"/>
  <c r="K721" i="7"/>
  <c r="L721" i="7" s="1"/>
  <c r="M721" i="7" s="1"/>
  <c r="K715" i="7"/>
  <c r="L715" i="7" s="1"/>
  <c r="M715" i="7" s="1"/>
  <c r="K619" i="7"/>
  <c r="L619" i="7" s="1"/>
  <c r="K597" i="7"/>
  <c r="L597" i="7" s="1"/>
  <c r="M597" i="7" s="1"/>
  <c r="K580" i="7"/>
  <c r="L580" i="7" s="1"/>
  <c r="M580" i="7" s="1"/>
  <c r="K574" i="7"/>
  <c r="L574" i="7" s="1"/>
  <c r="K568" i="7"/>
  <c r="L568" i="7" s="1"/>
  <c r="M568" i="7" s="1"/>
  <c r="K547" i="7"/>
  <c r="L547" i="7" s="1"/>
  <c r="M547" i="7" s="1"/>
  <c r="K531" i="7"/>
  <c r="L531" i="7" s="1"/>
  <c r="M531" i="7" s="1"/>
  <c r="K516" i="7"/>
  <c r="L516" i="7" s="1"/>
  <c r="K510" i="7"/>
  <c r="K489" i="7"/>
  <c r="L489" i="7" s="1"/>
  <c r="M489" i="7" s="1"/>
  <c r="K483" i="7"/>
  <c r="L483" i="7" s="1"/>
  <c r="M483" i="7" s="1"/>
  <c r="K453" i="7"/>
  <c r="L453" i="7" s="1"/>
  <c r="M453" i="7" s="1"/>
  <c r="K443" i="7"/>
  <c r="L443" i="7" s="1"/>
  <c r="M443" i="7" s="1"/>
  <c r="K433" i="7"/>
  <c r="L433" i="7" s="1"/>
  <c r="K406" i="7"/>
  <c r="L406" i="7" s="1"/>
  <c r="K371" i="7"/>
  <c r="L371" i="7" s="1"/>
  <c r="K368" i="7"/>
  <c r="L368" i="7" s="1"/>
  <c r="M368" i="7" s="1"/>
  <c r="K358" i="7"/>
  <c r="L358" i="7" s="1"/>
  <c r="K339" i="7"/>
  <c r="L339" i="7" s="1"/>
  <c r="K319" i="7"/>
  <c r="L319" i="7" s="1"/>
  <c r="M319" i="7" s="1"/>
  <c r="K310" i="7"/>
  <c r="L310" i="7" s="1"/>
  <c r="M310" i="7" s="1"/>
  <c r="K287" i="7"/>
  <c r="L287" i="7" s="1"/>
  <c r="K253" i="7"/>
  <c r="L253" i="7" s="1"/>
  <c r="K244" i="7"/>
  <c r="L244" i="7" s="1"/>
  <c r="M244" i="7" s="1"/>
  <c r="K235" i="7"/>
  <c r="L235" i="7" s="1"/>
  <c r="M235" i="7" s="1"/>
  <c r="K195" i="7"/>
  <c r="L195" i="7" s="1"/>
  <c r="M195" i="7" s="1"/>
  <c r="K163" i="7"/>
  <c r="L163" i="7" s="1"/>
  <c r="M163" i="7" s="1"/>
  <c r="K122" i="7"/>
  <c r="L122" i="7" s="1"/>
  <c r="M122" i="7" s="1"/>
  <c r="K119" i="7"/>
  <c r="L119" i="7" s="1"/>
  <c r="K52" i="7"/>
  <c r="L52" i="7" s="1"/>
  <c r="M52" i="7" s="1"/>
  <c r="K404" i="7"/>
  <c r="L404" i="7" s="1"/>
  <c r="M404" i="7" s="1"/>
  <c r="K395" i="7"/>
  <c r="L395" i="7" s="1"/>
  <c r="M395" i="7" s="1"/>
  <c r="K232" i="7"/>
  <c r="L232" i="7" s="1"/>
  <c r="M232" i="7" s="1"/>
  <c r="K208" i="7"/>
  <c r="L208" i="7" s="1"/>
  <c r="M208" i="7" s="1"/>
  <c r="K710" i="7"/>
  <c r="L710" i="7" s="1"/>
  <c r="K691" i="7"/>
  <c r="L691" i="7" s="1"/>
  <c r="K678" i="7"/>
  <c r="L678" i="7" s="1"/>
  <c r="K658" i="7"/>
  <c r="L658" i="7" s="1"/>
  <c r="K648" i="7"/>
  <c r="L648" i="7" s="1"/>
  <c r="K598" i="7"/>
  <c r="L598" i="7" s="1"/>
  <c r="M598" i="7" s="1"/>
  <c r="K566" i="7"/>
  <c r="L566" i="7" s="1"/>
  <c r="M566" i="7" s="1"/>
  <c r="K535" i="7"/>
  <c r="L535" i="7" s="1"/>
  <c r="M535" i="7" s="1"/>
  <c r="K496" i="7"/>
  <c r="L496" i="7" s="1"/>
  <c r="K487" i="7"/>
  <c r="L487" i="7" s="1"/>
  <c r="M487" i="7" s="1"/>
  <c r="K469" i="7"/>
  <c r="L469" i="7" s="1"/>
  <c r="M469" i="7" s="1"/>
  <c r="K463" i="7"/>
  <c r="L463" i="7" s="1"/>
  <c r="K407" i="7"/>
  <c r="L407" i="7" s="1"/>
  <c r="M407" i="7" s="1"/>
  <c r="K55" i="7"/>
  <c r="L55" i="7" s="1"/>
  <c r="K768" i="7"/>
  <c r="L768" i="7" s="1"/>
  <c r="M768" i="7" s="1"/>
  <c r="K744" i="7"/>
  <c r="L744" i="7" s="1"/>
  <c r="M744" i="7" s="1"/>
  <c r="K741" i="7"/>
  <c r="L741" i="7" s="1"/>
  <c r="M741" i="7" s="1"/>
  <c r="K738" i="7"/>
  <c r="L738" i="7" s="1"/>
  <c r="K732" i="7"/>
  <c r="L732" i="7" s="1"/>
  <c r="M732" i="7" s="1"/>
  <c r="K708" i="7"/>
  <c r="L708" i="7" s="1"/>
  <c r="M708" i="7" s="1"/>
  <c r="K701" i="7"/>
  <c r="L701" i="7" s="1"/>
  <c r="M701" i="7" s="1"/>
  <c r="K655" i="7"/>
  <c r="L655" i="7" s="1"/>
  <c r="M655" i="7" s="1"/>
  <c r="K636" i="7"/>
  <c r="L636" i="7" s="1"/>
  <c r="M636" i="7" s="1"/>
  <c r="K633" i="7"/>
  <c r="L633" i="7" s="1"/>
  <c r="M633" i="7" s="1"/>
  <c r="K627" i="7"/>
  <c r="L627" i="7" s="1"/>
  <c r="M627" i="7" s="1"/>
  <c r="K617" i="7"/>
  <c r="L617" i="7" s="1"/>
  <c r="M617" i="7" s="1"/>
  <c r="K588" i="7"/>
  <c r="L588" i="7" s="1"/>
  <c r="M588" i="7" s="1"/>
  <c r="K585" i="7"/>
  <c r="L585" i="7" s="1"/>
  <c r="M585" i="7" s="1"/>
  <c r="K558" i="7"/>
  <c r="L558" i="7" s="1"/>
  <c r="K545" i="7"/>
  <c r="L545" i="7" s="1"/>
  <c r="K517" i="7"/>
  <c r="L517" i="7" s="1"/>
  <c r="M517" i="7" s="1"/>
  <c r="K511" i="7"/>
  <c r="L511" i="7" s="1"/>
  <c r="M511" i="7" s="1"/>
  <c r="K505" i="7"/>
  <c r="L505" i="7" s="1"/>
  <c r="M505" i="7" s="1"/>
  <c r="K490" i="7"/>
  <c r="L490" i="7" s="1"/>
  <c r="K484" i="7"/>
  <c r="L484" i="7" s="1"/>
  <c r="M484" i="7" s="1"/>
  <c r="K473" i="7"/>
  <c r="L473" i="7" s="1"/>
  <c r="M473" i="7" s="1"/>
  <c r="K451" i="7"/>
  <c r="L451" i="7" s="1"/>
  <c r="M451" i="7" s="1"/>
  <c r="K438" i="7"/>
  <c r="L438" i="7" s="1"/>
  <c r="K428" i="7"/>
  <c r="L428" i="7" s="1"/>
  <c r="K379" i="7"/>
  <c r="L379" i="7" s="1"/>
  <c r="K366" i="7"/>
  <c r="L366" i="7" s="1"/>
  <c r="K363" i="7"/>
  <c r="L363" i="7" s="1"/>
  <c r="M363" i="7" s="1"/>
  <c r="K343" i="7"/>
  <c r="L343" i="7" s="1"/>
  <c r="M343" i="7" s="1"/>
  <c r="K333" i="7"/>
  <c r="L333" i="7" s="1"/>
  <c r="K311" i="7"/>
  <c r="L311" i="7" s="1"/>
  <c r="K302" i="7"/>
  <c r="L302" i="7" s="1"/>
  <c r="M302" i="7" s="1"/>
  <c r="K276" i="7"/>
  <c r="L276" i="7" s="1"/>
  <c r="M276" i="7" s="1"/>
  <c r="K254" i="7"/>
  <c r="L254" i="7" s="1"/>
  <c r="K248" i="7"/>
  <c r="L248" i="7" s="1"/>
  <c r="M248" i="7" s="1"/>
  <c r="K239" i="7"/>
  <c r="L239" i="7" s="1"/>
  <c r="K200" i="7"/>
  <c r="L200" i="7" s="1"/>
  <c r="M200" i="7" s="1"/>
  <c r="K191" i="7"/>
  <c r="L191" i="7" s="1"/>
  <c r="M191" i="7" s="1"/>
  <c r="K184" i="7"/>
  <c r="L184" i="7" s="1"/>
  <c r="M184" i="7" s="1"/>
  <c r="K173" i="7"/>
  <c r="K140" i="7"/>
  <c r="L140" i="7" s="1"/>
  <c r="M140" i="7" s="1"/>
  <c r="K130" i="7"/>
  <c r="L130" i="7" s="1"/>
  <c r="M130" i="7" s="1"/>
  <c r="K111" i="7"/>
  <c r="L111" i="7" s="1"/>
  <c r="K108" i="7"/>
  <c r="L108" i="7" s="1"/>
  <c r="K91" i="7"/>
  <c r="L91" i="7" s="1"/>
  <c r="K82" i="7"/>
  <c r="L82" i="7" s="1"/>
  <c r="M82" i="7" s="1"/>
  <c r="K19" i="7"/>
  <c r="L19" i="7" s="1"/>
  <c r="M19" i="7" s="1"/>
  <c r="K13" i="7"/>
  <c r="L13" i="7" s="1"/>
  <c r="M13" i="7" s="1"/>
  <c r="K10" i="7"/>
  <c r="L10" i="7" s="1"/>
  <c r="M10" i="7" s="1"/>
  <c r="K2998" i="7"/>
  <c r="L2998" i="7" s="1"/>
  <c r="K2959" i="7"/>
  <c r="L2959" i="7" s="1"/>
  <c r="K2910" i="7"/>
  <c r="L2910" i="7" s="1"/>
  <c r="M2910" i="7" s="1"/>
  <c r="K23" i="7"/>
  <c r="L23" i="7" s="1"/>
  <c r="M23" i="7" s="1"/>
  <c r="K2992" i="7"/>
  <c r="L2992" i="7" s="1"/>
  <c r="M2992" i="7" s="1"/>
  <c r="K2963" i="7"/>
  <c r="K2927" i="7"/>
  <c r="L2927" i="7" s="1"/>
  <c r="K2901" i="7"/>
  <c r="L2901" i="7" s="1"/>
  <c r="M2901" i="7" s="1"/>
  <c r="K2980" i="7"/>
  <c r="L2980" i="7" s="1"/>
  <c r="M2980" i="7" s="1"/>
  <c r="K2931" i="7"/>
  <c r="K2886" i="7"/>
  <c r="L2886" i="7" s="1"/>
  <c r="K28" i="7"/>
  <c r="K2983" i="7"/>
  <c r="L2983" i="7" s="1"/>
  <c r="M2983" i="7" s="1"/>
  <c r="K2942" i="7"/>
  <c r="L2942" i="7" s="1"/>
  <c r="M2942" i="7" s="1"/>
  <c r="K2875" i="7"/>
  <c r="L2875" i="7" s="1"/>
  <c r="K2970" i="7"/>
  <c r="L2970" i="7" s="1"/>
  <c r="M2970" i="7" s="1"/>
  <c r="K2957" i="7"/>
  <c r="L2957" i="7" s="1"/>
  <c r="M2957" i="7" s="1"/>
  <c r="K2932" i="7"/>
  <c r="L2932" i="7" s="1"/>
  <c r="K2906" i="7"/>
  <c r="L2906" i="7" s="1"/>
  <c r="M2906" i="7" s="1"/>
  <c r="K2897" i="7"/>
  <c r="L2897" i="7" s="1"/>
  <c r="K2882" i="7"/>
  <c r="L2882" i="7" s="1"/>
  <c r="M2882" i="7" s="1"/>
  <c r="K2873" i="7"/>
  <c r="L2873" i="7" s="1"/>
  <c r="M2873" i="7" s="1"/>
  <c r="K2857" i="7"/>
  <c r="L2857" i="7" s="1"/>
  <c r="K2835" i="7"/>
  <c r="L2835" i="7" s="1"/>
  <c r="M2835" i="7" s="1"/>
  <c r="K2805" i="7"/>
  <c r="L2805" i="7" s="1"/>
  <c r="M2805" i="7" s="1"/>
  <c r="K2795" i="7"/>
  <c r="L2795" i="7" s="1"/>
  <c r="M2795" i="7" s="1"/>
  <c r="K2784" i="7"/>
  <c r="L2784" i="7" s="1"/>
  <c r="K2741" i="7"/>
  <c r="L2741" i="7" s="1"/>
  <c r="M2741" i="7" s="1"/>
  <c r="K2731" i="7"/>
  <c r="L2731" i="7" s="1"/>
  <c r="M2731" i="7" s="1"/>
  <c r="K2720" i="7"/>
  <c r="L2720" i="7" s="1"/>
  <c r="K2676" i="7"/>
  <c r="L2676" i="7" s="1"/>
  <c r="M2676" i="7" s="1"/>
  <c r="K2660" i="7"/>
  <c r="L2660" i="7" s="1"/>
  <c r="M2660" i="7" s="1"/>
  <c r="K2638" i="7"/>
  <c r="L2638" i="7" s="1"/>
  <c r="M2638" i="7" s="1"/>
  <c r="K2615" i="7"/>
  <c r="L2615" i="7" s="1"/>
  <c r="M2615" i="7" s="1"/>
  <c r="K2607" i="7"/>
  <c r="L2607" i="7" s="1"/>
  <c r="K2601" i="7"/>
  <c r="L2601" i="7" s="1"/>
  <c r="K2588" i="7"/>
  <c r="L2588" i="7" s="1"/>
  <c r="K2583" i="7"/>
  <c r="L2583" i="7" s="1"/>
  <c r="M2583" i="7" s="1"/>
  <c r="K2575" i="7"/>
  <c r="L2575" i="7" s="1"/>
  <c r="K2569" i="7"/>
  <c r="L2569" i="7" s="1"/>
  <c r="K2546" i="7"/>
  <c r="L2546" i="7" s="1"/>
  <c r="M2546" i="7" s="1"/>
  <c r="K2517" i="7"/>
  <c r="L2517" i="7" s="1"/>
  <c r="M2517" i="7" s="1"/>
  <c r="K2505" i="7"/>
  <c r="L2505" i="7" s="1"/>
  <c r="M2505" i="7" s="1"/>
  <c r="K2495" i="7"/>
  <c r="L2495" i="7" s="1"/>
  <c r="M2495" i="7" s="1"/>
  <c r="K2489" i="7"/>
  <c r="L2489" i="7" s="1"/>
  <c r="M2489" i="7" s="1"/>
  <c r="K2479" i="7"/>
  <c r="L2479" i="7" s="1"/>
  <c r="M2479" i="7" s="1"/>
  <c r="K2473" i="7"/>
  <c r="L2473" i="7" s="1"/>
  <c r="M2473" i="7" s="1"/>
  <c r="K2463" i="7"/>
  <c r="L2463" i="7" s="1"/>
  <c r="M2463" i="7" s="1"/>
  <c r="K2457" i="7"/>
  <c r="L2457" i="7" s="1"/>
  <c r="M2457" i="7" s="1"/>
  <c r="K2447" i="7"/>
  <c r="L2447" i="7" s="1"/>
  <c r="M2447" i="7" s="1"/>
  <c r="K2441" i="7"/>
  <c r="L2441" i="7" s="1"/>
  <c r="M2441" i="7" s="1"/>
  <c r="K2431" i="7"/>
  <c r="L2431" i="7" s="1"/>
  <c r="M2431" i="7" s="1"/>
  <c r="K2425" i="7"/>
  <c r="L2425" i="7" s="1"/>
  <c r="M2425" i="7" s="1"/>
  <c r="K2415" i="7"/>
  <c r="L2415" i="7" s="1"/>
  <c r="M2415" i="7" s="1"/>
  <c r="K2409" i="7"/>
  <c r="L2409" i="7" s="1"/>
  <c r="M2409" i="7" s="1"/>
  <c r="K2399" i="7"/>
  <c r="L2399" i="7" s="1"/>
  <c r="K2393" i="7"/>
  <c r="L2393" i="7" s="1"/>
  <c r="M2393" i="7" s="1"/>
  <c r="K2383" i="7"/>
  <c r="L2383" i="7" s="1"/>
  <c r="M2383" i="7" s="1"/>
  <c r="K2377" i="7"/>
  <c r="L2377" i="7" s="1"/>
  <c r="M2377" i="7" s="1"/>
  <c r="K2362" i="7"/>
  <c r="L2362" i="7" s="1"/>
  <c r="M2362" i="7" s="1"/>
  <c r="K2352" i="7"/>
  <c r="L2352" i="7" s="1"/>
  <c r="M2352" i="7" s="1"/>
  <c r="K2344" i="7"/>
  <c r="L2344" i="7" s="1"/>
  <c r="M2344" i="7" s="1"/>
  <c r="K2329" i="7"/>
  <c r="K2296" i="7"/>
  <c r="L2296" i="7" s="1"/>
  <c r="M2296" i="7" s="1"/>
  <c r="K2264" i="7"/>
  <c r="L2264" i="7" s="1"/>
  <c r="M2264" i="7" s="1"/>
  <c r="K2244" i="7"/>
  <c r="K2178" i="7"/>
  <c r="L2178" i="7" s="1"/>
  <c r="M2178" i="7" s="1"/>
  <c r="K2991" i="7"/>
  <c r="L2991" i="7" s="1"/>
  <c r="M2991" i="7" s="1"/>
  <c r="K2986" i="7"/>
  <c r="L2986" i="7" s="1"/>
  <c r="M2986" i="7" s="1"/>
  <c r="K2976" i="7"/>
  <c r="L2976" i="7" s="1"/>
  <c r="M2976" i="7" s="1"/>
  <c r="K2954" i="7"/>
  <c r="L2954" i="7" s="1"/>
  <c r="M2954" i="7" s="1"/>
  <c r="K2941" i="7"/>
  <c r="L2941" i="7" s="1"/>
  <c r="M2941" i="7" s="1"/>
  <c r="K2916" i="7"/>
  <c r="L2916" i="7" s="1"/>
  <c r="K2899" i="7"/>
  <c r="L2899" i="7" s="1"/>
  <c r="M2899" i="7" s="1"/>
  <c r="K2890" i="7"/>
  <c r="L2890" i="7" s="1"/>
  <c r="M2890" i="7" s="1"/>
  <c r="K2887" i="7"/>
  <c r="L2887" i="7" s="1"/>
  <c r="K2874" i="7"/>
  <c r="L2874" i="7" s="1"/>
  <c r="M2874" i="7" s="1"/>
  <c r="K2847" i="7"/>
  <c r="L2847" i="7" s="1"/>
  <c r="M2847" i="7" s="1"/>
  <c r="K2839" i="7"/>
  <c r="L2839" i="7" s="1"/>
  <c r="M2839" i="7" s="1"/>
  <c r="K2828" i="7"/>
  <c r="K2817" i="7"/>
  <c r="L2817" i="7" s="1"/>
  <c r="K2813" i="7"/>
  <c r="L2813" i="7" s="1"/>
  <c r="M2813" i="7" s="1"/>
  <c r="K2803" i="7"/>
  <c r="L2803" i="7" s="1"/>
  <c r="M2803" i="7" s="1"/>
  <c r="K2785" i="7"/>
  <c r="L2785" i="7" s="1"/>
  <c r="K2767" i="7"/>
  <c r="L2767" i="7" s="1"/>
  <c r="M2767" i="7" s="1"/>
  <c r="K2764" i="7"/>
  <c r="L2764" i="7" s="1"/>
  <c r="K2753" i="7"/>
  <c r="L2753" i="7" s="1"/>
  <c r="K2749" i="7"/>
  <c r="L2749" i="7" s="1"/>
  <c r="M2749" i="7" s="1"/>
  <c r="K2739" i="7"/>
  <c r="L2739" i="7" s="1"/>
  <c r="M2739" i="7" s="1"/>
  <c r="K2721" i="7"/>
  <c r="L2721" i="7" s="1"/>
  <c r="K2703" i="7"/>
  <c r="L2703" i="7" s="1"/>
  <c r="M2703" i="7" s="1"/>
  <c r="K2700" i="7"/>
  <c r="L2700" i="7" s="1"/>
  <c r="M2700" i="7" s="1"/>
  <c r="K2673" i="7"/>
  <c r="L2673" i="7" s="1"/>
  <c r="M2673" i="7" s="1"/>
  <c r="K2664" i="7"/>
  <c r="L2664" i="7" s="1"/>
  <c r="M2664" i="7" s="1"/>
  <c r="K2649" i="7"/>
  <c r="L2649" i="7" s="1"/>
  <c r="M2649" i="7" s="1"/>
  <c r="K2640" i="7"/>
  <c r="K2613" i="7"/>
  <c r="L2613" i="7" s="1"/>
  <c r="M2613" i="7" s="1"/>
  <c r="K2602" i="7"/>
  <c r="L2602" i="7" s="1"/>
  <c r="M2602" i="7" s="1"/>
  <c r="K2598" i="7"/>
  <c r="K2581" i="7"/>
  <c r="L2581" i="7" s="1"/>
  <c r="M2581" i="7" s="1"/>
  <c r="K2570" i="7"/>
  <c r="L2570" i="7" s="1"/>
  <c r="M2570" i="7" s="1"/>
  <c r="K2566" i="7"/>
  <c r="K2543" i="7"/>
  <c r="L2543" i="7" s="1"/>
  <c r="K2538" i="7"/>
  <c r="L2538" i="7" s="1"/>
  <c r="M2538" i="7" s="1"/>
  <c r="K2534" i="7"/>
  <c r="L2534" i="7" s="1"/>
  <c r="M2534" i="7" s="1"/>
  <c r="K2506" i="7"/>
  <c r="K2490" i="7"/>
  <c r="L2490" i="7" s="1"/>
  <c r="M2490" i="7" s="1"/>
  <c r="K2474" i="7"/>
  <c r="L2474" i="7" s="1"/>
  <c r="M2474" i="7" s="1"/>
  <c r="K2458" i="7"/>
  <c r="L2458" i="7" s="1"/>
  <c r="M2458" i="7" s="1"/>
  <c r="K2442" i="7"/>
  <c r="L2442" i="7" s="1"/>
  <c r="M2442" i="7" s="1"/>
  <c r="K2426" i="7"/>
  <c r="L2426" i="7" s="1"/>
  <c r="M2426" i="7" s="1"/>
  <c r="K2410" i="7"/>
  <c r="L2410" i="7" s="1"/>
  <c r="M2410" i="7" s="1"/>
  <c r="K2394" i="7"/>
  <c r="L2394" i="7" s="1"/>
  <c r="M2394" i="7" s="1"/>
  <c r="K2378" i="7"/>
  <c r="L2378" i="7" s="1"/>
  <c r="M2378" i="7" s="1"/>
  <c r="K2359" i="7"/>
  <c r="L2359" i="7" s="1"/>
  <c r="M2359" i="7" s="1"/>
  <c r="K2353" i="7"/>
  <c r="L2353" i="7" s="1"/>
  <c r="M2353" i="7" s="1"/>
  <c r="K2345" i="7"/>
  <c r="L2345" i="7" s="1"/>
  <c r="M2345" i="7" s="1"/>
  <c r="K2316" i="7"/>
  <c r="K2304" i="7"/>
  <c r="L2304" i="7" s="1"/>
  <c r="M2304" i="7" s="1"/>
  <c r="K2272" i="7"/>
  <c r="L2272" i="7" s="1"/>
  <c r="M2272" i="7" s="1"/>
  <c r="K2245" i="7"/>
  <c r="L2245" i="7" s="1"/>
  <c r="K2964" i="7"/>
  <c r="L2964" i="7" s="1"/>
  <c r="K2938" i="7"/>
  <c r="L2938" i="7" s="1"/>
  <c r="M2938" i="7" s="1"/>
  <c r="K2925" i="7"/>
  <c r="L2925" i="7" s="1"/>
  <c r="M2925" i="7" s="1"/>
  <c r="K2891" i="7"/>
  <c r="L2891" i="7" s="1"/>
  <c r="M2891" i="7" s="1"/>
  <c r="K2880" i="7"/>
  <c r="L2880" i="7" s="1"/>
  <c r="M2880" i="7" s="1"/>
  <c r="K2852" i="7"/>
  <c r="L2852" i="7" s="1"/>
  <c r="K2848" i="7"/>
  <c r="K2844" i="7"/>
  <c r="K2840" i="7"/>
  <c r="L2840" i="7" s="1"/>
  <c r="K2833" i="7"/>
  <c r="L2833" i="7" s="1"/>
  <c r="K2829" i="7"/>
  <c r="L2829" i="7" s="1"/>
  <c r="K2825" i="7"/>
  <c r="L2825" i="7" s="1"/>
  <c r="K2821" i="7"/>
  <c r="L2821" i="7" s="1"/>
  <c r="K2811" i="7"/>
  <c r="L2811" i="7" s="1"/>
  <c r="M2811" i="7" s="1"/>
  <c r="K2789" i="7"/>
  <c r="L2789" i="7" s="1"/>
  <c r="M2789" i="7" s="1"/>
  <c r="K2775" i="7"/>
  <c r="L2775" i="7" s="1"/>
  <c r="M2775" i="7" s="1"/>
  <c r="K2772" i="7"/>
  <c r="L2772" i="7" s="1"/>
  <c r="M2772" i="7" s="1"/>
  <c r="K2768" i="7"/>
  <c r="L2768" i="7" s="1"/>
  <c r="K2761" i="7"/>
  <c r="L2761" i="7" s="1"/>
  <c r="K2757" i="7"/>
  <c r="L2757" i="7" s="1"/>
  <c r="M2757" i="7" s="1"/>
  <c r="K2747" i="7"/>
  <c r="L2747" i="7" s="1"/>
  <c r="K2725" i="7"/>
  <c r="L2725" i="7" s="1"/>
  <c r="M2725" i="7" s="1"/>
  <c r="K2711" i="7"/>
  <c r="L2711" i="7" s="1"/>
  <c r="M2711" i="7" s="1"/>
  <c r="K2708" i="7"/>
  <c r="L2708" i="7" s="1"/>
  <c r="M2708" i="7" s="1"/>
  <c r="K2704" i="7"/>
  <c r="L2704" i="7" s="1"/>
  <c r="K2697" i="7"/>
  <c r="L2697" i="7" s="1"/>
  <c r="K2693" i="7"/>
  <c r="L2693" i="7" s="1"/>
  <c r="M2693" i="7" s="1"/>
  <c r="K2689" i="7"/>
  <c r="L2689" i="7" s="1"/>
  <c r="M2689" i="7" s="1"/>
  <c r="K2684" i="7"/>
  <c r="K2651" i="7"/>
  <c r="L2651" i="7" s="1"/>
  <c r="M2651" i="7" s="1"/>
  <c r="K2631" i="7"/>
  <c r="L2631" i="7" s="1"/>
  <c r="M2631" i="7" s="1"/>
  <c r="K2622" i="7"/>
  <c r="L2622" i="7" s="1"/>
  <c r="K2599" i="7"/>
  <c r="L2599" i="7" s="1"/>
  <c r="K2594" i="7"/>
  <c r="L2594" i="7" s="1"/>
  <c r="M2594" i="7" s="1"/>
  <c r="K2590" i="7"/>
  <c r="L2590" i="7" s="1"/>
  <c r="K2567" i="7"/>
  <c r="L2567" i="7" s="1"/>
  <c r="K2562" i="7"/>
  <c r="L2562" i="7" s="1"/>
  <c r="M2562" i="7" s="1"/>
  <c r="K2558" i="7"/>
  <c r="L2558" i="7" s="1"/>
  <c r="M2558" i="7" s="1"/>
  <c r="K2532" i="7"/>
  <c r="L2532" i="7" s="1"/>
  <c r="M2532" i="7" s="1"/>
  <c r="K2503" i="7"/>
  <c r="L2503" i="7" s="1"/>
  <c r="M2503" i="7" s="1"/>
  <c r="K2497" i="7"/>
  <c r="L2497" i="7" s="1"/>
  <c r="M2497" i="7" s="1"/>
  <c r="K2487" i="7"/>
  <c r="L2487" i="7" s="1"/>
  <c r="M2487" i="7" s="1"/>
  <c r="K2481" i="7"/>
  <c r="L2481" i="7" s="1"/>
  <c r="M2481" i="7" s="1"/>
  <c r="K2471" i="7"/>
  <c r="L2471" i="7" s="1"/>
  <c r="M2471" i="7" s="1"/>
  <c r="K2465" i="7"/>
  <c r="L2465" i="7" s="1"/>
  <c r="M2465" i="7" s="1"/>
  <c r="K2455" i="7"/>
  <c r="L2455" i="7" s="1"/>
  <c r="M2455" i="7" s="1"/>
  <c r="K2449" i="7"/>
  <c r="L2449" i="7" s="1"/>
  <c r="M2449" i="7" s="1"/>
  <c r="K2439" i="7"/>
  <c r="L2439" i="7" s="1"/>
  <c r="M2439" i="7" s="1"/>
  <c r="K2433" i="7"/>
  <c r="L2433" i="7" s="1"/>
  <c r="M2433" i="7" s="1"/>
  <c r="K2423" i="7"/>
  <c r="L2423" i="7" s="1"/>
  <c r="M2423" i="7" s="1"/>
  <c r="K2417" i="7"/>
  <c r="L2417" i="7" s="1"/>
  <c r="M2417" i="7" s="1"/>
  <c r="K2407" i="7"/>
  <c r="L2407" i="7" s="1"/>
  <c r="M2407" i="7" s="1"/>
  <c r="K2401" i="7"/>
  <c r="L2401" i="7" s="1"/>
  <c r="M2401" i="7" s="1"/>
  <c r="K2391" i="7"/>
  <c r="L2391" i="7" s="1"/>
  <c r="M2391" i="7" s="1"/>
  <c r="K2385" i="7"/>
  <c r="L2385" i="7" s="1"/>
  <c r="M2385" i="7" s="1"/>
  <c r="K2375" i="7"/>
  <c r="L2375" i="7" s="1"/>
  <c r="M2375" i="7" s="1"/>
  <c r="K2366" i="7"/>
  <c r="K2354" i="7"/>
  <c r="L2354" i="7" s="1"/>
  <c r="M2354" i="7" s="1"/>
  <c r="K2320" i="7"/>
  <c r="L2320" i="7" s="1"/>
  <c r="M2320" i="7" s="1"/>
  <c r="K2312" i="7"/>
  <c r="L2312" i="7" s="1"/>
  <c r="M2312" i="7" s="1"/>
  <c r="K2280" i="7"/>
  <c r="L2280" i="7" s="1"/>
  <c r="M2280" i="7" s="1"/>
  <c r="K3" i="7"/>
  <c r="L3" i="7" s="1"/>
  <c r="K2982" i="7"/>
  <c r="L2982" i="7" s="1"/>
  <c r="M2982" i="7" s="1"/>
  <c r="K2948" i="7"/>
  <c r="L2948" i="7" s="1"/>
  <c r="K2922" i="7"/>
  <c r="L2922" i="7" s="1"/>
  <c r="M2922" i="7" s="1"/>
  <c r="K2909" i="7"/>
  <c r="L2909" i="7" s="1"/>
  <c r="M2909" i="7" s="1"/>
  <c r="K2856" i="7"/>
  <c r="L2856" i="7" s="1"/>
  <c r="K2845" i="7"/>
  <c r="L2845" i="7" s="1"/>
  <c r="K2841" i="7"/>
  <c r="L2841" i="7" s="1"/>
  <c r="K2837" i="7"/>
  <c r="L2837" i="7" s="1"/>
  <c r="K2819" i="7"/>
  <c r="L2819" i="7" s="1"/>
  <c r="M2819" i="7" s="1"/>
  <c r="K2801" i="7"/>
  <c r="L2801" i="7" s="1"/>
  <c r="M2801" i="7" s="1"/>
  <c r="K2797" i="7"/>
  <c r="L2797" i="7" s="1"/>
  <c r="M2797" i="7" s="1"/>
  <c r="K2787" i="7"/>
  <c r="L2787" i="7" s="1"/>
  <c r="M2787" i="7" s="1"/>
  <c r="K2783" i="7"/>
  <c r="L2783" i="7" s="1"/>
  <c r="M2783" i="7" s="1"/>
  <c r="K2780" i="7"/>
  <c r="L2780" i="7" s="1"/>
  <c r="M2780" i="7" s="1"/>
  <c r="K2776" i="7"/>
  <c r="K2769" i="7"/>
  <c r="L2769" i="7" s="1"/>
  <c r="K2755" i="7"/>
  <c r="L2755" i="7" s="1"/>
  <c r="M2755" i="7" s="1"/>
  <c r="K2737" i="7"/>
  <c r="L2737" i="7" s="1"/>
  <c r="M2737" i="7" s="1"/>
  <c r="K2733" i="7"/>
  <c r="L2733" i="7" s="1"/>
  <c r="M2733" i="7" s="1"/>
  <c r="K2723" i="7"/>
  <c r="L2723" i="7" s="1"/>
  <c r="M2723" i="7" s="1"/>
  <c r="K2719" i="7"/>
  <c r="L2719" i="7" s="1"/>
  <c r="M2719" i="7" s="1"/>
  <c r="K2716" i="7"/>
  <c r="L2716" i="7" s="1"/>
  <c r="K2712" i="7"/>
  <c r="K2705" i="7"/>
  <c r="L2705" i="7" s="1"/>
  <c r="K2691" i="7"/>
  <c r="L2691" i="7" s="1"/>
  <c r="M2691" i="7" s="1"/>
  <c r="K2662" i="7"/>
  <c r="L2662" i="7" s="1"/>
  <c r="M2662" i="7" s="1"/>
  <c r="K2632" i="7"/>
  <c r="K2629" i="7"/>
  <c r="L2629" i="7" s="1"/>
  <c r="M2629" i="7" s="1"/>
  <c r="K2618" i="7"/>
  <c r="L2618" i="7" s="1"/>
  <c r="K2586" i="7"/>
  <c r="L2586" i="7" s="1"/>
  <c r="K2556" i="7"/>
  <c r="L2556" i="7" s="1"/>
  <c r="M2556" i="7" s="1"/>
  <c r="K2545" i="7"/>
  <c r="L2545" i="7" s="1"/>
  <c r="K2510" i="7"/>
  <c r="L2510" i="7" s="1"/>
  <c r="M2510" i="7" s="1"/>
  <c r="K2498" i="7"/>
  <c r="L2498" i="7" s="1"/>
  <c r="M2498" i="7" s="1"/>
  <c r="K2482" i="7"/>
  <c r="L2482" i="7" s="1"/>
  <c r="M2482" i="7" s="1"/>
  <c r="K2466" i="7"/>
  <c r="L2466" i="7" s="1"/>
  <c r="K2450" i="7"/>
  <c r="L2450" i="7" s="1"/>
  <c r="M2450" i="7" s="1"/>
  <c r="K2434" i="7"/>
  <c r="L2434" i="7" s="1"/>
  <c r="M2434" i="7" s="1"/>
  <c r="K2418" i="7"/>
  <c r="L2418" i="7" s="1"/>
  <c r="M2418" i="7" s="1"/>
  <c r="K2402" i="7"/>
  <c r="L2402" i="7" s="1"/>
  <c r="M2402" i="7" s="1"/>
  <c r="K2386" i="7"/>
  <c r="L2386" i="7" s="1"/>
  <c r="M2386" i="7" s="1"/>
  <c r="K2361" i="7"/>
  <c r="L2361" i="7" s="1"/>
  <c r="M2361" i="7" s="1"/>
  <c r="K2348" i="7"/>
  <c r="K2336" i="7"/>
  <c r="L2336" i="7" s="1"/>
  <c r="M2336" i="7" s="1"/>
  <c r="K2328" i="7"/>
  <c r="L2328" i="7" s="1"/>
  <c r="M2328" i="7" s="1"/>
  <c r="K2313" i="7"/>
  <c r="L2313" i="7" s="1"/>
  <c r="M2313" i="7" s="1"/>
  <c r="K2288" i="7"/>
  <c r="L2288" i="7" s="1"/>
  <c r="M2288" i="7" s="1"/>
  <c r="K2232" i="7"/>
  <c r="L2232" i="7" s="1"/>
  <c r="M2232" i="7" s="1"/>
  <c r="K2358" i="7"/>
  <c r="L2358" i="7" s="1"/>
  <c r="M2358" i="7" s="1"/>
  <c r="K2342" i="7"/>
  <c r="L2342" i="7" s="1"/>
  <c r="M2342" i="7" s="1"/>
  <c r="K2326" i="7"/>
  <c r="L2326" i="7" s="1"/>
  <c r="M2326" i="7" s="1"/>
  <c r="K2310" i="7"/>
  <c r="L2310" i="7" s="1"/>
  <c r="M2310" i="7" s="1"/>
  <c r="K2294" i="7"/>
  <c r="L2294" i="7" s="1"/>
  <c r="M2294" i="7" s="1"/>
  <c r="K2278" i="7"/>
  <c r="L2278" i="7" s="1"/>
  <c r="M2278" i="7" s="1"/>
  <c r="K2262" i="7"/>
  <c r="L2262" i="7" s="1"/>
  <c r="M2262" i="7" s="1"/>
  <c r="K2246" i="7"/>
  <c r="L2246" i="7" s="1"/>
  <c r="M2246" i="7" s="1"/>
  <c r="K2230" i="7"/>
  <c r="L2230" i="7" s="1"/>
  <c r="M2230" i="7" s="1"/>
  <c r="K2221" i="7"/>
  <c r="L2221" i="7" s="1"/>
  <c r="M2221" i="7" s="1"/>
  <c r="K2217" i="7"/>
  <c r="L2217" i="7" s="1"/>
  <c r="M2217" i="7" s="1"/>
  <c r="K2213" i="7"/>
  <c r="K2210" i="7"/>
  <c r="L2210" i="7" s="1"/>
  <c r="M2210" i="7" s="1"/>
  <c r="K2176" i="7"/>
  <c r="L2176" i="7" s="1"/>
  <c r="M2176" i="7" s="1"/>
  <c r="K2162" i="7"/>
  <c r="L2162" i="7" s="1"/>
  <c r="M2162" i="7" s="1"/>
  <c r="K2139" i="7"/>
  <c r="L2139" i="7" s="1"/>
  <c r="M2139" i="7" s="1"/>
  <c r="K2131" i="7"/>
  <c r="L2131" i="7" s="1"/>
  <c r="K2108" i="7"/>
  <c r="L2108" i="7" s="1"/>
  <c r="K2053" i="7"/>
  <c r="L2053" i="7" s="1"/>
  <c r="K2043" i="7"/>
  <c r="L2043" i="7" s="1"/>
  <c r="M2043" i="7" s="1"/>
  <c r="K2040" i="7"/>
  <c r="L2040" i="7" s="1"/>
  <c r="K2010" i="7"/>
  <c r="L2010" i="7" s="1"/>
  <c r="M2010" i="7" s="1"/>
  <c r="K1955" i="7"/>
  <c r="L1955" i="7" s="1"/>
  <c r="M1955" i="7" s="1"/>
  <c r="K1952" i="7"/>
  <c r="L1952" i="7" s="1"/>
  <c r="K1944" i="7"/>
  <c r="L1944" i="7" s="1"/>
  <c r="M1944" i="7" s="1"/>
  <c r="K1937" i="7"/>
  <c r="L1937" i="7" s="1"/>
  <c r="K1920" i="7"/>
  <c r="K2218" i="7"/>
  <c r="L2218" i="7" s="1"/>
  <c r="K2196" i="7"/>
  <c r="L2196" i="7" s="1"/>
  <c r="M2196" i="7" s="1"/>
  <c r="K2193" i="7"/>
  <c r="L2193" i="7" s="1"/>
  <c r="M2193" i="7" s="1"/>
  <c r="K2171" i="7"/>
  <c r="L2171" i="7" s="1"/>
  <c r="M2171" i="7" s="1"/>
  <c r="K2168" i="7"/>
  <c r="L2168" i="7" s="1"/>
  <c r="M2168" i="7" s="1"/>
  <c r="K2147" i="7"/>
  <c r="L2147" i="7" s="1"/>
  <c r="M2147" i="7" s="1"/>
  <c r="K2141" i="7"/>
  <c r="L2141" i="7" s="1"/>
  <c r="K2140" i="7"/>
  <c r="K2123" i="7"/>
  <c r="L2123" i="7" s="1"/>
  <c r="M2123" i="7" s="1"/>
  <c r="K2120" i="7"/>
  <c r="L2120" i="7" s="1"/>
  <c r="M2120" i="7" s="1"/>
  <c r="K2093" i="7"/>
  <c r="L2093" i="7" s="1"/>
  <c r="K2084" i="7"/>
  <c r="L2084" i="7" s="1"/>
  <c r="K2072" i="7"/>
  <c r="L2072" i="7" s="1"/>
  <c r="K2058" i="7"/>
  <c r="L2058" i="7" s="1"/>
  <c r="M2058" i="7" s="1"/>
  <c r="K2055" i="7"/>
  <c r="L2055" i="7" s="1"/>
  <c r="M2055" i="7" s="1"/>
  <c r="K2035" i="7"/>
  <c r="L2035" i="7" s="1"/>
  <c r="M2035" i="7" s="1"/>
  <c r="K2032" i="7"/>
  <c r="L2032" i="7" s="1"/>
  <c r="M2032" i="7" s="1"/>
  <c r="K2027" i="7"/>
  <c r="L2027" i="7" s="1"/>
  <c r="M2027" i="7" s="1"/>
  <c r="K2024" i="7"/>
  <c r="L2024" i="7" s="1"/>
  <c r="M2024" i="7" s="1"/>
  <c r="K2350" i="7"/>
  <c r="L2350" i="7" s="1"/>
  <c r="M2350" i="7" s="1"/>
  <c r="K2334" i="7"/>
  <c r="L2334" i="7" s="1"/>
  <c r="M2334" i="7" s="1"/>
  <c r="K2318" i="7"/>
  <c r="L2318" i="7" s="1"/>
  <c r="M2318" i="7" s="1"/>
  <c r="K2302" i="7"/>
  <c r="L2302" i="7" s="1"/>
  <c r="M2302" i="7" s="1"/>
  <c r="K2286" i="7"/>
  <c r="L2286" i="7" s="1"/>
  <c r="M2286" i="7" s="1"/>
  <c r="K2270" i="7"/>
  <c r="L2270" i="7" s="1"/>
  <c r="M2270" i="7" s="1"/>
  <c r="K2254" i="7"/>
  <c r="L2254" i="7" s="1"/>
  <c r="M2254" i="7" s="1"/>
  <c r="K2238" i="7"/>
  <c r="L2238" i="7" s="1"/>
  <c r="M2238" i="7" s="1"/>
  <c r="K2204" i="7"/>
  <c r="L2204" i="7" s="1"/>
  <c r="M2204" i="7" s="1"/>
  <c r="K2201" i="7"/>
  <c r="L2201" i="7" s="1"/>
  <c r="M2201" i="7" s="1"/>
  <c r="K2197" i="7"/>
  <c r="K2194" i="7"/>
  <c r="L2194" i="7" s="1"/>
  <c r="M2194" i="7" s="1"/>
  <c r="K2188" i="7"/>
  <c r="K2169" i="7"/>
  <c r="K2157" i="7"/>
  <c r="K2156" i="7"/>
  <c r="K2149" i="7"/>
  <c r="K2148" i="7"/>
  <c r="K2133" i="7"/>
  <c r="L2133" i="7" s="1"/>
  <c r="K2124" i="7"/>
  <c r="L2124" i="7" s="1"/>
  <c r="K2115" i="7"/>
  <c r="L2115" i="7" s="1"/>
  <c r="M2115" i="7" s="1"/>
  <c r="K2111" i="7"/>
  <c r="K2095" i="7"/>
  <c r="L2095" i="7" s="1"/>
  <c r="K2067" i="7"/>
  <c r="L2067" i="7" s="1"/>
  <c r="M2067" i="7" s="1"/>
  <c r="K2064" i="7"/>
  <c r="L2064" i="7" s="1"/>
  <c r="M2064" i="7" s="1"/>
  <c r="K2050" i="7"/>
  <c r="L2050" i="7" s="1"/>
  <c r="M2050" i="7" s="1"/>
  <c r="K2047" i="7"/>
  <c r="L2047" i="7" s="1"/>
  <c r="M2047" i="7" s="1"/>
  <c r="K2029" i="7"/>
  <c r="L2029" i="7" s="1"/>
  <c r="K2019" i="7"/>
  <c r="L2019" i="7" s="1"/>
  <c r="M2019" i="7" s="1"/>
  <c r="K1994" i="7"/>
  <c r="L1994" i="7" s="1"/>
  <c r="M1994" i="7" s="1"/>
  <c r="K1991" i="7"/>
  <c r="L1991" i="7" s="1"/>
  <c r="M1991" i="7" s="1"/>
  <c r="K1988" i="7"/>
  <c r="L1988" i="7" s="1"/>
  <c r="K1985" i="7"/>
  <c r="L1985" i="7" s="1"/>
  <c r="M1985" i="7" s="1"/>
  <c r="K1974" i="7"/>
  <c r="L1974" i="7" s="1"/>
  <c r="M1974" i="7" s="1"/>
  <c r="K1971" i="7"/>
  <c r="L1971" i="7" s="1"/>
  <c r="K1968" i="7"/>
  <c r="L1968" i="7" s="1"/>
  <c r="K1965" i="7"/>
  <c r="L1965" i="7" s="1"/>
  <c r="M1965" i="7" s="1"/>
  <c r="K1949" i="7"/>
  <c r="K1942" i="7"/>
  <c r="L1942" i="7" s="1"/>
  <c r="M1942" i="7" s="1"/>
  <c r="K2212" i="7"/>
  <c r="L2212" i="7" s="1"/>
  <c r="M2212" i="7" s="1"/>
  <c r="K2209" i="7"/>
  <c r="L2209" i="7" s="1"/>
  <c r="M2209" i="7" s="1"/>
  <c r="K2205" i="7"/>
  <c r="K2202" i="7"/>
  <c r="L2202" i="7" s="1"/>
  <c r="M2202" i="7" s="1"/>
  <c r="K2173" i="7"/>
  <c r="K2127" i="7"/>
  <c r="K2117" i="7"/>
  <c r="L2117" i="7" s="1"/>
  <c r="K2116" i="7"/>
  <c r="K2104" i="7"/>
  <c r="L2104" i="7" s="1"/>
  <c r="K2099" i="7"/>
  <c r="L2099" i="7" s="1"/>
  <c r="M2099" i="7" s="1"/>
  <c r="K2013" i="7"/>
  <c r="L2013" i="7" s="1"/>
  <c r="K2009" i="7"/>
  <c r="L2009" i="7" s="1"/>
  <c r="M2009" i="7" s="1"/>
  <c r="K1983" i="7"/>
  <c r="L1983" i="7" s="1"/>
  <c r="M1983" i="7" s="1"/>
  <c r="K1980" i="7"/>
  <c r="L1980" i="7" s="1"/>
  <c r="K2015" i="7"/>
  <c r="L2015" i="7" s="1"/>
  <c r="M2015" i="7" s="1"/>
  <c r="K1998" i="7"/>
  <c r="L1998" i="7" s="1"/>
  <c r="M1998" i="7" s="1"/>
  <c r="K1995" i="7"/>
  <c r="L1995" i="7" s="1"/>
  <c r="M1995" i="7" s="1"/>
  <c r="K1992" i="7"/>
  <c r="L1992" i="7" s="1"/>
  <c r="K1989" i="7"/>
  <c r="L1989" i="7" s="1"/>
  <c r="M1989" i="7" s="1"/>
  <c r="K1966" i="7"/>
  <c r="K1963" i="7"/>
  <c r="L1963" i="7" s="1"/>
  <c r="M1963" i="7" s="1"/>
  <c r="K1960" i="7"/>
  <c r="L1960" i="7" s="1"/>
  <c r="K1957" i="7"/>
  <c r="L1957" i="7" s="1"/>
  <c r="M1957" i="7" s="1"/>
  <c r="K1925" i="7"/>
  <c r="L1925" i="7" s="1"/>
  <c r="K1905" i="7"/>
  <c r="L1905" i="7" s="1"/>
  <c r="M1905" i="7" s="1"/>
  <c r="K1877" i="7"/>
  <c r="K1872" i="7"/>
  <c r="L1872" i="7" s="1"/>
  <c r="M1872" i="7" s="1"/>
  <c r="K1865" i="7"/>
  <c r="K1853" i="7"/>
  <c r="L1853" i="7" s="1"/>
  <c r="K1836" i="7"/>
  <c r="L1836" i="7" s="1"/>
  <c r="M1836" i="7" s="1"/>
  <c r="K1825" i="7"/>
  <c r="L1825" i="7" s="1"/>
  <c r="M1825" i="7" s="1"/>
  <c r="K1797" i="7"/>
  <c r="K1792" i="7"/>
  <c r="L1792" i="7" s="1"/>
  <c r="M1792" i="7" s="1"/>
  <c r="K1780" i="7"/>
  <c r="L1780" i="7" s="1"/>
  <c r="M1780" i="7" s="1"/>
  <c r="K1757" i="7"/>
  <c r="K1741" i="7"/>
  <c r="L1741" i="7" s="1"/>
  <c r="M1741" i="7" s="1"/>
  <c r="K1736" i="7"/>
  <c r="L1736" i="7" s="1"/>
  <c r="M1736" i="7" s="1"/>
  <c r="K1725" i="7"/>
  <c r="L1725" i="7" s="1"/>
  <c r="M1725" i="7" s="1"/>
  <c r="K1720" i="7"/>
  <c r="L1720" i="7" s="1"/>
  <c r="M1720" i="7" s="1"/>
  <c r="K1709" i="7"/>
  <c r="L1709" i="7" s="1"/>
  <c r="M1709" i="7" s="1"/>
  <c r="K1704" i="7"/>
  <c r="L1704" i="7" s="1"/>
  <c r="M1704" i="7" s="1"/>
  <c r="K1693" i="7"/>
  <c r="L1693" i="7" s="1"/>
  <c r="M1693" i="7" s="1"/>
  <c r="K1688" i="7"/>
  <c r="L1688" i="7" s="1"/>
  <c r="M1688" i="7" s="1"/>
  <c r="K1676" i="7"/>
  <c r="L1676" i="7" s="1"/>
  <c r="M1676" i="7" s="1"/>
  <c r="K1672" i="7"/>
  <c r="L1672" i="7" s="1"/>
  <c r="M1672" i="7" s="1"/>
  <c r="K1669" i="7"/>
  <c r="L1669" i="7" s="1"/>
  <c r="M1669" i="7" s="1"/>
  <c r="K1659" i="7"/>
  <c r="L1659" i="7" s="1"/>
  <c r="M1659" i="7" s="1"/>
  <c r="K1642" i="7"/>
  <c r="L1642" i="7" s="1"/>
  <c r="M1642" i="7" s="1"/>
  <c r="K1635" i="7"/>
  <c r="L1635" i="7" s="1"/>
  <c r="M1635" i="7" s="1"/>
  <c r="K1627" i="7"/>
  <c r="L1627" i="7" s="1"/>
  <c r="K1619" i="7"/>
  <c r="L1619" i="7" s="1"/>
  <c r="M1619" i="7" s="1"/>
  <c r="K1611" i="7"/>
  <c r="L1611" i="7" s="1"/>
  <c r="M1611" i="7" s="1"/>
  <c r="K1594" i="7"/>
  <c r="L1594" i="7" s="1"/>
  <c r="M1594" i="7" s="1"/>
  <c r="K1543" i="7"/>
  <c r="L1543" i="7" s="1"/>
  <c r="M1543" i="7" s="1"/>
  <c r="K1534" i="7"/>
  <c r="K1464" i="7"/>
  <c r="L1464" i="7" s="1"/>
  <c r="K1721" i="7"/>
  <c r="L1721" i="7" s="1"/>
  <c r="M1721" i="7" s="1"/>
  <c r="K1716" i="7"/>
  <c r="L1716" i="7" s="1"/>
  <c r="M1716" i="7" s="1"/>
  <c r="K1705" i="7"/>
  <c r="L1705" i="7" s="1"/>
  <c r="M1705" i="7" s="1"/>
  <c r="K1700" i="7"/>
  <c r="L1700" i="7" s="1"/>
  <c r="M1700" i="7" s="1"/>
  <c r="K1689" i="7"/>
  <c r="L1689" i="7" s="1"/>
  <c r="M1689" i="7" s="1"/>
  <c r="K1684" i="7"/>
  <c r="L1684" i="7" s="1"/>
  <c r="M1684" i="7" s="1"/>
  <c r="K1667" i="7"/>
  <c r="L1667" i="7" s="1"/>
  <c r="M1667" i="7" s="1"/>
  <c r="K1647" i="7"/>
  <c r="L1647" i="7" s="1"/>
  <c r="M1647" i="7" s="1"/>
  <c r="K1643" i="7"/>
  <c r="L1643" i="7" s="1"/>
  <c r="M1643" i="7" s="1"/>
  <c r="K1574" i="7"/>
  <c r="L1574" i="7" s="1"/>
  <c r="M1574" i="7" s="1"/>
  <c r="K1571" i="7"/>
  <c r="L1571" i="7" s="1"/>
  <c r="M1571" i="7" s="1"/>
  <c r="K1551" i="7"/>
  <c r="L1551" i="7" s="1"/>
  <c r="M1551" i="7" s="1"/>
  <c r="K1494" i="7"/>
  <c r="L1494" i="7" s="1"/>
  <c r="K2016" i="7"/>
  <c r="L2016" i="7" s="1"/>
  <c r="M2016" i="7" s="1"/>
  <c r="K2002" i="7"/>
  <c r="L2002" i="7" s="1"/>
  <c r="M2002" i="7" s="1"/>
  <c r="K1999" i="7"/>
  <c r="L1999" i="7" s="1"/>
  <c r="K1996" i="7"/>
  <c r="L1996" i="7" s="1"/>
  <c r="K1993" i="7"/>
  <c r="L1993" i="7" s="1"/>
  <c r="M1993" i="7" s="1"/>
  <c r="K1970" i="7"/>
  <c r="L1970" i="7" s="1"/>
  <c r="M1970" i="7" s="1"/>
  <c r="K1967" i="7"/>
  <c r="L1967" i="7" s="1"/>
  <c r="M1967" i="7" s="1"/>
  <c r="K1964" i="7"/>
  <c r="L1964" i="7" s="1"/>
  <c r="K1961" i="7"/>
  <c r="L1961" i="7" s="1"/>
  <c r="M1961" i="7" s="1"/>
  <c r="K1941" i="7"/>
  <c r="L1941" i="7" s="1"/>
  <c r="M1941" i="7" s="1"/>
  <c r="K1936" i="7"/>
  <c r="K1932" i="7"/>
  <c r="L1932" i="7" s="1"/>
  <c r="K1927" i="7"/>
  <c r="L1927" i="7" s="1"/>
  <c r="M1927" i="7" s="1"/>
  <c r="K1917" i="7"/>
  <c r="L1917" i="7" s="1"/>
  <c r="M1917" i="7" s="1"/>
  <c r="K1897" i="7"/>
  <c r="K1885" i="7"/>
  <c r="L1885" i="7" s="1"/>
  <c r="K1868" i="7"/>
  <c r="L1868" i="7" s="1"/>
  <c r="K1861" i="7"/>
  <c r="K1821" i="7"/>
  <c r="K1805" i="7"/>
  <c r="L1805" i="7" s="1"/>
  <c r="K1800" i="7"/>
  <c r="L1800" i="7" s="1"/>
  <c r="M1800" i="7" s="1"/>
  <c r="K1788" i="7"/>
  <c r="L1788" i="7" s="1"/>
  <c r="M1788" i="7" s="1"/>
  <c r="K1765" i="7"/>
  <c r="L1765" i="7" s="1"/>
  <c r="K1680" i="7"/>
  <c r="L1680" i="7" s="1"/>
  <c r="M1680" i="7" s="1"/>
  <c r="K1670" i="7"/>
  <c r="L1670" i="7" s="1"/>
  <c r="M1670" i="7" s="1"/>
  <c r="K1663" i="7"/>
  <c r="L1663" i="7" s="1"/>
  <c r="M1663" i="7" s="1"/>
  <c r="K1653" i="7"/>
  <c r="L1653" i="7" s="1"/>
  <c r="M1653" i="7" s="1"/>
  <c r="K1637" i="7"/>
  <c r="L1637" i="7" s="1"/>
  <c r="M1637" i="7" s="1"/>
  <c r="K1633" i="7"/>
  <c r="L1633" i="7" s="1"/>
  <c r="M1633" i="7" s="1"/>
  <c r="K1625" i="7"/>
  <c r="L1625" i="7" s="1"/>
  <c r="M1625" i="7" s="1"/>
  <c r="K1617" i="7"/>
  <c r="L1617" i="7" s="1"/>
  <c r="M1617" i="7" s="1"/>
  <c r="K1606" i="7"/>
  <c r="L1606" i="7" s="1"/>
  <c r="M1606" i="7" s="1"/>
  <c r="K1586" i="7"/>
  <c r="L1586" i="7" s="1"/>
  <c r="M1586" i="7" s="1"/>
  <c r="K1547" i="7"/>
  <c r="L1547" i="7" s="1"/>
  <c r="M1547" i="7" s="1"/>
  <c r="K1455" i="7"/>
  <c r="L1455" i="7" s="1"/>
  <c r="K1449" i="7"/>
  <c r="L1449" i="7" s="1"/>
  <c r="M1449" i="7" s="1"/>
  <c r="K1913" i="7"/>
  <c r="K1881" i="7"/>
  <c r="L1881" i="7" s="1"/>
  <c r="K1869" i="7"/>
  <c r="K1845" i="7"/>
  <c r="K1840" i="7"/>
  <c r="L1840" i="7" s="1"/>
  <c r="M1840" i="7" s="1"/>
  <c r="K1817" i="7"/>
  <c r="L1817" i="7" s="1"/>
  <c r="M1817" i="7" s="1"/>
  <c r="K1812" i="7"/>
  <c r="L1812" i="7" s="1"/>
  <c r="M1812" i="7" s="1"/>
  <c r="K1801" i="7"/>
  <c r="L1801" i="7" s="1"/>
  <c r="M1801" i="7" s="1"/>
  <c r="K1789" i="7"/>
  <c r="K1784" i="7"/>
  <c r="L1784" i="7" s="1"/>
  <c r="M1784" i="7" s="1"/>
  <c r="K1772" i="7"/>
  <c r="L1772" i="7" s="1"/>
  <c r="K1761" i="7"/>
  <c r="L1761" i="7" s="1"/>
  <c r="M1761" i="7" s="1"/>
  <c r="K1675" i="7"/>
  <c r="L1675" i="7" s="1"/>
  <c r="M1675" i="7" s="1"/>
  <c r="K1668" i="7"/>
  <c r="L1668" i="7" s="1"/>
  <c r="M1668" i="7" s="1"/>
  <c r="K1657" i="7"/>
  <c r="L1657" i="7" s="1"/>
  <c r="K1602" i="7"/>
  <c r="L1602" i="7" s="1"/>
  <c r="M1602" i="7" s="1"/>
  <c r="K1555" i="7"/>
  <c r="L1555" i="7" s="1"/>
  <c r="K1522" i="7"/>
  <c r="L1522" i="7" s="1"/>
  <c r="M1522" i="7" s="1"/>
  <c r="K1745" i="7"/>
  <c r="L1745" i="7" s="1"/>
  <c r="M1745" i="7" s="1"/>
  <c r="K1740" i="7"/>
  <c r="L1740" i="7" s="1"/>
  <c r="M1740" i="7" s="1"/>
  <c r="K1729" i="7"/>
  <c r="L1729" i="7" s="1"/>
  <c r="K1724" i="7"/>
  <c r="L1724" i="7" s="1"/>
  <c r="M1724" i="7" s="1"/>
  <c r="K1713" i="7"/>
  <c r="L1713" i="7" s="1"/>
  <c r="M1713" i="7" s="1"/>
  <c r="K1708" i="7"/>
  <c r="L1708" i="7" s="1"/>
  <c r="M1708" i="7" s="1"/>
  <c r="K1697" i="7"/>
  <c r="L1697" i="7" s="1"/>
  <c r="M1697" i="7" s="1"/>
  <c r="K1692" i="7"/>
  <c r="L1692" i="7" s="1"/>
  <c r="M1692" i="7" s="1"/>
  <c r="K1681" i="7"/>
  <c r="L1681" i="7" s="1"/>
  <c r="K1661" i="7"/>
  <c r="L1661" i="7" s="1"/>
  <c r="M1661" i="7" s="1"/>
  <c r="K1654" i="7"/>
  <c r="L1654" i="7" s="1"/>
  <c r="M1654" i="7" s="1"/>
  <c r="K1638" i="7"/>
  <c r="L1638" i="7" s="1"/>
  <c r="M1638" i="7" s="1"/>
  <c r="K1634" i="7"/>
  <c r="L1634" i="7" s="1"/>
  <c r="M1634" i="7" s="1"/>
  <c r="K1626" i="7"/>
  <c r="L1626" i="7" s="1"/>
  <c r="M1626" i="7" s="1"/>
  <c r="K1618" i="7"/>
  <c r="L1618" i="7" s="1"/>
  <c r="M1618" i="7" s="1"/>
  <c r="K1610" i="7"/>
  <c r="L1610" i="7" s="1"/>
  <c r="M1610" i="7" s="1"/>
  <c r="K1607" i="7"/>
  <c r="L1607" i="7" s="1"/>
  <c r="M1607" i="7" s="1"/>
  <c r="K1578" i="7"/>
  <c r="L1578" i="7" s="1"/>
  <c r="M1578" i="7" s="1"/>
  <c r="K1459" i="7"/>
  <c r="L1459" i="7" s="1"/>
  <c r="M1459" i="7" s="1"/>
  <c r="K1591" i="7"/>
  <c r="L1591" i="7" s="1"/>
  <c r="M1591" i="7" s="1"/>
  <c r="K1583" i="7"/>
  <c r="L1583" i="7" s="1"/>
  <c r="M1583" i="7" s="1"/>
  <c r="K1575" i="7"/>
  <c r="L1575" i="7" s="1"/>
  <c r="M1575" i="7" s="1"/>
  <c r="K1535" i="7"/>
  <c r="K1523" i="7"/>
  <c r="L1523" i="7" s="1"/>
  <c r="K1519" i="7"/>
  <c r="L1519" i="7" s="1"/>
  <c r="K1456" i="7"/>
  <c r="L1456" i="7" s="1"/>
  <c r="K1451" i="7"/>
  <c r="L1451" i="7" s="1"/>
  <c r="M1451" i="7" s="1"/>
  <c r="K1447" i="7"/>
  <c r="L1447" i="7" s="1"/>
  <c r="K1432" i="7"/>
  <c r="L1432" i="7" s="1"/>
  <c r="K1426" i="7"/>
  <c r="L1426" i="7" s="1"/>
  <c r="M1426" i="7" s="1"/>
  <c r="K1408" i="7"/>
  <c r="L1408" i="7" s="1"/>
  <c r="M1408" i="7" s="1"/>
  <c r="K1365" i="7"/>
  <c r="L1365" i="7" s="1"/>
  <c r="M1365" i="7" s="1"/>
  <c r="K1362" i="7"/>
  <c r="L1362" i="7" s="1"/>
  <c r="M1362" i="7" s="1"/>
  <c r="K1352" i="7"/>
  <c r="L1352" i="7" s="1"/>
  <c r="K1344" i="7"/>
  <c r="L1344" i="7" s="1"/>
  <c r="K1339" i="7"/>
  <c r="L1339" i="7" s="1"/>
  <c r="M1339" i="7" s="1"/>
  <c r="K1336" i="7"/>
  <c r="L1336" i="7" s="1"/>
  <c r="K1315" i="7"/>
  <c r="L1315" i="7" s="1"/>
  <c r="M1315" i="7" s="1"/>
  <c r="K1291" i="7"/>
  <c r="L1291" i="7" s="1"/>
  <c r="M1291" i="7" s="1"/>
  <c r="K1283" i="7"/>
  <c r="L1283" i="7" s="1"/>
  <c r="M1283" i="7" s="1"/>
  <c r="K1242" i="7"/>
  <c r="L1242" i="7" s="1"/>
  <c r="K1227" i="7"/>
  <c r="K1218" i="7"/>
  <c r="L1218" i="7" s="1"/>
  <c r="K1152" i="7"/>
  <c r="L1152" i="7" s="1"/>
  <c r="M1152" i="7" s="1"/>
  <c r="K1144" i="7"/>
  <c r="L1144" i="7" s="1"/>
  <c r="M1144" i="7" s="1"/>
  <c r="K1136" i="7"/>
  <c r="L1136" i="7" s="1"/>
  <c r="M1136" i="7" s="1"/>
  <c r="K1128" i="7"/>
  <c r="L1128" i="7" s="1"/>
  <c r="M1128" i="7" s="1"/>
  <c r="K1120" i="7"/>
  <c r="L1120" i="7" s="1"/>
  <c r="M1120" i="7" s="1"/>
  <c r="K1112" i="7"/>
  <c r="L1112" i="7" s="1"/>
  <c r="M1112" i="7" s="1"/>
  <c r="K1104" i="7"/>
  <c r="L1104" i="7" s="1"/>
  <c r="M1104" i="7" s="1"/>
  <c r="K1096" i="7"/>
  <c r="L1096" i="7" s="1"/>
  <c r="M1096" i="7" s="1"/>
  <c r="K1088" i="7"/>
  <c r="L1088" i="7" s="1"/>
  <c r="M1088" i="7" s="1"/>
  <c r="K1080" i="7"/>
  <c r="L1080" i="7" s="1"/>
  <c r="M1080" i="7" s="1"/>
  <c r="K1027" i="7"/>
  <c r="L1027" i="7" s="1"/>
  <c r="K876" i="7"/>
  <c r="L876" i="7" s="1"/>
  <c r="M876" i="7" s="1"/>
  <c r="K1595" i="7"/>
  <c r="L1595" i="7" s="1"/>
  <c r="M1595" i="7" s="1"/>
  <c r="K1587" i="7"/>
  <c r="L1587" i="7" s="1"/>
  <c r="K1579" i="7"/>
  <c r="L1579" i="7" s="1"/>
  <c r="M1579" i="7" s="1"/>
  <c r="K1561" i="7"/>
  <c r="L1561" i="7" s="1"/>
  <c r="M1561" i="7" s="1"/>
  <c r="K1553" i="7"/>
  <c r="L1553" i="7" s="1"/>
  <c r="M1553" i="7" s="1"/>
  <c r="K1545" i="7"/>
  <c r="L1545" i="7" s="1"/>
  <c r="M1545" i="7" s="1"/>
  <c r="K1537" i="7"/>
  <c r="L1537" i="7" s="1"/>
  <c r="M1537" i="7" s="1"/>
  <c r="K1531" i="7"/>
  <c r="L1531" i="7" s="1"/>
  <c r="M1531" i="7" s="1"/>
  <c r="K1527" i="7"/>
  <c r="L1527" i="7" s="1"/>
  <c r="K1512" i="7"/>
  <c r="L1512" i="7" s="1"/>
  <c r="K1504" i="7"/>
  <c r="L1504" i="7" s="1"/>
  <c r="K1501" i="7"/>
  <c r="L1501" i="7" s="1"/>
  <c r="M1501" i="7" s="1"/>
  <c r="K1496" i="7"/>
  <c r="L1496" i="7" s="1"/>
  <c r="K1491" i="7"/>
  <c r="L1491" i="7" s="1"/>
  <c r="M1491" i="7" s="1"/>
  <c r="K1487" i="7"/>
  <c r="L1487" i="7" s="1"/>
  <c r="K1482" i="7"/>
  <c r="L1482" i="7" s="1"/>
  <c r="M1482" i="7" s="1"/>
  <c r="K1429" i="7"/>
  <c r="L1429" i="7" s="1"/>
  <c r="K1423" i="7"/>
  <c r="L1423" i="7" s="1"/>
  <c r="K1405" i="7"/>
  <c r="L1405" i="7" s="1"/>
  <c r="M1405" i="7" s="1"/>
  <c r="K1395" i="7"/>
  <c r="L1395" i="7" s="1"/>
  <c r="M1395" i="7" s="1"/>
  <c r="K1384" i="7"/>
  <c r="L1384" i="7" s="1"/>
  <c r="K1379" i="7"/>
  <c r="L1379" i="7" s="1"/>
  <c r="M1379" i="7" s="1"/>
  <c r="K1376" i="7"/>
  <c r="L1376" i="7" s="1"/>
  <c r="K1359" i="7"/>
  <c r="K1348" i="7"/>
  <c r="L1348" i="7" s="1"/>
  <c r="M1348" i="7" s="1"/>
  <c r="K1333" i="7"/>
  <c r="L1333" i="7" s="1"/>
  <c r="M1333" i="7" s="1"/>
  <c r="K1326" i="7"/>
  <c r="L1326" i="7" s="1"/>
  <c r="M1326" i="7" s="1"/>
  <c r="K1323" i="7"/>
  <c r="L1323" i="7" s="1"/>
  <c r="M1323" i="7" s="1"/>
  <c r="K1320" i="7"/>
  <c r="L1320" i="7" s="1"/>
  <c r="K1308" i="7"/>
  <c r="L1308" i="7" s="1"/>
  <c r="M1308" i="7" s="1"/>
  <c r="K1288" i="7"/>
  <c r="L1288" i="7" s="1"/>
  <c r="K1280" i="7"/>
  <c r="L1280" i="7" s="1"/>
  <c r="K1247" i="7"/>
  <c r="L1247" i="7" s="1"/>
  <c r="K1235" i="7"/>
  <c r="L1235" i="7" s="1"/>
  <c r="M1235" i="7" s="1"/>
  <c r="K1229" i="7"/>
  <c r="L1229" i="7" s="1"/>
  <c r="M1229" i="7" s="1"/>
  <c r="K1224" i="7"/>
  <c r="L1224" i="7" s="1"/>
  <c r="M1224" i="7" s="1"/>
  <c r="K1211" i="7"/>
  <c r="L1211" i="7" s="1"/>
  <c r="K1194" i="7"/>
  <c r="K1186" i="7"/>
  <c r="L1186" i="7" s="1"/>
  <c r="K1178" i="7"/>
  <c r="K1169" i="7"/>
  <c r="L1169" i="7" s="1"/>
  <c r="M1169" i="7" s="1"/>
  <c r="K1166" i="7"/>
  <c r="L1166" i="7" s="1"/>
  <c r="M1166" i="7" s="1"/>
  <c r="K1160" i="7"/>
  <c r="L1160" i="7" s="1"/>
  <c r="M1160" i="7" s="1"/>
  <c r="K1072" i="7"/>
  <c r="L1072" i="7" s="1"/>
  <c r="M1072" i="7" s="1"/>
  <c r="K1069" i="7"/>
  <c r="L1069" i="7" s="1"/>
  <c r="M1069" i="7" s="1"/>
  <c r="K1064" i="7"/>
  <c r="L1064" i="7" s="1"/>
  <c r="M1064" i="7" s="1"/>
  <c r="K1056" i="7"/>
  <c r="L1056" i="7" s="1"/>
  <c r="M1056" i="7" s="1"/>
  <c r="K1048" i="7"/>
  <c r="L1048" i="7" s="1"/>
  <c r="M1048" i="7" s="1"/>
  <c r="K1035" i="7"/>
  <c r="L1035" i="7" s="1"/>
  <c r="K1019" i="7"/>
  <c r="L1019" i="7" s="1"/>
  <c r="M1019" i="7" s="1"/>
  <c r="K1566" i="7"/>
  <c r="L1566" i="7" s="1"/>
  <c r="M1566" i="7" s="1"/>
  <c r="K1517" i="7"/>
  <c r="L1517" i="7" s="1"/>
  <c r="M1517" i="7" s="1"/>
  <c r="K1514" i="7"/>
  <c r="L1514" i="7" s="1"/>
  <c r="M1514" i="7" s="1"/>
  <c r="K1498" i="7"/>
  <c r="L1498" i="7" s="1"/>
  <c r="M1498" i="7" s="1"/>
  <c r="K1448" i="7"/>
  <c r="L1448" i="7" s="1"/>
  <c r="K1445" i="7"/>
  <c r="L1445" i="7" s="1"/>
  <c r="M1445" i="7" s="1"/>
  <c r="K1427" i="7"/>
  <c r="L1427" i="7" s="1"/>
  <c r="M1427" i="7" s="1"/>
  <c r="K1416" i="7"/>
  <c r="L1416" i="7" s="1"/>
  <c r="K1410" i="7"/>
  <c r="L1410" i="7" s="1"/>
  <c r="M1410" i="7" s="1"/>
  <c r="K1399" i="7"/>
  <c r="L1399" i="7" s="1"/>
  <c r="K1373" i="7"/>
  <c r="L1373" i="7" s="1"/>
  <c r="M1373" i="7" s="1"/>
  <c r="K1367" i="7"/>
  <c r="L1367" i="7" s="1"/>
  <c r="K1363" i="7"/>
  <c r="L1363" i="7" s="1"/>
  <c r="M1363" i="7" s="1"/>
  <c r="K1360" i="7"/>
  <c r="L1360" i="7" s="1"/>
  <c r="K1310" i="7"/>
  <c r="L1310" i="7" s="1"/>
  <c r="M1310" i="7" s="1"/>
  <c r="K1303" i="7"/>
  <c r="L1303" i="7" s="1"/>
  <c r="K1278" i="7"/>
  <c r="L1278" i="7" s="1"/>
  <c r="M1278" i="7" s="1"/>
  <c r="K1267" i="7"/>
  <c r="L1267" i="7" s="1"/>
  <c r="M1267" i="7" s="1"/>
  <c r="K1259" i="7"/>
  <c r="L1259" i="7" s="1"/>
  <c r="M1259" i="7" s="1"/>
  <c r="K1251" i="7"/>
  <c r="L1251" i="7" s="1"/>
  <c r="M1251" i="7" s="1"/>
  <c r="K1213" i="7"/>
  <c r="L1213" i="7" s="1"/>
  <c r="M1213" i="7" s="1"/>
  <c r="K1197" i="7"/>
  <c r="L1197" i="7" s="1"/>
  <c r="K1187" i="7"/>
  <c r="L1187" i="7" s="1"/>
  <c r="K1171" i="7"/>
  <c r="L1171" i="7" s="1"/>
  <c r="K1153" i="7"/>
  <c r="L1153" i="7" s="1"/>
  <c r="M1153" i="7" s="1"/>
  <c r="K1150" i="7"/>
  <c r="L1150" i="7" s="1"/>
  <c r="M1150" i="7" s="1"/>
  <c r="K1145" i="7"/>
  <c r="L1145" i="7" s="1"/>
  <c r="M1145" i="7" s="1"/>
  <c r="K1142" i="7"/>
  <c r="L1142" i="7" s="1"/>
  <c r="K1137" i="7"/>
  <c r="L1137" i="7" s="1"/>
  <c r="M1137" i="7" s="1"/>
  <c r="K1134" i="7"/>
  <c r="L1134" i="7" s="1"/>
  <c r="M1134" i="7" s="1"/>
  <c r="K1129" i="7"/>
  <c r="L1129" i="7" s="1"/>
  <c r="M1129" i="7" s="1"/>
  <c r="K1126" i="7"/>
  <c r="L1126" i="7" s="1"/>
  <c r="M1126" i="7" s="1"/>
  <c r="K1121" i="7"/>
  <c r="L1121" i="7" s="1"/>
  <c r="M1121" i="7" s="1"/>
  <c r="K1118" i="7"/>
  <c r="L1118" i="7" s="1"/>
  <c r="M1118" i="7" s="1"/>
  <c r="K1113" i="7"/>
  <c r="L1113" i="7" s="1"/>
  <c r="M1113" i="7" s="1"/>
  <c r="K1110" i="7"/>
  <c r="L1110" i="7" s="1"/>
  <c r="M1110" i="7" s="1"/>
  <c r="K1105" i="7"/>
  <c r="L1105" i="7" s="1"/>
  <c r="M1105" i="7" s="1"/>
  <c r="K1102" i="7"/>
  <c r="L1102" i="7" s="1"/>
  <c r="M1102" i="7" s="1"/>
  <c r="K1097" i="7"/>
  <c r="L1097" i="7" s="1"/>
  <c r="M1097" i="7" s="1"/>
  <c r="K1094" i="7"/>
  <c r="L1094" i="7" s="1"/>
  <c r="M1094" i="7" s="1"/>
  <c r="K1089" i="7"/>
  <c r="L1089" i="7" s="1"/>
  <c r="M1089" i="7" s="1"/>
  <c r="K1086" i="7"/>
  <c r="L1086" i="7" s="1"/>
  <c r="M1086" i="7" s="1"/>
  <c r="K1081" i="7"/>
  <c r="L1081" i="7" s="1"/>
  <c r="M1081" i="7" s="1"/>
  <c r="K1078" i="7"/>
  <c r="L1078" i="7" s="1"/>
  <c r="K1032" i="7"/>
  <c r="L1032" i="7" s="1"/>
  <c r="M1032" i="7" s="1"/>
  <c r="K1024" i="7"/>
  <c r="L1024" i="7" s="1"/>
  <c r="M1024" i="7" s="1"/>
  <c r="K1021" i="7"/>
  <c r="L1021" i="7" s="1"/>
  <c r="M1021" i="7" s="1"/>
  <c r="K978" i="7"/>
  <c r="L978" i="7" s="1"/>
  <c r="M978" i="7" s="1"/>
  <c r="K870" i="7"/>
  <c r="L870" i="7" s="1"/>
  <c r="M870" i="7" s="1"/>
  <c r="K1123" i="7"/>
  <c r="L1123" i="7" s="1"/>
  <c r="K1107" i="7"/>
  <c r="L1107" i="7" s="1"/>
  <c r="M1107" i="7" s="1"/>
  <c r="K1091" i="7"/>
  <c r="L1091" i="7" s="1"/>
  <c r="K1431" i="7"/>
  <c r="L1431" i="7" s="1"/>
  <c r="K1420" i="7"/>
  <c r="L1420" i="7" s="1"/>
  <c r="M1420" i="7" s="1"/>
  <c r="K1413" i="7"/>
  <c r="L1413" i="7" s="1"/>
  <c r="M1413" i="7" s="1"/>
  <c r="K1400" i="7"/>
  <c r="L1400" i="7" s="1"/>
  <c r="K1357" i="7"/>
  <c r="L1357" i="7" s="1"/>
  <c r="M1357" i="7" s="1"/>
  <c r="K1299" i="7"/>
  <c r="L1299" i="7" s="1"/>
  <c r="M1299" i="7" s="1"/>
  <c r="K1295" i="7"/>
  <c r="K1274" i="7"/>
  <c r="L1274" i="7" s="1"/>
  <c r="M1274" i="7" s="1"/>
  <c r="K1256" i="7"/>
  <c r="L1256" i="7" s="1"/>
  <c r="K1233" i="7"/>
  <c r="L1233" i="7" s="1"/>
  <c r="M1233" i="7" s="1"/>
  <c r="K1518" i="7"/>
  <c r="L1518" i="7" s="1"/>
  <c r="M1518" i="7" s="1"/>
  <c r="K1511" i="7"/>
  <c r="K1507" i="7"/>
  <c r="L1507" i="7" s="1"/>
  <c r="M1507" i="7" s="1"/>
  <c r="K1503" i="7"/>
  <c r="L1503" i="7" s="1"/>
  <c r="K1499" i="7"/>
  <c r="L1499" i="7" s="1"/>
  <c r="M1499" i="7" s="1"/>
  <c r="K1495" i="7"/>
  <c r="L1495" i="7" s="1"/>
  <c r="K1490" i="7"/>
  <c r="L1490" i="7" s="1"/>
  <c r="M1490" i="7" s="1"/>
  <c r="K1435" i="7"/>
  <c r="L1435" i="7" s="1"/>
  <c r="M1435" i="7" s="1"/>
  <c r="K1407" i="7"/>
  <c r="L1407" i="7" s="1"/>
  <c r="K1397" i="7"/>
  <c r="L1397" i="7" s="1"/>
  <c r="M1397" i="7" s="1"/>
  <c r="K1383" i="7"/>
  <c r="L1383" i="7" s="1"/>
  <c r="K1375" i="7"/>
  <c r="K1371" i="7"/>
  <c r="L1371" i="7" s="1"/>
  <c r="M1371" i="7" s="1"/>
  <c r="K1331" i="7"/>
  <c r="L1331" i="7" s="1"/>
  <c r="M1331" i="7" s="1"/>
  <c r="K1328" i="7"/>
  <c r="L1328" i="7" s="1"/>
  <c r="K1325" i="7"/>
  <c r="L1325" i="7" s="1"/>
  <c r="M1325" i="7" s="1"/>
  <c r="K1322" i="7"/>
  <c r="L1322" i="7" s="1"/>
  <c r="M1322" i="7" s="1"/>
  <c r="K1318" i="7"/>
  <c r="L1318" i="7" s="1"/>
  <c r="M1318" i="7" s="1"/>
  <c r="K1307" i="7"/>
  <c r="L1307" i="7" s="1"/>
  <c r="M1307" i="7" s="1"/>
  <c r="K1279" i="7"/>
  <c r="L1279" i="7" s="1"/>
  <c r="K1238" i="7"/>
  <c r="L1238" i="7" s="1"/>
  <c r="M1238" i="7" s="1"/>
  <c r="K1234" i="7"/>
  <c r="L1234" i="7" s="1"/>
  <c r="K1231" i="7"/>
  <c r="L1231" i="7" s="1"/>
  <c r="M1231" i="7" s="1"/>
  <c r="K1217" i="7"/>
  <c r="L1217" i="7" s="1"/>
  <c r="M1217" i="7" s="1"/>
  <c r="K1209" i="7"/>
  <c r="L1209" i="7" s="1"/>
  <c r="M1209" i="7" s="1"/>
  <c r="K1168" i="7"/>
  <c r="L1168" i="7" s="1"/>
  <c r="M1168" i="7" s="1"/>
  <c r="K1155" i="7"/>
  <c r="L1155" i="7" s="1"/>
  <c r="K1147" i="7"/>
  <c r="L1147" i="7" s="1"/>
  <c r="K1131" i="7"/>
  <c r="L1131" i="7" s="1"/>
  <c r="K1099" i="7"/>
  <c r="L1099" i="7" s="1"/>
  <c r="K1083" i="7"/>
  <c r="L1083" i="7" s="1"/>
  <c r="K1059" i="7"/>
  <c r="L1059" i="7" s="1"/>
  <c r="M1059" i="7" s="1"/>
  <c r="K1051" i="7"/>
  <c r="L1051" i="7" s="1"/>
  <c r="K1043" i="7"/>
  <c r="L1043" i="7" s="1"/>
  <c r="K1033" i="7"/>
  <c r="L1033" i="7" s="1"/>
  <c r="M1033" i="7" s="1"/>
  <c r="K1030" i="7"/>
  <c r="L1030" i="7" s="1"/>
  <c r="M1030" i="7" s="1"/>
  <c r="K1025" i="7"/>
  <c r="L1025" i="7" s="1"/>
  <c r="M1025" i="7" s="1"/>
  <c r="K1022" i="7"/>
  <c r="L1022" i="7" s="1"/>
  <c r="M1022" i="7" s="1"/>
  <c r="K1017" i="7"/>
  <c r="L1017" i="7" s="1"/>
  <c r="M1017" i="7" s="1"/>
  <c r="K1014" i="7"/>
  <c r="L1014" i="7" s="1"/>
  <c r="M1014" i="7" s="1"/>
  <c r="K963" i="7"/>
  <c r="L963" i="7" s="1"/>
  <c r="K950" i="7"/>
  <c r="L950" i="7" s="1"/>
  <c r="K937" i="7"/>
  <c r="L937" i="7" s="1"/>
  <c r="M937" i="7" s="1"/>
  <c r="K915" i="7"/>
  <c r="L915" i="7" s="1"/>
  <c r="M915" i="7" s="1"/>
  <c r="K897" i="7"/>
  <c r="L897" i="7" s="1"/>
  <c r="M897" i="7" s="1"/>
  <c r="K892" i="7"/>
  <c r="L892" i="7" s="1"/>
  <c r="M892" i="7" s="1"/>
  <c r="K863" i="7"/>
  <c r="L863" i="7" s="1"/>
  <c r="M863" i="7" s="1"/>
  <c r="K841" i="7"/>
  <c r="L841" i="7" s="1"/>
  <c r="M841" i="7" s="1"/>
  <c r="K838" i="7"/>
  <c r="L838" i="7" s="1"/>
  <c r="M838" i="7" s="1"/>
  <c r="K834" i="7"/>
  <c r="K831" i="7"/>
  <c r="L831" i="7" s="1"/>
  <c r="M831" i="7" s="1"/>
  <c r="K824" i="7"/>
  <c r="L824" i="7" s="1"/>
  <c r="K816" i="7"/>
  <c r="L816" i="7" s="1"/>
  <c r="K813" i="7"/>
  <c r="L813" i="7" s="1"/>
  <c r="M813" i="7" s="1"/>
  <c r="K804" i="7"/>
  <c r="L804" i="7" s="1"/>
  <c r="M804" i="7" s="1"/>
  <c r="K799" i="7"/>
  <c r="L799" i="7" s="1"/>
  <c r="M799" i="7" s="1"/>
  <c r="K786" i="7"/>
  <c r="L786" i="7" s="1"/>
  <c r="K776" i="7"/>
  <c r="L776" i="7" s="1"/>
  <c r="M776" i="7" s="1"/>
  <c r="K760" i="7"/>
  <c r="L760" i="7" s="1"/>
  <c r="M760" i="7" s="1"/>
  <c r="K640" i="7"/>
  <c r="L640" i="7" s="1"/>
  <c r="K537" i="7"/>
  <c r="L537" i="7" s="1"/>
  <c r="M537" i="7" s="1"/>
  <c r="K512" i="7"/>
  <c r="L512" i="7" s="1"/>
  <c r="K757" i="7"/>
  <c r="L757" i="7" s="1"/>
  <c r="K752" i="7"/>
  <c r="L752" i="7" s="1"/>
  <c r="M752" i="7" s="1"/>
  <c r="K749" i="7"/>
  <c r="L749" i="7" s="1"/>
  <c r="M749" i="7" s="1"/>
  <c r="K730" i="7"/>
  <c r="L730" i="7" s="1"/>
  <c r="K719" i="7"/>
  <c r="L719" i="7" s="1"/>
  <c r="M719" i="7" s="1"/>
  <c r="K550" i="7"/>
  <c r="K1001" i="7"/>
  <c r="L1001" i="7" s="1"/>
  <c r="M1001" i="7" s="1"/>
  <c r="K998" i="7"/>
  <c r="L998" i="7" s="1"/>
  <c r="M998" i="7" s="1"/>
  <c r="K993" i="7"/>
  <c r="L993" i="7" s="1"/>
  <c r="M993" i="7" s="1"/>
  <c r="K990" i="7"/>
  <c r="L990" i="7" s="1"/>
  <c r="M990" i="7" s="1"/>
  <c r="K985" i="7"/>
  <c r="L985" i="7" s="1"/>
  <c r="M985" i="7" s="1"/>
  <c r="K982" i="7"/>
  <c r="L982" i="7" s="1"/>
  <c r="M982" i="7" s="1"/>
  <c r="K977" i="7"/>
  <c r="L977" i="7" s="1"/>
  <c r="M977" i="7" s="1"/>
  <c r="K974" i="7"/>
  <c r="L974" i="7" s="1"/>
  <c r="M974" i="7" s="1"/>
  <c r="K942" i="7"/>
  <c r="K913" i="7"/>
  <c r="L913" i="7" s="1"/>
  <c r="M913" i="7" s="1"/>
  <c r="K883" i="7"/>
  <c r="L883" i="7" s="1"/>
  <c r="K849" i="7"/>
  <c r="L849" i="7" s="1"/>
  <c r="K846" i="7"/>
  <c r="L846" i="7" s="1"/>
  <c r="M846" i="7" s="1"/>
  <c r="K842" i="7"/>
  <c r="K839" i="7"/>
  <c r="L839" i="7" s="1"/>
  <c r="M839" i="7" s="1"/>
  <c r="K818" i="7"/>
  <c r="L818" i="7" s="1"/>
  <c r="M818" i="7" s="1"/>
  <c r="K797" i="7"/>
  <c r="L797" i="7" s="1"/>
  <c r="M797" i="7" s="1"/>
  <c r="K794" i="7"/>
  <c r="K778" i="7"/>
  <c r="L778" i="7" s="1"/>
  <c r="K724" i="7"/>
  <c r="L724" i="7" s="1"/>
  <c r="M724" i="7" s="1"/>
  <c r="K529" i="7"/>
  <c r="K456" i="7"/>
  <c r="L456" i="7" s="1"/>
  <c r="K1011" i="7"/>
  <c r="L1011" i="7" s="1"/>
  <c r="K979" i="7"/>
  <c r="L979" i="7" s="1"/>
  <c r="M979" i="7" s="1"/>
  <c r="K969" i="7"/>
  <c r="L969" i="7" s="1"/>
  <c r="M969" i="7" s="1"/>
  <c r="K966" i="7"/>
  <c r="L966" i="7" s="1"/>
  <c r="M966" i="7" s="1"/>
  <c r="K960" i="7"/>
  <c r="L960" i="7" s="1"/>
  <c r="M960" i="7" s="1"/>
  <c r="K953" i="7"/>
  <c r="L953" i="7" s="1"/>
  <c r="M953" i="7" s="1"/>
  <c r="K917" i="7"/>
  <c r="L917" i="7" s="1"/>
  <c r="M917" i="7" s="1"/>
  <c r="K901" i="7"/>
  <c r="K890" i="7"/>
  <c r="K865" i="7"/>
  <c r="L865" i="7" s="1"/>
  <c r="M865" i="7" s="1"/>
  <c r="K857" i="7"/>
  <c r="L857" i="7" s="1"/>
  <c r="M857" i="7" s="1"/>
  <c r="K854" i="7"/>
  <c r="L854" i="7" s="1"/>
  <c r="M854" i="7" s="1"/>
  <c r="K847" i="7"/>
  <c r="L847" i="7" s="1"/>
  <c r="M847" i="7" s="1"/>
  <c r="K827" i="7"/>
  <c r="L827" i="7" s="1"/>
  <c r="M827" i="7" s="1"/>
  <c r="K808" i="7"/>
  <c r="L808" i="7" s="1"/>
  <c r="M808" i="7" s="1"/>
  <c r="K762" i="7"/>
  <c r="L762" i="7" s="1"/>
  <c r="K754" i="7"/>
  <c r="L754" i="7" s="1"/>
  <c r="K713" i="7"/>
  <c r="K683" i="7"/>
  <c r="L683" i="7" s="1"/>
  <c r="M683" i="7" s="1"/>
  <c r="K564" i="7"/>
  <c r="K948" i="7"/>
  <c r="K921" i="7"/>
  <c r="L921" i="7" s="1"/>
  <c r="M921" i="7" s="1"/>
  <c r="K914" i="7"/>
  <c r="L914" i="7" s="1"/>
  <c r="K910" i="7"/>
  <c r="L910" i="7" s="1"/>
  <c r="K902" i="7"/>
  <c r="K894" i="7"/>
  <c r="L894" i="7" s="1"/>
  <c r="M894" i="7" s="1"/>
  <c r="K885" i="7"/>
  <c r="K851" i="7"/>
  <c r="L851" i="7" s="1"/>
  <c r="M851" i="7" s="1"/>
  <c r="K837" i="7"/>
  <c r="L837" i="7" s="1"/>
  <c r="M837" i="7" s="1"/>
  <c r="K815" i="7"/>
  <c r="L815" i="7" s="1"/>
  <c r="K775" i="7"/>
  <c r="L775" i="7" s="1"/>
  <c r="M775" i="7" s="1"/>
  <c r="K735" i="7"/>
  <c r="L735" i="7" s="1"/>
  <c r="M735" i="7" s="1"/>
  <c r="K654" i="7"/>
  <c r="L654" i="7" s="1"/>
  <c r="M654" i="7" s="1"/>
  <c r="K629" i="7"/>
  <c r="L629" i="7" s="1"/>
  <c r="M629" i="7" s="1"/>
  <c r="K596" i="7"/>
  <c r="K421" i="7"/>
  <c r="L421" i="7" s="1"/>
  <c r="K1005" i="7"/>
  <c r="L1005" i="7" s="1"/>
  <c r="M1005" i="7" s="1"/>
  <c r="K997" i="7"/>
  <c r="L997" i="7" s="1"/>
  <c r="M997" i="7" s="1"/>
  <c r="K962" i="7"/>
  <c r="L962" i="7" s="1"/>
  <c r="K928" i="7"/>
  <c r="L928" i="7" s="1"/>
  <c r="K926" i="7"/>
  <c r="K918" i="7"/>
  <c r="K896" i="7"/>
  <c r="L896" i="7" s="1"/>
  <c r="M896" i="7" s="1"/>
  <c r="K891" i="7"/>
  <c r="L891" i="7" s="1"/>
  <c r="M891" i="7" s="1"/>
  <c r="K875" i="7"/>
  <c r="L875" i="7" s="1"/>
  <c r="K862" i="7"/>
  <c r="L862" i="7" s="1"/>
  <c r="M862" i="7" s="1"/>
  <c r="K858" i="7"/>
  <c r="K855" i="7"/>
  <c r="L855" i="7" s="1"/>
  <c r="M855" i="7" s="1"/>
  <c r="K833" i="7"/>
  <c r="L833" i="7" s="1"/>
  <c r="M833" i="7" s="1"/>
  <c r="K830" i="7"/>
  <c r="L830" i="7" s="1"/>
  <c r="M830" i="7" s="1"/>
  <c r="K810" i="7"/>
  <c r="K806" i="7"/>
  <c r="L806" i="7" s="1"/>
  <c r="M806" i="7" s="1"/>
  <c r="K784" i="7"/>
  <c r="L784" i="7" s="1"/>
  <c r="M784" i="7" s="1"/>
  <c r="K781" i="7"/>
  <c r="K772" i="7"/>
  <c r="K770" i="7"/>
  <c r="L770" i="7" s="1"/>
  <c r="K756" i="7"/>
  <c r="L756" i="7" s="1"/>
  <c r="K748" i="7"/>
  <c r="L748" i="7" s="1"/>
  <c r="M748" i="7" s="1"/>
  <c r="K718" i="7"/>
  <c r="L718" i="7" s="1"/>
  <c r="K645" i="7"/>
  <c r="L645" i="7" s="1"/>
  <c r="K736" i="7"/>
  <c r="L736" i="7" s="1"/>
  <c r="M736" i="7" s="1"/>
  <c r="K733" i="7"/>
  <c r="L733" i="7" s="1"/>
  <c r="M733" i="7" s="1"/>
  <c r="K711" i="7"/>
  <c r="L711" i="7" s="1"/>
  <c r="M711" i="7" s="1"/>
  <c r="K672" i="7"/>
  <c r="L672" i="7" s="1"/>
  <c r="K643" i="7"/>
  <c r="L643" i="7" s="1"/>
  <c r="K639" i="7"/>
  <c r="L639" i="7" s="1"/>
  <c r="M639" i="7" s="1"/>
  <c r="K579" i="7"/>
  <c r="L579" i="7" s="1"/>
  <c r="M579" i="7" s="1"/>
  <c r="K576" i="7"/>
  <c r="L576" i="7" s="1"/>
  <c r="M576" i="7" s="1"/>
  <c r="K553" i="7"/>
  <c r="L553" i="7" s="1"/>
  <c r="M553" i="7" s="1"/>
  <c r="K549" i="7"/>
  <c r="L549" i="7" s="1"/>
  <c r="M549" i="7" s="1"/>
  <c r="K471" i="7"/>
  <c r="L471" i="7" s="1"/>
  <c r="K467" i="7"/>
  <c r="L467" i="7" s="1"/>
  <c r="M467" i="7" s="1"/>
  <c r="K436" i="7"/>
  <c r="L436" i="7" s="1"/>
  <c r="K420" i="7"/>
  <c r="L420" i="7" s="1"/>
  <c r="M420" i="7" s="1"/>
  <c r="K403" i="7"/>
  <c r="L403" i="7" s="1"/>
  <c r="K728" i="7"/>
  <c r="L728" i="7" s="1"/>
  <c r="M728" i="7" s="1"/>
  <c r="K725" i="7"/>
  <c r="L725" i="7" s="1"/>
  <c r="M725" i="7" s="1"/>
  <c r="K703" i="7"/>
  <c r="L703" i="7" s="1"/>
  <c r="M703" i="7" s="1"/>
  <c r="K700" i="7"/>
  <c r="L700" i="7" s="1"/>
  <c r="M700" i="7" s="1"/>
  <c r="K690" i="7"/>
  <c r="L690" i="7" s="1"/>
  <c r="K682" i="7"/>
  <c r="L682" i="7" s="1"/>
  <c r="M682" i="7" s="1"/>
  <c r="K664" i="7"/>
  <c r="L664" i="7" s="1"/>
  <c r="M664" i="7" s="1"/>
  <c r="K623" i="7"/>
  <c r="K609" i="7"/>
  <c r="L609" i="7" s="1"/>
  <c r="M609" i="7" s="1"/>
  <c r="K602" i="7"/>
  <c r="L602" i="7" s="1"/>
  <c r="M602" i="7" s="1"/>
  <c r="K595" i="7"/>
  <c r="L595" i="7" s="1"/>
  <c r="M595" i="7" s="1"/>
  <c r="K570" i="7"/>
  <c r="L570" i="7" s="1"/>
  <c r="K563" i="7"/>
  <c r="L563" i="7" s="1"/>
  <c r="M563" i="7" s="1"/>
  <c r="K541" i="7"/>
  <c r="L541" i="7" s="1"/>
  <c r="M541" i="7" s="1"/>
  <c r="K532" i="7"/>
  <c r="L532" i="7" s="1"/>
  <c r="K527" i="7"/>
  <c r="L527" i="7" s="1"/>
  <c r="K523" i="7"/>
  <c r="L523" i="7" s="1"/>
  <c r="M523" i="7" s="1"/>
  <c r="K503" i="7"/>
  <c r="L503" i="7" s="1"/>
  <c r="M503" i="7" s="1"/>
  <c r="K475" i="7"/>
  <c r="L475" i="7" s="1"/>
  <c r="M475" i="7" s="1"/>
  <c r="K459" i="7"/>
  <c r="L459" i="7" s="1"/>
  <c r="M459" i="7" s="1"/>
  <c r="K447" i="7"/>
  <c r="L447" i="7" s="1"/>
  <c r="M447" i="7" s="1"/>
  <c r="K441" i="7"/>
  <c r="L441" i="7" s="1"/>
  <c r="M441" i="7" s="1"/>
  <c r="K425" i="7"/>
  <c r="L425" i="7" s="1"/>
  <c r="K219" i="7"/>
  <c r="K207" i="7"/>
  <c r="L207" i="7" s="1"/>
  <c r="K135" i="7"/>
  <c r="L135" i="7" s="1"/>
  <c r="K712" i="7"/>
  <c r="L712" i="7" s="1"/>
  <c r="M712" i="7" s="1"/>
  <c r="K709" i="7"/>
  <c r="L709" i="7" s="1"/>
  <c r="M709" i="7" s="1"/>
  <c r="K687" i="7"/>
  <c r="L687" i="7" s="1"/>
  <c r="M687" i="7" s="1"/>
  <c r="K684" i="7"/>
  <c r="L684" i="7" s="1"/>
  <c r="M684" i="7" s="1"/>
  <c r="K674" i="7"/>
  <c r="L674" i="7" s="1"/>
  <c r="K665" i="7"/>
  <c r="L665" i="7" s="1"/>
  <c r="M665" i="7" s="1"/>
  <c r="K662" i="7"/>
  <c r="L662" i="7" s="1"/>
  <c r="M662" i="7" s="1"/>
  <c r="K646" i="7"/>
  <c r="L646" i="7" s="1"/>
  <c r="M646" i="7" s="1"/>
  <c r="K634" i="7"/>
  <c r="L634" i="7" s="1"/>
  <c r="M634" i="7" s="1"/>
  <c r="K624" i="7"/>
  <c r="L624" i="7" s="1"/>
  <c r="M624" i="7" s="1"/>
  <c r="K599" i="7"/>
  <c r="L599" i="7" s="1"/>
  <c r="M599" i="7" s="1"/>
  <c r="K593" i="7"/>
  <c r="L593" i="7" s="1"/>
  <c r="M593" i="7" s="1"/>
  <c r="K567" i="7"/>
  <c r="L567" i="7" s="1"/>
  <c r="K561" i="7"/>
  <c r="L561" i="7" s="1"/>
  <c r="M561" i="7" s="1"/>
  <c r="K551" i="7"/>
  <c r="L551" i="7" s="1"/>
  <c r="K542" i="7"/>
  <c r="L542" i="7" s="1"/>
  <c r="M542" i="7" s="1"/>
  <c r="K524" i="7"/>
  <c r="L524" i="7" s="1"/>
  <c r="M524" i="7" s="1"/>
  <c r="K518" i="7"/>
  <c r="K493" i="7"/>
  <c r="L493" i="7" s="1"/>
  <c r="M493" i="7" s="1"/>
  <c r="K479" i="7"/>
  <c r="L479" i="7" s="1"/>
  <c r="K468" i="7"/>
  <c r="L468" i="7" s="1"/>
  <c r="M468" i="7" s="1"/>
  <c r="K417" i="7"/>
  <c r="L417" i="7" s="1"/>
  <c r="K460" i="7"/>
  <c r="L460" i="7" s="1"/>
  <c r="M460" i="7" s="1"/>
  <c r="K427" i="7"/>
  <c r="L427" i="7" s="1"/>
  <c r="K409" i="7"/>
  <c r="L409" i="7" s="1"/>
  <c r="K354" i="7"/>
  <c r="K223" i="7"/>
  <c r="L223" i="7" s="1"/>
  <c r="K211" i="7"/>
  <c r="K87" i="7"/>
  <c r="L87" i="7" s="1"/>
  <c r="K696" i="7"/>
  <c r="L696" i="7" s="1"/>
  <c r="M696" i="7" s="1"/>
  <c r="K693" i="7"/>
  <c r="L693" i="7" s="1"/>
  <c r="M693" i="7" s="1"/>
  <c r="K671" i="7"/>
  <c r="L671" i="7" s="1"/>
  <c r="K625" i="7"/>
  <c r="L625" i="7" s="1"/>
  <c r="M625" i="7" s="1"/>
  <c r="K584" i="7"/>
  <c r="L584" i="7" s="1"/>
  <c r="M584" i="7" s="1"/>
  <c r="K578" i="7"/>
  <c r="L578" i="7" s="1"/>
  <c r="M578" i="7" s="1"/>
  <c r="K519" i="7"/>
  <c r="K501" i="7"/>
  <c r="L501" i="7" s="1"/>
  <c r="M501" i="7" s="1"/>
  <c r="K423" i="7"/>
  <c r="L423" i="7" s="1"/>
  <c r="M423" i="7" s="1"/>
  <c r="K394" i="7"/>
  <c r="L394" i="7" s="1"/>
  <c r="K390" i="7"/>
  <c r="L390" i="7" s="1"/>
  <c r="K372" i="7"/>
  <c r="L372" i="7" s="1"/>
  <c r="M372" i="7" s="1"/>
  <c r="K167" i="7"/>
  <c r="K688" i="7"/>
  <c r="L688" i="7" s="1"/>
  <c r="M688" i="7" s="1"/>
  <c r="K685" i="7"/>
  <c r="L685" i="7" s="1"/>
  <c r="M685" i="7" s="1"/>
  <c r="K575" i="7"/>
  <c r="L575" i="7" s="1"/>
  <c r="K569" i="7"/>
  <c r="L569" i="7" s="1"/>
  <c r="M569" i="7" s="1"/>
  <c r="K562" i="7"/>
  <c r="L562" i="7" s="1"/>
  <c r="M562" i="7" s="1"/>
  <c r="K552" i="7"/>
  <c r="L552" i="7" s="1"/>
  <c r="M552" i="7" s="1"/>
  <c r="K548" i="7"/>
  <c r="L548" i="7" s="1"/>
  <c r="K543" i="7"/>
  <c r="L543" i="7" s="1"/>
  <c r="K526" i="7"/>
  <c r="L526" i="7" s="1"/>
  <c r="M526" i="7" s="1"/>
  <c r="K498" i="7"/>
  <c r="L498" i="7" s="1"/>
  <c r="K477" i="7"/>
  <c r="L477" i="7" s="1"/>
  <c r="M477" i="7" s="1"/>
  <c r="K470" i="7"/>
  <c r="K461" i="7"/>
  <c r="L461" i="7" s="1"/>
  <c r="M461" i="7" s="1"/>
  <c r="K431" i="7"/>
  <c r="L431" i="7" s="1"/>
  <c r="M431" i="7" s="1"/>
  <c r="K411" i="7"/>
  <c r="L411" i="7" s="1"/>
  <c r="K706" i="7"/>
  <c r="L706" i="7" s="1"/>
  <c r="K698" i="7"/>
  <c r="L698" i="7" s="1"/>
  <c r="K680" i="7"/>
  <c r="L680" i="7" s="1"/>
  <c r="M680" i="7" s="1"/>
  <c r="K677" i="7"/>
  <c r="L677" i="7" s="1"/>
  <c r="M677" i="7" s="1"/>
  <c r="K669" i="7"/>
  <c r="L669" i="7" s="1"/>
  <c r="M669" i="7" s="1"/>
  <c r="K651" i="7"/>
  <c r="L651" i="7" s="1"/>
  <c r="M651" i="7" s="1"/>
  <c r="K632" i="7"/>
  <c r="L632" i="7" s="1"/>
  <c r="M632" i="7" s="1"/>
  <c r="K611" i="7"/>
  <c r="L611" i="7" s="1"/>
  <c r="K591" i="7"/>
  <c r="L591" i="7" s="1"/>
  <c r="M591" i="7" s="1"/>
  <c r="K402" i="7"/>
  <c r="L402" i="7" s="1"/>
  <c r="M402" i="7" s="1"/>
  <c r="K215" i="7"/>
  <c r="L215" i="7" s="1"/>
  <c r="K401" i="7"/>
  <c r="L401" i="7" s="1"/>
  <c r="K374" i="7"/>
  <c r="L374" i="7" s="1"/>
  <c r="K317" i="7"/>
  <c r="L317" i="7" s="1"/>
  <c r="M317" i="7" s="1"/>
  <c r="K298" i="7"/>
  <c r="L298" i="7" s="1"/>
  <c r="M298" i="7" s="1"/>
  <c r="K280" i="7"/>
  <c r="L280" i="7" s="1"/>
  <c r="M280" i="7" s="1"/>
  <c r="K269" i="7"/>
  <c r="L269" i="7" s="1"/>
  <c r="K246" i="7"/>
  <c r="L246" i="7" s="1"/>
  <c r="K196" i="7"/>
  <c r="L196" i="7" s="1"/>
  <c r="M196" i="7" s="1"/>
  <c r="K181" i="7"/>
  <c r="L181" i="7" s="1"/>
  <c r="K166" i="7"/>
  <c r="K156" i="7"/>
  <c r="L156" i="7" s="1"/>
  <c r="M156" i="7" s="1"/>
  <c r="K145" i="7"/>
  <c r="L145" i="7" s="1"/>
  <c r="M145" i="7" s="1"/>
  <c r="K120" i="7"/>
  <c r="L120" i="7" s="1"/>
  <c r="M120" i="7" s="1"/>
  <c r="K112" i="7"/>
  <c r="L112" i="7" s="1"/>
  <c r="M112" i="7" s="1"/>
  <c r="K85" i="7"/>
  <c r="K60" i="7"/>
  <c r="L60" i="7" s="1"/>
  <c r="M60" i="7" s="1"/>
  <c r="K57" i="7"/>
  <c r="L57" i="7" s="1"/>
  <c r="M57" i="7" s="1"/>
  <c r="K37" i="7"/>
  <c r="L37" i="7" s="1"/>
  <c r="K34" i="7"/>
  <c r="L34" i="7" s="1"/>
  <c r="M34" i="7" s="1"/>
  <c r="K341" i="7"/>
  <c r="L341" i="7" s="1"/>
  <c r="K290" i="7"/>
  <c r="L290" i="7" s="1"/>
  <c r="K189" i="7"/>
  <c r="L189" i="7" s="1"/>
  <c r="M189" i="7" s="1"/>
  <c r="K170" i="7"/>
  <c r="L170" i="7" s="1"/>
  <c r="K149" i="7"/>
  <c r="K101" i="7"/>
  <c r="K89" i="7"/>
  <c r="L89" i="7" s="1"/>
  <c r="M89" i="7" s="1"/>
  <c r="K77" i="7"/>
  <c r="K74" i="7"/>
  <c r="L74" i="7" s="1"/>
  <c r="K53" i="7"/>
  <c r="L53" i="7" s="1"/>
  <c r="K50" i="7"/>
  <c r="L50" i="7" s="1"/>
  <c r="M50" i="7" s="1"/>
  <c r="K46" i="7"/>
  <c r="L46" i="7" s="1"/>
  <c r="M46" i="7" s="1"/>
  <c r="K38" i="7"/>
  <c r="K382" i="7"/>
  <c r="L382" i="7" s="1"/>
  <c r="M382" i="7" s="1"/>
  <c r="K376" i="7"/>
  <c r="L376" i="7" s="1"/>
  <c r="K356" i="7"/>
  <c r="L356" i="7" s="1"/>
  <c r="M356" i="7" s="1"/>
  <c r="K350" i="7"/>
  <c r="L350" i="7" s="1"/>
  <c r="M350" i="7" s="1"/>
  <c r="K347" i="7"/>
  <c r="L347" i="7" s="1"/>
  <c r="K345" i="7"/>
  <c r="L345" i="7" s="1"/>
  <c r="K330" i="7"/>
  <c r="K318" i="7"/>
  <c r="L318" i="7" s="1"/>
  <c r="M318" i="7" s="1"/>
  <c r="K314" i="7"/>
  <c r="L314" i="7" s="1"/>
  <c r="K300" i="7"/>
  <c r="L300" i="7" s="1"/>
  <c r="M300" i="7" s="1"/>
  <c r="K296" i="7"/>
  <c r="L296" i="7" s="1"/>
  <c r="M296" i="7" s="1"/>
  <c r="K286" i="7"/>
  <c r="K281" i="7"/>
  <c r="L281" i="7" s="1"/>
  <c r="K274" i="7"/>
  <c r="L274" i="7" s="1"/>
  <c r="K270" i="7"/>
  <c r="L270" i="7" s="1"/>
  <c r="K266" i="7"/>
  <c r="L266" i="7" s="1"/>
  <c r="M266" i="7" s="1"/>
  <c r="K262" i="7"/>
  <c r="L262" i="7" s="1"/>
  <c r="K197" i="7"/>
  <c r="L197" i="7" s="1"/>
  <c r="M197" i="7" s="1"/>
  <c r="K179" i="7"/>
  <c r="L179" i="7" s="1"/>
  <c r="M179" i="7" s="1"/>
  <c r="K164" i="7"/>
  <c r="L164" i="7" s="1"/>
  <c r="M164" i="7" s="1"/>
  <c r="K157" i="7"/>
  <c r="K146" i="7"/>
  <c r="L146" i="7" s="1"/>
  <c r="M146" i="7" s="1"/>
  <c r="K137" i="7"/>
  <c r="L137" i="7" s="1"/>
  <c r="M137" i="7" s="1"/>
  <c r="K98" i="7"/>
  <c r="L98" i="7" s="1"/>
  <c r="M98" i="7" s="1"/>
  <c r="K70" i="7"/>
  <c r="L70" i="7" s="1"/>
  <c r="K61" i="7"/>
  <c r="K58" i="7"/>
  <c r="L58" i="7" s="1"/>
  <c r="M58" i="7" s="1"/>
  <c r="K35" i="7"/>
  <c r="L35" i="7" s="1"/>
  <c r="M35" i="7" s="1"/>
  <c r="K30" i="7"/>
  <c r="K241" i="7"/>
  <c r="L241" i="7" s="1"/>
  <c r="K233" i="7"/>
  <c r="L233" i="7" s="1"/>
  <c r="M233" i="7" s="1"/>
  <c r="K225" i="7"/>
  <c r="L225" i="7" s="1"/>
  <c r="M225" i="7" s="1"/>
  <c r="K105" i="7"/>
  <c r="L105" i="7" s="1"/>
  <c r="M105" i="7" s="1"/>
  <c r="K93" i="7"/>
  <c r="K54" i="7"/>
  <c r="L54" i="7" s="1"/>
  <c r="M54" i="7" s="1"/>
  <c r="K442" i="7"/>
  <c r="L442" i="7" s="1"/>
  <c r="K380" i="7"/>
  <c r="L380" i="7" s="1"/>
  <c r="M380" i="7" s="1"/>
  <c r="K377" i="7"/>
  <c r="K348" i="7"/>
  <c r="L348" i="7" s="1"/>
  <c r="M348" i="7" s="1"/>
  <c r="K342" i="7"/>
  <c r="L342" i="7" s="1"/>
  <c r="M342" i="7" s="1"/>
  <c r="K332" i="7"/>
  <c r="K324" i="7"/>
  <c r="L324" i="7" s="1"/>
  <c r="K282" i="7"/>
  <c r="L282" i="7" s="1"/>
  <c r="K278" i="7"/>
  <c r="L278" i="7" s="1"/>
  <c r="K260" i="7"/>
  <c r="L260" i="7" s="1"/>
  <c r="M260" i="7" s="1"/>
  <c r="K238" i="7"/>
  <c r="L238" i="7" s="1"/>
  <c r="M238" i="7" s="1"/>
  <c r="K230" i="7"/>
  <c r="L230" i="7" s="1"/>
  <c r="M230" i="7" s="1"/>
  <c r="K222" i="7"/>
  <c r="L222" i="7" s="1"/>
  <c r="M222" i="7" s="1"/>
  <c r="K214" i="7"/>
  <c r="L214" i="7" s="1"/>
  <c r="M214" i="7" s="1"/>
  <c r="K206" i="7"/>
  <c r="L206" i="7" s="1"/>
  <c r="M206" i="7" s="1"/>
  <c r="K187" i="7"/>
  <c r="L187" i="7" s="1"/>
  <c r="K180" i="7"/>
  <c r="L180" i="7" s="1"/>
  <c r="M180" i="7" s="1"/>
  <c r="K158" i="7"/>
  <c r="K141" i="7"/>
  <c r="K133" i="7"/>
  <c r="L133" i="7" s="1"/>
  <c r="K125" i="7"/>
  <c r="L125" i="7" s="1"/>
  <c r="M125" i="7" s="1"/>
  <c r="K117" i="7"/>
  <c r="K90" i="7"/>
  <c r="L90" i="7" s="1"/>
  <c r="M90" i="7" s="1"/>
  <c r="K84" i="7"/>
  <c r="K75" i="7"/>
  <c r="L75" i="7" s="1"/>
  <c r="K51" i="7"/>
  <c r="L51" i="7" s="1"/>
  <c r="M51" i="7" s="1"/>
  <c r="K36" i="7"/>
  <c r="L36" i="7" s="1"/>
  <c r="M36" i="7" s="1"/>
  <c r="K325" i="7"/>
  <c r="L325" i="7" s="1"/>
  <c r="M325" i="7" s="1"/>
  <c r="K284" i="7"/>
  <c r="L284" i="7" s="1"/>
  <c r="M284" i="7" s="1"/>
  <c r="K272" i="7"/>
  <c r="L272" i="7" s="1"/>
  <c r="M272" i="7" s="1"/>
  <c r="K264" i="7"/>
  <c r="L264" i="7" s="1"/>
  <c r="M264" i="7" s="1"/>
  <c r="K210" i="7"/>
  <c r="K202" i="7"/>
  <c r="K199" i="7"/>
  <c r="L199" i="7" s="1"/>
  <c r="M199" i="7" s="1"/>
  <c r="K172" i="7"/>
  <c r="L172" i="7" s="1"/>
  <c r="M172" i="7" s="1"/>
  <c r="K152" i="7"/>
  <c r="L152" i="7" s="1"/>
  <c r="M152" i="7" s="1"/>
  <c r="K114" i="7"/>
  <c r="L114" i="7" s="1"/>
  <c r="M114" i="7" s="1"/>
  <c r="K109" i="7"/>
  <c r="K68" i="7"/>
  <c r="L68" i="7" s="1"/>
  <c r="M68" i="7" s="1"/>
  <c r="K44" i="7"/>
  <c r="L44" i="7" s="1"/>
  <c r="M44" i="7" s="1"/>
  <c r="K25" i="7"/>
  <c r="L25" i="7" s="1"/>
  <c r="M25" i="7" s="1"/>
  <c r="K8" i="7"/>
  <c r="L8" i="7" s="1"/>
  <c r="M8" i="7" s="1"/>
  <c r="K2993" i="7"/>
  <c r="K2977" i="7"/>
  <c r="K2900" i="7"/>
  <c r="K2860" i="7"/>
  <c r="K2903" i="7"/>
  <c r="K2884" i="7"/>
  <c r="K2868" i="7"/>
  <c r="K26" i="7"/>
  <c r="L26" i="7" s="1"/>
  <c r="M26" i="7" s="1"/>
  <c r="K12" i="7"/>
  <c r="L12" i="7" s="1"/>
  <c r="M12" i="7" s="1"/>
  <c r="K4" i="7"/>
  <c r="L4" i="7" s="1"/>
  <c r="M4" i="7" s="1"/>
  <c r="K2969" i="7"/>
  <c r="K2961" i="7"/>
  <c r="K2953" i="7"/>
  <c r="K2945" i="7"/>
  <c r="K2937" i="7"/>
  <c r="K2929" i="7"/>
  <c r="K2921" i="7"/>
  <c r="K2913" i="7"/>
  <c r="K2855" i="7"/>
  <c r="K5" i="7"/>
  <c r="L5" i="7" s="1"/>
  <c r="M5" i="7" s="1"/>
  <c r="K20" i="7"/>
  <c r="L20" i="7" s="1"/>
  <c r="M20" i="7" s="1"/>
  <c r="K17" i="7"/>
  <c r="L17" i="7" s="1"/>
  <c r="M17" i="7" s="1"/>
  <c r="K2871" i="7"/>
  <c r="K2863" i="7"/>
  <c r="K2831" i="7"/>
  <c r="K2657" i="7"/>
  <c r="K2646" i="7"/>
  <c r="K2593" i="7"/>
  <c r="K2550" i="7"/>
  <c r="K2641" i="7"/>
  <c r="K2617" i="7"/>
  <c r="K2585" i="7"/>
  <c r="K2518" i="7"/>
  <c r="K2678" i="7"/>
  <c r="K2609" i="7"/>
  <c r="K2577" i="7"/>
  <c r="K2502" i="7"/>
  <c r="K2681" i="7"/>
  <c r="K2670" i="7"/>
  <c r="K2614" i="7"/>
  <c r="K2582" i="7"/>
  <c r="K2526" i="7"/>
  <c r="K2082" i="7"/>
  <c r="K2154" i="7"/>
  <c r="K2098" i="7"/>
  <c r="K2219" i="7"/>
  <c r="K2211" i="7"/>
  <c r="K2203" i="7"/>
  <c r="K2195" i="7"/>
  <c r="K2146" i="7"/>
  <c r="K2114" i="7"/>
  <c r="K2074" i="7"/>
  <c r="K2179" i="7"/>
  <c r="K2122" i="7"/>
  <c r="K2090" i="7"/>
  <c r="K2227" i="7"/>
  <c r="K2130" i="7"/>
  <c r="K2106" i="7"/>
  <c r="K1916" i="7"/>
  <c r="K1876" i="7"/>
  <c r="K1844" i="7"/>
  <c r="K1832" i="7"/>
  <c r="K1768" i="7"/>
  <c r="K1948" i="7"/>
  <c r="K1908" i="7"/>
  <c r="K1884" i="7"/>
  <c r="K1852" i="7"/>
  <c r="K1816" i="7"/>
  <c r="K1752" i="7"/>
  <c r="K1912" i="7"/>
  <c r="K1880" i="7"/>
  <c r="K1848" i="7"/>
  <c r="K1824" i="7"/>
  <c r="K1760" i="7"/>
  <c r="K1290" i="7"/>
  <c r="K1258" i="7"/>
  <c r="K1386" i="7"/>
  <c r="K1370" i="7"/>
  <c r="K1250" i="7"/>
  <c r="K1354" i="7"/>
  <c r="K1314" i="7"/>
  <c r="K1306" i="7"/>
  <c r="K1338" i="7"/>
  <c r="K1298" i="7"/>
  <c r="K1208" i="7"/>
  <c r="K1192" i="7"/>
  <c r="K1240" i="7"/>
  <c r="K1232" i="7"/>
  <c r="K1216" i="7"/>
  <c r="K946" i="7"/>
  <c r="K941" i="7"/>
  <c r="K949" i="7"/>
  <c r="K930" i="7"/>
  <c r="K925" i="7"/>
  <c r="K877" i="7"/>
  <c r="K938" i="7"/>
  <c r="K933" i="7"/>
  <c r="K957" i="7"/>
  <c r="K898" i="7"/>
  <c r="K893" i="7"/>
  <c r="K882" i="7"/>
  <c r="K872" i="7"/>
  <c r="K751" i="7"/>
  <c r="K823" i="7"/>
  <c r="K807" i="7"/>
  <c r="K864" i="7"/>
  <c r="K759" i="7"/>
  <c r="K856" i="7"/>
  <c r="K848" i="7"/>
  <c r="K840" i="7"/>
  <c r="K832" i="7"/>
  <c r="K791" i="7"/>
  <c r="K767" i="7"/>
  <c r="K650" i="7"/>
  <c r="K618" i="7"/>
  <c r="K607" i="7"/>
  <c r="K642" i="7"/>
  <c r="K663" i="7"/>
  <c r="K647" i="7"/>
  <c r="K626" i="7"/>
  <c r="K508" i="7"/>
  <c r="K474" i="7"/>
  <c r="K458" i="7"/>
  <c r="K492" i="7"/>
  <c r="K397" i="7"/>
  <c r="K373" i="7"/>
  <c r="K546" i="7"/>
  <c r="K482" i="7"/>
  <c r="K538" i="7"/>
  <c r="K506" i="7"/>
  <c r="K476" i="7"/>
  <c r="K530" i="7"/>
  <c r="K500" i="7"/>
  <c r="K466" i="7"/>
  <c r="K448" i="7"/>
  <c r="K398" i="7"/>
  <c r="K392" i="7"/>
  <c r="K360" i="7"/>
  <c r="K365" i="7"/>
  <c r="K344" i="7"/>
  <c r="K384" i="7"/>
  <c r="K352" i="7"/>
  <c r="K440" i="7"/>
  <c r="K432" i="7"/>
  <c r="K424" i="7"/>
  <c r="K416" i="7"/>
  <c r="K408" i="7"/>
  <c r="K400" i="7"/>
  <c r="K389" i="7"/>
  <c r="K357" i="7"/>
  <c r="K381" i="7"/>
  <c r="K349" i="7"/>
  <c r="K326" i="7"/>
  <c r="K321" i="7"/>
  <c r="K293" i="7"/>
  <c r="K237" i="7"/>
  <c r="K229" i="7"/>
  <c r="K221" i="7"/>
  <c r="K213" i="7"/>
  <c r="K205" i="7"/>
  <c r="K337" i="7"/>
  <c r="K285" i="7"/>
  <c r="K329" i="7"/>
  <c r="K305" i="7"/>
  <c r="K309" i="7"/>
  <c r="K277" i="7"/>
  <c r="K261" i="7"/>
  <c r="K245" i="7"/>
  <c r="K185" i="7"/>
  <c r="K113" i="7"/>
  <c r="K97" i="7"/>
  <c r="K81" i="7"/>
  <c r="K186" i="7"/>
  <c r="K153" i="7"/>
  <c r="K49" i="7"/>
  <c r="K178" i="7"/>
  <c r="K129" i="7"/>
  <c r="K41" i="7"/>
  <c r="K121" i="7"/>
  <c r="K65" i="7"/>
  <c r="K33" i="7"/>
  <c r="K2" i="7"/>
  <c r="M622" i="7" l="1"/>
  <c r="M722" i="7"/>
  <c r="M2591" i="7"/>
  <c r="M907" i="7"/>
  <c r="M429" i="7"/>
  <c r="M920" i="7"/>
  <c r="M1063" i="7"/>
  <c r="M115" i="7"/>
  <c r="M955" i="7"/>
  <c r="M1390" i="7"/>
  <c r="M2680" i="7"/>
  <c r="M638" i="7"/>
  <c r="M2413" i="7"/>
  <c r="M2477" i="7"/>
  <c r="M371" i="7"/>
  <c r="M1392" i="7"/>
  <c r="M2777" i="7"/>
  <c r="M1198" i="7"/>
  <c r="M1255" i="7"/>
  <c r="M2744" i="7"/>
  <c r="M2836" i="7"/>
  <c r="M275" i="7"/>
  <c r="M1902" i="7"/>
  <c r="M2096" i="7"/>
  <c r="M1111" i="7"/>
  <c r="M1846" i="7"/>
  <c r="M2468" i="7"/>
  <c r="M1183" i="7"/>
  <c r="M15" i="7"/>
  <c r="M480" i="7"/>
  <c r="M95" i="7"/>
  <c r="M387" i="7"/>
  <c r="M2033" i="7"/>
  <c r="M1984" i="7"/>
  <c r="M1270" i="7"/>
  <c r="M472" i="7"/>
  <c r="M1228" i="7"/>
  <c r="M1023" i="7"/>
  <c r="M621" i="7"/>
  <c r="M2469" i="7"/>
  <c r="M2893" i="7"/>
  <c r="M2508" i="7"/>
  <c r="M151" i="7"/>
  <c r="M1127" i="7"/>
  <c r="M1976" i="7"/>
  <c r="M2092" i="7"/>
  <c r="M301" i="7"/>
  <c r="M648" i="7"/>
  <c r="M253" i="7"/>
  <c r="M694" i="7"/>
  <c r="M975" i="7"/>
  <c r="M2152" i="7"/>
  <c r="M1726" i="7"/>
  <c r="M257" i="7"/>
  <c r="M742" i="7"/>
  <c r="M1031" i="7"/>
  <c r="M2920" i="7"/>
  <c r="M1476" i="7"/>
  <c r="M2332" i="7"/>
  <c r="M829" i="7"/>
  <c r="M147" i="7"/>
  <c r="M422" i="7"/>
  <c r="M1510" i="7"/>
  <c r="M160" i="7"/>
  <c r="M2968" i="7"/>
  <c r="M2087" i="7"/>
  <c r="M2436" i="7"/>
  <c r="M2484" i="7"/>
  <c r="M311" i="7"/>
  <c r="M2841" i="7"/>
  <c r="M379" i="7"/>
  <c r="M1549" i="7"/>
  <c r="M131" i="7"/>
  <c r="M528" i="7"/>
  <c r="M1532" i="7"/>
  <c r="M1629" i="7"/>
  <c r="M2943" i="7"/>
  <c r="M2904" i="7"/>
  <c r="M556" i="7"/>
  <c r="M1039" i="7"/>
  <c r="M1264" i="7"/>
  <c r="M1695" i="7"/>
  <c r="M2004" i="7"/>
  <c r="M2184" i="7"/>
  <c r="M788" i="7"/>
  <c r="M405" i="7"/>
  <c r="M414" i="7"/>
  <c r="M1237" i="7"/>
  <c r="M1648" i="7"/>
  <c r="M2269" i="7"/>
  <c r="M581" i="7"/>
  <c r="M2774" i="7"/>
  <c r="M496" i="7"/>
  <c r="M1462" i="7"/>
  <c r="M1749" i="7"/>
  <c r="M2301" i="7"/>
  <c r="M2625" i="7"/>
  <c r="M161" i="7"/>
  <c r="M573" i="7"/>
  <c r="M1673" i="7"/>
  <c r="M2388" i="7"/>
  <c r="M2800" i="7"/>
  <c r="M1095" i="7"/>
  <c r="M935" i="7"/>
  <c r="M2876" i="7"/>
  <c r="M231" i="7"/>
  <c r="M516" i="7"/>
  <c r="M558" i="7"/>
  <c r="M971" i="7"/>
  <c r="M2117" i="7"/>
  <c r="M764" i="7"/>
  <c r="M874" i="7"/>
  <c r="M2713" i="7"/>
  <c r="M126" i="7"/>
  <c r="M1956" i="7"/>
  <c r="M1210" i="7"/>
  <c r="M787" i="7"/>
  <c r="M2493" i="7"/>
  <c r="M1454" i="7"/>
  <c r="M2806" i="7"/>
  <c r="M1494" i="7"/>
  <c r="M645" i="7"/>
  <c r="M2252" i="7"/>
  <c r="M812" i="7"/>
  <c r="M659" i="7"/>
  <c r="M3" i="7"/>
  <c r="M1202" i="7"/>
  <c r="M366" i="7"/>
  <c r="M637" i="7"/>
  <c r="M582" i="7"/>
  <c r="M1581" i="7"/>
  <c r="M2622" i="7"/>
  <c r="M2452" i="7"/>
  <c r="M1681" i="7"/>
  <c r="M1221" i="7"/>
  <c r="M2889" i="7"/>
  <c r="M2126" i="7"/>
  <c r="M393" i="7"/>
  <c r="M198" i="7"/>
  <c r="M1162" i="7"/>
  <c r="M1837" i="7"/>
  <c r="M111" i="7"/>
  <c r="M243" i="7"/>
  <c r="M515" i="7"/>
  <c r="M710" i="7"/>
  <c r="M939" i="7"/>
  <c r="M1488" i="7"/>
  <c r="M1842" i="7"/>
  <c r="M2085" i="7"/>
  <c r="M2453" i="7"/>
  <c r="M1620" i="7"/>
  <c r="M826" i="7"/>
  <c r="M1711" i="7"/>
  <c r="M2445" i="7"/>
  <c r="M613" i="7"/>
  <c r="M574" i="7"/>
  <c r="M789" i="7"/>
  <c r="M1470" i="7"/>
  <c r="M786" i="7"/>
  <c r="M962" i="7"/>
  <c r="M2545" i="7"/>
  <c r="M963" i="7"/>
  <c r="M1376" i="7"/>
  <c r="M746" i="7"/>
  <c r="M170" i="7"/>
  <c r="M1320" i="7"/>
  <c r="M1829" i="7"/>
  <c r="M2694" i="7"/>
  <c r="M1914" i="7"/>
  <c r="M1838" i="7"/>
  <c r="M2742" i="7"/>
  <c r="M2924" i="7"/>
  <c r="M2041" i="7"/>
  <c r="M2317" i="7"/>
  <c r="M139" i="7"/>
  <c r="M1495" i="7"/>
  <c r="M1922" i="7"/>
  <c r="M1694" i="7"/>
  <c r="M1211" i="7"/>
  <c r="M1568" i="7"/>
  <c r="M1935" i="7"/>
  <c r="M2567" i="7"/>
  <c r="M2866" i="7"/>
  <c r="M31" i="7"/>
  <c r="M836" i="7"/>
  <c r="M1179" i="7"/>
  <c r="M1758" i="7"/>
  <c r="M2141" i="7"/>
  <c r="M69" i="7"/>
  <c r="M430" i="7"/>
  <c r="M1055" i="7"/>
  <c r="M1027" i="7"/>
  <c r="M1652" i="7"/>
  <c r="M2229" i="7"/>
  <c r="M2639" i="7"/>
  <c r="M887" i="7"/>
  <c r="M816" i="7"/>
  <c r="M1214" i="7"/>
  <c r="M1254" i="7"/>
  <c r="M1272" i="7"/>
  <c r="M2277" i="7"/>
  <c r="M79" i="7"/>
  <c r="M270" i="7"/>
  <c r="M522" i="7"/>
  <c r="M954" i="7"/>
  <c r="M1103" i="7"/>
  <c r="M1288" i="7"/>
  <c r="M2485" i="7"/>
  <c r="M635" i="7"/>
  <c r="M1477" i="7"/>
  <c r="M2095" i="7"/>
  <c r="M931" i="7"/>
  <c r="M283" i="7"/>
  <c r="M339" i="7"/>
  <c r="M403" i="7"/>
  <c r="M1536" i="7"/>
  <c r="M1774" i="7"/>
  <c r="M2973" i="7"/>
  <c r="M2959" i="7"/>
  <c r="M2578" i="7"/>
  <c r="M410" i="7"/>
  <c r="M605" i="7"/>
  <c r="M1186" i="7"/>
  <c r="M1487" i="7"/>
  <c r="M1439" i="7"/>
  <c r="M1925" i="7"/>
  <c r="M2325" i="7"/>
  <c r="M2572" i="7"/>
  <c r="M2726" i="7"/>
  <c r="M2898" i="7"/>
  <c r="M1287" i="7"/>
  <c r="M2243" i="7"/>
  <c r="M2324" i="7"/>
  <c r="M254" i="7"/>
  <c r="M2144" i="7"/>
  <c r="M2932" i="7"/>
  <c r="M521" i="7"/>
  <c r="M241" i="7"/>
  <c r="M246" i="7"/>
  <c r="M909" i="7"/>
  <c r="M1135" i="7"/>
  <c r="M1003" i="7"/>
  <c r="M2080" i="7"/>
  <c r="M2069" i="7"/>
  <c r="M215" i="7"/>
  <c r="M611" i="7"/>
  <c r="M671" i="7"/>
  <c r="M2618" i="7"/>
  <c r="M2856" i="7"/>
  <c r="M427" i="7"/>
  <c r="M910" i="7"/>
  <c r="M1447" i="7"/>
  <c r="M1431" i="7"/>
  <c r="M539" i="7"/>
  <c r="M2236" i="7"/>
  <c r="M567" i="7"/>
  <c r="M674" i="7"/>
  <c r="M1496" i="7"/>
  <c r="M2697" i="7"/>
  <c r="M1328" i="7"/>
  <c r="M532" i="7"/>
  <c r="M1384" i="7"/>
  <c r="M2668" i="7"/>
  <c r="M2753" i="7"/>
  <c r="M1703" i="7"/>
  <c r="M1943" i="7"/>
  <c r="M2768" i="7"/>
  <c r="M1131" i="7"/>
  <c r="M1616" i="7"/>
  <c r="M1624" i="7"/>
  <c r="M2555" i="7"/>
  <c r="M2833" i="7"/>
  <c r="M956" i="7"/>
  <c r="M950" i="7"/>
  <c r="M1335" i="7"/>
  <c r="M1605" i="7"/>
  <c r="M2021" i="7"/>
  <c r="M2404" i="7"/>
  <c r="M886" i="7"/>
  <c r="M1234" i="7"/>
  <c r="M2373" i="7"/>
  <c r="M2792" i="7"/>
  <c r="M1929" i="7"/>
  <c r="M2134" i="7"/>
  <c r="M2261" i="7"/>
  <c r="M2500" i="7"/>
  <c r="M1742" i="7"/>
  <c r="M315" i="7"/>
  <c r="M1336" i="7"/>
  <c r="M1640" i="7"/>
  <c r="M2071" i="7"/>
  <c r="M2635" i="7"/>
  <c r="M2588" i="7"/>
  <c r="M2940" i="7"/>
  <c r="M1304" i="7"/>
  <c r="M419" i="7"/>
  <c r="M299" i="7"/>
  <c r="M756" i="7"/>
  <c r="M1621" i="7"/>
  <c r="M2293" i="7"/>
  <c r="M2951" i="7"/>
  <c r="M295" i="7"/>
  <c r="M464" i="7"/>
  <c r="M583" i="7"/>
  <c r="M983" i="7"/>
  <c r="M1099" i="7"/>
  <c r="M1296" i="7"/>
  <c r="M2989" i="7"/>
  <c r="M123" i="7"/>
  <c r="M154" i="7"/>
  <c r="M888" i="7"/>
  <c r="M1236" i="7"/>
  <c r="M1432" i="7"/>
  <c r="M1898" i="7"/>
  <c r="M2967" i="7"/>
  <c r="M99" i="7"/>
  <c r="M1171" i="7"/>
  <c r="M2017" i="7"/>
  <c r="M2879" i="7"/>
  <c r="M1710" i="7"/>
  <c r="M2251" i="7"/>
  <c r="M1452" i="7"/>
  <c r="M2365" i="7"/>
  <c r="M2912" i="7"/>
  <c r="M273" i="7"/>
  <c r="M401" i="7"/>
  <c r="M479" i="7"/>
  <c r="M2877" i="7"/>
  <c r="M2960" i="7"/>
  <c r="M619" i="7"/>
  <c r="M2875" i="7"/>
  <c r="M527" i="7"/>
  <c r="M1992" i="7"/>
  <c r="M2185" i="7"/>
  <c r="M1071" i="7"/>
  <c r="M1572" i="7"/>
  <c r="M2285" i="7"/>
  <c r="M2729" i="7"/>
  <c r="M2817" i="7"/>
  <c r="M53" i="7"/>
  <c r="M1079" i="7"/>
  <c r="M1524" i="7"/>
  <c r="M1277" i="7"/>
  <c r="M1366" i="7"/>
  <c r="M2065" i="7"/>
  <c r="M1921" i="7"/>
  <c r="M2421" i="7"/>
  <c r="M83" i="7"/>
  <c r="M265" i="7"/>
  <c r="M1007" i="7"/>
  <c r="M1900" i="7"/>
  <c r="M2790" i="7"/>
  <c r="M2869" i="7"/>
  <c r="M2948" i="7"/>
  <c r="M2135" i="7"/>
  <c r="M488" i="7"/>
  <c r="M436" i="7"/>
  <c r="M765" i="7"/>
  <c r="M1904" i="7"/>
  <c r="M2053" i="7"/>
  <c r="M2529" i="7"/>
  <c r="M2579" i="7"/>
  <c r="M2808" i="7"/>
  <c r="M1540" i="7"/>
  <c r="M1263" i="7"/>
  <c r="M434" i="7"/>
  <c r="M987" i="7"/>
  <c r="M1813" i="7"/>
  <c r="M1934" i="7"/>
  <c r="M1910" i="7"/>
  <c r="M2124" i="7"/>
  <c r="M2885" i="7"/>
  <c r="M2956" i="7"/>
  <c r="M2944" i="7"/>
  <c r="M1564" i="7"/>
  <c r="M2068" i="7"/>
  <c r="M406" i="7"/>
  <c r="M2611" i="7"/>
  <c r="M2902" i="7"/>
  <c r="M2916" i="7"/>
  <c r="M763" i="7"/>
  <c r="M2349" i="7"/>
  <c r="M1123" i="7"/>
  <c r="M1486" i="7"/>
  <c r="M2077" i="7"/>
  <c r="M1968" i="7"/>
  <c r="M1612" i="7"/>
  <c r="M374" i="7"/>
  <c r="M770" i="7"/>
  <c r="M1051" i="7"/>
  <c r="M1358" i="7"/>
  <c r="M1502" i="7"/>
  <c r="M543" i="7"/>
  <c r="M1351" i="7"/>
  <c r="M1853" i="7"/>
  <c r="M324" i="7"/>
  <c r="M928" i="7"/>
  <c r="M1271" i="7"/>
  <c r="M2825" i="7"/>
  <c r="M2079" i="7"/>
  <c r="M207" i="7"/>
  <c r="M358" i="7"/>
  <c r="M428" i="7"/>
  <c r="M1632" i="7"/>
  <c r="M2284" i="7"/>
  <c r="M471" i="7"/>
  <c r="M1119" i="7"/>
  <c r="M1399" i="7"/>
  <c r="M1597" i="7"/>
  <c r="M1901" i="7"/>
  <c r="M2237" i="7"/>
  <c r="M307" i="7"/>
  <c r="M1972" i="7"/>
  <c r="M1918" i="7"/>
  <c r="M1885" i="7"/>
  <c r="M2710" i="7"/>
  <c r="M287" i="7"/>
  <c r="M1448" i="7"/>
  <c r="M1687" i="7"/>
  <c r="M2357" i="7"/>
  <c r="M45" i="7"/>
  <c r="M1980" i="7"/>
  <c r="M2072" i="7"/>
  <c r="M2540" i="7"/>
  <c r="M2793" i="7"/>
  <c r="M2852" i="7"/>
  <c r="M2190" i="7"/>
  <c r="M883" i="7"/>
  <c r="M2750" i="7"/>
  <c r="M1909" i="7"/>
  <c r="M143" i="7"/>
  <c r="M259" i="7"/>
  <c r="M575" i="7"/>
  <c r="M778" i="7"/>
  <c r="M2935" i="7"/>
  <c r="M1463" i="7"/>
  <c r="M426" i="7"/>
  <c r="M757" i="7"/>
  <c r="M333" i="7"/>
  <c r="M1147" i="7"/>
  <c r="M1557" i="7"/>
  <c r="M1560" i="7"/>
  <c r="M2857" i="7"/>
  <c r="M1893" i="7"/>
  <c r="M1928" i="7"/>
  <c r="M2292" i="7"/>
  <c r="M844" i="7"/>
  <c r="M815" i="7"/>
  <c r="M1334" i="7"/>
  <c r="M269" i="7"/>
  <c r="M345" i="7"/>
  <c r="M274" i="7"/>
  <c r="M437" i="7"/>
  <c r="M643" i="7"/>
  <c r="M512" i="7"/>
  <c r="M463" i="7"/>
  <c r="M658" i="7"/>
  <c r="M1197" i="7"/>
  <c r="M1430" i="7"/>
  <c r="M1830" i="7"/>
  <c r="M1964" i="7"/>
  <c r="M2952" i="7"/>
  <c r="M2372" i="7"/>
  <c r="M425" i="7"/>
  <c r="M394" i="7"/>
  <c r="M875" i="7"/>
  <c r="M2752" i="7"/>
  <c r="M1280" i="7"/>
  <c r="M1461" i="7"/>
  <c r="M2634" i="7"/>
  <c r="M181" i="7"/>
  <c r="M262" i="7"/>
  <c r="M314" i="7"/>
  <c r="M1773" i="7"/>
  <c r="M486" i="7"/>
  <c r="M75" i="7"/>
  <c r="M590" i="7"/>
  <c r="M87" i="7"/>
  <c r="M290" i="7"/>
  <c r="M690" i="7"/>
  <c r="M803" i="7"/>
  <c r="M1516" i="7"/>
  <c r="M1440" i="7"/>
  <c r="M1504" i="7"/>
  <c r="M1383" i="7"/>
  <c r="M2601" i="7"/>
  <c r="M2927" i="7"/>
  <c r="M604" i="7"/>
  <c r="M421" i="7"/>
  <c r="M678" i="7"/>
  <c r="M16" i="7"/>
  <c r="M119" i="7"/>
  <c r="M347" i="7"/>
  <c r="M442" i="7"/>
  <c r="M249" i="7"/>
  <c r="M418" i="7"/>
  <c r="M411" i="7"/>
  <c r="M540" i="7"/>
  <c r="M1151" i="7"/>
  <c r="M1075" i="7"/>
  <c r="M1043" i="7"/>
  <c r="M1374" i="7"/>
  <c r="M1352" i="7"/>
  <c r="M1940" i="7"/>
  <c r="M2381" i="7"/>
  <c r="M2604" i="7"/>
  <c r="M2705" i="7"/>
  <c r="M534" i="7"/>
  <c r="M2610" i="7"/>
  <c r="M498" i="7"/>
  <c r="M1414" i="7"/>
  <c r="M1471" i="7"/>
  <c r="M1727" i="7"/>
  <c r="M1849" i="7"/>
  <c r="M2093" i="7"/>
  <c r="M91" i="7"/>
  <c r="M278" i="7"/>
  <c r="M331" i="7"/>
  <c r="M714" i="7"/>
  <c r="M656" i="7"/>
  <c r="M1480" i="7"/>
  <c r="M1541" i="7"/>
  <c r="M1743" i="7"/>
  <c r="M1930" i="7"/>
  <c r="M2341" i="7"/>
  <c r="M2437" i="7"/>
  <c r="M2548" i="7"/>
  <c r="M2782" i="7"/>
  <c r="M29" i="7"/>
  <c r="M2745" i="7"/>
  <c r="M2025" i="7"/>
  <c r="M2675" i="7"/>
  <c r="M2861" i="7"/>
  <c r="M1226" i="7"/>
  <c r="M880" i="7"/>
  <c r="M281" i="7"/>
  <c r="M444" i="7"/>
  <c r="M616" i="7"/>
  <c r="M1350" i="7"/>
  <c r="M2655" i="7"/>
  <c r="M2798" i="7"/>
  <c r="M2919" i="7"/>
  <c r="M168" i="7"/>
  <c r="M2112" i="7"/>
  <c r="M544" i="7"/>
  <c r="M923" i="7"/>
  <c r="M1456" i="7"/>
  <c r="M1544" i="7"/>
  <c r="M1960" i="7"/>
  <c r="M2132" i="7"/>
  <c r="M2979" i="7"/>
  <c r="M2620" i="7"/>
  <c r="M2928" i="7"/>
  <c r="M2561" i="7"/>
  <c r="M267" i="7"/>
  <c r="M70" i="7"/>
  <c r="M1139" i="7"/>
  <c r="M1613" i="7"/>
  <c r="M1878" i="7"/>
  <c r="M2166" i="7"/>
  <c r="M2108" i="7"/>
  <c r="M2045" i="7"/>
  <c r="M22" i="7"/>
  <c r="M2936" i="7"/>
  <c r="M606" i="7"/>
  <c r="M1155" i="7"/>
  <c r="M37" i="7"/>
  <c r="M103" i="7"/>
  <c r="M47" i="7"/>
  <c r="M162" i="7"/>
  <c r="M1195" i="7"/>
  <c r="M1438" i="7"/>
  <c r="M1822" i="7"/>
  <c r="M1950" i="7"/>
  <c r="M2531" i="7"/>
  <c r="M2858" i="7"/>
  <c r="M1484" i="7"/>
  <c r="M686" i="7"/>
  <c r="M958" i="7"/>
  <c r="M1047" i="7"/>
  <c r="M1218" i="7"/>
  <c r="M1327" i="7"/>
  <c r="M1368" i="7"/>
  <c r="M1584" i="7"/>
  <c r="M1874" i="7"/>
  <c r="M2679" i="7"/>
  <c r="M2633" i="7"/>
  <c r="M24" i="7"/>
  <c r="M1600" i="7"/>
  <c r="M1735" i="7"/>
  <c r="M2160" i="7"/>
  <c r="M2104" i="7"/>
  <c r="M2309" i="7"/>
  <c r="M2907" i="7"/>
  <c r="M376" i="7"/>
  <c r="M878" i="7"/>
  <c r="M1589" i="7"/>
  <c r="M1608" i="7"/>
  <c r="M2037" i="7"/>
  <c r="M2389" i="7"/>
  <c r="M2658" i="7"/>
  <c r="M2822" i="7"/>
  <c r="M2887" i="7"/>
  <c r="M2420" i="7"/>
  <c r="M2696" i="7"/>
  <c r="M234" i="7"/>
  <c r="M1262" i="7"/>
  <c r="M1406" i="7"/>
  <c r="M1344" i="7"/>
  <c r="M2049" i="7"/>
  <c r="M2225" i="7"/>
  <c r="M2397" i="7"/>
  <c r="M2607" i="7"/>
  <c r="M2785" i="7"/>
  <c r="M2897" i="7"/>
  <c r="M2892" i="7"/>
  <c r="M334" i="7"/>
  <c r="M726" i="7"/>
  <c r="M1206" i="7"/>
  <c r="M313" i="7"/>
  <c r="M734" i="7"/>
  <c r="M1015" i="7"/>
  <c r="M1660" i="7"/>
  <c r="M1766" i="7"/>
  <c r="M1937" i="7"/>
  <c r="M2008" i="7"/>
  <c r="M2758" i="7"/>
  <c r="M2268" i="7"/>
  <c r="M2530" i="7"/>
  <c r="M850" i="7"/>
  <c r="M1087" i="7"/>
  <c r="M1167" i="7"/>
  <c r="M1400" i="7"/>
  <c r="M1472" i="7"/>
  <c r="M1657" i="7"/>
  <c r="M1841" i="7"/>
  <c r="M1805" i="7"/>
  <c r="M1932" i="7"/>
  <c r="M2728" i="7"/>
  <c r="M2340" i="7"/>
  <c r="M2483" i="7"/>
  <c r="M133" i="7"/>
  <c r="M762" i="7"/>
  <c r="M1175" i="7"/>
  <c r="M1446" i="7"/>
  <c r="M1938" i="7"/>
  <c r="M2057" i="7"/>
  <c r="M2516" i="7"/>
  <c r="M2257" i="7"/>
  <c r="M2682" i="7"/>
  <c r="M2720" i="7"/>
  <c r="M2829" i="7"/>
  <c r="L2632" i="7"/>
  <c r="M2632" i="7" s="1"/>
  <c r="M1896" i="7"/>
  <c r="M1222" i="7"/>
  <c r="M1246" i="7"/>
  <c r="M1423" i="7"/>
  <c r="M1679" i="7"/>
  <c r="M1479" i="7"/>
  <c r="M2764" i="7"/>
  <c r="M2886" i="7"/>
  <c r="M226" i="7"/>
  <c r="M323" i="7"/>
  <c r="M355" i="7"/>
  <c r="M1576" i="7"/>
  <c r="M1952" i="7"/>
  <c r="M2101" i="7"/>
  <c r="M2061" i="7"/>
  <c r="M2333" i="7"/>
  <c r="M2013" i="7"/>
  <c r="M2702" i="7"/>
  <c r="M2761" i="7"/>
  <c r="M481" i="7"/>
  <c r="M127" i="7"/>
  <c r="M63" i="7"/>
  <c r="M780" i="7"/>
  <c r="M852" i="7"/>
  <c r="M889" i="7"/>
  <c r="M2590" i="7"/>
  <c r="M1205" i="7"/>
  <c r="M1806" i="7"/>
  <c r="M2300" i="7"/>
  <c r="M991" i="7"/>
  <c r="M1083" i="7"/>
  <c r="M1996" i="7"/>
  <c r="M2522" i="7"/>
  <c r="M2809" i="7"/>
  <c r="M681" i="7"/>
  <c r="M1422" i="7"/>
  <c r="M2084" i="7"/>
  <c r="M2814" i="7"/>
  <c r="M2908" i="7"/>
  <c r="L454" i="7"/>
  <c r="M454" i="7" s="1"/>
  <c r="M849" i="7"/>
  <c r="M2315" i="7"/>
  <c r="M2842" i="7"/>
  <c r="M104" i="7"/>
  <c r="M706" i="7"/>
  <c r="M1091" i="7"/>
  <c r="M1398" i="7"/>
  <c r="M1303" i="7"/>
  <c r="M1242" i="7"/>
  <c r="M1424" i="7"/>
  <c r="M2133" i="7"/>
  <c r="M2461" i="7"/>
  <c r="M2734" i="7"/>
  <c r="M771" i="7"/>
  <c r="M1628" i="7"/>
  <c r="M1596" i="7"/>
  <c r="M456" i="7"/>
  <c r="M600" i="7"/>
  <c r="M999" i="7"/>
  <c r="M1636" i="7"/>
  <c r="M1552" i="7"/>
  <c r="M1719" i="7"/>
  <c r="M1881" i="7"/>
  <c r="M1873" i="7"/>
  <c r="M1988" i="7"/>
  <c r="M1870" i="7"/>
  <c r="M2405" i="7"/>
  <c r="M1548" i="7"/>
  <c r="M1868" i="7"/>
  <c r="M390" i="7"/>
  <c r="M640" i="7"/>
  <c r="M615" i="7"/>
  <c r="M730" i="7"/>
  <c r="M824" i="7"/>
  <c r="M672" i="7"/>
  <c r="M1644" i="7"/>
  <c r="M1555" i="7"/>
  <c r="M1945" i="7"/>
  <c r="M2784" i="7"/>
  <c r="M2911" i="7"/>
  <c r="M306" i="7"/>
  <c r="M502" i="7"/>
  <c r="M2275" i="7"/>
  <c r="M55" i="7"/>
  <c r="M520" i="7"/>
  <c r="M438" i="7"/>
  <c r="M718" i="7"/>
  <c r="M1143" i="7"/>
  <c r="M1187" i="7"/>
  <c r="M1011" i="7"/>
  <c r="M1415" i="7"/>
  <c r="M1512" i="7"/>
  <c r="M1655" i="7"/>
  <c r="M1926" i="7"/>
  <c r="M1879" i="7"/>
  <c r="M1999" i="7"/>
  <c r="L1966" i="7"/>
  <c r="M1966" i="7" s="1"/>
  <c r="M2721" i="7"/>
  <c r="M2995" i="7"/>
  <c r="M2867" i="7"/>
  <c r="M1556" i="7"/>
  <c r="M2387" i="7"/>
  <c r="M135" i="7"/>
  <c r="M107" i="7"/>
  <c r="M914" i="7"/>
  <c r="L1538" i="7"/>
  <c r="M1538" i="7" s="1"/>
  <c r="M1933" i="7"/>
  <c r="M2429" i="7"/>
  <c r="M2103" i="7"/>
  <c r="M2766" i="7"/>
  <c r="M2821" i="7"/>
  <c r="M2052" i="7"/>
  <c r="L28" i="7"/>
  <c r="M28" i="7" s="1"/>
  <c r="M409" i="7"/>
  <c r="M545" i="7"/>
  <c r="M967" i="7"/>
  <c r="M1407" i="7"/>
  <c r="M1455" i="7"/>
  <c r="M2524" i="7"/>
  <c r="M2865" i="7"/>
  <c r="M2685" i="7"/>
  <c r="M572" i="7"/>
  <c r="M1154" i="7"/>
  <c r="M1268" i="7"/>
  <c r="M2716" i="7"/>
  <c r="L84" i="7"/>
  <c r="M84" i="7" s="1"/>
  <c r="M551" i="7"/>
  <c r="M417" i="7"/>
  <c r="M1382" i="7"/>
  <c r="M1416" i="7"/>
  <c r="M1519" i="7"/>
  <c r="M2253" i="7"/>
  <c r="M2718" i="7"/>
  <c r="M934" i="7"/>
  <c r="M76" i="7"/>
  <c r="M223" i="7"/>
  <c r="M433" i="7"/>
  <c r="M490" i="7"/>
  <c r="M1035" i="7"/>
  <c r="M1247" i="7"/>
  <c r="M1729" i="7"/>
  <c r="M2000" i="7"/>
  <c r="M2543" i="7"/>
  <c r="M2605" i="7"/>
  <c r="M1781" i="7"/>
  <c r="L2189" i="7"/>
  <c r="M2189" i="7" s="1"/>
  <c r="L2299" i="7"/>
  <c r="M2299" i="7" s="1"/>
  <c r="M525" i="7"/>
  <c r="M754" i="7"/>
  <c r="M570" i="7"/>
  <c r="M738" i="7"/>
  <c r="L781" i="7"/>
  <c r="M781" i="7" s="1"/>
  <c r="M1115" i="7"/>
  <c r="M1342" i="7"/>
  <c r="M1753" i="7"/>
  <c r="M1977" i="7"/>
  <c r="L2169" i="7"/>
  <c r="M2169" i="7" s="1"/>
  <c r="M2399" i="7"/>
  <c r="M2815" i="7"/>
  <c r="M2845" i="7"/>
  <c r="M2883" i="7"/>
  <c r="M386" i="7"/>
  <c r="M927" i="7"/>
  <c r="L1253" i="7"/>
  <c r="M1253" i="7" s="1"/>
  <c r="M2466" i="7"/>
  <c r="M2226" i="7"/>
  <c r="L2539" i="7"/>
  <c r="M2539" i="7" s="1"/>
  <c r="L1343" i="7"/>
  <c r="M1343" i="7" s="1"/>
  <c r="L2235" i="7"/>
  <c r="M2235" i="7" s="1"/>
  <c r="M74" i="7"/>
  <c r="M239" i="7"/>
  <c r="M187" i="7"/>
  <c r="M1478" i="7"/>
  <c r="M1523" i="7"/>
  <c r="M1627" i="7"/>
  <c r="M1971" i="7"/>
  <c r="M2125" i="7"/>
  <c r="M2599" i="7"/>
  <c r="M2265" i="7"/>
  <c r="M2788" i="7"/>
  <c r="L1391" i="7"/>
  <c r="M1391" i="7" s="1"/>
  <c r="L2816" i="7"/>
  <c r="M2816" i="7" s="1"/>
  <c r="L2947" i="7"/>
  <c r="M2947" i="7" s="1"/>
  <c r="M7" i="7"/>
  <c r="M282" i="7"/>
  <c r="M860" i="7"/>
  <c r="M1077" i="7"/>
  <c r="M995" i="7"/>
  <c r="M1078" i="7"/>
  <c r="M1355" i="7"/>
  <c r="M1248" i="7"/>
  <c r="M1279" i="7"/>
  <c r="M1503" i="7"/>
  <c r="M2131" i="7"/>
  <c r="M2513" i="7"/>
  <c r="M2840" i="7"/>
  <c r="M2040" i="7"/>
  <c r="M2747" i="7"/>
  <c r="L173" i="7"/>
  <c r="M173" i="7" s="1"/>
  <c r="L165" i="7"/>
  <c r="M165" i="7" s="1"/>
  <c r="L494" i="7"/>
  <c r="M494" i="7" s="1"/>
  <c r="L2864" i="7"/>
  <c r="M2864" i="7" s="1"/>
  <c r="M702" i="7"/>
  <c r="M1142" i="7"/>
  <c r="M1429" i="7"/>
  <c r="M1360" i="7"/>
  <c r="M1772" i="7"/>
  <c r="M2215" i="7"/>
  <c r="M2762" i="7"/>
  <c r="M2964" i="7"/>
  <c r="M1026" i="7"/>
  <c r="L1580" i="7"/>
  <c r="M1580" i="7" s="1"/>
  <c r="M2260" i="7"/>
  <c r="L510" i="7"/>
  <c r="M510" i="7" s="1"/>
  <c r="L62" i="7"/>
  <c r="M62" i="7" s="1"/>
  <c r="M691" i="7"/>
  <c r="M698" i="7"/>
  <c r="M1256" i="7"/>
  <c r="M1592" i="7"/>
  <c r="M2218" i="7"/>
  <c r="M2628" i="7"/>
  <c r="M2669" i="7"/>
  <c r="M2586" i="7"/>
  <c r="M2998" i="7"/>
  <c r="L2444" i="7"/>
  <c r="M2444" i="7" s="1"/>
  <c r="L2164" i="7"/>
  <c r="M2164" i="7" s="1"/>
  <c r="M341" i="7"/>
  <c r="M108" i="7"/>
  <c r="M548" i="7"/>
  <c r="M251" i="7"/>
  <c r="M1159" i="7"/>
  <c r="M1312" i="7"/>
  <c r="M1464" i="7"/>
  <c r="M1527" i="7"/>
  <c r="M2109" i="7"/>
  <c r="M2569" i="7"/>
  <c r="M2985" i="7"/>
  <c r="M1587" i="7"/>
  <c r="L218" i="7"/>
  <c r="M218" i="7" s="1"/>
  <c r="L2100" i="7"/>
  <c r="M2100" i="7" s="1"/>
  <c r="M1765" i="7"/>
  <c r="L2329" i="7"/>
  <c r="M2329" i="7" s="1"/>
  <c r="L2366" i="7"/>
  <c r="M2366" i="7" s="1"/>
  <c r="L109" i="7"/>
  <c r="M109" i="7" s="1"/>
  <c r="L93" i="7"/>
  <c r="M93" i="7" s="1"/>
  <c r="L61" i="7"/>
  <c r="M61" i="7" s="1"/>
  <c r="L77" i="7"/>
  <c r="M77" i="7" s="1"/>
  <c r="L211" i="7"/>
  <c r="M211" i="7" s="1"/>
  <c r="L926" i="7"/>
  <c r="M926" i="7" s="1"/>
  <c r="L2316" i="7"/>
  <c r="M2316" i="7" s="1"/>
  <c r="L2566" i="7"/>
  <c r="M2566" i="7" s="1"/>
  <c r="L117" i="7"/>
  <c r="M117" i="7" s="1"/>
  <c r="L332" i="7"/>
  <c r="M332" i="7" s="1"/>
  <c r="L166" i="7"/>
  <c r="M166" i="7" s="1"/>
  <c r="L529" i="7"/>
  <c r="M529" i="7" s="1"/>
  <c r="L1375" i="7"/>
  <c r="M1375" i="7" s="1"/>
  <c r="L1194" i="7"/>
  <c r="M1194" i="7" s="1"/>
  <c r="L1845" i="7"/>
  <c r="M1845" i="7" s="1"/>
  <c r="L1821" i="7"/>
  <c r="M1821" i="7" s="1"/>
  <c r="L1936" i="7"/>
  <c r="M1936" i="7" s="1"/>
  <c r="L1534" i="7"/>
  <c r="M1534" i="7" s="1"/>
  <c r="L1877" i="7"/>
  <c r="M1877" i="7" s="1"/>
  <c r="L2197" i="7"/>
  <c r="M2197" i="7" s="1"/>
  <c r="L2684" i="7"/>
  <c r="M2684" i="7" s="1"/>
  <c r="L2931" i="7"/>
  <c r="M2931" i="7" s="1"/>
  <c r="L101" i="7"/>
  <c r="M101" i="7" s="1"/>
  <c r="L470" i="7"/>
  <c r="M470" i="7" s="1"/>
  <c r="L354" i="7"/>
  <c r="M354" i="7" s="1"/>
  <c r="L772" i="7"/>
  <c r="M772" i="7" s="1"/>
  <c r="L858" i="7"/>
  <c r="M858" i="7" s="1"/>
  <c r="L948" i="7"/>
  <c r="M948" i="7" s="1"/>
  <c r="L794" i="7"/>
  <c r="M794" i="7" s="1"/>
  <c r="L1869" i="7"/>
  <c r="M1869" i="7" s="1"/>
  <c r="L1861" i="7"/>
  <c r="M1861" i="7" s="1"/>
  <c r="L1797" i="7"/>
  <c r="M1797" i="7" s="1"/>
  <c r="L2116" i="7"/>
  <c r="M2116" i="7" s="1"/>
  <c r="L2148" i="7"/>
  <c r="M2148" i="7" s="1"/>
  <c r="L2712" i="7"/>
  <c r="M2712" i="7" s="1"/>
  <c r="L2776" i="7"/>
  <c r="M2776" i="7" s="1"/>
  <c r="L2244" i="7"/>
  <c r="M2244" i="7" s="1"/>
  <c r="M2769" i="7"/>
  <c r="M2837" i="7"/>
  <c r="L38" i="7"/>
  <c r="M38" i="7" s="1"/>
  <c r="L149" i="7"/>
  <c r="M149" i="7" s="1"/>
  <c r="L596" i="7"/>
  <c r="M596" i="7" s="1"/>
  <c r="L713" i="7"/>
  <c r="M713" i="7" s="1"/>
  <c r="L942" i="7"/>
  <c r="M942" i="7" s="1"/>
  <c r="L1511" i="7"/>
  <c r="M1511" i="7" s="1"/>
  <c r="L1949" i="7"/>
  <c r="M1949" i="7" s="1"/>
  <c r="L2149" i="7"/>
  <c r="M2149" i="7" s="1"/>
  <c r="L2598" i="7"/>
  <c r="M2598" i="7" s="1"/>
  <c r="M2245" i="7"/>
  <c r="M2704" i="7"/>
  <c r="L141" i="7"/>
  <c r="M141" i="7" s="1"/>
  <c r="L377" i="7"/>
  <c r="M377" i="7" s="1"/>
  <c r="L330" i="7"/>
  <c r="M330" i="7" s="1"/>
  <c r="L85" i="7"/>
  <c r="M85" i="7" s="1"/>
  <c r="L885" i="7"/>
  <c r="M885" i="7" s="1"/>
  <c r="L890" i="7"/>
  <c r="M890" i="7" s="1"/>
  <c r="L550" i="7"/>
  <c r="M550" i="7" s="1"/>
  <c r="L1295" i="7"/>
  <c r="M1295" i="7" s="1"/>
  <c r="L1227" i="7"/>
  <c r="M1227" i="7" s="1"/>
  <c r="L1789" i="7"/>
  <c r="M1789" i="7" s="1"/>
  <c r="L2127" i="7"/>
  <c r="M2127" i="7" s="1"/>
  <c r="L2156" i="7"/>
  <c r="M2156" i="7" s="1"/>
  <c r="L2506" i="7"/>
  <c r="M2506" i="7" s="1"/>
  <c r="L202" i="7"/>
  <c r="M202" i="7" s="1"/>
  <c r="L158" i="7"/>
  <c r="M158" i="7" s="1"/>
  <c r="L30" i="7"/>
  <c r="M30" i="7" s="1"/>
  <c r="L157" i="7"/>
  <c r="M157" i="7" s="1"/>
  <c r="L219" i="7"/>
  <c r="M219" i="7" s="1"/>
  <c r="L623" i="7"/>
  <c r="M623" i="7" s="1"/>
  <c r="L901" i="7"/>
  <c r="M901" i="7" s="1"/>
  <c r="L834" i="7"/>
  <c r="M834" i="7" s="1"/>
  <c r="L1913" i="7"/>
  <c r="M1913" i="7" s="1"/>
  <c r="L1897" i="7"/>
  <c r="M1897" i="7" s="1"/>
  <c r="L2173" i="7"/>
  <c r="M2173" i="7" s="1"/>
  <c r="L2111" i="7"/>
  <c r="M2111" i="7" s="1"/>
  <c r="L2157" i="7"/>
  <c r="M2157" i="7" s="1"/>
  <c r="L2140" i="7"/>
  <c r="M2140" i="7" s="1"/>
  <c r="L210" i="7"/>
  <c r="M210" i="7" s="1"/>
  <c r="L810" i="7"/>
  <c r="M810" i="7" s="1"/>
  <c r="L902" i="7"/>
  <c r="M902" i="7" s="1"/>
  <c r="L842" i="7"/>
  <c r="M842" i="7" s="1"/>
  <c r="L1757" i="7"/>
  <c r="M1757" i="7" s="1"/>
  <c r="L2213" i="7"/>
  <c r="M2213" i="7" s="1"/>
  <c r="L2348" i="7"/>
  <c r="M2348" i="7" s="1"/>
  <c r="L2844" i="7"/>
  <c r="M2844" i="7" s="1"/>
  <c r="L2640" i="7"/>
  <c r="M2640" i="7" s="1"/>
  <c r="L2828" i="7"/>
  <c r="M2828" i="7" s="1"/>
  <c r="M1367" i="7"/>
  <c r="M2029" i="7"/>
  <c r="M2575" i="7"/>
  <c r="L286" i="7"/>
  <c r="M286" i="7" s="1"/>
  <c r="L167" i="7"/>
  <c r="M167" i="7" s="1"/>
  <c r="L519" i="7"/>
  <c r="M519" i="7" s="1"/>
  <c r="L518" i="7"/>
  <c r="M518" i="7" s="1"/>
  <c r="L918" i="7"/>
  <c r="M918" i="7" s="1"/>
  <c r="L564" i="7"/>
  <c r="M564" i="7" s="1"/>
  <c r="L1178" i="7"/>
  <c r="M1178" i="7" s="1"/>
  <c r="L1359" i="7"/>
  <c r="M1359" i="7" s="1"/>
  <c r="L1535" i="7"/>
  <c r="M1535" i="7" s="1"/>
  <c r="L1865" i="7"/>
  <c r="M1865" i="7" s="1"/>
  <c r="L2205" i="7"/>
  <c r="M2205" i="7" s="1"/>
  <c r="L2188" i="7"/>
  <c r="M2188" i="7" s="1"/>
  <c r="L1920" i="7"/>
  <c r="M1920" i="7" s="1"/>
  <c r="L2848" i="7"/>
  <c r="M2848" i="7" s="1"/>
  <c r="L2963" i="7"/>
  <c r="M2963" i="7" s="1"/>
  <c r="L65" i="7"/>
  <c r="M65" i="7" s="1"/>
  <c r="L49" i="7"/>
  <c r="M49" i="7" s="1"/>
  <c r="L186" i="7"/>
  <c r="M186" i="7" s="1"/>
  <c r="L245" i="7"/>
  <c r="M245" i="7" s="1"/>
  <c r="L221" i="7"/>
  <c r="M221" i="7" s="1"/>
  <c r="L33" i="7"/>
  <c r="M33" i="7" s="1"/>
  <c r="L129" i="7"/>
  <c r="M129" i="7" s="1"/>
  <c r="L261" i="7"/>
  <c r="M261" i="7" s="1"/>
  <c r="L237" i="7"/>
  <c r="M237" i="7" s="1"/>
  <c r="L293" i="7"/>
  <c r="M293" i="7" s="1"/>
  <c r="L440" i="7"/>
  <c r="M440" i="7" s="1"/>
  <c r="L352" i="7"/>
  <c r="M352" i="7" s="1"/>
  <c r="L360" i="7"/>
  <c r="M360" i="7" s="1"/>
  <c r="L506" i="7"/>
  <c r="M506" i="7" s="1"/>
  <c r="L767" i="7"/>
  <c r="M767" i="7" s="1"/>
  <c r="L933" i="7"/>
  <c r="M933" i="7" s="1"/>
  <c r="L2582" i="7"/>
  <c r="M2582" i="7" s="1"/>
  <c r="L2502" i="7"/>
  <c r="M2502" i="7" s="1"/>
  <c r="L416" i="7"/>
  <c r="M416" i="7" s="1"/>
  <c r="L482" i="7"/>
  <c r="M482" i="7" s="1"/>
  <c r="L508" i="7"/>
  <c r="M508" i="7" s="1"/>
  <c r="L791" i="7"/>
  <c r="M791" i="7" s="1"/>
  <c r="L864" i="7"/>
  <c r="M864" i="7" s="1"/>
  <c r="L938" i="7"/>
  <c r="M938" i="7" s="1"/>
  <c r="L949" i="7"/>
  <c r="M949" i="7" s="1"/>
  <c r="L1338" i="7"/>
  <c r="M1338" i="7" s="1"/>
  <c r="L1852" i="7"/>
  <c r="M1852" i="7" s="1"/>
  <c r="L2969" i="7"/>
  <c r="M2969" i="7" s="1"/>
  <c r="L178" i="7"/>
  <c r="M178" i="7" s="1"/>
  <c r="L398" i="7"/>
  <c r="M398" i="7" s="1"/>
  <c r="L97" i="7"/>
  <c r="M97" i="7" s="1"/>
  <c r="L277" i="7"/>
  <c r="M277" i="7" s="1"/>
  <c r="L389" i="7"/>
  <c r="M389" i="7" s="1"/>
  <c r="L538" i="7"/>
  <c r="M538" i="7" s="1"/>
  <c r="L832" i="7"/>
  <c r="M832" i="7" s="1"/>
  <c r="L882" i="7"/>
  <c r="M882" i="7" s="1"/>
  <c r="L1908" i="7"/>
  <c r="M1908" i="7" s="1"/>
  <c r="L2090" i="7"/>
  <c r="M2090" i="7" s="1"/>
  <c r="L305" i="7"/>
  <c r="M305" i="7" s="1"/>
  <c r="L121" i="7"/>
  <c r="M121" i="7" s="1"/>
  <c r="L153" i="7"/>
  <c r="M153" i="7" s="1"/>
  <c r="L213" i="7"/>
  <c r="M213" i="7" s="1"/>
  <c r="L41" i="7"/>
  <c r="M41" i="7" s="1"/>
  <c r="L285" i="7"/>
  <c r="M285" i="7" s="1"/>
  <c r="L530" i="7"/>
  <c r="M530" i="7" s="1"/>
  <c r="L397" i="7"/>
  <c r="M397" i="7" s="1"/>
  <c r="L113" i="7"/>
  <c r="M113" i="7" s="1"/>
  <c r="L185" i="7"/>
  <c r="M185" i="7" s="1"/>
  <c r="L337" i="7"/>
  <c r="M337" i="7" s="1"/>
  <c r="L349" i="7"/>
  <c r="M349" i="7" s="1"/>
  <c r="L400" i="7"/>
  <c r="M400" i="7" s="1"/>
  <c r="L384" i="7"/>
  <c r="M384" i="7" s="1"/>
  <c r="L344" i="7"/>
  <c r="M344" i="7" s="1"/>
  <c r="L492" i="7"/>
  <c r="M492" i="7" s="1"/>
  <c r="L647" i="7"/>
  <c r="M647" i="7" s="1"/>
  <c r="L607" i="7"/>
  <c r="M607" i="7" s="1"/>
  <c r="L840" i="7"/>
  <c r="M840" i="7" s="1"/>
  <c r="L872" i="7"/>
  <c r="M872" i="7" s="1"/>
  <c r="L893" i="7"/>
  <c r="M893" i="7" s="1"/>
  <c r="L1192" i="7"/>
  <c r="M1192" i="7" s="1"/>
  <c r="L1298" i="7"/>
  <c r="M1298" i="7" s="1"/>
  <c r="L2641" i="7"/>
  <c r="M2641" i="7" s="1"/>
  <c r="L2921" i="7"/>
  <c r="M2921" i="7" s="1"/>
  <c r="L365" i="7"/>
  <c r="M365" i="7" s="1"/>
  <c r="L392" i="7"/>
  <c r="M392" i="7" s="1"/>
  <c r="L448" i="7"/>
  <c r="M448" i="7" s="1"/>
  <c r="L458" i="7"/>
  <c r="M458" i="7" s="1"/>
  <c r="L618" i="7"/>
  <c r="M618" i="7" s="1"/>
  <c r="L848" i="7"/>
  <c r="M848" i="7" s="1"/>
  <c r="L759" i="7"/>
  <c r="M759" i="7" s="1"/>
  <c r="L807" i="7"/>
  <c r="M807" i="7" s="1"/>
  <c r="L898" i="7"/>
  <c r="M898" i="7" s="1"/>
  <c r="L877" i="7"/>
  <c r="M877" i="7" s="1"/>
  <c r="L941" i="7"/>
  <c r="M941" i="7" s="1"/>
  <c r="L1208" i="7"/>
  <c r="M1208" i="7" s="1"/>
  <c r="L2211" i="7"/>
  <c r="M2211" i="7" s="1"/>
  <c r="L476" i="7"/>
  <c r="M476" i="7" s="1"/>
  <c r="L856" i="7"/>
  <c r="M856" i="7" s="1"/>
  <c r="L946" i="7"/>
  <c r="M946" i="7" s="1"/>
  <c r="L1216" i="7"/>
  <c r="M1216" i="7" s="1"/>
  <c r="L1306" i="7"/>
  <c r="M1306" i="7" s="1"/>
  <c r="L309" i="7"/>
  <c r="M309" i="7" s="1"/>
  <c r="L329" i="7"/>
  <c r="M329" i="7" s="1"/>
  <c r="L321" i="7"/>
  <c r="M321" i="7" s="1"/>
  <c r="L424" i="7"/>
  <c r="M424" i="7" s="1"/>
  <c r="L546" i="7"/>
  <c r="M546" i="7" s="1"/>
  <c r="L373" i="7"/>
  <c r="M373" i="7" s="1"/>
  <c r="L626" i="7"/>
  <c r="M626" i="7" s="1"/>
  <c r="L663" i="7"/>
  <c r="M663" i="7" s="1"/>
  <c r="L823" i="7"/>
  <c r="M823" i="7" s="1"/>
  <c r="L957" i="7"/>
  <c r="M957" i="7" s="1"/>
  <c r="L925" i="7"/>
  <c r="M925" i="7" s="1"/>
  <c r="L1232" i="7"/>
  <c r="M1232" i="7" s="1"/>
  <c r="L1760" i="7"/>
  <c r="M1760" i="7" s="1"/>
  <c r="L1824" i="7"/>
  <c r="M1824" i="7" s="1"/>
  <c r="L1876" i="7"/>
  <c r="M1876" i="7" s="1"/>
  <c r="L2114" i="7"/>
  <c r="M2114" i="7" s="1"/>
  <c r="L2678" i="7"/>
  <c r="M2678" i="7" s="1"/>
  <c r="L2593" i="7"/>
  <c r="M2593" i="7" s="1"/>
  <c r="L2871" i="7"/>
  <c r="M2871" i="7" s="1"/>
  <c r="L205" i="7"/>
  <c r="M205" i="7" s="1"/>
  <c r="L408" i="7"/>
  <c r="M408" i="7" s="1"/>
  <c r="L466" i="7"/>
  <c r="M466" i="7" s="1"/>
  <c r="L357" i="7"/>
  <c r="M357" i="7" s="1"/>
  <c r="L81" i="7"/>
  <c r="M81" i="7" s="1"/>
  <c r="L229" i="7"/>
  <c r="M229" i="7" s="1"/>
  <c r="L326" i="7"/>
  <c r="M326" i="7" s="1"/>
  <c r="L381" i="7"/>
  <c r="M381" i="7" s="1"/>
  <c r="L432" i="7"/>
  <c r="M432" i="7" s="1"/>
  <c r="L500" i="7"/>
  <c r="M500" i="7" s="1"/>
  <c r="L474" i="7"/>
  <c r="M474" i="7" s="1"/>
  <c r="L642" i="7"/>
  <c r="M642" i="7" s="1"/>
  <c r="L650" i="7"/>
  <c r="M650" i="7" s="1"/>
  <c r="L751" i="7"/>
  <c r="M751" i="7" s="1"/>
  <c r="L930" i="7"/>
  <c r="M930" i="7" s="1"/>
  <c r="L1240" i="7"/>
  <c r="M1240" i="7" s="1"/>
  <c r="L1290" i="7"/>
  <c r="M1290" i="7" s="1"/>
  <c r="L1832" i="7"/>
  <c r="M1832" i="7" s="1"/>
  <c r="L1916" i="7"/>
  <c r="M1916" i="7" s="1"/>
  <c r="L2074" i="7"/>
  <c r="M2074" i="7" s="1"/>
  <c r="L2868" i="7"/>
  <c r="M2868" i="7" s="1"/>
  <c r="L1844" i="7"/>
  <c r="M1844" i="7" s="1"/>
  <c r="L2122" i="7"/>
  <c r="M2122" i="7" s="1"/>
  <c r="L2577" i="7"/>
  <c r="M2577" i="7" s="1"/>
  <c r="L2929" i="7"/>
  <c r="M2929" i="7" s="1"/>
  <c r="L2884" i="7"/>
  <c r="M2884" i="7" s="1"/>
  <c r="L2977" i="7"/>
  <c r="M2977" i="7" s="1"/>
  <c r="L1752" i="7"/>
  <c r="M1752" i="7" s="1"/>
  <c r="L1884" i="7"/>
  <c r="M1884" i="7" s="1"/>
  <c r="L2227" i="7"/>
  <c r="M2227" i="7" s="1"/>
  <c r="L2146" i="7"/>
  <c r="M2146" i="7" s="1"/>
  <c r="L2614" i="7"/>
  <c r="M2614" i="7" s="1"/>
  <c r="L2646" i="7"/>
  <c r="M2646" i="7" s="1"/>
  <c r="L2831" i="7"/>
  <c r="M2831" i="7" s="1"/>
  <c r="L2937" i="7"/>
  <c r="M2937" i="7" s="1"/>
  <c r="L2993" i="7"/>
  <c r="M2993" i="7" s="1"/>
  <c r="L1314" i="7"/>
  <c r="M1314" i="7" s="1"/>
  <c r="L1250" i="7"/>
  <c r="M1250" i="7" s="1"/>
  <c r="L1370" i="7"/>
  <c r="M1370" i="7" s="1"/>
  <c r="L1258" i="7"/>
  <c r="M1258" i="7" s="1"/>
  <c r="L1948" i="7"/>
  <c r="M1948" i="7" s="1"/>
  <c r="L2179" i="7"/>
  <c r="M2179" i="7" s="1"/>
  <c r="L2098" i="7"/>
  <c r="M2098" i="7" s="1"/>
  <c r="L2154" i="7"/>
  <c r="M2154" i="7" s="1"/>
  <c r="L2670" i="7"/>
  <c r="M2670" i="7" s="1"/>
  <c r="L2657" i="7"/>
  <c r="M2657" i="7" s="1"/>
  <c r="L2945" i="7"/>
  <c r="M2945" i="7" s="1"/>
  <c r="L1880" i="7"/>
  <c r="M1880" i="7" s="1"/>
  <c r="L1816" i="7"/>
  <c r="M1816" i="7" s="1"/>
  <c r="L1768" i="7"/>
  <c r="M1768" i="7" s="1"/>
  <c r="L2106" i="7"/>
  <c r="M2106" i="7" s="1"/>
  <c r="L2195" i="7"/>
  <c r="M2195" i="7" s="1"/>
  <c r="L2526" i="7"/>
  <c r="M2526" i="7" s="1"/>
  <c r="L2681" i="7"/>
  <c r="M2681" i="7" s="1"/>
  <c r="L2609" i="7"/>
  <c r="M2609" i="7" s="1"/>
  <c r="L2585" i="7"/>
  <c r="M2585" i="7" s="1"/>
  <c r="L2550" i="7"/>
  <c r="M2550" i="7" s="1"/>
  <c r="L2863" i="7"/>
  <c r="M2863" i="7" s="1"/>
  <c r="L2855" i="7"/>
  <c r="M2855" i="7" s="1"/>
  <c r="L2953" i="7"/>
  <c r="M2953" i="7" s="1"/>
  <c r="L2903" i="7"/>
  <c r="M2903" i="7" s="1"/>
  <c r="L2203" i="7"/>
  <c r="M2203" i="7" s="1"/>
  <c r="L2082" i="7"/>
  <c r="M2082" i="7" s="1"/>
  <c r="L2617" i="7"/>
  <c r="M2617" i="7" s="1"/>
  <c r="L2961" i="7"/>
  <c r="M2961" i="7" s="1"/>
  <c r="L2860" i="7"/>
  <c r="M2860" i="7" s="1"/>
  <c r="L1354" i="7"/>
  <c r="M1354" i="7" s="1"/>
  <c r="L1386" i="7"/>
  <c r="M1386" i="7" s="1"/>
  <c r="L1848" i="7"/>
  <c r="M1848" i="7" s="1"/>
  <c r="L1912" i="7"/>
  <c r="M1912" i="7" s="1"/>
  <c r="L2130" i="7"/>
  <c r="M2130" i="7" s="1"/>
  <c r="L2219" i="7"/>
  <c r="M2219" i="7" s="1"/>
  <c r="L2518" i="7"/>
  <c r="M2518" i="7" s="1"/>
  <c r="L2913" i="7"/>
  <c r="M2913" i="7" s="1"/>
  <c r="L2900" i="7"/>
  <c r="M2900" i="7" s="1"/>
  <c r="L2" i="7"/>
  <c r="M2" i="7" s="1"/>
  <c r="B36" i="6" l="1"/>
  <c r="B32" i="6"/>
  <c r="B35" i="6"/>
  <c r="B34" i="6"/>
  <c r="B37" i="6"/>
  <c r="B33" i="6"/>
  <c r="B88" i="6"/>
  <c r="B60" i="6"/>
  <c r="B43" i="6"/>
  <c r="B91" i="6"/>
  <c r="B66" i="6"/>
  <c r="B86" i="6"/>
  <c r="B72" i="6"/>
  <c r="B49" i="6"/>
  <c r="B81" i="6"/>
  <c r="B98" i="6"/>
  <c r="B85" i="6"/>
  <c r="B44" i="6"/>
  <c r="B64" i="6"/>
  <c r="B77" i="6"/>
  <c r="B79" i="6"/>
  <c r="B80" i="6"/>
  <c r="B47" i="6"/>
  <c r="B84" i="6"/>
  <c r="B82" i="6"/>
  <c r="B62" i="6"/>
  <c r="B59" i="6"/>
  <c r="B53" i="6"/>
  <c r="B54" i="6"/>
  <c r="B40" i="6"/>
  <c r="B69" i="6"/>
  <c r="B45" i="6"/>
  <c r="B67" i="6"/>
  <c r="B95" i="6"/>
  <c r="B92" i="6"/>
  <c r="B65" i="6"/>
  <c r="B71" i="6"/>
  <c r="B101" i="6"/>
  <c r="B74" i="6"/>
  <c r="B97" i="6"/>
  <c r="B39" i="6"/>
  <c r="B75" i="6"/>
  <c r="B96" i="6"/>
  <c r="B78" i="6"/>
  <c r="B90" i="6"/>
  <c r="B58" i="6"/>
  <c r="B46" i="6"/>
  <c r="B42" i="6"/>
  <c r="B89" i="6"/>
  <c r="B61" i="6"/>
  <c r="B41" i="6"/>
  <c r="B38" i="6"/>
  <c r="B87" i="6"/>
  <c r="B55" i="6"/>
  <c r="B99" i="6"/>
  <c r="B57" i="6"/>
  <c r="B93" i="6"/>
  <c r="B63" i="6"/>
  <c r="B50" i="6"/>
  <c r="B76" i="6"/>
  <c r="B83" i="6"/>
  <c r="B56" i="6"/>
  <c r="B51" i="6"/>
  <c r="B48" i="6"/>
  <c r="B94" i="6"/>
  <c r="B73" i="6"/>
  <c r="B52" i="6"/>
  <c r="B68" i="6"/>
  <c r="B100" i="6"/>
  <c r="B70" i="6"/>
</calcChain>
</file>

<file path=xl/sharedStrings.xml><?xml version="1.0" encoding="utf-8"?>
<sst xmlns="http://schemas.openxmlformats.org/spreadsheetml/2006/main" count="9139" uniqueCount="3062">
  <si>
    <t>MENU</t>
  </si>
  <si>
    <t>Analiza ABC</t>
  </si>
  <si>
    <t>Analiza XYZ</t>
  </si>
  <si>
    <t>Nazwa towaru</t>
  </si>
  <si>
    <t>Cena jednostkowa</t>
  </si>
  <si>
    <t>Klasa</t>
  </si>
  <si>
    <t>luty</t>
  </si>
  <si>
    <t>marzec</t>
  </si>
  <si>
    <t>maj</t>
  </si>
  <si>
    <t>czerwiec</t>
  </si>
  <si>
    <t>lipiec</t>
  </si>
  <si>
    <t>listopad</t>
  </si>
  <si>
    <t>Parametry do klasyfikacji XYZ</t>
  </si>
  <si>
    <t>ANALIZA TRENDU</t>
  </si>
  <si>
    <t>Numer</t>
  </si>
  <si>
    <t>Data dok.</t>
  </si>
  <si>
    <t>Dokument</t>
  </si>
  <si>
    <t>Numer zew.</t>
  </si>
  <si>
    <t>Jm</t>
  </si>
  <si>
    <t>% Marży</t>
  </si>
  <si>
    <t>Ilość</t>
  </si>
  <si>
    <t>Cena netto</t>
  </si>
  <si>
    <t>Wartość netto</t>
  </si>
  <si>
    <t>Vat</t>
  </si>
  <si>
    <t>Wartość brutto</t>
  </si>
  <si>
    <t>miesiac</t>
  </si>
  <si>
    <t>FA</t>
  </si>
  <si>
    <t>1052/2021</t>
  </si>
  <si>
    <t>kpl</t>
  </si>
  <si>
    <t>produkt</t>
  </si>
  <si>
    <t>Klient</t>
  </si>
  <si>
    <t>1052/2022</t>
  </si>
  <si>
    <t>1052/2023</t>
  </si>
  <si>
    <t>1052/2024</t>
  </si>
  <si>
    <t>1052/2025</t>
  </si>
  <si>
    <t>1052/2026</t>
  </si>
  <si>
    <t>1052/2027</t>
  </si>
  <si>
    <t>1052/2028</t>
  </si>
  <si>
    <t>1052/2029</t>
  </si>
  <si>
    <t>1052/2030</t>
  </si>
  <si>
    <t>1052/2031</t>
  </si>
  <si>
    <t>1052/2032</t>
  </si>
  <si>
    <t>1052/2033</t>
  </si>
  <si>
    <t>1052/2034</t>
  </si>
  <si>
    <t>1052/2035</t>
  </si>
  <si>
    <t>1052/2036</t>
  </si>
  <si>
    <t>1052/2037</t>
  </si>
  <si>
    <t>1052/2038</t>
  </si>
  <si>
    <t>1052/2039</t>
  </si>
  <si>
    <t>1052/2040</t>
  </si>
  <si>
    <t>1052/2041</t>
  </si>
  <si>
    <t>1052/2042</t>
  </si>
  <si>
    <t>1052/2043</t>
  </si>
  <si>
    <t>1052/2044</t>
  </si>
  <si>
    <t>1052/2045</t>
  </si>
  <si>
    <t>1052/2046</t>
  </si>
  <si>
    <t>1052/2047</t>
  </si>
  <si>
    <t>1052/2048</t>
  </si>
  <si>
    <t>1052/2049</t>
  </si>
  <si>
    <t>1052/2050</t>
  </si>
  <si>
    <t>1052/2051</t>
  </si>
  <si>
    <t>1052/2052</t>
  </si>
  <si>
    <t>1052/2053</t>
  </si>
  <si>
    <t>1052/2054</t>
  </si>
  <si>
    <t>1052/2055</t>
  </si>
  <si>
    <t>1052/2056</t>
  </si>
  <si>
    <t>1052/2057</t>
  </si>
  <si>
    <t>1052/2058</t>
  </si>
  <si>
    <t>1052/2059</t>
  </si>
  <si>
    <t>1052/2060</t>
  </si>
  <si>
    <t>1052/2061</t>
  </si>
  <si>
    <t>1052/2062</t>
  </si>
  <si>
    <t>1052/2063</t>
  </si>
  <si>
    <t>1052/2064</t>
  </si>
  <si>
    <t>1052/2065</t>
  </si>
  <si>
    <t>1052/2066</t>
  </si>
  <si>
    <t>1052/2067</t>
  </si>
  <si>
    <t>1052/2068</t>
  </si>
  <si>
    <t>1052/2069</t>
  </si>
  <si>
    <t>1052/2070</t>
  </si>
  <si>
    <t>1052/2071</t>
  </si>
  <si>
    <t>1052/2072</t>
  </si>
  <si>
    <t>1052/2073</t>
  </si>
  <si>
    <t>1052/2074</t>
  </si>
  <si>
    <t>1052/2075</t>
  </si>
  <si>
    <t>1052/2076</t>
  </si>
  <si>
    <t>1052/2077</t>
  </si>
  <si>
    <t>1052/2078</t>
  </si>
  <si>
    <t>1052/2079</t>
  </si>
  <si>
    <t>1052/2080</t>
  </si>
  <si>
    <t>1052/2081</t>
  </si>
  <si>
    <t>1052/2082</t>
  </si>
  <si>
    <t>1052/2083</t>
  </si>
  <si>
    <t>1052/2084</t>
  </si>
  <si>
    <t>1052/2085</t>
  </si>
  <si>
    <t>1052/2086</t>
  </si>
  <si>
    <t>1052/2087</t>
  </si>
  <si>
    <t>1052/2088</t>
  </si>
  <si>
    <t>1052/2089</t>
  </si>
  <si>
    <t>1052/2090</t>
  </si>
  <si>
    <t>1052/2091</t>
  </si>
  <si>
    <t>1052/2092</t>
  </si>
  <si>
    <t>1052/2093</t>
  </si>
  <si>
    <t>1052/2094</t>
  </si>
  <si>
    <t>1052/2095</t>
  </si>
  <si>
    <t>1052/2096</t>
  </si>
  <si>
    <t>1052/2097</t>
  </si>
  <si>
    <t>1052/2098</t>
  </si>
  <si>
    <t>1052/2099</t>
  </si>
  <si>
    <t>1052/2100</t>
  </si>
  <si>
    <t>1052/2101</t>
  </si>
  <si>
    <t>1052/2102</t>
  </si>
  <si>
    <t>1052/2103</t>
  </si>
  <si>
    <t>1052/2104</t>
  </si>
  <si>
    <t>1052/2105</t>
  </si>
  <si>
    <t>1052/2106</t>
  </si>
  <si>
    <t>1052/2107</t>
  </si>
  <si>
    <t>1052/2108</t>
  </si>
  <si>
    <t>1052/2109</t>
  </si>
  <si>
    <t>1052/2110</t>
  </si>
  <si>
    <t>1052/2111</t>
  </si>
  <si>
    <t>1052/2112</t>
  </si>
  <si>
    <t>1052/2113</t>
  </si>
  <si>
    <t>1052/2114</t>
  </si>
  <si>
    <t>1052/2115</t>
  </si>
  <si>
    <t>1052/2116</t>
  </si>
  <si>
    <t>1052/2117</t>
  </si>
  <si>
    <t>1052/2118</t>
  </si>
  <si>
    <t>1052/2119</t>
  </si>
  <si>
    <t>1052/2120</t>
  </si>
  <si>
    <t>1052/2121</t>
  </si>
  <si>
    <t>1052/2122</t>
  </si>
  <si>
    <t>1052/2123</t>
  </si>
  <si>
    <t>1052/2124</t>
  </si>
  <si>
    <t>1052/2125</t>
  </si>
  <si>
    <t>1052/2126</t>
  </si>
  <si>
    <t>1052/2127</t>
  </si>
  <si>
    <t>1052/2128</t>
  </si>
  <si>
    <t>1052/2129</t>
  </si>
  <si>
    <t>1052/2130</t>
  </si>
  <si>
    <t>1052/2131</t>
  </si>
  <si>
    <t>1052/2132</t>
  </si>
  <si>
    <t>1052/2133</t>
  </si>
  <si>
    <t>1052/2134</t>
  </si>
  <si>
    <t>1052/2135</t>
  </si>
  <si>
    <t>1052/2136</t>
  </si>
  <si>
    <t>1052/2137</t>
  </si>
  <si>
    <t>1052/2138</t>
  </si>
  <si>
    <t>1052/2139</t>
  </si>
  <si>
    <t>1052/2140</t>
  </si>
  <si>
    <t>1052/2141</t>
  </si>
  <si>
    <t>1052/2142</t>
  </si>
  <si>
    <t>1052/2143</t>
  </si>
  <si>
    <t>1052/2144</t>
  </si>
  <si>
    <t>1052/2145</t>
  </si>
  <si>
    <t>1052/2146</t>
  </si>
  <si>
    <t>1052/2147</t>
  </si>
  <si>
    <t>1052/2148</t>
  </si>
  <si>
    <t>1052/2149</t>
  </si>
  <si>
    <t>1052/2150</t>
  </si>
  <si>
    <t>1052/2151</t>
  </si>
  <si>
    <t>1052/2152</t>
  </si>
  <si>
    <t>1052/2153</t>
  </si>
  <si>
    <t>1052/2154</t>
  </si>
  <si>
    <t>1052/2155</t>
  </si>
  <si>
    <t>1052/2156</t>
  </si>
  <si>
    <t>1052/2157</t>
  </si>
  <si>
    <t>1052/2158</t>
  </si>
  <si>
    <t>1052/2159</t>
  </si>
  <si>
    <t>1052/2160</t>
  </si>
  <si>
    <t>1052/2161</t>
  </si>
  <si>
    <t>1052/2162</t>
  </si>
  <si>
    <t>1052/2163</t>
  </si>
  <si>
    <t>1052/2164</t>
  </si>
  <si>
    <t>1052/2165</t>
  </si>
  <si>
    <t>1052/2166</t>
  </si>
  <si>
    <t>1052/2167</t>
  </si>
  <si>
    <t>1052/2168</t>
  </si>
  <si>
    <t>1052/2169</t>
  </si>
  <si>
    <t>1052/2170</t>
  </si>
  <si>
    <t>1052/2171</t>
  </si>
  <si>
    <t>1052/2172</t>
  </si>
  <si>
    <t>1052/2173</t>
  </si>
  <si>
    <t>1052/2174</t>
  </si>
  <si>
    <t>1052/2175</t>
  </si>
  <si>
    <t>1052/2176</t>
  </si>
  <si>
    <t>1052/2177</t>
  </si>
  <si>
    <t>1052/2178</t>
  </si>
  <si>
    <t>1052/2179</t>
  </si>
  <si>
    <t>1052/2180</t>
  </si>
  <si>
    <t>1052/2181</t>
  </si>
  <si>
    <t>1052/2182</t>
  </si>
  <si>
    <t>1052/2183</t>
  </si>
  <si>
    <t>1052/2184</t>
  </si>
  <si>
    <t>1052/2185</t>
  </si>
  <si>
    <t>1052/2186</t>
  </si>
  <si>
    <t>1052/2187</t>
  </si>
  <si>
    <t>1052/2188</t>
  </si>
  <si>
    <t>1052/2189</t>
  </si>
  <si>
    <t>1052/2190</t>
  </si>
  <si>
    <t>1052/2191</t>
  </si>
  <si>
    <t>1052/2192</t>
  </si>
  <si>
    <t>1052/2193</t>
  </si>
  <si>
    <t>1052/2194</t>
  </si>
  <si>
    <t>1052/2195</t>
  </si>
  <si>
    <t>1052/2196</t>
  </si>
  <si>
    <t>1052/2197</t>
  </si>
  <si>
    <t>1052/2198</t>
  </si>
  <si>
    <t>1052/2199</t>
  </si>
  <si>
    <t>1052/2200</t>
  </si>
  <si>
    <t>1052/2201</t>
  </si>
  <si>
    <t>1052/2202</t>
  </si>
  <si>
    <t>1052/2203</t>
  </si>
  <si>
    <t>1052/2204</t>
  </si>
  <si>
    <t>1052/2205</t>
  </si>
  <si>
    <t>1052/2206</t>
  </si>
  <si>
    <t>1052/2207</t>
  </si>
  <si>
    <t>1052/2208</t>
  </si>
  <si>
    <t>1052/2209</t>
  </si>
  <si>
    <t>1052/2210</t>
  </si>
  <si>
    <t>1052/2211</t>
  </si>
  <si>
    <t>1052/2212</t>
  </si>
  <si>
    <t>1052/2213</t>
  </si>
  <si>
    <t>1052/2214</t>
  </si>
  <si>
    <t>1052/2215</t>
  </si>
  <si>
    <t>1052/2216</t>
  </si>
  <si>
    <t>1052/2217</t>
  </si>
  <si>
    <t>1052/2218</t>
  </si>
  <si>
    <t>1052/2219</t>
  </si>
  <si>
    <t>1052/2220</t>
  </si>
  <si>
    <t>1052/2221</t>
  </si>
  <si>
    <t>1052/2222</t>
  </si>
  <si>
    <t>1052/2223</t>
  </si>
  <si>
    <t>1052/2224</t>
  </si>
  <si>
    <t>1052/2225</t>
  </si>
  <si>
    <t>1052/2226</t>
  </si>
  <si>
    <t>1052/2227</t>
  </si>
  <si>
    <t>1052/2228</t>
  </si>
  <si>
    <t>1052/2229</t>
  </si>
  <si>
    <t>1052/2230</t>
  </si>
  <si>
    <t>1052/2231</t>
  </si>
  <si>
    <t>1052/2232</t>
  </si>
  <si>
    <t>1052/2233</t>
  </si>
  <si>
    <t>1052/2234</t>
  </si>
  <si>
    <t>1052/2235</t>
  </si>
  <si>
    <t>1052/2236</t>
  </si>
  <si>
    <t>1052/2237</t>
  </si>
  <si>
    <t>1052/2238</t>
  </si>
  <si>
    <t>1052/2239</t>
  </si>
  <si>
    <t>1052/2240</t>
  </si>
  <si>
    <t>1052/2241</t>
  </si>
  <si>
    <t>1052/2242</t>
  </si>
  <si>
    <t>1052/2243</t>
  </si>
  <si>
    <t>1052/2244</t>
  </si>
  <si>
    <t>1052/2245</t>
  </si>
  <si>
    <t>1052/2246</t>
  </si>
  <si>
    <t>1052/2247</t>
  </si>
  <si>
    <t>1052/2248</t>
  </si>
  <si>
    <t>1052/2249</t>
  </si>
  <si>
    <t>1052/2250</t>
  </si>
  <si>
    <t>1052/2251</t>
  </si>
  <si>
    <t>1052/2252</t>
  </si>
  <si>
    <t>1052/2253</t>
  </si>
  <si>
    <t>1052/2254</t>
  </si>
  <si>
    <t>1052/2255</t>
  </si>
  <si>
    <t>1052/2256</t>
  </si>
  <si>
    <t>1052/2257</t>
  </si>
  <si>
    <t>1052/2258</t>
  </si>
  <si>
    <t>1052/2259</t>
  </si>
  <si>
    <t>1052/2260</t>
  </si>
  <si>
    <t>1052/2261</t>
  </si>
  <si>
    <t>1052/2262</t>
  </si>
  <si>
    <t>1052/2263</t>
  </si>
  <si>
    <t>1052/2264</t>
  </si>
  <si>
    <t>1052/2265</t>
  </si>
  <si>
    <t>1052/2266</t>
  </si>
  <si>
    <t>1052/2267</t>
  </si>
  <si>
    <t>1052/2268</t>
  </si>
  <si>
    <t>1052/2269</t>
  </si>
  <si>
    <t>1052/2270</t>
  </si>
  <si>
    <t>1052/2271</t>
  </si>
  <si>
    <t>1052/2272</t>
  </si>
  <si>
    <t>1052/2273</t>
  </si>
  <si>
    <t>1052/2274</t>
  </si>
  <si>
    <t>1052/2275</t>
  </si>
  <si>
    <t>1052/2276</t>
  </si>
  <si>
    <t>1052/2277</t>
  </si>
  <si>
    <t>1052/2278</t>
  </si>
  <si>
    <t>1052/2279</t>
  </si>
  <si>
    <t>1052/2280</t>
  </si>
  <si>
    <t>1052/2281</t>
  </si>
  <si>
    <t>1052/2282</t>
  </si>
  <si>
    <t>1052/2283</t>
  </si>
  <si>
    <t>1052/2284</t>
  </si>
  <si>
    <t>1052/2285</t>
  </si>
  <si>
    <t>1052/2286</t>
  </si>
  <si>
    <t>1052/2287</t>
  </si>
  <si>
    <t>1052/2288</t>
  </si>
  <si>
    <t>1052/2289</t>
  </si>
  <si>
    <t>1052/2290</t>
  </si>
  <si>
    <t>1052/2291</t>
  </si>
  <si>
    <t>1052/2292</t>
  </si>
  <si>
    <t>1052/2293</t>
  </si>
  <si>
    <t>1052/2294</t>
  </si>
  <si>
    <t>1052/2295</t>
  </si>
  <si>
    <t>1052/2296</t>
  </si>
  <si>
    <t>1052/2297</t>
  </si>
  <si>
    <t>1052/2298</t>
  </si>
  <si>
    <t>1052/2299</t>
  </si>
  <si>
    <t>1052/2300</t>
  </si>
  <si>
    <t>1052/2301</t>
  </si>
  <si>
    <t>1052/2302</t>
  </si>
  <si>
    <t>1052/2303</t>
  </si>
  <si>
    <t>1052/2304</t>
  </si>
  <si>
    <t>1052/2305</t>
  </si>
  <si>
    <t>1052/2306</t>
  </si>
  <si>
    <t>1052/2307</t>
  </si>
  <si>
    <t>1052/2308</t>
  </si>
  <si>
    <t>1052/2309</t>
  </si>
  <si>
    <t>1052/2310</t>
  </si>
  <si>
    <t>1052/2311</t>
  </si>
  <si>
    <t>1052/2312</t>
  </si>
  <si>
    <t>1052/2313</t>
  </si>
  <si>
    <t>1052/2314</t>
  </si>
  <si>
    <t>1052/2315</t>
  </si>
  <si>
    <t>1052/2316</t>
  </si>
  <si>
    <t>1052/2317</t>
  </si>
  <si>
    <t>1052/2318</t>
  </si>
  <si>
    <t>1052/2319</t>
  </si>
  <si>
    <t>1052/2320</t>
  </si>
  <si>
    <t>1052/2321</t>
  </si>
  <si>
    <t>1052/2322</t>
  </si>
  <si>
    <t>1052/2323</t>
  </si>
  <si>
    <t>1052/2324</t>
  </si>
  <si>
    <t>1052/2325</t>
  </si>
  <si>
    <t>1052/2326</t>
  </si>
  <si>
    <t>1052/2327</t>
  </si>
  <si>
    <t>1052/2328</t>
  </si>
  <si>
    <t>1052/2329</t>
  </si>
  <si>
    <t>1052/2330</t>
  </si>
  <si>
    <t>1052/2331</t>
  </si>
  <si>
    <t>1052/2332</t>
  </si>
  <si>
    <t>1052/2333</t>
  </si>
  <si>
    <t>1052/2334</t>
  </si>
  <si>
    <t>1052/2335</t>
  </si>
  <si>
    <t>1052/2336</t>
  </si>
  <si>
    <t>1052/2337</t>
  </si>
  <si>
    <t>1052/2338</t>
  </si>
  <si>
    <t>1052/2339</t>
  </si>
  <si>
    <t>1052/2340</t>
  </si>
  <si>
    <t>1052/2341</t>
  </si>
  <si>
    <t>1052/2342</t>
  </si>
  <si>
    <t>1052/2343</t>
  </si>
  <si>
    <t>1052/2344</t>
  </si>
  <si>
    <t>1052/2345</t>
  </si>
  <si>
    <t>1052/2346</t>
  </si>
  <si>
    <t>1052/2347</t>
  </si>
  <si>
    <t>1052/2348</t>
  </si>
  <si>
    <t>1052/2349</t>
  </si>
  <si>
    <t>1052/2350</t>
  </si>
  <si>
    <t>1052/2351</t>
  </si>
  <si>
    <t>1052/2352</t>
  </si>
  <si>
    <t>1052/2353</t>
  </si>
  <si>
    <t>1052/2354</t>
  </si>
  <si>
    <t>1052/2355</t>
  </si>
  <si>
    <t>1052/2356</t>
  </si>
  <si>
    <t>1052/2357</t>
  </si>
  <si>
    <t>1052/2358</t>
  </si>
  <si>
    <t>1052/2359</t>
  </si>
  <si>
    <t>1052/2360</t>
  </si>
  <si>
    <t>1052/2361</t>
  </si>
  <si>
    <t>1052/2362</t>
  </si>
  <si>
    <t>1052/2363</t>
  </si>
  <si>
    <t>1052/2364</t>
  </si>
  <si>
    <t>1052/2365</t>
  </si>
  <si>
    <t>1052/2366</t>
  </si>
  <si>
    <t>1052/2367</t>
  </si>
  <si>
    <t>1052/2368</t>
  </si>
  <si>
    <t>1052/2369</t>
  </si>
  <si>
    <t>1052/2370</t>
  </si>
  <si>
    <t>1052/2371</t>
  </si>
  <si>
    <t>1052/2372</t>
  </si>
  <si>
    <t>1052/2373</t>
  </si>
  <si>
    <t>1052/2374</t>
  </si>
  <si>
    <t>1052/2375</t>
  </si>
  <si>
    <t>1052/2376</t>
  </si>
  <si>
    <t>1052/2377</t>
  </si>
  <si>
    <t>1052/2378</t>
  </si>
  <si>
    <t>1052/2379</t>
  </si>
  <si>
    <t>1052/2380</t>
  </si>
  <si>
    <t>1052/2381</t>
  </si>
  <si>
    <t>1052/2382</t>
  </si>
  <si>
    <t>1052/2383</t>
  </si>
  <si>
    <t>1052/2384</t>
  </si>
  <si>
    <t>1052/2385</t>
  </si>
  <si>
    <t>1052/2386</t>
  </si>
  <si>
    <t>1052/2387</t>
  </si>
  <si>
    <t>1052/2388</t>
  </si>
  <si>
    <t>1052/2389</t>
  </si>
  <si>
    <t>1052/2390</t>
  </si>
  <si>
    <t>1052/2391</t>
  </si>
  <si>
    <t>1052/2392</t>
  </si>
  <si>
    <t>1052/2393</t>
  </si>
  <si>
    <t>1052/2394</t>
  </si>
  <si>
    <t>1052/2395</t>
  </si>
  <si>
    <t>1052/2396</t>
  </si>
  <si>
    <t>1052/2397</t>
  </si>
  <si>
    <t>1052/2398</t>
  </si>
  <si>
    <t>1052/2399</t>
  </si>
  <si>
    <t>1052/2400</t>
  </si>
  <si>
    <t>1052/2401</t>
  </si>
  <si>
    <t>1052/2402</t>
  </si>
  <si>
    <t>1052/2403</t>
  </si>
  <si>
    <t>1052/2404</t>
  </si>
  <si>
    <t>1052/2405</t>
  </si>
  <si>
    <t>1052/2406</t>
  </si>
  <si>
    <t>1052/2407</t>
  </si>
  <si>
    <t>1052/2408</t>
  </si>
  <si>
    <t>1052/2409</t>
  </si>
  <si>
    <t>1052/2410</t>
  </si>
  <si>
    <t>1052/2411</t>
  </si>
  <si>
    <t>1052/2412</t>
  </si>
  <si>
    <t>1052/2413</t>
  </si>
  <si>
    <t>1052/2414</t>
  </si>
  <si>
    <t>1052/2415</t>
  </si>
  <si>
    <t>1052/2416</t>
  </si>
  <si>
    <t>1052/2417</t>
  </si>
  <si>
    <t>1052/2418</t>
  </si>
  <si>
    <t>1052/2419</t>
  </si>
  <si>
    <t>1052/2420</t>
  </si>
  <si>
    <t>1052/2421</t>
  </si>
  <si>
    <t>1052/2422</t>
  </si>
  <si>
    <t>1052/2423</t>
  </si>
  <si>
    <t>1052/2424</t>
  </si>
  <si>
    <t>1052/2425</t>
  </si>
  <si>
    <t>1052/2426</t>
  </si>
  <si>
    <t>1052/2427</t>
  </si>
  <si>
    <t>1052/2428</t>
  </si>
  <si>
    <t>1052/2429</t>
  </si>
  <si>
    <t>1052/2430</t>
  </si>
  <si>
    <t>1052/2431</t>
  </si>
  <si>
    <t>1052/2432</t>
  </si>
  <si>
    <t>1052/2433</t>
  </si>
  <si>
    <t>1052/2434</t>
  </si>
  <si>
    <t>1052/2435</t>
  </si>
  <si>
    <t>1052/2436</t>
  </si>
  <si>
    <t>1052/2437</t>
  </si>
  <si>
    <t>1052/2438</t>
  </si>
  <si>
    <t>1052/2439</t>
  </si>
  <si>
    <t>1052/2440</t>
  </si>
  <si>
    <t>1052/2441</t>
  </si>
  <si>
    <t>1052/2442</t>
  </si>
  <si>
    <t>1052/2443</t>
  </si>
  <si>
    <t>1052/2444</t>
  </si>
  <si>
    <t>1052/2445</t>
  </si>
  <si>
    <t>1052/2446</t>
  </si>
  <si>
    <t>1052/2447</t>
  </si>
  <si>
    <t>1052/2448</t>
  </si>
  <si>
    <t>1052/2449</t>
  </si>
  <si>
    <t>1052/2450</t>
  </si>
  <si>
    <t>1052/2451</t>
  </si>
  <si>
    <t>1052/2452</t>
  </si>
  <si>
    <t>1052/2453</t>
  </si>
  <si>
    <t>1052/2454</t>
  </si>
  <si>
    <t>1052/2455</t>
  </si>
  <si>
    <t>1052/2456</t>
  </si>
  <si>
    <t>1052/2457</t>
  </si>
  <si>
    <t>1052/2458</t>
  </si>
  <si>
    <t>1052/2459</t>
  </si>
  <si>
    <t>1052/2460</t>
  </si>
  <si>
    <t>1052/2461</t>
  </si>
  <si>
    <t>1052/2462</t>
  </si>
  <si>
    <t>1052/2463</t>
  </si>
  <si>
    <t>1052/2464</t>
  </si>
  <si>
    <t>1052/2465</t>
  </si>
  <si>
    <t>1052/2466</t>
  </si>
  <si>
    <t>1052/2467</t>
  </si>
  <si>
    <t>1052/2468</t>
  </si>
  <si>
    <t>1052/2469</t>
  </si>
  <si>
    <t>1052/2470</t>
  </si>
  <si>
    <t>1052/2471</t>
  </si>
  <si>
    <t>1052/2472</t>
  </si>
  <si>
    <t>1052/2473</t>
  </si>
  <si>
    <t>1052/2474</t>
  </si>
  <si>
    <t>1052/2475</t>
  </si>
  <si>
    <t>1052/2476</t>
  </si>
  <si>
    <t>1052/2477</t>
  </si>
  <si>
    <t>1052/2478</t>
  </si>
  <si>
    <t>1052/2479</t>
  </si>
  <si>
    <t>1052/2480</t>
  </si>
  <si>
    <t>1052/2481</t>
  </si>
  <si>
    <t>1052/2482</t>
  </si>
  <si>
    <t>1052/2483</t>
  </si>
  <si>
    <t>1052/2484</t>
  </si>
  <si>
    <t>1052/2485</t>
  </si>
  <si>
    <t>1052/2486</t>
  </si>
  <si>
    <t>1052/2487</t>
  </si>
  <si>
    <t>1052/2488</t>
  </si>
  <si>
    <t>1052/2489</t>
  </si>
  <si>
    <t>1052/2490</t>
  </si>
  <si>
    <t>1052/2491</t>
  </si>
  <si>
    <t>1052/2492</t>
  </si>
  <si>
    <t>1052/2493</t>
  </si>
  <si>
    <t>1052/2494</t>
  </si>
  <si>
    <t>1052/2495</t>
  </si>
  <si>
    <t>1052/2496</t>
  </si>
  <si>
    <t>1052/2497</t>
  </si>
  <si>
    <t>1052/2498</t>
  </si>
  <si>
    <t>1052/2499</t>
  </si>
  <si>
    <t>1052/2500</t>
  </si>
  <si>
    <t>1052/2501</t>
  </si>
  <si>
    <t>1052/2502</t>
  </si>
  <si>
    <t>1052/2503</t>
  </si>
  <si>
    <t>1052/2504</t>
  </si>
  <si>
    <t>1052/2505</t>
  </si>
  <si>
    <t>1052/2506</t>
  </si>
  <si>
    <t>1052/2507</t>
  </si>
  <si>
    <t>1052/2508</t>
  </si>
  <si>
    <t>1052/2509</t>
  </si>
  <si>
    <t>1052/2510</t>
  </si>
  <si>
    <t>1052/2511</t>
  </si>
  <si>
    <t>1052/2512</t>
  </si>
  <si>
    <t>1052/2513</t>
  </si>
  <si>
    <t>1052/2514</t>
  </si>
  <si>
    <t>1052/2515</t>
  </si>
  <si>
    <t>1052/2516</t>
  </si>
  <si>
    <t>1052/2517</t>
  </si>
  <si>
    <t>1052/2518</t>
  </si>
  <si>
    <t>1052/2519</t>
  </si>
  <si>
    <t>1052/2520</t>
  </si>
  <si>
    <t>1052/2521</t>
  </si>
  <si>
    <t>1052/2522</t>
  </si>
  <si>
    <t>1052/2523</t>
  </si>
  <si>
    <t>1052/2524</t>
  </si>
  <si>
    <t>1052/2525</t>
  </si>
  <si>
    <t>1052/2526</t>
  </si>
  <si>
    <t>1052/2527</t>
  </si>
  <si>
    <t>1052/2528</t>
  </si>
  <si>
    <t>1052/2529</t>
  </si>
  <si>
    <t>1052/2530</t>
  </si>
  <si>
    <t>1052/2531</t>
  </si>
  <si>
    <t>1052/2532</t>
  </si>
  <si>
    <t>1052/2533</t>
  </si>
  <si>
    <t>1052/2534</t>
  </si>
  <si>
    <t>1052/2535</t>
  </si>
  <si>
    <t>1052/2536</t>
  </si>
  <si>
    <t>1052/2537</t>
  </si>
  <si>
    <t>1052/2538</t>
  </si>
  <si>
    <t>1052/2539</t>
  </si>
  <si>
    <t>1052/2540</t>
  </si>
  <si>
    <t>1052/2541</t>
  </si>
  <si>
    <t>1052/2542</t>
  </si>
  <si>
    <t>1052/2543</t>
  </si>
  <si>
    <t>1052/2544</t>
  </si>
  <si>
    <t>1052/2545</t>
  </si>
  <si>
    <t>1052/2546</t>
  </si>
  <si>
    <t>1052/2547</t>
  </si>
  <si>
    <t>1052/2548</t>
  </si>
  <si>
    <t>1052/2549</t>
  </si>
  <si>
    <t>1052/2550</t>
  </si>
  <si>
    <t>1052/2551</t>
  </si>
  <si>
    <t>1052/2552</t>
  </si>
  <si>
    <t>1052/2553</t>
  </si>
  <si>
    <t>1052/2554</t>
  </si>
  <si>
    <t>1052/2555</t>
  </si>
  <si>
    <t>1052/2556</t>
  </si>
  <si>
    <t>1052/2557</t>
  </si>
  <si>
    <t>1052/2558</t>
  </si>
  <si>
    <t>1052/2559</t>
  </si>
  <si>
    <t>1052/2560</t>
  </si>
  <si>
    <t>1052/2561</t>
  </si>
  <si>
    <t>1052/2562</t>
  </si>
  <si>
    <t>1052/2563</t>
  </si>
  <si>
    <t>1052/2564</t>
  </si>
  <si>
    <t>1052/2565</t>
  </si>
  <si>
    <t>1052/2566</t>
  </si>
  <si>
    <t>1052/2567</t>
  </si>
  <si>
    <t>1052/2568</t>
  </si>
  <si>
    <t>1052/2569</t>
  </si>
  <si>
    <t>1052/2570</t>
  </si>
  <si>
    <t>1052/2571</t>
  </si>
  <si>
    <t>1052/2572</t>
  </si>
  <si>
    <t>1052/2573</t>
  </si>
  <si>
    <t>1052/2574</t>
  </si>
  <si>
    <t>1052/2575</t>
  </si>
  <si>
    <t>1052/2576</t>
  </si>
  <si>
    <t>1052/2577</t>
  </si>
  <si>
    <t>1052/2578</t>
  </si>
  <si>
    <t>1052/2579</t>
  </si>
  <si>
    <t>1052/2580</t>
  </si>
  <si>
    <t>1052/2581</t>
  </si>
  <si>
    <t>1052/2582</t>
  </si>
  <si>
    <t>1052/2583</t>
  </si>
  <si>
    <t>1052/2584</t>
  </si>
  <si>
    <t>1052/2585</t>
  </si>
  <si>
    <t>1052/2586</t>
  </si>
  <si>
    <t>1052/2587</t>
  </si>
  <si>
    <t>1052/2588</t>
  </si>
  <si>
    <t>1052/2589</t>
  </si>
  <si>
    <t>1052/2590</t>
  </si>
  <si>
    <t>1052/2591</t>
  </si>
  <si>
    <t>1052/2592</t>
  </si>
  <si>
    <t>1052/2593</t>
  </si>
  <si>
    <t>1052/2594</t>
  </si>
  <si>
    <t>1052/2595</t>
  </si>
  <si>
    <t>1052/2596</t>
  </si>
  <si>
    <t>1052/2597</t>
  </si>
  <si>
    <t>1052/2598</t>
  </si>
  <si>
    <t>1052/2599</t>
  </si>
  <si>
    <t>1052/2600</t>
  </si>
  <si>
    <t>1052/2601</t>
  </si>
  <si>
    <t>1052/2602</t>
  </si>
  <si>
    <t>1052/2603</t>
  </si>
  <si>
    <t>1052/2604</t>
  </si>
  <si>
    <t>1052/2605</t>
  </si>
  <si>
    <t>1052/2606</t>
  </si>
  <si>
    <t>1052/2607</t>
  </si>
  <si>
    <t>1052/2608</t>
  </si>
  <si>
    <t>1052/2609</t>
  </si>
  <si>
    <t>1052/2610</t>
  </si>
  <si>
    <t>1052/2611</t>
  </si>
  <si>
    <t>1052/2612</t>
  </si>
  <si>
    <t>1052/2613</t>
  </si>
  <si>
    <t>1052/2614</t>
  </si>
  <si>
    <t>1052/2615</t>
  </si>
  <si>
    <t>1052/2616</t>
  </si>
  <si>
    <t>1052/2617</t>
  </si>
  <si>
    <t>1052/2618</t>
  </si>
  <si>
    <t>1052/2619</t>
  </si>
  <si>
    <t>1052/2620</t>
  </si>
  <si>
    <t>1052/2621</t>
  </si>
  <si>
    <t>1052/2622</t>
  </si>
  <si>
    <t>1052/2623</t>
  </si>
  <si>
    <t>1052/2624</t>
  </si>
  <si>
    <t>1052/2625</t>
  </si>
  <si>
    <t>1052/2626</t>
  </si>
  <si>
    <t>1052/2627</t>
  </si>
  <si>
    <t>1052/2628</t>
  </si>
  <si>
    <t>1052/2629</t>
  </si>
  <si>
    <t>1052/2630</t>
  </si>
  <si>
    <t>1052/2631</t>
  </si>
  <si>
    <t>1052/2632</t>
  </si>
  <si>
    <t>1052/2633</t>
  </si>
  <si>
    <t>1052/2634</t>
  </si>
  <si>
    <t>1052/2635</t>
  </si>
  <si>
    <t>1052/2636</t>
  </si>
  <si>
    <t>1052/2637</t>
  </si>
  <si>
    <t>1052/2638</t>
  </si>
  <si>
    <t>1052/2639</t>
  </si>
  <si>
    <t>1052/2640</t>
  </si>
  <si>
    <t>1052/2641</t>
  </si>
  <si>
    <t>1052/2642</t>
  </si>
  <si>
    <t>1052/2643</t>
  </si>
  <si>
    <t>1052/2644</t>
  </si>
  <si>
    <t>1052/2645</t>
  </si>
  <si>
    <t>1052/2646</t>
  </si>
  <si>
    <t>1052/2647</t>
  </si>
  <si>
    <t>1052/2648</t>
  </si>
  <si>
    <t>1052/2649</t>
  </si>
  <si>
    <t>1052/2650</t>
  </si>
  <si>
    <t>1052/2651</t>
  </si>
  <si>
    <t>1052/2652</t>
  </si>
  <si>
    <t>1052/2653</t>
  </si>
  <si>
    <t>1052/2654</t>
  </si>
  <si>
    <t>1052/2655</t>
  </si>
  <si>
    <t>1052/2656</t>
  </si>
  <si>
    <t>1052/2657</t>
  </si>
  <si>
    <t>1052/2658</t>
  </si>
  <si>
    <t>1052/2659</t>
  </si>
  <si>
    <t>1052/2660</t>
  </si>
  <si>
    <t>1052/2661</t>
  </si>
  <si>
    <t>1052/2662</t>
  </si>
  <si>
    <t>1052/2663</t>
  </si>
  <si>
    <t>1052/2664</t>
  </si>
  <si>
    <t>1052/2665</t>
  </si>
  <si>
    <t>1052/2666</t>
  </si>
  <si>
    <t>1052/2667</t>
  </si>
  <si>
    <t>1052/2668</t>
  </si>
  <si>
    <t>1052/2669</t>
  </si>
  <si>
    <t>1052/2670</t>
  </si>
  <si>
    <t>1052/2671</t>
  </si>
  <si>
    <t>1052/2672</t>
  </si>
  <si>
    <t>1052/2673</t>
  </si>
  <si>
    <t>1052/2674</t>
  </si>
  <si>
    <t>1052/2675</t>
  </si>
  <si>
    <t>1052/2676</t>
  </si>
  <si>
    <t>1052/2677</t>
  </si>
  <si>
    <t>1052/2678</t>
  </si>
  <si>
    <t>1052/2679</t>
  </si>
  <si>
    <t>1052/2680</t>
  </si>
  <si>
    <t>1052/2681</t>
  </si>
  <si>
    <t>1052/2682</t>
  </si>
  <si>
    <t>1052/2683</t>
  </si>
  <si>
    <t>1052/2684</t>
  </si>
  <si>
    <t>1052/2685</t>
  </si>
  <si>
    <t>1052/2686</t>
  </si>
  <si>
    <t>1052/2687</t>
  </si>
  <si>
    <t>1052/2688</t>
  </si>
  <si>
    <t>1052/2689</t>
  </si>
  <si>
    <t>1052/2690</t>
  </si>
  <si>
    <t>1052/2691</t>
  </si>
  <si>
    <t>1052/2692</t>
  </si>
  <si>
    <t>1052/2693</t>
  </si>
  <si>
    <t>1052/2694</t>
  </si>
  <si>
    <t>1052/2695</t>
  </si>
  <si>
    <t>1052/2696</t>
  </si>
  <si>
    <t>1052/2697</t>
  </si>
  <si>
    <t>1052/2698</t>
  </si>
  <si>
    <t>1052/2699</t>
  </si>
  <si>
    <t>1052/2700</t>
  </si>
  <si>
    <t>1052/2701</t>
  </si>
  <si>
    <t>1052/2702</t>
  </si>
  <si>
    <t>1052/2703</t>
  </si>
  <si>
    <t>1052/2704</t>
  </si>
  <si>
    <t>1052/2705</t>
  </si>
  <si>
    <t>1052/2706</t>
  </si>
  <si>
    <t>1052/2707</t>
  </si>
  <si>
    <t>1052/2708</t>
  </si>
  <si>
    <t>1052/2709</t>
  </si>
  <si>
    <t>1052/2710</t>
  </si>
  <si>
    <t>1052/2711</t>
  </si>
  <si>
    <t>1052/2712</t>
  </si>
  <si>
    <t>1052/2713</t>
  </si>
  <si>
    <t>1052/2714</t>
  </si>
  <si>
    <t>1052/2715</t>
  </si>
  <si>
    <t>1052/2716</t>
  </si>
  <si>
    <t>1052/2717</t>
  </si>
  <si>
    <t>1052/2718</t>
  </si>
  <si>
    <t>1052/2719</t>
  </si>
  <si>
    <t>1052/2720</t>
  </si>
  <si>
    <t>1052/2721</t>
  </si>
  <si>
    <t>1052/2722</t>
  </si>
  <si>
    <t>1052/2723</t>
  </si>
  <si>
    <t>1052/2724</t>
  </si>
  <si>
    <t>1052/2725</t>
  </si>
  <si>
    <t>1052/2726</t>
  </si>
  <si>
    <t>1052/2727</t>
  </si>
  <si>
    <t>1052/2728</t>
  </si>
  <si>
    <t>1052/2729</t>
  </si>
  <si>
    <t>1052/2730</t>
  </si>
  <si>
    <t>1052/2731</t>
  </si>
  <si>
    <t>1052/2732</t>
  </si>
  <si>
    <t>1052/2733</t>
  </si>
  <si>
    <t>1052/2734</t>
  </si>
  <si>
    <t>1052/2735</t>
  </si>
  <si>
    <t>1052/2736</t>
  </si>
  <si>
    <t>1052/2737</t>
  </si>
  <si>
    <t>1052/2738</t>
  </si>
  <si>
    <t>1052/2739</t>
  </si>
  <si>
    <t>1052/2740</t>
  </si>
  <si>
    <t>1052/2741</t>
  </si>
  <si>
    <t>1052/2742</t>
  </si>
  <si>
    <t>1052/2743</t>
  </si>
  <si>
    <t>1052/2744</t>
  </si>
  <si>
    <t>1052/2745</t>
  </si>
  <si>
    <t>1052/2746</t>
  </si>
  <si>
    <t>1052/2747</t>
  </si>
  <si>
    <t>1052/2748</t>
  </si>
  <si>
    <t>1052/2749</t>
  </si>
  <si>
    <t>1052/2750</t>
  </si>
  <si>
    <t>1052/2751</t>
  </si>
  <si>
    <t>1052/2752</t>
  </si>
  <si>
    <t>1052/2753</t>
  </si>
  <si>
    <t>1052/2754</t>
  </si>
  <si>
    <t>1052/2755</t>
  </si>
  <si>
    <t>1052/2756</t>
  </si>
  <si>
    <t>1052/2757</t>
  </si>
  <si>
    <t>1052/2758</t>
  </si>
  <si>
    <t>1052/2759</t>
  </si>
  <si>
    <t>1052/2760</t>
  </si>
  <si>
    <t>1052/2761</t>
  </si>
  <si>
    <t>1052/2762</t>
  </si>
  <si>
    <t>1052/2763</t>
  </si>
  <si>
    <t>1052/2764</t>
  </si>
  <si>
    <t>1052/2765</t>
  </si>
  <si>
    <t>1052/2766</t>
  </si>
  <si>
    <t>1052/2767</t>
  </si>
  <si>
    <t>1052/2768</t>
  </si>
  <si>
    <t>1052/2769</t>
  </si>
  <si>
    <t>1052/2770</t>
  </si>
  <si>
    <t>1052/2771</t>
  </si>
  <si>
    <t>1052/2772</t>
  </si>
  <si>
    <t>1052/2773</t>
  </si>
  <si>
    <t>1052/2774</t>
  </si>
  <si>
    <t>1052/2775</t>
  </si>
  <si>
    <t>1052/2776</t>
  </si>
  <si>
    <t>1052/2777</t>
  </si>
  <si>
    <t>1052/2778</t>
  </si>
  <si>
    <t>1052/2779</t>
  </si>
  <si>
    <t>1052/2780</t>
  </si>
  <si>
    <t>1052/2781</t>
  </si>
  <si>
    <t>1052/2782</t>
  </si>
  <si>
    <t>1052/2783</t>
  </si>
  <si>
    <t>1052/2784</t>
  </si>
  <si>
    <t>1052/2785</t>
  </si>
  <si>
    <t>1052/2786</t>
  </si>
  <si>
    <t>1052/2787</t>
  </si>
  <si>
    <t>1052/2788</t>
  </si>
  <si>
    <t>1052/2789</t>
  </si>
  <si>
    <t>1052/2790</t>
  </si>
  <si>
    <t>1052/2791</t>
  </si>
  <si>
    <t>1052/2792</t>
  </si>
  <si>
    <t>1052/2793</t>
  </si>
  <si>
    <t>1052/2794</t>
  </si>
  <si>
    <t>1052/2795</t>
  </si>
  <si>
    <t>1052/2796</t>
  </si>
  <si>
    <t>1052/2797</t>
  </si>
  <si>
    <t>1052/2798</t>
  </si>
  <si>
    <t>1052/2799</t>
  </si>
  <si>
    <t>1052/2800</t>
  </si>
  <si>
    <t>1052/2801</t>
  </si>
  <si>
    <t>1052/2802</t>
  </si>
  <si>
    <t>1052/2803</t>
  </si>
  <si>
    <t>1052/2804</t>
  </si>
  <si>
    <t>1052/2805</t>
  </si>
  <si>
    <t>1052/2806</t>
  </si>
  <si>
    <t>1052/2807</t>
  </si>
  <si>
    <t>1052/2808</t>
  </si>
  <si>
    <t>1052/2809</t>
  </si>
  <si>
    <t>1052/2810</t>
  </si>
  <si>
    <t>1052/2811</t>
  </si>
  <si>
    <t>1052/2812</t>
  </si>
  <si>
    <t>1052/2813</t>
  </si>
  <si>
    <t>1052/2814</t>
  </si>
  <si>
    <t>1052/2815</t>
  </si>
  <si>
    <t>1052/2816</t>
  </si>
  <si>
    <t>1052/2817</t>
  </si>
  <si>
    <t>1052/2818</t>
  </si>
  <si>
    <t>1052/2819</t>
  </si>
  <si>
    <t>1052/2820</t>
  </si>
  <si>
    <t>1052/2821</t>
  </si>
  <si>
    <t>1052/2822</t>
  </si>
  <si>
    <t>1052/2823</t>
  </si>
  <si>
    <t>1052/2824</t>
  </si>
  <si>
    <t>1052/2825</t>
  </si>
  <si>
    <t>1052/2826</t>
  </si>
  <si>
    <t>1052/2827</t>
  </si>
  <si>
    <t>1052/2828</t>
  </si>
  <si>
    <t>1052/2829</t>
  </si>
  <si>
    <t>1052/2830</t>
  </si>
  <si>
    <t>1052/2831</t>
  </si>
  <si>
    <t>1052/2832</t>
  </si>
  <si>
    <t>1052/2833</t>
  </si>
  <si>
    <t>1052/2834</t>
  </si>
  <si>
    <t>1052/2835</t>
  </si>
  <si>
    <t>1052/2836</t>
  </si>
  <si>
    <t>1052/2837</t>
  </si>
  <si>
    <t>1052/2838</t>
  </si>
  <si>
    <t>1052/2839</t>
  </si>
  <si>
    <t>1052/2840</t>
  </si>
  <si>
    <t>1052/2841</t>
  </si>
  <si>
    <t>1052/2842</t>
  </si>
  <si>
    <t>1052/2843</t>
  </si>
  <si>
    <t>1052/2844</t>
  </si>
  <si>
    <t>1052/2845</t>
  </si>
  <si>
    <t>1052/2846</t>
  </si>
  <si>
    <t>1052/2847</t>
  </si>
  <si>
    <t>1052/2848</t>
  </si>
  <si>
    <t>1052/2849</t>
  </si>
  <si>
    <t>1052/2850</t>
  </si>
  <si>
    <t>1052/2851</t>
  </si>
  <si>
    <t>1052/2852</t>
  </si>
  <si>
    <t>1052/2853</t>
  </si>
  <si>
    <t>1052/2854</t>
  </si>
  <si>
    <t>1052/2855</t>
  </si>
  <si>
    <t>1052/2856</t>
  </si>
  <si>
    <t>1052/2857</t>
  </si>
  <si>
    <t>1052/2858</t>
  </si>
  <si>
    <t>1052/2859</t>
  </si>
  <si>
    <t>1052/2860</t>
  </si>
  <si>
    <t>1052/2861</t>
  </si>
  <si>
    <t>1052/2862</t>
  </si>
  <si>
    <t>1052/2863</t>
  </si>
  <si>
    <t>1052/2864</t>
  </si>
  <si>
    <t>1052/2865</t>
  </si>
  <si>
    <t>1052/2866</t>
  </si>
  <si>
    <t>1052/2867</t>
  </si>
  <si>
    <t>1052/2868</t>
  </si>
  <si>
    <t>1052/2869</t>
  </si>
  <si>
    <t>1052/2870</t>
  </si>
  <si>
    <t>1052/2871</t>
  </si>
  <si>
    <t>1052/2872</t>
  </si>
  <si>
    <t>1052/2873</t>
  </si>
  <si>
    <t>1052/2874</t>
  </si>
  <si>
    <t>1052/2875</t>
  </si>
  <si>
    <t>1052/2876</t>
  </si>
  <si>
    <t>1052/2877</t>
  </si>
  <si>
    <t>1052/2878</t>
  </si>
  <si>
    <t>1052/2879</t>
  </si>
  <si>
    <t>1052/2880</t>
  </si>
  <si>
    <t>1052/2881</t>
  </si>
  <si>
    <t>1052/2882</t>
  </si>
  <si>
    <t>1052/2883</t>
  </si>
  <si>
    <t>1052/2884</t>
  </si>
  <si>
    <t>1052/2885</t>
  </si>
  <si>
    <t>1052/2886</t>
  </si>
  <si>
    <t>1052/2887</t>
  </si>
  <si>
    <t>1052/2888</t>
  </si>
  <si>
    <t>1052/2889</t>
  </si>
  <si>
    <t>1052/2890</t>
  </si>
  <si>
    <t>1052/2891</t>
  </si>
  <si>
    <t>1052/2892</t>
  </si>
  <si>
    <t>1052/2893</t>
  </si>
  <si>
    <t>1052/2894</t>
  </si>
  <si>
    <t>1052/2895</t>
  </si>
  <si>
    <t>1052/2896</t>
  </si>
  <si>
    <t>1052/2897</t>
  </si>
  <si>
    <t>1052/2898</t>
  </si>
  <si>
    <t>1052/2899</t>
  </si>
  <si>
    <t>1052/2900</t>
  </si>
  <si>
    <t>1052/2901</t>
  </si>
  <si>
    <t>1052/2902</t>
  </si>
  <si>
    <t>1052/2903</t>
  </si>
  <si>
    <t>1052/2904</t>
  </si>
  <si>
    <t>1052/2905</t>
  </si>
  <si>
    <t>1052/2906</t>
  </si>
  <si>
    <t>1052/2907</t>
  </si>
  <si>
    <t>1052/2908</t>
  </si>
  <si>
    <t>1052/2909</t>
  </si>
  <si>
    <t>1052/2910</t>
  </si>
  <si>
    <t>1052/2911</t>
  </si>
  <si>
    <t>1052/2912</t>
  </si>
  <si>
    <t>1052/2913</t>
  </si>
  <si>
    <t>1052/2914</t>
  </si>
  <si>
    <t>1052/2915</t>
  </si>
  <si>
    <t>1052/2916</t>
  </si>
  <si>
    <t>1052/2917</t>
  </si>
  <si>
    <t>1052/2918</t>
  </si>
  <si>
    <t>1052/2919</t>
  </si>
  <si>
    <t>1052/2920</t>
  </si>
  <si>
    <t>1052/2921</t>
  </si>
  <si>
    <t>1052/2922</t>
  </si>
  <si>
    <t>1052/2923</t>
  </si>
  <si>
    <t>1052/2924</t>
  </si>
  <si>
    <t>1052/2925</t>
  </si>
  <si>
    <t>1052/2926</t>
  </si>
  <si>
    <t>1052/2927</t>
  </si>
  <si>
    <t>1052/2928</t>
  </si>
  <si>
    <t>1052/2929</t>
  </si>
  <si>
    <t>1052/2930</t>
  </si>
  <si>
    <t>1052/2931</t>
  </si>
  <si>
    <t>1052/2932</t>
  </si>
  <si>
    <t>1052/2933</t>
  </si>
  <si>
    <t>1052/2934</t>
  </si>
  <si>
    <t>1052/2935</t>
  </si>
  <si>
    <t>1052/2936</t>
  </si>
  <si>
    <t>1052/2937</t>
  </si>
  <si>
    <t>1052/2938</t>
  </si>
  <si>
    <t>1052/2939</t>
  </si>
  <si>
    <t>1052/2940</t>
  </si>
  <si>
    <t>1052/2941</t>
  </si>
  <si>
    <t>1052/2942</t>
  </si>
  <si>
    <t>1052/2943</t>
  </si>
  <si>
    <t>1052/2944</t>
  </si>
  <si>
    <t>1052/2945</t>
  </si>
  <si>
    <t>1052/2946</t>
  </si>
  <si>
    <t>1052/2947</t>
  </si>
  <si>
    <t>1052/2948</t>
  </si>
  <si>
    <t>1052/2949</t>
  </si>
  <si>
    <t>1052/2950</t>
  </si>
  <si>
    <t>1052/2951</t>
  </si>
  <si>
    <t>1052/2952</t>
  </si>
  <si>
    <t>1052/2953</t>
  </si>
  <si>
    <t>1052/2954</t>
  </si>
  <si>
    <t>1052/2955</t>
  </si>
  <si>
    <t>1052/2956</t>
  </si>
  <si>
    <t>1052/2957</t>
  </si>
  <si>
    <t>1052/2958</t>
  </si>
  <si>
    <t>1052/2959</t>
  </si>
  <si>
    <t>1052/2960</t>
  </si>
  <si>
    <t>1052/2961</t>
  </si>
  <si>
    <t>1052/2962</t>
  </si>
  <si>
    <t>1052/2963</t>
  </si>
  <si>
    <t>1052/2964</t>
  </si>
  <si>
    <t>1052/2965</t>
  </si>
  <si>
    <t>1052/2966</t>
  </si>
  <si>
    <t>1052/2967</t>
  </si>
  <si>
    <t>1052/2968</t>
  </si>
  <si>
    <t>1052/2969</t>
  </si>
  <si>
    <t>1052/2970</t>
  </si>
  <si>
    <t>1052/2971</t>
  </si>
  <si>
    <t>1052/2972</t>
  </si>
  <si>
    <t>1052/2973</t>
  </si>
  <si>
    <t>1052/2974</t>
  </si>
  <si>
    <t>1052/2975</t>
  </si>
  <si>
    <t>1052/2976</t>
  </si>
  <si>
    <t>1052/2977</t>
  </si>
  <si>
    <t>1052/2978</t>
  </si>
  <si>
    <t>1052/2979</t>
  </si>
  <si>
    <t>1052/2980</t>
  </si>
  <si>
    <t>1052/2981</t>
  </si>
  <si>
    <t>1052/2982</t>
  </si>
  <si>
    <t>1052/2983</t>
  </si>
  <si>
    <t>1052/2984</t>
  </si>
  <si>
    <t>1052/2985</t>
  </si>
  <si>
    <t>1052/2986</t>
  </si>
  <si>
    <t>1052/2987</t>
  </si>
  <si>
    <t>1052/2988</t>
  </si>
  <si>
    <t>1052/2989</t>
  </si>
  <si>
    <t>1052/2990</t>
  </si>
  <si>
    <t>1052/2991</t>
  </si>
  <si>
    <t>1052/2992</t>
  </si>
  <si>
    <t>1052/2993</t>
  </si>
  <si>
    <t>1052/2994</t>
  </si>
  <si>
    <t>1052/2995</t>
  </si>
  <si>
    <t>1052/2996</t>
  </si>
  <si>
    <t>1052/2997</t>
  </si>
  <si>
    <t>1052/2998</t>
  </si>
  <si>
    <t>1052/2999</t>
  </si>
  <si>
    <t>1052/3000</t>
  </si>
  <si>
    <t>1052/3001</t>
  </si>
  <si>
    <t>1052/3002</t>
  </si>
  <si>
    <t>1052/3003</t>
  </si>
  <si>
    <t>1052/3004</t>
  </si>
  <si>
    <t>1052/3005</t>
  </si>
  <si>
    <t>1052/3006</t>
  </si>
  <si>
    <t>1052/3007</t>
  </si>
  <si>
    <t>1052/3008</t>
  </si>
  <si>
    <t>1052/3009</t>
  </si>
  <si>
    <t>1052/3010</t>
  </si>
  <si>
    <t>1052/3011</t>
  </si>
  <si>
    <t>1052/3012</t>
  </si>
  <si>
    <t>1052/3013</t>
  </si>
  <si>
    <t>1052/3014</t>
  </si>
  <si>
    <t>1052/3015</t>
  </si>
  <si>
    <t>1052/3016</t>
  </si>
  <si>
    <t>1052/3017</t>
  </si>
  <si>
    <t>1052/3018</t>
  </si>
  <si>
    <t>1052/3019</t>
  </si>
  <si>
    <t>1052/3020</t>
  </si>
  <si>
    <t>1052/3021</t>
  </si>
  <si>
    <t>1052/3022</t>
  </si>
  <si>
    <t>1052/3023</t>
  </si>
  <si>
    <t>1052/3024</t>
  </si>
  <si>
    <t>1052/3025</t>
  </si>
  <si>
    <t>1052/3026</t>
  </si>
  <si>
    <t>1052/3027</t>
  </si>
  <si>
    <t>1052/3028</t>
  </si>
  <si>
    <t>1052/3029</t>
  </si>
  <si>
    <t>1052/3030</t>
  </si>
  <si>
    <t>1052/3031</t>
  </si>
  <si>
    <t>1052/3032</t>
  </si>
  <si>
    <t>1052/3033</t>
  </si>
  <si>
    <t>1052/3034</t>
  </si>
  <si>
    <t>1052/3035</t>
  </si>
  <si>
    <t>1052/3036</t>
  </si>
  <si>
    <t>1052/3037</t>
  </si>
  <si>
    <t>1052/3038</t>
  </si>
  <si>
    <t>1052/3039</t>
  </si>
  <si>
    <t>1052/3040</t>
  </si>
  <si>
    <t>1052/3041</t>
  </si>
  <si>
    <t>1052/3042</t>
  </si>
  <si>
    <t>1052/3043</t>
  </si>
  <si>
    <t>1052/3044</t>
  </si>
  <si>
    <t>1052/3045</t>
  </si>
  <si>
    <t>1052/3046</t>
  </si>
  <si>
    <t>1052/3047</t>
  </si>
  <si>
    <t>1052/3048</t>
  </si>
  <si>
    <t>1052/3049</t>
  </si>
  <si>
    <t>1052/3050</t>
  </si>
  <si>
    <t>1052/3051</t>
  </si>
  <si>
    <t>1052/3052</t>
  </si>
  <si>
    <t>1052/3053</t>
  </si>
  <si>
    <t>1052/3054</t>
  </si>
  <si>
    <t>1052/3055</t>
  </si>
  <si>
    <t>1052/3056</t>
  </si>
  <si>
    <t>1052/3057</t>
  </si>
  <si>
    <t>1052/3058</t>
  </si>
  <si>
    <t>1052/3059</t>
  </si>
  <si>
    <t>1052/3060</t>
  </si>
  <si>
    <t>1052/3061</t>
  </si>
  <si>
    <t>1052/3062</t>
  </si>
  <si>
    <t>1052/3063</t>
  </si>
  <si>
    <t>1052/3064</t>
  </si>
  <si>
    <t>1052/3065</t>
  </si>
  <si>
    <t>1052/3066</t>
  </si>
  <si>
    <t>1052/3067</t>
  </si>
  <si>
    <t>1052/3068</t>
  </si>
  <si>
    <t>1052/3069</t>
  </si>
  <si>
    <t>1052/3070</t>
  </si>
  <si>
    <t>1052/3071</t>
  </si>
  <si>
    <t>1052/3072</t>
  </si>
  <si>
    <t>1052/3073</t>
  </si>
  <si>
    <t>1052/3074</t>
  </si>
  <si>
    <t>1052/3075</t>
  </si>
  <si>
    <t>1052/3076</t>
  </si>
  <si>
    <t>1052/3077</t>
  </si>
  <si>
    <t>1052/3078</t>
  </si>
  <si>
    <t>1052/3079</t>
  </si>
  <si>
    <t>1052/3080</t>
  </si>
  <si>
    <t>1052/3081</t>
  </si>
  <si>
    <t>1052/3082</t>
  </si>
  <si>
    <t>1052/3083</t>
  </si>
  <si>
    <t>1052/3084</t>
  </si>
  <si>
    <t>1052/3085</t>
  </si>
  <si>
    <t>1052/3086</t>
  </si>
  <si>
    <t>1052/3087</t>
  </si>
  <si>
    <t>1052/3088</t>
  </si>
  <si>
    <t>1052/3089</t>
  </si>
  <si>
    <t>1052/3090</t>
  </si>
  <si>
    <t>1052/3091</t>
  </si>
  <si>
    <t>1052/3092</t>
  </si>
  <si>
    <t>1052/3093</t>
  </si>
  <si>
    <t>1052/3094</t>
  </si>
  <si>
    <t>1052/3095</t>
  </si>
  <si>
    <t>1052/3096</t>
  </si>
  <si>
    <t>1052/3097</t>
  </si>
  <si>
    <t>1052/3098</t>
  </si>
  <si>
    <t>1052/3099</t>
  </si>
  <si>
    <t>1052/3100</t>
  </si>
  <si>
    <t>1052/3101</t>
  </si>
  <si>
    <t>1052/3102</t>
  </si>
  <si>
    <t>1052/3103</t>
  </si>
  <si>
    <t>1052/3104</t>
  </si>
  <si>
    <t>1052/3105</t>
  </si>
  <si>
    <t>1052/3106</t>
  </si>
  <si>
    <t>1052/3107</t>
  </si>
  <si>
    <t>1052/3108</t>
  </si>
  <si>
    <t>1052/3109</t>
  </si>
  <si>
    <t>1052/3110</t>
  </si>
  <si>
    <t>1052/3111</t>
  </si>
  <si>
    <t>1052/3112</t>
  </si>
  <si>
    <t>1052/3113</t>
  </si>
  <si>
    <t>1052/3114</t>
  </si>
  <si>
    <t>1052/3115</t>
  </si>
  <si>
    <t>1052/3116</t>
  </si>
  <si>
    <t>1052/3117</t>
  </si>
  <si>
    <t>1052/3118</t>
  </si>
  <si>
    <t>1052/3119</t>
  </si>
  <si>
    <t>1052/3120</t>
  </si>
  <si>
    <t>1052/3121</t>
  </si>
  <si>
    <t>1052/3122</t>
  </si>
  <si>
    <t>1052/3123</t>
  </si>
  <si>
    <t>1052/3124</t>
  </si>
  <si>
    <t>1052/3125</t>
  </si>
  <si>
    <t>1052/3126</t>
  </si>
  <si>
    <t>1052/3127</t>
  </si>
  <si>
    <t>1052/3128</t>
  </si>
  <si>
    <t>1052/3129</t>
  </si>
  <si>
    <t>1052/3130</t>
  </si>
  <si>
    <t>1052/3131</t>
  </si>
  <si>
    <t>1052/3132</t>
  </si>
  <si>
    <t>1052/3133</t>
  </si>
  <si>
    <t>1052/3134</t>
  </si>
  <si>
    <t>1052/3135</t>
  </si>
  <si>
    <t>1052/3136</t>
  </si>
  <si>
    <t>1052/3137</t>
  </si>
  <si>
    <t>1052/3138</t>
  </si>
  <si>
    <t>1052/3139</t>
  </si>
  <si>
    <t>1052/3140</t>
  </si>
  <si>
    <t>1052/3141</t>
  </si>
  <si>
    <t>1052/3142</t>
  </si>
  <si>
    <t>1052/3143</t>
  </si>
  <si>
    <t>1052/3144</t>
  </si>
  <si>
    <t>1052/3145</t>
  </si>
  <si>
    <t>1052/3146</t>
  </si>
  <si>
    <t>1052/3147</t>
  </si>
  <si>
    <t>1052/3148</t>
  </si>
  <si>
    <t>1052/3149</t>
  </si>
  <si>
    <t>1052/3150</t>
  </si>
  <si>
    <t>1052/3151</t>
  </si>
  <si>
    <t>1052/3152</t>
  </si>
  <si>
    <t>1052/3153</t>
  </si>
  <si>
    <t>1052/3154</t>
  </si>
  <si>
    <t>1052/3155</t>
  </si>
  <si>
    <t>1052/3156</t>
  </si>
  <si>
    <t>1052/3157</t>
  </si>
  <si>
    <t>1052/3158</t>
  </si>
  <si>
    <t>1052/3159</t>
  </si>
  <si>
    <t>1052/3160</t>
  </si>
  <si>
    <t>1052/3161</t>
  </si>
  <si>
    <t>1052/3162</t>
  </si>
  <si>
    <t>1052/3163</t>
  </si>
  <si>
    <t>1052/3164</t>
  </si>
  <si>
    <t>1052/3165</t>
  </si>
  <si>
    <t>1052/3166</t>
  </si>
  <si>
    <t>1052/3167</t>
  </si>
  <si>
    <t>1052/3168</t>
  </si>
  <si>
    <t>1052/3169</t>
  </si>
  <si>
    <t>1052/3170</t>
  </si>
  <si>
    <t>1052/3171</t>
  </si>
  <si>
    <t>1052/3172</t>
  </si>
  <si>
    <t>1052/3173</t>
  </si>
  <si>
    <t>1052/3174</t>
  </si>
  <si>
    <t>1052/3175</t>
  </si>
  <si>
    <t>1052/3176</t>
  </si>
  <si>
    <t>1052/3177</t>
  </si>
  <si>
    <t>1052/3178</t>
  </si>
  <si>
    <t>1052/3179</t>
  </si>
  <si>
    <t>1052/3180</t>
  </si>
  <si>
    <t>1052/3181</t>
  </si>
  <si>
    <t>1052/3182</t>
  </si>
  <si>
    <t>1052/3183</t>
  </si>
  <si>
    <t>1052/3184</t>
  </si>
  <si>
    <t>1052/3185</t>
  </si>
  <si>
    <t>1052/3186</t>
  </si>
  <si>
    <t>1052/3187</t>
  </si>
  <si>
    <t>1052/3188</t>
  </si>
  <si>
    <t>1052/3189</t>
  </si>
  <si>
    <t>1052/3190</t>
  </si>
  <si>
    <t>1052/3191</t>
  </si>
  <si>
    <t>1052/3192</t>
  </si>
  <si>
    <t>1052/3193</t>
  </si>
  <si>
    <t>1052/3194</t>
  </si>
  <si>
    <t>1052/3195</t>
  </si>
  <si>
    <t>1052/3196</t>
  </si>
  <si>
    <t>1052/3197</t>
  </si>
  <si>
    <t>1052/3198</t>
  </si>
  <si>
    <t>1052/3199</t>
  </si>
  <si>
    <t>1052/3200</t>
  </si>
  <si>
    <t>1052/3201</t>
  </si>
  <si>
    <t>1052/3202</t>
  </si>
  <si>
    <t>1052/3203</t>
  </si>
  <si>
    <t>1052/3204</t>
  </si>
  <si>
    <t>1052/3205</t>
  </si>
  <si>
    <t>1052/3206</t>
  </si>
  <si>
    <t>1052/3207</t>
  </si>
  <si>
    <t>1052/3208</t>
  </si>
  <si>
    <t>1052/3209</t>
  </si>
  <si>
    <t>1052/3210</t>
  </si>
  <si>
    <t>1052/3211</t>
  </si>
  <si>
    <t>1052/3212</t>
  </si>
  <si>
    <t>1052/3213</t>
  </si>
  <si>
    <t>1052/3214</t>
  </si>
  <si>
    <t>1052/3215</t>
  </si>
  <si>
    <t>1052/3216</t>
  </si>
  <si>
    <t>1052/3217</t>
  </si>
  <si>
    <t>1052/3218</t>
  </si>
  <si>
    <t>1052/3219</t>
  </si>
  <si>
    <t>1052/3220</t>
  </si>
  <si>
    <t>1052/3221</t>
  </si>
  <si>
    <t>1052/3222</t>
  </si>
  <si>
    <t>1052/3223</t>
  </si>
  <si>
    <t>1052/3224</t>
  </si>
  <si>
    <t>1052/3225</t>
  </si>
  <si>
    <t>1052/3226</t>
  </si>
  <si>
    <t>1052/3227</t>
  </si>
  <si>
    <t>1052/3228</t>
  </si>
  <si>
    <t>1052/3229</t>
  </si>
  <si>
    <t>1052/3230</t>
  </si>
  <si>
    <t>1052/3231</t>
  </si>
  <si>
    <t>1052/3232</t>
  </si>
  <si>
    <t>1052/3233</t>
  </si>
  <si>
    <t>1052/3234</t>
  </si>
  <si>
    <t>1052/3235</t>
  </si>
  <si>
    <t>1052/3236</t>
  </si>
  <si>
    <t>1052/3237</t>
  </si>
  <si>
    <t>1052/3238</t>
  </si>
  <si>
    <t>1052/3239</t>
  </si>
  <si>
    <t>1052/3240</t>
  </si>
  <si>
    <t>1052/3241</t>
  </si>
  <si>
    <t>1052/3242</t>
  </si>
  <si>
    <t>1052/3243</t>
  </si>
  <si>
    <t>1052/3244</t>
  </si>
  <si>
    <t>1052/3245</t>
  </si>
  <si>
    <t>1052/3246</t>
  </si>
  <si>
    <t>1052/3247</t>
  </si>
  <si>
    <t>1052/3248</t>
  </si>
  <si>
    <t>1052/3249</t>
  </si>
  <si>
    <t>1052/3250</t>
  </si>
  <si>
    <t>1052/3251</t>
  </si>
  <si>
    <t>1052/3252</t>
  </si>
  <si>
    <t>1052/3253</t>
  </si>
  <si>
    <t>1052/3254</t>
  </si>
  <si>
    <t>1052/3255</t>
  </si>
  <si>
    <t>1052/3256</t>
  </si>
  <si>
    <t>1052/3257</t>
  </si>
  <si>
    <t>1052/3258</t>
  </si>
  <si>
    <t>1052/3259</t>
  </si>
  <si>
    <t>1052/3260</t>
  </si>
  <si>
    <t>1052/3261</t>
  </si>
  <si>
    <t>1052/3262</t>
  </si>
  <si>
    <t>1052/3263</t>
  </si>
  <si>
    <t>1052/3264</t>
  </si>
  <si>
    <t>1052/3265</t>
  </si>
  <si>
    <t>1052/3266</t>
  </si>
  <si>
    <t>1052/3267</t>
  </si>
  <si>
    <t>1052/3268</t>
  </si>
  <si>
    <t>1052/3269</t>
  </si>
  <si>
    <t>1052/3270</t>
  </si>
  <si>
    <t>1052/3271</t>
  </si>
  <si>
    <t>1052/3272</t>
  </si>
  <si>
    <t>1052/3273</t>
  </si>
  <si>
    <t>1052/3274</t>
  </si>
  <si>
    <t>1052/3275</t>
  </si>
  <si>
    <t>1052/3276</t>
  </si>
  <si>
    <t>1052/3277</t>
  </si>
  <si>
    <t>1052/3278</t>
  </si>
  <si>
    <t>1052/3279</t>
  </si>
  <si>
    <t>1052/3280</t>
  </si>
  <si>
    <t>1052/3281</t>
  </si>
  <si>
    <t>1052/3282</t>
  </si>
  <si>
    <t>1052/3283</t>
  </si>
  <si>
    <t>1052/3284</t>
  </si>
  <si>
    <t>1052/3285</t>
  </si>
  <si>
    <t>1052/3286</t>
  </si>
  <si>
    <t>1052/3287</t>
  </si>
  <si>
    <t>1052/3288</t>
  </si>
  <si>
    <t>1052/3289</t>
  </si>
  <si>
    <t>1052/3290</t>
  </si>
  <si>
    <t>1052/3291</t>
  </si>
  <si>
    <t>1052/3292</t>
  </si>
  <si>
    <t>1052/3293</t>
  </si>
  <si>
    <t>1052/3294</t>
  </si>
  <si>
    <t>1052/3295</t>
  </si>
  <si>
    <t>1052/3296</t>
  </si>
  <si>
    <t>1052/3297</t>
  </si>
  <si>
    <t>1052/3298</t>
  </si>
  <si>
    <t>1052/3299</t>
  </si>
  <si>
    <t>1052/3300</t>
  </si>
  <si>
    <t>1052/3301</t>
  </si>
  <si>
    <t>1052/3302</t>
  </si>
  <si>
    <t>1052/3303</t>
  </si>
  <si>
    <t>1052/3304</t>
  </si>
  <si>
    <t>1052/3305</t>
  </si>
  <si>
    <t>1052/3306</t>
  </si>
  <si>
    <t>1052/3307</t>
  </si>
  <si>
    <t>1052/3308</t>
  </si>
  <si>
    <t>1052/3309</t>
  </si>
  <si>
    <t>1052/3310</t>
  </si>
  <si>
    <t>1052/3311</t>
  </si>
  <si>
    <t>1052/3312</t>
  </si>
  <si>
    <t>1052/3313</t>
  </si>
  <si>
    <t>1052/3314</t>
  </si>
  <si>
    <t>1052/3315</t>
  </si>
  <si>
    <t>1052/3316</t>
  </si>
  <si>
    <t>1052/3317</t>
  </si>
  <si>
    <t>1052/3318</t>
  </si>
  <si>
    <t>1052/3319</t>
  </si>
  <si>
    <t>1052/3320</t>
  </si>
  <si>
    <t>1052/3321</t>
  </si>
  <si>
    <t>1052/3322</t>
  </si>
  <si>
    <t>1052/3323</t>
  </si>
  <si>
    <t>1052/3324</t>
  </si>
  <si>
    <t>1052/3325</t>
  </si>
  <si>
    <t>1052/3326</t>
  </si>
  <si>
    <t>1052/3327</t>
  </si>
  <si>
    <t>1052/3328</t>
  </si>
  <si>
    <t>1052/3329</t>
  </si>
  <si>
    <t>1052/3330</t>
  </si>
  <si>
    <t>1052/3331</t>
  </si>
  <si>
    <t>1052/3332</t>
  </si>
  <si>
    <t>1052/3333</t>
  </si>
  <si>
    <t>1052/3334</t>
  </si>
  <si>
    <t>1052/3335</t>
  </si>
  <si>
    <t>1052/3336</t>
  </si>
  <si>
    <t>1052/3337</t>
  </si>
  <si>
    <t>1052/3338</t>
  </si>
  <si>
    <t>1052/3339</t>
  </si>
  <si>
    <t>1052/3340</t>
  </si>
  <si>
    <t>1052/3341</t>
  </si>
  <si>
    <t>1052/3342</t>
  </si>
  <si>
    <t>1052/3343</t>
  </si>
  <si>
    <t>1052/3344</t>
  </si>
  <si>
    <t>1052/3345</t>
  </si>
  <si>
    <t>1052/3346</t>
  </si>
  <si>
    <t>1052/3347</t>
  </si>
  <si>
    <t>1052/3348</t>
  </si>
  <si>
    <t>1052/3349</t>
  </si>
  <si>
    <t>1052/3350</t>
  </si>
  <si>
    <t>1052/3351</t>
  </si>
  <si>
    <t>1052/3352</t>
  </si>
  <si>
    <t>1052/3353</t>
  </si>
  <si>
    <t>1052/3354</t>
  </si>
  <si>
    <t>1052/3355</t>
  </si>
  <si>
    <t>1052/3356</t>
  </si>
  <si>
    <t>1052/3357</t>
  </si>
  <si>
    <t>1052/3358</t>
  </si>
  <si>
    <t>1052/3359</t>
  </si>
  <si>
    <t>1052/3360</t>
  </si>
  <si>
    <t>1052/3361</t>
  </si>
  <si>
    <t>1052/3362</t>
  </si>
  <si>
    <t>1052/3363</t>
  </si>
  <si>
    <t>1052/3364</t>
  </si>
  <si>
    <t>1052/3365</t>
  </si>
  <si>
    <t>1052/3366</t>
  </si>
  <si>
    <t>1052/3367</t>
  </si>
  <si>
    <t>1052/3368</t>
  </si>
  <si>
    <t>1052/3369</t>
  </si>
  <si>
    <t>1052/3370</t>
  </si>
  <si>
    <t>1052/3371</t>
  </si>
  <si>
    <t>1052/3372</t>
  </si>
  <si>
    <t>1052/3373</t>
  </si>
  <si>
    <t>1052/3374</t>
  </si>
  <si>
    <t>1052/3375</t>
  </si>
  <si>
    <t>1052/3376</t>
  </si>
  <si>
    <t>1052/3377</t>
  </si>
  <si>
    <t>1052/3378</t>
  </si>
  <si>
    <t>1052/3379</t>
  </si>
  <si>
    <t>1052/3380</t>
  </si>
  <si>
    <t>1052/3381</t>
  </si>
  <si>
    <t>1052/3382</t>
  </si>
  <si>
    <t>1052/3383</t>
  </si>
  <si>
    <t>1052/3384</t>
  </si>
  <si>
    <t>1052/3385</t>
  </si>
  <si>
    <t>1052/3386</t>
  </si>
  <si>
    <t>1052/3387</t>
  </si>
  <si>
    <t>1052/3388</t>
  </si>
  <si>
    <t>1052/3389</t>
  </si>
  <si>
    <t>1052/3390</t>
  </si>
  <si>
    <t>1052/3391</t>
  </si>
  <si>
    <t>1052/3392</t>
  </si>
  <si>
    <t>1052/3393</t>
  </si>
  <si>
    <t>1052/3394</t>
  </si>
  <si>
    <t>1052/3395</t>
  </si>
  <si>
    <t>1052/3396</t>
  </si>
  <si>
    <t>1052/3397</t>
  </si>
  <si>
    <t>1052/3398</t>
  </si>
  <si>
    <t>1052/3399</t>
  </si>
  <si>
    <t>1052/3400</t>
  </si>
  <si>
    <t>1052/3401</t>
  </si>
  <si>
    <t>1052/3402</t>
  </si>
  <si>
    <t>1052/3403</t>
  </si>
  <si>
    <t>1052/3404</t>
  </si>
  <si>
    <t>1052/3405</t>
  </si>
  <si>
    <t>1052/3406</t>
  </si>
  <si>
    <t>1052/3407</t>
  </si>
  <si>
    <t>1052/3408</t>
  </si>
  <si>
    <t>1052/3409</t>
  </si>
  <si>
    <t>1052/3410</t>
  </si>
  <si>
    <t>1052/3411</t>
  </si>
  <si>
    <t>1052/3412</t>
  </si>
  <si>
    <t>1052/3413</t>
  </si>
  <si>
    <t>1052/3414</t>
  </si>
  <si>
    <t>1052/3415</t>
  </si>
  <si>
    <t>1052/3416</t>
  </si>
  <si>
    <t>1052/3417</t>
  </si>
  <si>
    <t>1052/3418</t>
  </si>
  <si>
    <t>1052/3419</t>
  </si>
  <si>
    <t>1052/3420</t>
  </si>
  <si>
    <t>1052/3421</t>
  </si>
  <si>
    <t>1052/3422</t>
  </si>
  <si>
    <t>1052/3423</t>
  </si>
  <si>
    <t>1052/3424</t>
  </si>
  <si>
    <t>1052/3425</t>
  </si>
  <si>
    <t>1052/3426</t>
  </si>
  <si>
    <t>1052/3427</t>
  </si>
  <si>
    <t>1052/3428</t>
  </si>
  <si>
    <t>1052/3429</t>
  </si>
  <si>
    <t>1052/3430</t>
  </si>
  <si>
    <t>1052/3431</t>
  </si>
  <si>
    <t>1052/3432</t>
  </si>
  <si>
    <t>1052/3433</t>
  </si>
  <si>
    <t>1052/3434</t>
  </si>
  <si>
    <t>1052/3435</t>
  </si>
  <si>
    <t>1052/3436</t>
  </si>
  <si>
    <t>1052/3437</t>
  </si>
  <si>
    <t>1052/3438</t>
  </si>
  <si>
    <t>1052/3439</t>
  </si>
  <si>
    <t>1052/3440</t>
  </si>
  <si>
    <t>1052/3441</t>
  </si>
  <si>
    <t>1052/3442</t>
  </si>
  <si>
    <t>1052/3443</t>
  </si>
  <si>
    <t>1052/3444</t>
  </si>
  <si>
    <t>1052/3445</t>
  </si>
  <si>
    <t>1052/3446</t>
  </si>
  <si>
    <t>1052/3447</t>
  </si>
  <si>
    <t>1052/3448</t>
  </si>
  <si>
    <t>1052/3449</t>
  </si>
  <si>
    <t>1052/3450</t>
  </si>
  <si>
    <t>1052/3451</t>
  </si>
  <si>
    <t>1052/3452</t>
  </si>
  <si>
    <t>1052/3453</t>
  </si>
  <si>
    <t>1052/3454</t>
  </si>
  <si>
    <t>1052/3455</t>
  </si>
  <si>
    <t>1052/3456</t>
  </si>
  <si>
    <t>1052/3457</t>
  </si>
  <si>
    <t>1052/3458</t>
  </si>
  <si>
    <t>1052/3459</t>
  </si>
  <si>
    <t>1052/3460</t>
  </si>
  <si>
    <t>1052/3461</t>
  </si>
  <si>
    <t>1052/3462</t>
  </si>
  <si>
    <t>1052/3463</t>
  </si>
  <si>
    <t>1052/3464</t>
  </si>
  <si>
    <t>1052/3465</t>
  </si>
  <si>
    <t>1052/3466</t>
  </si>
  <si>
    <t>1052/3467</t>
  </si>
  <si>
    <t>1052/3468</t>
  </si>
  <si>
    <t>1052/3469</t>
  </si>
  <si>
    <t>1052/3470</t>
  </si>
  <si>
    <t>1052/3471</t>
  </si>
  <si>
    <t>1052/3472</t>
  </si>
  <si>
    <t>1052/3473</t>
  </si>
  <si>
    <t>1052/3474</t>
  </si>
  <si>
    <t>1052/3475</t>
  </si>
  <si>
    <t>1052/3476</t>
  </si>
  <si>
    <t>1052/3477</t>
  </si>
  <si>
    <t>1052/3478</t>
  </si>
  <si>
    <t>1052/3479</t>
  </si>
  <si>
    <t>1052/3480</t>
  </si>
  <si>
    <t>1052/3481</t>
  </si>
  <si>
    <t>1052/3482</t>
  </si>
  <si>
    <t>1052/3483</t>
  </si>
  <si>
    <t>1052/3484</t>
  </si>
  <si>
    <t>1052/3485</t>
  </si>
  <si>
    <t>1052/3486</t>
  </si>
  <si>
    <t>1052/3487</t>
  </si>
  <si>
    <t>1052/3488</t>
  </si>
  <si>
    <t>1052/3489</t>
  </si>
  <si>
    <t>1052/3490</t>
  </si>
  <si>
    <t>1052/3491</t>
  </si>
  <si>
    <t>1052/3492</t>
  </si>
  <si>
    <t>1052/3493</t>
  </si>
  <si>
    <t>1052/3494</t>
  </si>
  <si>
    <t>1052/3495</t>
  </si>
  <si>
    <t>1052/3496</t>
  </si>
  <si>
    <t>1052/3497</t>
  </si>
  <si>
    <t>1052/3498</t>
  </si>
  <si>
    <t>1052/3499</t>
  </si>
  <si>
    <t>1052/3500</t>
  </si>
  <si>
    <t>1052/3501</t>
  </si>
  <si>
    <t>1052/3502</t>
  </si>
  <si>
    <t>1052/3503</t>
  </si>
  <si>
    <t>1052/3504</t>
  </si>
  <si>
    <t>1052/3505</t>
  </si>
  <si>
    <t>1052/3506</t>
  </si>
  <si>
    <t>1052/3507</t>
  </si>
  <si>
    <t>1052/3508</t>
  </si>
  <si>
    <t>1052/3509</t>
  </si>
  <si>
    <t>1052/3510</t>
  </si>
  <si>
    <t>1052/3511</t>
  </si>
  <si>
    <t>1052/3512</t>
  </si>
  <si>
    <t>1052/3513</t>
  </si>
  <si>
    <t>1052/3514</t>
  </si>
  <si>
    <t>1052/3515</t>
  </si>
  <si>
    <t>1052/3516</t>
  </si>
  <si>
    <t>1052/3517</t>
  </si>
  <si>
    <t>1052/3518</t>
  </si>
  <si>
    <t>1052/3519</t>
  </si>
  <si>
    <t>1052/3520</t>
  </si>
  <si>
    <t>1052/3521</t>
  </si>
  <si>
    <t>1052/3522</t>
  </si>
  <si>
    <t>1052/3523</t>
  </si>
  <si>
    <t>1052/3524</t>
  </si>
  <si>
    <t>1052/3525</t>
  </si>
  <si>
    <t>1052/3526</t>
  </si>
  <si>
    <t>1052/3527</t>
  </si>
  <si>
    <t>1052/3528</t>
  </si>
  <si>
    <t>1052/3529</t>
  </si>
  <si>
    <t>1052/3530</t>
  </si>
  <si>
    <t>1052/3531</t>
  </si>
  <si>
    <t>1052/3532</t>
  </si>
  <si>
    <t>1052/3533</t>
  </si>
  <si>
    <t>1052/3534</t>
  </si>
  <si>
    <t>1052/3535</t>
  </si>
  <si>
    <t>1052/3536</t>
  </si>
  <si>
    <t>1052/3537</t>
  </si>
  <si>
    <t>1052/3538</t>
  </si>
  <si>
    <t>1052/3539</t>
  </si>
  <si>
    <t>1052/3540</t>
  </si>
  <si>
    <t>1052/3541</t>
  </si>
  <si>
    <t>1052/3542</t>
  </si>
  <si>
    <t>1052/3543</t>
  </si>
  <si>
    <t>1052/3544</t>
  </si>
  <si>
    <t>1052/3545</t>
  </si>
  <si>
    <t>1052/3546</t>
  </si>
  <si>
    <t>1052/3547</t>
  </si>
  <si>
    <t>1052/3548</t>
  </si>
  <si>
    <t>1052/3549</t>
  </si>
  <si>
    <t>1052/3550</t>
  </si>
  <si>
    <t>1052/3551</t>
  </si>
  <si>
    <t>1052/3552</t>
  </si>
  <si>
    <t>1052/3553</t>
  </si>
  <si>
    <t>1052/3554</t>
  </si>
  <si>
    <t>1052/3555</t>
  </si>
  <si>
    <t>1052/3556</t>
  </si>
  <si>
    <t>1052/3557</t>
  </si>
  <si>
    <t>1052/3558</t>
  </si>
  <si>
    <t>1052/3559</t>
  </si>
  <si>
    <t>1052/3560</t>
  </si>
  <si>
    <t>1052/3561</t>
  </si>
  <si>
    <t>1052/3562</t>
  </si>
  <si>
    <t>1052/3563</t>
  </si>
  <si>
    <t>1052/3564</t>
  </si>
  <si>
    <t>1052/3565</t>
  </si>
  <si>
    <t>1052/3566</t>
  </si>
  <si>
    <t>1052/3567</t>
  </si>
  <si>
    <t>1052/3568</t>
  </si>
  <si>
    <t>1052/3569</t>
  </si>
  <si>
    <t>1052/3570</t>
  </si>
  <si>
    <t>1052/3571</t>
  </si>
  <si>
    <t>1052/3572</t>
  </si>
  <si>
    <t>1052/3573</t>
  </si>
  <si>
    <t>1052/3574</t>
  </si>
  <si>
    <t>1052/3575</t>
  </si>
  <si>
    <t>1052/3576</t>
  </si>
  <si>
    <t>1052/3577</t>
  </si>
  <si>
    <t>1052/3578</t>
  </si>
  <si>
    <t>1052/3579</t>
  </si>
  <si>
    <t>1052/3580</t>
  </si>
  <si>
    <t>1052/3581</t>
  </si>
  <si>
    <t>1052/3582</t>
  </si>
  <si>
    <t>1052/3583</t>
  </si>
  <si>
    <t>1052/3584</t>
  </si>
  <si>
    <t>1052/3585</t>
  </si>
  <si>
    <t>1052/3586</t>
  </si>
  <si>
    <t>1052/3587</t>
  </si>
  <si>
    <t>1052/3588</t>
  </si>
  <si>
    <t>1052/3589</t>
  </si>
  <si>
    <t>1052/3590</t>
  </si>
  <si>
    <t>1052/3591</t>
  </si>
  <si>
    <t>1052/3592</t>
  </si>
  <si>
    <t>1052/3593</t>
  </si>
  <si>
    <t>1052/3594</t>
  </si>
  <si>
    <t>1052/3595</t>
  </si>
  <si>
    <t>1052/3596</t>
  </si>
  <si>
    <t>1052/3597</t>
  </si>
  <si>
    <t>1052/3598</t>
  </si>
  <si>
    <t>1052/3599</t>
  </si>
  <si>
    <t>1052/3600</t>
  </si>
  <si>
    <t>1052/3601</t>
  </si>
  <si>
    <t>1052/3602</t>
  </si>
  <si>
    <t>1052/3603</t>
  </si>
  <si>
    <t>1052/3604</t>
  </si>
  <si>
    <t>1052/3605</t>
  </si>
  <si>
    <t>1052/3606</t>
  </si>
  <si>
    <t>1052/3607</t>
  </si>
  <si>
    <t>1052/3608</t>
  </si>
  <si>
    <t>1052/3609</t>
  </si>
  <si>
    <t>1052/3610</t>
  </si>
  <si>
    <t>1052/3611</t>
  </si>
  <si>
    <t>1052/3612</t>
  </si>
  <si>
    <t>1052/3613</t>
  </si>
  <si>
    <t>1052/3614</t>
  </si>
  <si>
    <t>1052/3615</t>
  </si>
  <si>
    <t>1052/3616</t>
  </si>
  <si>
    <t>1052/3617</t>
  </si>
  <si>
    <t>1052/3618</t>
  </si>
  <si>
    <t>1052/3619</t>
  </si>
  <si>
    <t>1052/3620</t>
  </si>
  <si>
    <t>1052/3621</t>
  </si>
  <si>
    <t>1052/3622</t>
  </si>
  <si>
    <t>1052/3623</t>
  </si>
  <si>
    <t>1052/3624</t>
  </si>
  <si>
    <t>1052/3625</t>
  </si>
  <si>
    <t>1052/3626</t>
  </si>
  <si>
    <t>1052/3627</t>
  </si>
  <si>
    <t>1052/3628</t>
  </si>
  <si>
    <t>1052/3629</t>
  </si>
  <si>
    <t>1052/3630</t>
  </si>
  <si>
    <t>1052/3631</t>
  </si>
  <si>
    <t>1052/3632</t>
  </si>
  <si>
    <t>1052/3633</t>
  </si>
  <si>
    <t>1052/3634</t>
  </si>
  <si>
    <t>1052/3635</t>
  </si>
  <si>
    <t>1052/3636</t>
  </si>
  <si>
    <t>1052/3637</t>
  </si>
  <si>
    <t>1052/3638</t>
  </si>
  <si>
    <t>1052/3639</t>
  </si>
  <si>
    <t>1052/3640</t>
  </si>
  <si>
    <t>1052/3641</t>
  </si>
  <si>
    <t>1052/3642</t>
  </si>
  <si>
    <t>1052/3643</t>
  </si>
  <si>
    <t>1052/3644</t>
  </si>
  <si>
    <t>1052/3645</t>
  </si>
  <si>
    <t>1052/3646</t>
  </si>
  <si>
    <t>1052/3647</t>
  </si>
  <si>
    <t>1052/3648</t>
  </si>
  <si>
    <t>1052/3649</t>
  </si>
  <si>
    <t>1052/3650</t>
  </si>
  <si>
    <t>1052/3651</t>
  </si>
  <si>
    <t>1052/3652</t>
  </si>
  <si>
    <t>1052/3653</t>
  </si>
  <si>
    <t>1052/3654</t>
  </si>
  <si>
    <t>1052/3655</t>
  </si>
  <si>
    <t>1052/3656</t>
  </si>
  <si>
    <t>1052/3657</t>
  </si>
  <si>
    <t>1052/3658</t>
  </si>
  <si>
    <t>1052/3659</t>
  </si>
  <si>
    <t>1052/3660</t>
  </si>
  <si>
    <t>1052/3661</t>
  </si>
  <si>
    <t>1052/3662</t>
  </si>
  <si>
    <t>1052/3663</t>
  </si>
  <si>
    <t>1052/3664</t>
  </si>
  <si>
    <t>1052/3665</t>
  </si>
  <si>
    <t>1052/3666</t>
  </si>
  <si>
    <t>1052/3667</t>
  </si>
  <si>
    <t>1052/3668</t>
  </si>
  <si>
    <t>1052/3669</t>
  </si>
  <si>
    <t>1052/3670</t>
  </si>
  <si>
    <t>1052/3671</t>
  </si>
  <si>
    <t>1052/3672</t>
  </si>
  <si>
    <t>1052/3673</t>
  </si>
  <si>
    <t>1052/3674</t>
  </si>
  <si>
    <t>1052/3675</t>
  </si>
  <si>
    <t>1052/3676</t>
  </si>
  <si>
    <t>1052/3677</t>
  </si>
  <si>
    <t>1052/3678</t>
  </si>
  <si>
    <t>1052/3679</t>
  </si>
  <si>
    <t>1052/3680</t>
  </si>
  <si>
    <t>1052/3681</t>
  </si>
  <si>
    <t>1052/3682</t>
  </si>
  <si>
    <t>1052/3683</t>
  </si>
  <si>
    <t>1052/3684</t>
  </si>
  <si>
    <t>1052/3685</t>
  </si>
  <si>
    <t>1052/3686</t>
  </si>
  <si>
    <t>1052/3687</t>
  </si>
  <si>
    <t>1052/3688</t>
  </si>
  <si>
    <t>1052/3689</t>
  </si>
  <si>
    <t>1052/3690</t>
  </si>
  <si>
    <t>1052/3691</t>
  </si>
  <si>
    <t>1052/3692</t>
  </si>
  <si>
    <t>1052/3693</t>
  </si>
  <si>
    <t>1052/3694</t>
  </si>
  <si>
    <t>1052/3695</t>
  </si>
  <si>
    <t>1052/3696</t>
  </si>
  <si>
    <t>1052/3697</t>
  </si>
  <si>
    <t>1052/3698</t>
  </si>
  <si>
    <t>1052/3699</t>
  </si>
  <si>
    <t>1052/3700</t>
  </si>
  <si>
    <t>1052/3701</t>
  </si>
  <si>
    <t>1052/3702</t>
  </si>
  <si>
    <t>1052/3703</t>
  </si>
  <si>
    <t>1052/3704</t>
  </si>
  <si>
    <t>1052/3705</t>
  </si>
  <si>
    <t>1052/3706</t>
  </si>
  <si>
    <t>1052/3707</t>
  </si>
  <si>
    <t>1052/3708</t>
  </si>
  <si>
    <t>1052/3709</t>
  </si>
  <si>
    <t>1052/3710</t>
  </si>
  <si>
    <t>1052/3711</t>
  </si>
  <si>
    <t>1052/3712</t>
  </si>
  <si>
    <t>1052/3713</t>
  </si>
  <si>
    <t>1052/3714</t>
  </si>
  <si>
    <t>1052/3715</t>
  </si>
  <si>
    <t>1052/3716</t>
  </si>
  <si>
    <t>1052/3717</t>
  </si>
  <si>
    <t>1052/3718</t>
  </si>
  <si>
    <t>1052/3719</t>
  </si>
  <si>
    <t>1052/3720</t>
  </si>
  <si>
    <t>1052/3721</t>
  </si>
  <si>
    <t>1052/3722</t>
  </si>
  <si>
    <t>1052/3723</t>
  </si>
  <si>
    <t>1052/3724</t>
  </si>
  <si>
    <t>1052/3725</t>
  </si>
  <si>
    <t>1052/3726</t>
  </si>
  <si>
    <t>1052/3727</t>
  </si>
  <si>
    <t>1052/3728</t>
  </si>
  <si>
    <t>1052/3729</t>
  </si>
  <si>
    <t>1052/3730</t>
  </si>
  <si>
    <t>1052/3731</t>
  </si>
  <si>
    <t>1052/3732</t>
  </si>
  <si>
    <t>1052/3733</t>
  </si>
  <si>
    <t>1052/3734</t>
  </si>
  <si>
    <t>1052/3735</t>
  </si>
  <si>
    <t>1052/3736</t>
  </si>
  <si>
    <t>1052/3737</t>
  </si>
  <si>
    <t>1052/3738</t>
  </si>
  <si>
    <t>1052/3739</t>
  </si>
  <si>
    <t>1052/3740</t>
  </si>
  <si>
    <t>1052/3741</t>
  </si>
  <si>
    <t>1052/3742</t>
  </si>
  <si>
    <t>1052/3743</t>
  </si>
  <si>
    <t>1052/3744</t>
  </si>
  <si>
    <t>1052/3745</t>
  </si>
  <si>
    <t>1052/3746</t>
  </si>
  <si>
    <t>1052/3747</t>
  </si>
  <si>
    <t>1052/3748</t>
  </si>
  <si>
    <t>1052/3749</t>
  </si>
  <si>
    <t>1052/3750</t>
  </si>
  <si>
    <t>1052/3751</t>
  </si>
  <si>
    <t>1052/3752</t>
  </si>
  <si>
    <t>1052/3753</t>
  </si>
  <si>
    <t>1052/3754</t>
  </si>
  <si>
    <t>1052/3755</t>
  </si>
  <si>
    <t>1052/3756</t>
  </si>
  <si>
    <t>1052/3757</t>
  </si>
  <si>
    <t>1052/3758</t>
  </si>
  <si>
    <t>1052/3759</t>
  </si>
  <si>
    <t>1052/3760</t>
  </si>
  <si>
    <t>1052/3761</t>
  </si>
  <si>
    <t>1052/3762</t>
  </si>
  <si>
    <t>1052/3763</t>
  </si>
  <si>
    <t>1052/3764</t>
  </si>
  <si>
    <t>1052/3765</t>
  </si>
  <si>
    <t>1052/3766</t>
  </si>
  <si>
    <t>1052/3767</t>
  </si>
  <si>
    <t>1052/3768</t>
  </si>
  <si>
    <t>1052/3769</t>
  </si>
  <si>
    <t>1052/3770</t>
  </si>
  <si>
    <t>1052/3771</t>
  </si>
  <si>
    <t>1052/3772</t>
  </si>
  <si>
    <t>1052/3773</t>
  </si>
  <si>
    <t>1052/3774</t>
  </si>
  <si>
    <t>1052/3775</t>
  </si>
  <si>
    <t>1052/3776</t>
  </si>
  <si>
    <t>1052/3777</t>
  </si>
  <si>
    <t>1052/3778</t>
  </si>
  <si>
    <t>1052/3779</t>
  </si>
  <si>
    <t>1052/3780</t>
  </si>
  <si>
    <t>1052/3781</t>
  </si>
  <si>
    <t>1052/3782</t>
  </si>
  <si>
    <t>1052/3783</t>
  </si>
  <si>
    <t>1052/3784</t>
  </si>
  <si>
    <t>1052/3785</t>
  </si>
  <si>
    <t>1052/3786</t>
  </si>
  <si>
    <t>1052/3787</t>
  </si>
  <si>
    <t>1052/3788</t>
  </si>
  <si>
    <t>1052/3789</t>
  </si>
  <si>
    <t>1052/3790</t>
  </si>
  <si>
    <t>1052/3791</t>
  </si>
  <si>
    <t>1052/3792</t>
  </si>
  <si>
    <t>1052/3793</t>
  </si>
  <si>
    <t>1052/3794</t>
  </si>
  <si>
    <t>1052/3795</t>
  </si>
  <si>
    <t>1052/3796</t>
  </si>
  <si>
    <t>1052/3797</t>
  </si>
  <si>
    <t>1052/3798</t>
  </si>
  <si>
    <t>1052/3799</t>
  </si>
  <si>
    <t>1052/3800</t>
  </si>
  <si>
    <t>1052/3801</t>
  </si>
  <si>
    <t>1052/3802</t>
  </si>
  <si>
    <t>1052/3803</t>
  </si>
  <si>
    <t>1052/3804</t>
  </si>
  <si>
    <t>1052/3805</t>
  </si>
  <si>
    <t>1052/3806</t>
  </si>
  <si>
    <t>1052/3807</t>
  </si>
  <si>
    <t>1052/3808</t>
  </si>
  <si>
    <t>1052/3809</t>
  </si>
  <si>
    <t>1052/3810</t>
  </si>
  <si>
    <t>1052/3811</t>
  </si>
  <si>
    <t>1052/3812</t>
  </si>
  <si>
    <t>1052/3813</t>
  </si>
  <si>
    <t>1052/3814</t>
  </si>
  <si>
    <t>1052/3815</t>
  </si>
  <si>
    <t>1052/3816</t>
  </si>
  <si>
    <t>1052/3817</t>
  </si>
  <si>
    <t>1052/3818</t>
  </si>
  <si>
    <t>1052/3819</t>
  </si>
  <si>
    <t>1052/3820</t>
  </si>
  <si>
    <t>1052/3821</t>
  </si>
  <si>
    <t>1052/3822</t>
  </si>
  <si>
    <t>1052/3823</t>
  </si>
  <si>
    <t>1052/3824</t>
  </si>
  <si>
    <t>1052/3825</t>
  </si>
  <si>
    <t>1052/3826</t>
  </si>
  <si>
    <t>1052/3827</t>
  </si>
  <si>
    <t>1052/3828</t>
  </si>
  <si>
    <t>1052/3829</t>
  </si>
  <si>
    <t>1052/3830</t>
  </si>
  <si>
    <t>1052/3831</t>
  </si>
  <si>
    <t>1052/3832</t>
  </si>
  <si>
    <t>1052/3833</t>
  </si>
  <si>
    <t>1052/3834</t>
  </si>
  <si>
    <t>1052/3835</t>
  </si>
  <si>
    <t>1052/3836</t>
  </si>
  <si>
    <t>1052/3837</t>
  </si>
  <si>
    <t>1052/3838</t>
  </si>
  <si>
    <t>1052/3839</t>
  </si>
  <si>
    <t>1052/3840</t>
  </si>
  <si>
    <t>1052/3841</t>
  </si>
  <si>
    <t>1052/3842</t>
  </si>
  <si>
    <t>1052/3843</t>
  </si>
  <si>
    <t>1052/3844</t>
  </si>
  <si>
    <t>1052/3845</t>
  </si>
  <si>
    <t>1052/3846</t>
  </si>
  <si>
    <t>1052/3847</t>
  </si>
  <si>
    <t>1052/3848</t>
  </si>
  <si>
    <t>1052/3849</t>
  </si>
  <si>
    <t>1052/3850</t>
  </si>
  <si>
    <t>1052/3851</t>
  </si>
  <si>
    <t>1052/3852</t>
  </si>
  <si>
    <t>1052/3853</t>
  </si>
  <si>
    <t>1052/3854</t>
  </si>
  <si>
    <t>1052/3855</t>
  </si>
  <si>
    <t>1052/3856</t>
  </si>
  <si>
    <t>1052/3857</t>
  </si>
  <si>
    <t>1052/3858</t>
  </si>
  <si>
    <t>1052/3859</t>
  </si>
  <si>
    <t>1052/3860</t>
  </si>
  <si>
    <t>1052/3861</t>
  </si>
  <si>
    <t>1052/3862</t>
  </si>
  <si>
    <t>1052/3863</t>
  </si>
  <si>
    <t>1052/3864</t>
  </si>
  <si>
    <t>1052/3865</t>
  </si>
  <si>
    <t>1052/3866</t>
  </si>
  <si>
    <t>1052/3867</t>
  </si>
  <si>
    <t>1052/3868</t>
  </si>
  <si>
    <t>1052/3869</t>
  </si>
  <si>
    <t>1052/3870</t>
  </si>
  <si>
    <t>1052/3871</t>
  </si>
  <si>
    <t>1052/3872</t>
  </si>
  <si>
    <t>1052/3873</t>
  </si>
  <si>
    <t>1052/3874</t>
  </si>
  <si>
    <t>1052/3875</t>
  </si>
  <si>
    <t>1052/3876</t>
  </si>
  <si>
    <t>1052/3877</t>
  </si>
  <si>
    <t>1052/3878</t>
  </si>
  <si>
    <t>1052/3879</t>
  </si>
  <si>
    <t>1052/3880</t>
  </si>
  <si>
    <t>1052/3881</t>
  </si>
  <si>
    <t>1052/3882</t>
  </si>
  <si>
    <t>1052/3883</t>
  </si>
  <si>
    <t>1052/3884</t>
  </si>
  <si>
    <t>1052/3885</t>
  </si>
  <si>
    <t>1052/3886</t>
  </si>
  <si>
    <t>1052/3887</t>
  </si>
  <si>
    <t>1052/3888</t>
  </si>
  <si>
    <t>1052/3889</t>
  </si>
  <si>
    <t>1052/3890</t>
  </si>
  <si>
    <t>1052/3891</t>
  </si>
  <si>
    <t>1052/3892</t>
  </si>
  <si>
    <t>1052/3893</t>
  </si>
  <si>
    <t>1052/3894</t>
  </si>
  <si>
    <t>1052/3895</t>
  </si>
  <si>
    <t>1052/3896</t>
  </si>
  <si>
    <t>1052/3897</t>
  </si>
  <si>
    <t>1052/3898</t>
  </si>
  <si>
    <t>1052/3899</t>
  </si>
  <si>
    <t>1052/3900</t>
  </si>
  <si>
    <t>1052/3901</t>
  </si>
  <si>
    <t>1052/3902</t>
  </si>
  <si>
    <t>1052/3903</t>
  </si>
  <si>
    <t>1052/3904</t>
  </si>
  <si>
    <t>1052/3905</t>
  </si>
  <si>
    <t>1052/3906</t>
  </si>
  <si>
    <t>1052/3907</t>
  </si>
  <si>
    <t>1052/3908</t>
  </si>
  <si>
    <t>1052/3909</t>
  </si>
  <si>
    <t>1052/3910</t>
  </si>
  <si>
    <t>1052/3911</t>
  </si>
  <si>
    <t>1052/3912</t>
  </si>
  <si>
    <t>1052/3913</t>
  </si>
  <si>
    <t>1052/3914</t>
  </si>
  <si>
    <t>1052/3915</t>
  </si>
  <si>
    <t>1052/3916</t>
  </si>
  <si>
    <t>1052/3917</t>
  </si>
  <si>
    <t>1052/3918</t>
  </si>
  <si>
    <t>1052/3919</t>
  </si>
  <si>
    <t>1052/3920</t>
  </si>
  <si>
    <t>1052/3921</t>
  </si>
  <si>
    <t>1052/3922</t>
  </si>
  <si>
    <t>1052/3923</t>
  </si>
  <si>
    <t>1052/3924</t>
  </si>
  <si>
    <t>1052/3925</t>
  </si>
  <si>
    <t>1052/3926</t>
  </si>
  <si>
    <t>1052/3927</t>
  </si>
  <si>
    <t>1052/3928</t>
  </si>
  <si>
    <t>1052/3929</t>
  </si>
  <si>
    <t>1052/3930</t>
  </si>
  <si>
    <t>1052/3931</t>
  </si>
  <si>
    <t>1052/3932</t>
  </si>
  <si>
    <t>1052/3933</t>
  </si>
  <si>
    <t>1052/3934</t>
  </si>
  <si>
    <t>1052/3935</t>
  </si>
  <si>
    <t>1052/3936</t>
  </si>
  <si>
    <t>1052/3937</t>
  </si>
  <si>
    <t>1052/3938</t>
  </si>
  <si>
    <t>1052/3939</t>
  </si>
  <si>
    <t>1052/3940</t>
  </si>
  <si>
    <t>1052/3941</t>
  </si>
  <si>
    <t>1052/3942</t>
  </si>
  <si>
    <t>1052/3943</t>
  </si>
  <si>
    <t>1052/3944</t>
  </si>
  <si>
    <t>1052/3945</t>
  </si>
  <si>
    <t>1052/3946</t>
  </si>
  <si>
    <t>1052/3947</t>
  </si>
  <si>
    <t>1052/3948</t>
  </si>
  <si>
    <t>1052/3949</t>
  </si>
  <si>
    <t>1052/3950</t>
  </si>
  <si>
    <t>1052/3951</t>
  </si>
  <si>
    <t>1052/3952</t>
  </si>
  <si>
    <t>1052/3953</t>
  </si>
  <si>
    <t>1052/3954</t>
  </si>
  <si>
    <t>1052/3955</t>
  </si>
  <si>
    <t>1052/3956</t>
  </si>
  <si>
    <t>1052/3957</t>
  </si>
  <si>
    <t>1052/3958</t>
  </si>
  <si>
    <t>1052/3959</t>
  </si>
  <si>
    <t>1052/3960</t>
  </si>
  <si>
    <t>1052/3961</t>
  </si>
  <si>
    <t>1052/3962</t>
  </si>
  <si>
    <t>1052/3963</t>
  </si>
  <si>
    <t>1052/3964</t>
  </si>
  <si>
    <t>1052/3965</t>
  </si>
  <si>
    <t>1052/3966</t>
  </si>
  <si>
    <t>1052/3967</t>
  </si>
  <si>
    <t>1052/3968</t>
  </si>
  <si>
    <t>1052/3969</t>
  </si>
  <si>
    <t>1052/3970</t>
  </si>
  <si>
    <t>1052/3971</t>
  </si>
  <si>
    <t>1052/3972</t>
  </si>
  <si>
    <t>1052/3973</t>
  </si>
  <si>
    <t>1052/3974</t>
  </si>
  <si>
    <t>1052/3975</t>
  </si>
  <si>
    <t>1052/3976</t>
  </si>
  <si>
    <t>1052/3977</t>
  </si>
  <si>
    <t>1052/3978</t>
  </si>
  <si>
    <t>1052/3979</t>
  </si>
  <si>
    <t>1052/3980</t>
  </si>
  <si>
    <t>1052/3981</t>
  </si>
  <si>
    <t>1052/3982</t>
  </si>
  <si>
    <t>1052/3983</t>
  </si>
  <si>
    <t>1052/3984</t>
  </si>
  <si>
    <t>1052/3985</t>
  </si>
  <si>
    <t>1052/3986</t>
  </si>
  <si>
    <t>1052/3987</t>
  </si>
  <si>
    <t>1052/3988</t>
  </si>
  <si>
    <t>1052/3989</t>
  </si>
  <si>
    <t>1052/3990</t>
  </si>
  <si>
    <t>1052/3991</t>
  </si>
  <si>
    <t>1052/3992</t>
  </si>
  <si>
    <t>1052/3993</t>
  </si>
  <si>
    <t>1052/3994</t>
  </si>
  <si>
    <t>1052/3995</t>
  </si>
  <si>
    <t>1052/3996</t>
  </si>
  <si>
    <t>1052/3997</t>
  </si>
  <si>
    <t>1052/3998</t>
  </si>
  <si>
    <t>1052/3999</t>
  </si>
  <si>
    <t>1052/4000</t>
  </si>
  <si>
    <t>1052/4001</t>
  </si>
  <si>
    <t>1052/4002</t>
  </si>
  <si>
    <t>1052/4003</t>
  </si>
  <si>
    <t>1052/4004</t>
  </si>
  <si>
    <t>1052/4005</t>
  </si>
  <si>
    <t>1052/4006</t>
  </si>
  <si>
    <t>1052/4007</t>
  </si>
  <si>
    <t>1052/4008</t>
  </si>
  <si>
    <t>1052/4009</t>
  </si>
  <si>
    <t>1052/4010</t>
  </si>
  <si>
    <t>1052/4011</t>
  </si>
  <si>
    <t>1052/4012</t>
  </si>
  <si>
    <t>1052/4013</t>
  </si>
  <si>
    <t>1052/4014</t>
  </si>
  <si>
    <t>1052/4015</t>
  </si>
  <si>
    <t>1052/4016</t>
  </si>
  <si>
    <t>1052/4017</t>
  </si>
  <si>
    <t>1052/4018</t>
  </si>
  <si>
    <t>1052/4019</t>
  </si>
  <si>
    <t>1052/4020</t>
  </si>
  <si>
    <t>1052/4021</t>
  </si>
  <si>
    <t>1052/4022</t>
  </si>
  <si>
    <t>1052/4023</t>
  </si>
  <si>
    <t>1052/4024</t>
  </si>
  <si>
    <t>1052/4025</t>
  </si>
  <si>
    <t>1052/4026</t>
  </si>
  <si>
    <t>1052/4027</t>
  </si>
  <si>
    <t>1052/4028</t>
  </si>
  <si>
    <t>1052/4029</t>
  </si>
  <si>
    <t>1052/4030</t>
  </si>
  <si>
    <t>1052/4031</t>
  </si>
  <si>
    <t>1052/4032</t>
  </si>
  <si>
    <t>1052/4033</t>
  </si>
  <si>
    <t>1052/4034</t>
  </si>
  <si>
    <t>1052/4035</t>
  </si>
  <si>
    <t>1052/4036</t>
  </si>
  <si>
    <t>1052/4037</t>
  </si>
  <si>
    <t>1052/4038</t>
  </si>
  <si>
    <t>1052/4039</t>
  </si>
  <si>
    <t>1052/4040</t>
  </si>
  <si>
    <t>1052/4041</t>
  </si>
  <si>
    <t>1052/4042</t>
  </si>
  <si>
    <t>1052/4043</t>
  </si>
  <si>
    <t>1052/4044</t>
  </si>
  <si>
    <t>1052/4045</t>
  </si>
  <si>
    <t>1052/4046</t>
  </si>
  <si>
    <t>1052/4047</t>
  </si>
  <si>
    <t>1052/4048</t>
  </si>
  <si>
    <t>1052/4049</t>
  </si>
  <si>
    <t>1052/4050</t>
  </si>
  <si>
    <t>1052/4051</t>
  </si>
  <si>
    <t>1052/4052</t>
  </si>
  <si>
    <t>1052/4053</t>
  </si>
  <si>
    <t>1052/4054</t>
  </si>
  <si>
    <t>1052/4055</t>
  </si>
  <si>
    <t>1052/4056</t>
  </si>
  <si>
    <t>1052/4057</t>
  </si>
  <si>
    <t>1052/4058</t>
  </si>
  <si>
    <t>1052/4059</t>
  </si>
  <si>
    <t>1052/4060</t>
  </si>
  <si>
    <t>1052/4061</t>
  </si>
  <si>
    <t>1052/4062</t>
  </si>
  <si>
    <t>1052/4063</t>
  </si>
  <si>
    <t>1052/4064</t>
  </si>
  <si>
    <t>1052/4065</t>
  </si>
  <si>
    <t>1052/4066</t>
  </si>
  <si>
    <t>1052/4067</t>
  </si>
  <si>
    <t>1052/4068</t>
  </si>
  <si>
    <t>1052/4069</t>
  </si>
  <si>
    <t>1052/4070</t>
  </si>
  <si>
    <t>1052/4071</t>
  </si>
  <si>
    <t>1052/4072</t>
  </si>
  <si>
    <t>1052/4073</t>
  </si>
  <si>
    <t>1052/4074</t>
  </si>
  <si>
    <t>1052/4075</t>
  </si>
  <si>
    <t>1052/4076</t>
  </si>
  <si>
    <t>1052/4077</t>
  </si>
  <si>
    <t>1052/4078</t>
  </si>
  <si>
    <t>1052/4079</t>
  </si>
  <si>
    <t>1052/4080</t>
  </si>
  <si>
    <t>1052/4081</t>
  </si>
  <si>
    <t>1052/4082</t>
  </si>
  <si>
    <t>1052/4083</t>
  </si>
  <si>
    <t>1052/4084</t>
  </si>
  <si>
    <t>1052/4085</t>
  </si>
  <si>
    <t>1052/4086</t>
  </si>
  <si>
    <t>1052/4087</t>
  </si>
  <si>
    <t>1052/4088</t>
  </si>
  <si>
    <t>1052/4089</t>
  </si>
  <si>
    <t>1052/4090</t>
  </si>
  <si>
    <t>1052/4091</t>
  </si>
  <si>
    <t>1052/4092</t>
  </si>
  <si>
    <t>1052/4093</t>
  </si>
  <si>
    <t>1052/4094</t>
  </si>
  <si>
    <t>1052/4095</t>
  </si>
  <si>
    <t>1052/4096</t>
  </si>
  <si>
    <t>1052/4097</t>
  </si>
  <si>
    <t>1052/4098</t>
  </si>
  <si>
    <t>1052/4099</t>
  </si>
  <si>
    <t>1052/4100</t>
  </si>
  <si>
    <t>1052/4101</t>
  </si>
  <si>
    <t>1052/4102</t>
  </si>
  <si>
    <t>1052/4103</t>
  </si>
  <si>
    <t>1052/4104</t>
  </si>
  <si>
    <t>1052/4105</t>
  </si>
  <si>
    <t>1052/4106</t>
  </si>
  <si>
    <t>1052/4107</t>
  </si>
  <si>
    <t>1052/4108</t>
  </si>
  <si>
    <t>1052/4109</t>
  </si>
  <si>
    <t>1052/4110</t>
  </si>
  <si>
    <t>1052/4111</t>
  </si>
  <si>
    <t>1052/4112</t>
  </si>
  <si>
    <t>1052/4113</t>
  </si>
  <si>
    <t>1052/4114</t>
  </si>
  <si>
    <t>1052/4115</t>
  </si>
  <si>
    <t>1052/4116</t>
  </si>
  <si>
    <t>1052/4117</t>
  </si>
  <si>
    <t>1052/4118</t>
  </si>
  <si>
    <t>1052/4119</t>
  </si>
  <si>
    <t>1052/4120</t>
  </si>
  <si>
    <t>1052/4121</t>
  </si>
  <si>
    <t>1052/4122</t>
  </si>
  <si>
    <t>1052/4123</t>
  </si>
  <si>
    <t>1052/4124</t>
  </si>
  <si>
    <t>1052/4125</t>
  </si>
  <si>
    <t>1052/4126</t>
  </si>
  <si>
    <t>1052/4127</t>
  </si>
  <si>
    <t>1052/4128</t>
  </si>
  <si>
    <t>1052/4129</t>
  </si>
  <si>
    <t>1052/4130</t>
  </si>
  <si>
    <t>1052/4131</t>
  </si>
  <si>
    <t>1052/4132</t>
  </si>
  <si>
    <t>1052/4133</t>
  </si>
  <si>
    <t>1052/4134</t>
  </si>
  <si>
    <t>1052/4135</t>
  </si>
  <si>
    <t>1052/4136</t>
  </si>
  <si>
    <t>1052/4137</t>
  </si>
  <si>
    <t>1052/4138</t>
  </si>
  <si>
    <t>1052/4139</t>
  </si>
  <si>
    <t>1052/4140</t>
  </si>
  <si>
    <t>1052/4141</t>
  </si>
  <si>
    <t>1052/4142</t>
  </si>
  <si>
    <t>1052/4143</t>
  </si>
  <si>
    <t>1052/4144</t>
  </si>
  <si>
    <t>1052/4145</t>
  </si>
  <si>
    <t>1052/4146</t>
  </si>
  <si>
    <t>1052/4147</t>
  </si>
  <si>
    <t>1052/4148</t>
  </si>
  <si>
    <t>1052/4149</t>
  </si>
  <si>
    <t>1052/4150</t>
  </si>
  <si>
    <t>1052/4151</t>
  </si>
  <si>
    <t>1052/4152</t>
  </si>
  <si>
    <t>1052/4153</t>
  </si>
  <si>
    <t>1052/4154</t>
  </si>
  <si>
    <t>1052/4155</t>
  </si>
  <si>
    <t>1052/4156</t>
  </si>
  <si>
    <t>1052/4157</t>
  </si>
  <si>
    <t>1052/4158</t>
  </si>
  <si>
    <t>1052/4159</t>
  </si>
  <si>
    <t>1052/4160</t>
  </si>
  <si>
    <t>1052/4161</t>
  </si>
  <si>
    <t>1052/4162</t>
  </si>
  <si>
    <t>1052/4163</t>
  </si>
  <si>
    <t>1052/4164</t>
  </si>
  <si>
    <t>1052/4165</t>
  </si>
  <si>
    <t>1052/4166</t>
  </si>
  <si>
    <t>1052/4167</t>
  </si>
  <si>
    <t>1052/4168</t>
  </si>
  <si>
    <t>1052/4169</t>
  </si>
  <si>
    <t>1052/4170</t>
  </si>
  <si>
    <t>1052/4171</t>
  </si>
  <si>
    <t>1052/4172</t>
  </si>
  <si>
    <t>1052/4173</t>
  </si>
  <si>
    <t>1052/4174</t>
  </si>
  <si>
    <t>1052/4175</t>
  </si>
  <si>
    <t>1052/4176</t>
  </si>
  <si>
    <t>1052/4177</t>
  </si>
  <si>
    <t>1052/4178</t>
  </si>
  <si>
    <t>1052/4179</t>
  </si>
  <si>
    <t>1052/4180</t>
  </si>
  <si>
    <t>1052/4181</t>
  </si>
  <si>
    <t>1052/4182</t>
  </si>
  <si>
    <t>1052/4183</t>
  </si>
  <si>
    <t>1052/4184</t>
  </si>
  <si>
    <t>1052/4185</t>
  </si>
  <si>
    <t>1052/4186</t>
  </si>
  <si>
    <t>1052/4187</t>
  </si>
  <si>
    <t>1052/4188</t>
  </si>
  <si>
    <t>1052/4189</t>
  </si>
  <si>
    <t>1052/4190</t>
  </si>
  <si>
    <t>1052/4191</t>
  </si>
  <si>
    <t>1052/4192</t>
  </si>
  <si>
    <t>1052/4193</t>
  </si>
  <si>
    <t>1052/4194</t>
  </si>
  <si>
    <t>1052/4195</t>
  </si>
  <si>
    <t>1052/4196</t>
  </si>
  <si>
    <t>1052/4197</t>
  </si>
  <si>
    <t>1052/4198</t>
  </si>
  <si>
    <t>1052/4199</t>
  </si>
  <si>
    <t>1052/4200</t>
  </si>
  <si>
    <t>1052/4201</t>
  </si>
  <si>
    <t>1052/4202</t>
  </si>
  <si>
    <t>1052/4203</t>
  </si>
  <si>
    <t>1052/4204</t>
  </si>
  <si>
    <t>1052/4205</t>
  </si>
  <si>
    <t>1052/4206</t>
  </si>
  <si>
    <t>1052/4207</t>
  </si>
  <si>
    <t>1052/4208</t>
  </si>
  <si>
    <t>1052/4209</t>
  </si>
  <si>
    <t>1052/4210</t>
  </si>
  <si>
    <t>1052/4211</t>
  </si>
  <si>
    <t>1052/4212</t>
  </si>
  <si>
    <t>1052/4213</t>
  </si>
  <si>
    <t>1052/4214</t>
  </si>
  <si>
    <t>1052/4215</t>
  </si>
  <si>
    <t>1052/4216</t>
  </si>
  <si>
    <t>1052/4217</t>
  </si>
  <si>
    <t>1052/4218</t>
  </si>
  <si>
    <t>1052/4219</t>
  </si>
  <si>
    <t>1052/4220</t>
  </si>
  <si>
    <t>1052/4221</t>
  </si>
  <si>
    <t>1052/4222</t>
  </si>
  <si>
    <t>1052/4223</t>
  </si>
  <si>
    <t>1052/4224</t>
  </si>
  <si>
    <t>1052/4225</t>
  </si>
  <si>
    <t>1052/4226</t>
  </si>
  <si>
    <t>1052/4227</t>
  </si>
  <si>
    <t>1052/4228</t>
  </si>
  <si>
    <t>1052/4229</t>
  </si>
  <si>
    <t>1052/4230</t>
  </si>
  <si>
    <t>1052/4231</t>
  </si>
  <si>
    <t>1052/4232</t>
  </si>
  <si>
    <t>1052/4233</t>
  </si>
  <si>
    <t>1052/4234</t>
  </si>
  <si>
    <t>1052/4235</t>
  </si>
  <si>
    <t>1052/4236</t>
  </si>
  <si>
    <t>1052/4237</t>
  </si>
  <si>
    <t>1052/4238</t>
  </si>
  <si>
    <t>1052/4239</t>
  </si>
  <si>
    <t>1052/4240</t>
  </si>
  <si>
    <t>1052/4241</t>
  </si>
  <si>
    <t>1052/4242</t>
  </si>
  <si>
    <t>1052/4243</t>
  </si>
  <si>
    <t>1052/4244</t>
  </si>
  <si>
    <t>1052/4245</t>
  </si>
  <si>
    <t>1052/4246</t>
  </si>
  <si>
    <t>1052/4247</t>
  </si>
  <si>
    <t>1052/4248</t>
  </si>
  <si>
    <t>1052/4249</t>
  </si>
  <si>
    <t>1052/4250</t>
  </si>
  <si>
    <t>1052/4251</t>
  </si>
  <si>
    <t>1052/4252</t>
  </si>
  <si>
    <t>1052/4253</t>
  </si>
  <si>
    <t>1052/4254</t>
  </si>
  <si>
    <t>1052/4255</t>
  </si>
  <si>
    <t>1052/4256</t>
  </si>
  <si>
    <t>1052/4257</t>
  </si>
  <si>
    <t>1052/4258</t>
  </si>
  <si>
    <t>1052/4259</t>
  </si>
  <si>
    <t>1052/4260</t>
  </si>
  <si>
    <t>1052/4261</t>
  </si>
  <si>
    <t>1052/4262</t>
  </si>
  <si>
    <t>1052/4263</t>
  </si>
  <si>
    <t>1052/4264</t>
  </si>
  <si>
    <t>1052/4265</t>
  </si>
  <si>
    <t>1052/4266</t>
  </si>
  <si>
    <t>1052/4267</t>
  </si>
  <si>
    <t>1052/4268</t>
  </si>
  <si>
    <t>1052/4269</t>
  </si>
  <si>
    <t>1052/4270</t>
  </si>
  <si>
    <t>1052/4271</t>
  </si>
  <si>
    <t>1052/4272</t>
  </si>
  <si>
    <t>1052/4273</t>
  </si>
  <si>
    <t>1052/4274</t>
  </si>
  <si>
    <t>1052/4275</t>
  </si>
  <si>
    <t>1052/4276</t>
  </si>
  <si>
    <t>1052/4277</t>
  </si>
  <si>
    <t>1052/4278</t>
  </si>
  <si>
    <t>1052/4279</t>
  </si>
  <si>
    <t>1052/4280</t>
  </si>
  <si>
    <t>1052/4281</t>
  </si>
  <si>
    <t>1052/4282</t>
  </si>
  <si>
    <t>1052/4283</t>
  </si>
  <si>
    <t>1052/4284</t>
  </si>
  <si>
    <t>1052/4285</t>
  </si>
  <si>
    <t>1052/4286</t>
  </si>
  <si>
    <t>1052/4287</t>
  </si>
  <si>
    <t>1052/4288</t>
  </si>
  <si>
    <t>1052/4289</t>
  </si>
  <si>
    <t>1052/4290</t>
  </si>
  <si>
    <t>1052/4291</t>
  </si>
  <si>
    <t>1052/4292</t>
  </si>
  <si>
    <t>1052/4293</t>
  </si>
  <si>
    <t>1052/4294</t>
  </si>
  <si>
    <t>1052/4295</t>
  </si>
  <si>
    <t>1052/4296</t>
  </si>
  <si>
    <t>1052/4297</t>
  </si>
  <si>
    <t>1052/4298</t>
  </si>
  <si>
    <t>1052/4299</t>
  </si>
  <si>
    <t>1052/4300</t>
  </si>
  <si>
    <t>1052/4301</t>
  </si>
  <si>
    <t>1052/4302</t>
  </si>
  <si>
    <t>1052/4303</t>
  </si>
  <si>
    <t>1052/4304</t>
  </si>
  <si>
    <t>1052/4305</t>
  </si>
  <si>
    <t>1052/4306</t>
  </si>
  <si>
    <t>1052/4307</t>
  </si>
  <si>
    <t>1052/4308</t>
  </si>
  <si>
    <t>1052/4309</t>
  </si>
  <si>
    <t>1052/4310</t>
  </si>
  <si>
    <t>1052/4311</t>
  </si>
  <si>
    <t>1052/4312</t>
  </si>
  <si>
    <t>1052/4313</t>
  </si>
  <si>
    <t>1052/4314</t>
  </si>
  <si>
    <t>1052/4315</t>
  </si>
  <si>
    <t>1052/4316</t>
  </si>
  <si>
    <t>1052/4317</t>
  </si>
  <si>
    <t>1052/4318</t>
  </si>
  <si>
    <t>1052/4319</t>
  </si>
  <si>
    <t>1052/4320</t>
  </si>
  <si>
    <t>1052/4321</t>
  </si>
  <si>
    <t>1052/4322</t>
  </si>
  <si>
    <t>1052/4323</t>
  </si>
  <si>
    <t>1052/4324</t>
  </si>
  <si>
    <t>1052/4325</t>
  </si>
  <si>
    <t>1052/4326</t>
  </si>
  <si>
    <t>1052/4327</t>
  </si>
  <si>
    <t>1052/4328</t>
  </si>
  <si>
    <t>1052/4329</t>
  </si>
  <si>
    <t>1052/4330</t>
  </si>
  <si>
    <t>1052/4331</t>
  </si>
  <si>
    <t>1052/4332</t>
  </si>
  <si>
    <t>1052/4333</t>
  </si>
  <si>
    <t>1052/4334</t>
  </si>
  <si>
    <t>1052/4335</t>
  </si>
  <si>
    <t>1052/4336</t>
  </si>
  <si>
    <t>1052/4337</t>
  </si>
  <si>
    <t>1052/4338</t>
  </si>
  <si>
    <t>1052/4339</t>
  </si>
  <si>
    <t>1052/4340</t>
  </si>
  <si>
    <t>1052/4341</t>
  </si>
  <si>
    <t>1052/4342</t>
  </si>
  <si>
    <t>1052/4343</t>
  </si>
  <si>
    <t>1052/4344</t>
  </si>
  <si>
    <t>1052/4345</t>
  </si>
  <si>
    <t>1052/4346</t>
  </si>
  <si>
    <t>1052/4347</t>
  </si>
  <si>
    <t>1052/4348</t>
  </si>
  <si>
    <t>1052/4349</t>
  </si>
  <si>
    <t>1052/4350</t>
  </si>
  <si>
    <t>1052/4351</t>
  </si>
  <si>
    <t>1052/4352</t>
  </si>
  <si>
    <t>1052/4353</t>
  </si>
  <si>
    <t>1052/4354</t>
  </si>
  <si>
    <t>1052/4355</t>
  </si>
  <si>
    <t>1052/4356</t>
  </si>
  <si>
    <t>1052/4357</t>
  </si>
  <si>
    <t>1052/4358</t>
  </si>
  <si>
    <t>1052/4359</t>
  </si>
  <si>
    <t>1052/4360</t>
  </si>
  <si>
    <t>1052/4361</t>
  </si>
  <si>
    <t>1052/4362</t>
  </si>
  <si>
    <t>1052/4363</t>
  </si>
  <si>
    <t>1052/4364</t>
  </si>
  <si>
    <t>1052/4365</t>
  </si>
  <si>
    <t>1052/4366</t>
  </si>
  <si>
    <t>1052/4367</t>
  </si>
  <si>
    <t>1052/4368</t>
  </si>
  <si>
    <t>1052/4369</t>
  </si>
  <si>
    <t>1052/4370</t>
  </si>
  <si>
    <t>1052/4371</t>
  </si>
  <si>
    <t>1052/4372</t>
  </si>
  <si>
    <t>1052/4373</t>
  </si>
  <si>
    <t>1052/4374</t>
  </si>
  <si>
    <t>1052/4375</t>
  </si>
  <si>
    <t>1052/4376</t>
  </si>
  <si>
    <t>1052/4377</t>
  </si>
  <si>
    <t>1052/4378</t>
  </si>
  <si>
    <t>1052/4379</t>
  </si>
  <si>
    <t>1052/4380</t>
  </si>
  <si>
    <t>1052/4381</t>
  </si>
  <si>
    <t>1052/4382</t>
  </si>
  <si>
    <t>1052/4383</t>
  </si>
  <si>
    <t>1052/4384</t>
  </si>
  <si>
    <t>1052/4385</t>
  </si>
  <si>
    <t>1052/4386</t>
  </si>
  <si>
    <t>1052/4387</t>
  </si>
  <si>
    <t>1052/4388</t>
  </si>
  <si>
    <t>1052/4389</t>
  </si>
  <si>
    <t>1052/4390</t>
  </si>
  <si>
    <t>1052/4391</t>
  </si>
  <si>
    <t>1052/4392</t>
  </si>
  <si>
    <t>1052/4393</t>
  </si>
  <si>
    <t>1052/4394</t>
  </si>
  <si>
    <t>1052/4395</t>
  </si>
  <si>
    <t>1052/4396</t>
  </si>
  <si>
    <t>1052/4397</t>
  </si>
  <si>
    <t>1052/4398</t>
  </si>
  <si>
    <t>1052/4399</t>
  </si>
  <si>
    <t>1052/4400</t>
  </si>
  <si>
    <t>1052/4401</t>
  </si>
  <si>
    <t>1052/4402</t>
  </si>
  <si>
    <t>1052/4403</t>
  </si>
  <si>
    <t>1052/4404</t>
  </si>
  <si>
    <t>1052/4405</t>
  </si>
  <si>
    <t>1052/4406</t>
  </si>
  <si>
    <t>1052/4407</t>
  </si>
  <si>
    <t>1052/4408</t>
  </si>
  <si>
    <t>1052/4409</t>
  </si>
  <si>
    <t>1052/4410</t>
  </si>
  <si>
    <t>1052/4411</t>
  </si>
  <si>
    <t>1052/4412</t>
  </si>
  <si>
    <t>1052/4413</t>
  </si>
  <si>
    <t>1052/4414</t>
  </si>
  <si>
    <t>1052/4415</t>
  </si>
  <si>
    <t>1052/4416</t>
  </si>
  <si>
    <t>1052/4417</t>
  </si>
  <si>
    <t>1052/4418</t>
  </si>
  <si>
    <t>1052/4419</t>
  </si>
  <si>
    <t>1052/4420</t>
  </si>
  <si>
    <t>1052/4421</t>
  </si>
  <si>
    <t>1052/4422</t>
  </si>
  <si>
    <t>1052/4423</t>
  </si>
  <si>
    <t>1052/4424</t>
  </si>
  <si>
    <t>1052/4425</t>
  </si>
  <si>
    <t>1052/4426</t>
  </si>
  <si>
    <t>1052/4427</t>
  </si>
  <si>
    <t>1052/4428</t>
  </si>
  <si>
    <t>1052/4429</t>
  </si>
  <si>
    <t>1052/4430</t>
  </si>
  <si>
    <t>1052/4431</t>
  </si>
  <si>
    <t>1052/4432</t>
  </si>
  <si>
    <t>1052/4433</t>
  </si>
  <si>
    <t>1052/4434</t>
  </si>
  <si>
    <t>1052/4435</t>
  </si>
  <si>
    <t>1052/4436</t>
  </si>
  <si>
    <t>1052/4437</t>
  </si>
  <si>
    <t>1052/4438</t>
  </si>
  <si>
    <t>1052/4439</t>
  </si>
  <si>
    <t>1052/4440</t>
  </si>
  <si>
    <t>1052/4441</t>
  </si>
  <si>
    <t>1052/4442</t>
  </si>
  <si>
    <t>1052/4443</t>
  </si>
  <si>
    <t>1052/4444</t>
  </si>
  <si>
    <t>1052/4445</t>
  </si>
  <si>
    <t>1052/4446</t>
  </si>
  <si>
    <t>1052/4447</t>
  </si>
  <si>
    <t>1052/4448</t>
  </si>
  <si>
    <t>1052/4449</t>
  </si>
  <si>
    <t>1052/4450</t>
  </si>
  <si>
    <t>1052/4451</t>
  </si>
  <si>
    <t>1052/4452</t>
  </si>
  <si>
    <t>1052/4453</t>
  </si>
  <si>
    <t>1052/4454</t>
  </si>
  <si>
    <t>1052/4455</t>
  </si>
  <si>
    <t>1052/4456</t>
  </si>
  <si>
    <t>1052/4457</t>
  </si>
  <si>
    <t>1052/4458</t>
  </si>
  <si>
    <t>1052/4459</t>
  </si>
  <si>
    <t>1052/4460</t>
  </si>
  <si>
    <t>1052/4461</t>
  </si>
  <si>
    <t>1052/4462</t>
  </si>
  <si>
    <t>1052/4463</t>
  </si>
  <si>
    <t>1052/4464</t>
  </si>
  <si>
    <t>1052/4465</t>
  </si>
  <si>
    <t>1052/4466</t>
  </si>
  <si>
    <t>1052/4467</t>
  </si>
  <si>
    <t>1052/4468</t>
  </si>
  <si>
    <t>1052/4469</t>
  </si>
  <si>
    <t>1052/4470</t>
  </si>
  <si>
    <t>1052/4471</t>
  </si>
  <si>
    <t>1052/4472</t>
  </si>
  <si>
    <t>1052/4473</t>
  </si>
  <si>
    <t>1052/4474</t>
  </si>
  <si>
    <t>1052/4475</t>
  </si>
  <si>
    <t>1052/4476</t>
  </si>
  <si>
    <t>1052/4477</t>
  </si>
  <si>
    <t>1052/4478</t>
  </si>
  <si>
    <t>1052/4479</t>
  </si>
  <si>
    <t>1052/4480</t>
  </si>
  <si>
    <t>1052/4481</t>
  </si>
  <si>
    <t>1052/4482</t>
  </si>
  <si>
    <t>1052/4483</t>
  </si>
  <si>
    <t>1052/4484</t>
  </si>
  <si>
    <t>1052/4485</t>
  </si>
  <si>
    <t>1052/4486</t>
  </si>
  <si>
    <t>1052/4487</t>
  </si>
  <si>
    <t>1052/4488</t>
  </si>
  <si>
    <t>1052/4489</t>
  </si>
  <si>
    <t>1052/4490</t>
  </si>
  <si>
    <t>1052/4491</t>
  </si>
  <si>
    <t>1052/4492</t>
  </si>
  <si>
    <t>1052/4493</t>
  </si>
  <si>
    <t>1052/4494</t>
  </si>
  <si>
    <t>1052/4495</t>
  </si>
  <si>
    <t>1052/4496</t>
  </si>
  <si>
    <t>1052/4497</t>
  </si>
  <si>
    <t>1052/4498</t>
  </si>
  <si>
    <t>1052/4499</t>
  </si>
  <si>
    <t>1052/4500</t>
  </si>
  <si>
    <t>1052/4501</t>
  </si>
  <si>
    <t>1052/4502</t>
  </si>
  <si>
    <t>1052/4503</t>
  </si>
  <si>
    <t>1052/4504</t>
  </si>
  <si>
    <t>1052/4505</t>
  </si>
  <si>
    <t>1052/4506</t>
  </si>
  <si>
    <t>1052/4507</t>
  </si>
  <si>
    <t>1052/4508</t>
  </si>
  <si>
    <t>1052/4509</t>
  </si>
  <si>
    <t>1052/4510</t>
  </si>
  <si>
    <t>1052/4511</t>
  </si>
  <si>
    <t>1052/4512</t>
  </si>
  <si>
    <t>1052/4513</t>
  </si>
  <si>
    <t>1052/4514</t>
  </si>
  <si>
    <t>1052/4515</t>
  </si>
  <si>
    <t>1052/4516</t>
  </si>
  <si>
    <t>1052/4517</t>
  </si>
  <si>
    <t>1052/4518</t>
  </si>
  <si>
    <t>1052/4519</t>
  </si>
  <si>
    <t>1052/4520</t>
  </si>
  <si>
    <t>1052/4521</t>
  </si>
  <si>
    <t>1052/4522</t>
  </si>
  <si>
    <t>1052/4523</t>
  </si>
  <si>
    <t>1052/4524</t>
  </si>
  <si>
    <t>1052/4525</t>
  </si>
  <si>
    <t>1052/4526</t>
  </si>
  <si>
    <t>1052/4527</t>
  </si>
  <si>
    <t>1052/4528</t>
  </si>
  <si>
    <t>1052/4529</t>
  </si>
  <si>
    <t>1052/4530</t>
  </si>
  <si>
    <t>1052/4531</t>
  </si>
  <si>
    <t>1052/4532</t>
  </si>
  <si>
    <t>1052/4533</t>
  </si>
  <si>
    <t>1052/4534</t>
  </si>
  <si>
    <t>1052/4535</t>
  </si>
  <si>
    <t>1052/4536</t>
  </si>
  <si>
    <t>1052/4537</t>
  </si>
  <si>
    <t>1052/4538</t>
  </si>
  <si>
    <t>1052/4539</t>
  </si>
  <si>
    <t>1052/4540</t>
  </si>
  <si>
    <t>1052/4541</t>
  </si>
  <si>
    <t>1052/4542</t>
  </si>
  <si>
    <t>1052/4543</t>
  </si>
  <si>
    <t>1052/4544</t>
  </si>
  <si>
    <t>1052/4545</t>
  </si>
  <si>
    <t>1052/4546</t>
  </si>
  <si>
    <t>1052/4547</t>
  </si>
  <si>
    <t>1052/4548</t>
  </si>
  <si>
    <t>1052/4549</t>
  </si>
  <si>
    <t>1052/4550</t>
  </si>
  <si>
    <t>1052/4551</t>
  </si>
  <si>
    <t>1052/4552</t>
  </si>
  <si>
    <t>1052/4553</t>
  </si>
  <si>
    <t>1052/4554</t>
  </si>
  <si>
    <t>1052/4555</t>
  </si>
  <si>
    <t>1052/4556</t>
  </si>
  <si>
    <t>1052/4557</t>
  </si>
  <si>
    <t>1052/4558</t>
  </si>
  <si>
    <t>1052/4559</t>
  </si>
  <si>
    <t>1052/4560</t>
  </si>
  <si>
    <t>1052/4561</t>
  </si>
  <si>
    <t>1052/4562</t>
  </si>
  <si>
    <t>1052/4563</t>
  </si>
  <si>
    <t>1052/4564</t>
  </si>
  <si>
    <t>1052/4565</t>
  </si>
  <si>
    <t>1052/4566</t>
  </si>
  <si>
    <t>1052/4567</t>
  </si>
  <si>
    <t>1052/4568</t>
  </si>
  <si>
    <t>1052/4569</t>
  </si>
  <si>
    <t>1052/4570</t>
  </si>
  <si>
    <t>1052/4571</t>
  </si>
  <si>
    <t>1052/4572</t>
  </si>
  <si>
    <t>1052/4573</t>
  </si>
  <si>
    <t>1052/4574</t>
  </si>
  <si>
    <t>1052/4575</t>
  </si>
  <si>
    <t>1052/4576</t>
  </si>
  <si>
    <t>1052/4577</t>
  </si>
  <si>
    <t>1052/4578</t>
  </si>
  <si>
    <t>1052/4579</t>
  </si>
  <si>
    <t>1052/4580</t>
  </si>
  <si>
    <t>1052/4581</t>
  </si>
  <si>
    <t>1052/4582</t>
  </si>
  <si>
    <t>1052/4583</t>
  </si>
  <si>
    <t>1052/4584</t>
  </si>
  <si>
    <t>1052/4585</t>
  </si>
  <si>
    <t>1052/4586</t>
  </si>
  <si>
    <t>1052/4587</t>
  </si>
  <si>
    <t>1052/4588</t>
  </si>
  <si>
    <t>1052/4589</t>
  </si>
  <si>
    <t>1052/4590</t>
  </si>
  <si>
    <t>1052/4591</t>
  </si>
  <si>
    <t>1052/4592</t>
  </si>
  <si>
    <t>1052/4593</t>
  </si>
  <si>
    <t>1052/4594</t>
  </si>
  <si>
    <t>1052/4595</t>
  </si>
  <si>
    <t>1052/4596</t>
  </si>
  <si>
    <t>1052/4597</t>
  </si>
  <si>
    <t>1052/4598</t>
  </si>
  <si>
    <t>1052/4599</t>
  </si>
  <si>
    <t>1052/4600</t>
  </si>
  <si>
    <t>1052/4601</t>
  </si>
  <si>
    <t>1052/4602</t>
  </si>
  <si>
    <t>1052/4603</t>
  </si>
  <si>
    <t>1052/4604</t>
  </si>
  <si>
    <t>1052/4605</t>
  </si>
  <si>
    <t>1052/4606</t>
  </si>
  <si>
    <t>1052/4607</t>
  </si>
  <si>
    <t>1052/4608</t>
  </si>
  <si>
    <t>1052/4609</t>
  </si>
  <si>
    <t>1052/4610</t>
  </si>
  <si>
    <t>1052/4611</t>
  </si>
  <si>
    <t>1052/4612</t>
  </si>
  <si>
    <t>1052/4613</t>
  </si>
  <si>
    <t>1052/4614</t>
  </si>
  <si>
    <t>1052/4615</t>
  </si>
  <si>
    <t>1052/4616</t>
  </si>
  <si>
    <t>1052/4617</t>
  </si>
  <si>
    <t>1052/4618</t>
  </si>
  <si>
    <t>1052/4619</t>
  </si>
  <si>
    <t>1052/4620</t>
  </si>
  <si>
    <t>1052/4621</t>
  </si>
  <si>
    <t>1052/4622</t>
  </si>
  <si>
    <t>1052/4623</t>
  </si>
  <si>
    <t>1052/4624</t>
  </si>
  <si>
    <t>1052/4625</t>
  </si>
  <si>
    <t>1052/4626</t>
  </si>
  <si>
    <t>1052/4627</t>
  </si>
  <si>
    <t>1052/4628</t>
  </si>
  <si>
    <t>1052/4629</t>
  </si>
  <si>
    <t>1052/4630</t>
  </si>
  <si>
    <t>1052/4631</t>
  </si>
  <si>
    <t>1052/4632</t>
  </si>
  <si>
    <t>1052/4633</t>
  </si>
  <si>
    <t>1052/4634</t>
  </si>
  <si>
    <t>1052/4635</t>
  </si>
  <si>
    <t>1052/4636</t>
  </si>
  <si>
    <t>1052/4637</t>
  </si>
  <si>
    <t>1052/4638</t>
  </si>
  <si>
    <t>1052/4639</t>
  </si>
  <si>
    <t>1052/4640</t>
  </si>
  <si>
    <t>1052/4641</t>
  </si>
  <si>
    <t>1052/4642</t>
  </si>
  <si>
    <t>1052/4643</t>
  </si>
  <si>
    <t>1052/4644</t>
  </si>
  <si>
    <t>1052/4645</t>
  </si>
  <si>
    <t>1052/4646</t>
  </si>
  <si>
    <t>1052/4647</t>
  </si>
  <si>
    <t>1052/4648</t>
  </si>
  <si>
    <t>1052/4649</t>
  </si>
  <si>
    <t>1052/4650</t>
  </si>
  <si>
    <t>1052/4651</t>
  </si>
  <si>
    <t>1052/4652</t>
  </si>
  <si>
    <t>1052/4653</t>
  </si>
  <si>
    <t>1052/4654</t>
  </si>
  <si>
    <t>1052/4655</t>
  </si>
  <si>
    <t>1052/4656</t>
  </si>
  <si>
    <t>1052/4657</t>
  </si>
  <si>
    <t>1052/4658</t>
  </si>
  <si>
    <t>1052/4659</t>
  </si>
  <si>
    <t>1052/4660</t>
  </si>
  <si>
    <t>1052/4661</t>
  </si>
  <si>
    <t>1052/4662</t>
  </si>
  <si>
    <t>1052/4663</t>
  </si>
  <si>
    <t>1052/4664</t>
  </si>
  <si>
    <t>1052/4665</t>
  </si>
  <si>
    <t>1052/4666</t>
  </si>
  <si>
    <t>1052/4667</t>
  </si>
  <si>
    <t>1052/4668</t>
  </si>
  <si>
    <t>1052/4669</t>
  </si>
  <si>
    <t>1052/4670</t>
  </si>
  <si>
    <t>1052/4671</t>
  </si>
  <si>
    <t>1052/4672</t>
  </si>
  <si>
    <t>1052/4673</t>
  </si>
  <si>
    <t>1052/4674</t>
  </si>
  <si>
    <t>1052/4675</t>
  </si>
  <si>
    <t>1052/4676</t>
  </si>
  <si>
    <t>1052/4677</t>
  </si>
  <si>
    <t>1052/4678</t>
  </si>
  <si>
    <t>1052/4679</t>
  </si>
  <si>
    <t>1052/4680</t>
  </si>
  <si>
    <t>1052/4681</t>
  </si>
  <si>
    <t>1052/4682</t>
  </si>
  <si>
    <t>1052/4683</t>
  </si>
  <si>
    <t>1052/4684</t>
  </si>
  <si>
    <t>1052/4685</t>
  </si>
  <si>
    <t>1052/4686</t>
  </si>
  <si>
    <t>1052/4687</t>
  </si>
  <si>
    <t>1052/4688</t>
  </si>
  <si>
    <t>1052/4689</t>
  </si>
  <si>
    <t>1052/4690</t>
  </si>
  <si>
    <t>1052/4691</t>
  </si>
  <si>
    <t>1052/4692</t>
  </si>
  <si>
    <t>1052/4693</t>
  </si>
  <si>
    <t>1052/4694</t>
  </si>
  <si>
    <t>1052/4695</t>
  </si>
  <si>
    <t>1052/4696</t>
  </si>
  <si>
    <t>1052/4697</t>
  </si>
  <si>
    <t>1052/4698</t>
  </si>
  <si>
    <t>1052/4699</t>
  </si>
  <si>
    <t>1052/4700</t>
  </si>
  <si>
    <t>1052/4701</t>
  </si>
  <si>
    <t>1052/4702</t>
  </si>
  <si>
    <t>1052/4703</t>
  </si>
  <si>
    <t>1052/4704</t>
  </si>
  <si>
    <t>1052/4705</t>
  </si>
  <si>
    <t>1052/4706</t>
  </si>
  <si>
    <t>1052/4707</t>
  </si>
  <si>
    <t>1052/4708</t>
  </si>
  <si>
    <t>1052/4709</t>
  </si>
  <si>
    <t>1052/4710</t>
  </si>
  <si>
    <t>1052/4711</t>
  </si>
  <si>
    <t>1052/4712</t>
  </si>
  <si>
    <t>1052/4713</t>
  </si>
  <si>
    <t>1052/4714</t>
  </si>
  <si>
    <t>1052/4715</t>
  </si>
  <si>
    <t>1052/4716</t>
  </si>
  <si>
    <t>1052/4717</t>
  </si>
  <si>
    <t>1052/4718</t>
  </si>
  <si>
    <t>1052/4719</t>
  </si>
  <si>
    <t>1052/4720</t>
  </si>
  <si>
    <t>1052/4721</t>
  </si>
  <si>
    <t>1052/4722</t>
  </si>
  <si>
    <t>1052/4723</t>
  </si>
  <si>
    <t>1052/4724</t>
  </si>
  <si>
    <t>1052/4725</t>
  </si>
  <si>
    <t>1052/4726</t>
  </si>
  <si>
    <t>1052/4727</t>
  </si>
  <si>
    <t>1052/4728</t>
  </si>
  <si>
    <t>1052/4729</t>
  </si>
  <si>
    <t>1052/4730</t>
  </si>
  <si>
    <t>1052/4731</t>
  </si>
  <si>
    <t>1052/4732</t>
  </si>
  <si>
    <t>1052/4733</t>
  </si>
  <si>
    <t>1052/4734</t>
  </si>
  <si>
    <t>1052/4735</t>
  </si>
  <si>
    <t>1052/4736</t>
  </si>
  <si>
    <t>1052/4737</t>
  </si>
  <si>
    <t>1052/4738</t>
  </si>
  <si>
    <t>1052/4739</t>
  </si>
  <si>
    <t>1052/4740</t>
  </si>
  <si>
    <t>1052/4741</t>
  </si>
  <si>
    <t>1052/4742</t>
  </si>
  <si>
    <t>1052/4743</t>
  </si>
  <si>
    <t>1052/4744</t>
  </si>
  <si>
    <t>1052/4745</t>
  </si>
  <si>
    <t>1052/4746</t>
  </si>
  <si>
    <t>1052/4747</t>
  </si>
  <si>
    <t>1052/4748</t>
  </si>
  <si>
    <t>1052/4749</t>
  </si>
  <si>
    <t>1052/4750</t>
  </si>
  <si>
    <t>1052/4751</t>
  </si>
  <si>
    <t>1052/4752</t>
  </si>
  <si>
    <t>1052/4753</t>
  </si>
  <si>
    <t>1052/4754</t>
  </si>
  <si>
    <t>1052/4755</t>
  </si>
  <si>
    <t>1052/4756</t>
  </si>
  <si>
    <t>1052/4757</t>
  </si>
  <si>
    <t>1052/4758</t>
  </si>
  <si>
    <t>1052/4759</t>
  </si>
  <si>
    <t>1052/4760</t>
  </si>
  <si>
    <t>1052/4761</t>
  </si>
  <si>
    <t>1052/4762</t>
  </si>
  <si>
    <t>1052/4763</t>
  </si>
  <si>
    <t>1052/4764</t>
  </si>
  <si>
    <t>1052/4765</t>
  </si>
  <si>
    <t>1052/4766</t>
  </si>
  <si>
    <t>1052/4767</t>
  </si>
  <si>
    <t>1052/4768</t>
  </si>
  <si>
    <t>1052/4769</t>
  </si>
  <si>
    <t>1052/4770</t>
  </si>
  <si>
    <t>1052/4771</t>
  </si>
  <si>
    <t>1052/4772</t>
  </si>
  <si>
    <t>1052/4773</t>
  </si>
  <si>
    <t>1052/4774</t>
  </si>
  <si>
    <t>1052/4775</t>
  </si>
  <si>
    <t>1052/4776</t>
  </si>
  <si>
    <t>1052/4777</t>
  </si>
  <si>
    <t>1052/4778</t>
  </si>
  <si>
    <t>1052/4779</t>
  </si>
  <si>
    <t>1052/4780</t>
  </si>
  <si>
    <t>1052/4781</t>
  </si>
  <si>
    <t>1052/4782</t>
  </si>
  <si>
    <t>1052/4783</t>
  </si>
  <si>
    <t>1052/4784</t>
  </si>
  <si>
    <t>1052/4785</t>
  </si>
  <si>
    <t>1052/4786</t>
  </si>
  <si>
    <t>1052/4787</t>
  </si>
  <si>
    <t>1052/4788</t>
  </si>
  <si>
    <t>1052/4789</t>
  </si>
  <si>
    <t>1052/4790</t>
  </si>
  <si>
    <t>1052/4791</t>
  </si>
  <si>
    <t>1052/4792</t>
  </si>
  <si>
    <t>1052/4793</t>
  </si>
  <si>
    <t>1052/4794</t>
  </si>
  <si>
    <t>1052/4795</t>
  </si>
  <si>
    <t>1052/4796</t>
  </si>
  <si>
    <t>1052/4797</t>
  </si>
  <si>
    <t>1052/4798</t>
  </si>
  <si>
    <t>1052/4799</t>
  </si>
  <si>
    <t>1052/4800</t>
  </si>
  <si>
    <t>1052/4801</t>
  </si>
  <si>
    <t>1052/4802</t>
  </si>
  <si>
    <t>1052/4803</t>
  </si>
  <si>
    <t>1052/4804</t>
  </si>
  <si>
    <t>1052/4805</t>
  </si>
  <si>
    <t>1052/4806</t>
  </si>
  <si>
    <t>1052/4807</t>
  </si>
  <si>
    <t>1052/4808</t>
  </si>
  <si>
    <t>1052/4809</t>
  </si>
  <si>
    <t>1052/4810</t>
  </si>
  <si>
    <t>1052/4811</t>
  </si>
  <si>
    <t>1052/4812</t>
  </si>
  <si>
    <t>1052/4813</t>
  </si>
  <si>
    <t>1052/4814</t>
  </si>
  <si>
    <t>1052/4815</t>
  </si>
  <si>
    <t>1052/4816</t>
  </si>
  <si>
    <t>1052/4817</t>
  </si>
  <si>
    <t>1052/4818</t>
  </si>
  <si>
    <t>1052/4819</t>
  </si>
  <si>
    <t>1052/4820</t>
  </si>
  <si>
    <t>1052/4821</t>
  </si>
  <si>
    <t>1052/4822</t>
  </si>
  <si>
    <t>1052/4823</t>
  </si>
  <si>
    <t>1052/4824</t>
  </si>
  <si>
    <t>1052/4825</t>
  </si>
  <si>
    <t>1052/4826</t>
  </si>
  <si>
    <t>1052/4827</t>
  </si>
  <si>
    <t>1052/4828</t>
  </si>
  <si>
    <t>1052/4829</t>
  </si>
  <si>
    <t>1052/4830</t>
  </si>
  <si>
    <t>1052/4831</t>
  </si>
  <si>
    <t>1052/4832</t>
  </si>
  <si>
    <t>1052/4833</t>
  </si>
  <si>
    <t>1052/4834</t>
  </si>
  <si>
    <t>1052/4835</t>
  </si>
  <si>
    <t>1052/4836</t>
  </si>
  <si>
    <t>1052/4837</t>
  </si>
  <si>
    <t>1052/4838</t>
  </si>
  <si>
    <t>1052/4839</t>
  </si>
  <si>
    <t>1052/4840</t>
  </si>
  <si>
    <t>1052/4841</t>
  </si>
  <si>
    <t>1052/4842</t>
  </si>
  <si>
    <t>1052/4843</t>
  </si>
  <si>
    <t>1052/4844</t>
  </si>
  <si>
    <t>1052/4845</t>
  </si>
  <si>
    <t>1052/4846</t>
  </si>
  <si>
    <t>1052/4847</t>
  </si>
  <si>
    <t>1052/4848</t>
  </si>
  <si>
    <t>1052/4849</t>
  </si>
  <si>
    <t>1052/4850</t>
  </si>
  <si>
    <t>1052/4851</t>
  </si>
  <si>
    <t>1052/4852</t>
  </si>
  <si>
    <t>1052/4853</t>
  </si>
  <si>
    <t>1052/4854</t>
  </si>
  <si>
    <t>1052/4855</t>
  </si>
  <si>
    <t>1052/4856</t>
  </si>
  <si>
    <t>1052/4857</t>
  </si>
  <si>
    <t>1052/4858</t>
  </si>
  <si>
    <t>1052/4859</t>
  </si>
  <si>
    <t>1052/4860</t>
  </si>
  <si>
    <t>1052/4861</t>
  </si>
  <si>
    <t>1052/4862</t>
  </si>
  <si>
    <t>1052/4863</t>
  </si>
  <si>
    <t>1052/4864</t>
  </si>
  <si>
    <t>1052/4865</t>
  </si>
  <si>
    <t>1052/4866</t>
  </si>
  <si>
    <t>1052/4867</t>
  </si>
  <si>
    <t>1052/4868</t>
  </si>
  <si>
    <t>1052/4869</t>
  </si>
  <si>
    <t>1052/4870</t>
  </si>
  <si>
    <t>1052/4871</t>
  </si>
  <si>
    <t>1052/4872</t>
  </si>
  <si>
    <t>1052/4873</t>
  </si>
  <si>
    <t>1052/4874</t>
  </si>
  <si>
    <t>1052/4875</t>
  </si>
  <si>
    <t>1052/4876</t>
  </si>
  <si>
    <t>1052/4877</t>
  </si>
  <si>
    <t>1052/4878</t>
  </si>
  <si>
    <t>1052/4879</t>
  </si>
  <si>
    <t>1052/4880</t>
  </si>
  <si>
    <t>1052/4881</t>
  </si>
  <si>
    <t>1052/4882</t>
  </si>
  <si>
    <t>1052/4883</t>
  </si>
  <si>
    <t>1052/4884</t>
  </si>
  <si>
    <t>1052/4885</t>
  </si>
  <si>
    <t>1052/4886</t>
  </si>
  <si>
    <t>1052/4887</t>
  </si>
  <si>
    <t>1052/4888</t>
  </si>
  <si>
    <t>1052/4889</t>
  </si>
  <si>
    <t>1052/4890</t>
  </si>
  <si>
    <t>1052/4891</t>
  </si>
  <si>
    <t>1052/4892</t>
  </si>
  <si>
    <t>1052/4893</t>
  </si>
  <si>
    <t>1052/4894</t>
  </si>
  <si>
    <t>1052/4895</t>
  </si>
  <si>
    <t>1052/4896</t>
  </si>
  <si>
    <t>1052/4897</t>
  </si>
  <si>
    <t>1052/4898</t>
  </si>
  <si>
    <t>1052/4899</t>
  </si>
  <si>
    <t>1052/4900</t>
  </si>
  <si>
    <t>1052/4901</t>
  </si>
  <si>
    <t>1052/4902</t>
  </si>
  <si>
    <t>1052/4903</t>
  </si>
  <si>
    <t>1052/4904</t>
  </si>
  <si>
    <t>1052/4905</t>
  </si>
  <si>
    <t>1052/4906</t>
  </si>
  <si>
    <t>1052/4907</t>
  </si>
  <si>
    <t>1052/4908</t>
  </si>
  <si>
    <t>1052/4909</t>
  </si>
  <si>
    <t>1052/4910</t>
  </si>
  <si>
    <t>1052/4911</t>
  </si>
  <si>
    <t>1052/4912</t>
  </si>
  <si>
    <t>1052/4913</t>
  </si>
  <si>
    <t>1052/4914</t>
  </si>
  <si>
    <t>1052/4915</t>
  </si>
  <si>
    <t>1052/4916</t>
  </si>
  <si>
    <t>1052/4917</t>
  </si>
  <si>
    <t>1052/4918</t>
  </si>
  <si>
    <t>1052/4919</t>
  </si>
  <si>
    <t>1052/4920</t>
  </si>
  <si>
    <t>1052/4921</t>
  </si>
  <si>
    <t>1052/4922</t>
  </si>
  <si>
    <t>1052/4923</t>
  </si>
  <si>
    <t>1052/4924</t>
  </si>
  <si>
    <t>1052/4925</t>
  </si>
  <si>
    <t>1052/4926</t>
  </si>
  <si>
    <t>1052/4927</t>
  </si>
  <si>
    <t>1052/4928</t>
  </si>
  <si>
    <t>1052/4929</t>
  </si>
  <si>
    <t>1052/4930</t>
  </si>
  <si>
    <t>1052/4931</t>
  </si>
  <si>
    <t>1052/4932</t>
  </si>
  <si>
    <t>1052/4933</t>
  </si>
  <si>
    <t>1052/4934</t>
  </si>
  <si>
    <t>1052/4935</t>
  </si>
  <si>
    <t>1052/4936</t>
  </si>
  <si>
    <t>1052/4937</t>
  </si>
  <si>
    <t>1052/4938</t>
  </si>
  <si>
    <t>1052/4939</t>
  </si>
  <si>
    <t>1052/4940</t>
  </si>
  <si>
    <t>1052/4941</t>
  </si>
  <si>
    <t>1052/4942</t>
  </si>
  <si>
    <t>1052/4943</t>
  </si>
  <si>
    <t>1052/4944</t>
  </si>
  <si>
    <t>1052/4945</t>
  </si>
  <si>
    <t>1052/4946</t>
  </si>
  <si>
    <t>1052/4947</t>
  </si>
  <si>
    <t>1052/4948</t>
  </si>
  <si>
    <t>1052/4949</t>
  </si>
  <si>
    <t>1052/4950</t>
  </si>
  <si>
    <t>1052/4951</t>
  </si>
  <si>
    <t>1052/4952</t>
  </si>
  <si>
    <t>1052/4953</t>
  </si>
  <si>
    <t>1052/4954</t>
  </si>
  <si>
    <t>1052/4955</t>
  </si>
  <si>
    <t>1052/4956</t>
  </si>
  <si>
    <t>1052/4957</t>
  </si>
  <si>
    <t>1052/4958</t>
  </si>
  <si>
    <t>1052/4959</t>
  </si>
  <si>
    <t>1052/4960</t>
  </si>
  <si>
    <t>1052/4961</t>
  </si>
  <si>
    <t>1052/4962</t>
  </si>
  <si>
    <t>1052/4963</t>
  </si>
  <si>
    <t>1052/4964</t>
  </si>
  <si>
    <t>1052/4965</t>
  </si>
  <si>
    <t>1052/4966</t>
  </si>
  <si>
    <t>1052/4967</t>
  </si>
  <si>
    <t>1052/4968</t>
  </si>
  <si>
    <t>1052/4969</t>
  </si>
  <si>
    <t>1052/4970</t>
  </si>
  <si>
    <t>1052/4971</t>
  </si>
  <si>
    <t>1052/4972</t>
  </si>
  <si>
    <t>1052/4973</t>
  </si>
  <si>
    <t>1052/4974</t>
  </si>
  <si>
    <t>1052/4975</t>
  </si>
  <si>
    <t>1052/4976</t>
  </si>
  <si>
    <t>1052/4977</t>
  </si>
  <si>
    <t>1052/4978</t>
  </si>
  <si>
    <t>1052/4979</t>
  </si>
  <si>
    <t>1052/4980</t>
  </si>
  <si>
    <t>1052/4981</t>
  </si>
  <si>
    <t>1052/4982</t>
  </si>
  <si>
    <t>1052/4983</t>
  </si>
  <si>
    <t>1052/4984</t>
  </si>
  <si>
    <t>1052/4985</t>
  </si>
  <si>
    <t>1052/4986</t>
  </si>
  <si>
    <t>1052/4987</t>
  </si>
  <si>
    <t>1052/4988</t>
  </si>
  <si>
    <t>1052/4989</t>
  </si>
  <si>
    <t>1052/4990</t>
  </si>
  <si>
    <t>1052/4991</t>
  </si>
  <si>
    <t>1052/4992</t>
  </si>
  <si>
    <t>1052/4993</t>
  </si>
  <si>
    <t>1052/4994</t>
  </si>
  <si>
    <t>1052/4995</t>
  </si>
  <si>
    <t>1052/4996</t>
  </si>
  <si>
    <t>1052/4997</t>
  </si>
  <si>
    <t>1052/4998</t>
  </si>
  <si>
    <t>1052/4999</t>
  </si>
  <si>
    <t>1052/5000</t>
  </si>
  <si>
    <t>1052/5001</t>
  </si>
  <si>
    <t>1052/5002</t>
  </si>
  <si>
    <t>1052/5003</t>
  </si>
  <si>
    <t>1052/5004</t>
  </si>
  <si>
    <t>1052/5005</t>
  </si>
  <si>
    <t>1052/5006</t>
  </si>
  <si>
    <t>1052/5007</t>
  </si>
  <si>
    <t>1052/5008</t>
  </si>
  <si>
    <t>1052/5009</t>
  </si>
  <si>
    <t>1052/5010</t>
  </si>
  <si>
    <t>1052/5011</t>
  </si>
  <si>
    <t>1052/5012</t>
  </si>
  <si>
    <t>1052/5013</t>
  </si>
  <si>
    <t>1052/5014</t>
  </si>
  <si>
    <t>1052/5015</t>
  </si>
  <si>
    <t>1052/5016</t>
  </si>
  <si>
    <t>1052/5017</t>
  </si>
  <si>
    <t>1052/5018</t>
  </si>
  <si>
    <t>1052/5019</t>
  </si>
  <si>
    <t>Odchylenie standardowe</t>
  </si>
  <si>
    <t>1052/5020</t>
  </si>
  <si>
    <t>Zbiór danych (koszyk)</t>
  </si>
  <si>
    <t>Więcej</t>
  </si>
  <si>
    <t>Częstość</t>
  </si>
  <si>
    <t>klient</t>
  </si>
  <si>
    <t>ilosc</t>
  </si>
  <si>
    <t>Etykiety kolumn</t>
  </si>
  <si>
    <t>Suma końcowa</t>
  </si>
  <si>
    <t>Etykiety wierszy</t>
  </si>
  <si>
    <t>Suma z Wartość netto</t>
  </si>
  <si>
    <t>A</t>
  </si>
  <si>
    <t>B</t>
  </si>
  <si>
    <t>C</t>
  </si>
  <si>
    <t>Z</t>
  </si>
  <si>
    <t>Czas</t>
  </si>
  <si>
    <t>Nazwa towaru (X)</t>
  </si>
  <si>
    <t>nachylenie</t>
  </si>
  <si>
    <t>trend</t>
  </si>
  <si>
    <t>Nazwa towaru (Z)</t>
  </si>
  <si>
    <t>Y</t>
  </si>
  <si>
    <t>styczeń</t>
  </si>
  <si>
    <t>kwiecień</t>
  </si>
  <si>
    <t>sierpień</t>
  </si>
  <si>
    <t>wrzesień</t>
  </si>
  <si>
    <t>październik</t>
  </si>
  <si>
    <t>grudzień</t>
  </si>
  <si>
    <t>Współczynnik zmienności</t>
  </si>
  <si>
    <t>Wartość średnia</t>
  </si>
  <si>
    <t>odcięta</t>
  </si>
  <si>
    <t>Wartość zużycia</t>
  </si>
  <si>
    <t>% udział wartości zużycia</t>
  </si>
  <si>
    <t>Skumulowana wartość zużycia w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</si>
</sst>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theme="1"/>
      <name val="Bahnschrift Light"/>
      <family val="2"/>
    </font>
    <font>
      <b/>
      <sz val="11"/>
      <color theme="1"/>
      <name val="Bahnschrift Light"/>
      <family val="2"/>
    </font>
    <font>
      <i/>
      <sz val="11"/>
      <color theme="1"/>
      <name val="Bahnschrift Light"/>
      <family val="2"/>
    </font>
    <font>
      <sz val="11"/>
      <color theme="0"/>
      <name val="Bahnschrift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 style="medium">
        <color theme="1" tint="4.9989318521683403E-2"/>
      </bottom>
      <diagonal/>
    </border>
    <border>
      <left/>
      <right/>
      <top style="medium">
        <color theme="1" tint="4.9989318521683403E-2"/>
      </top>
      <bottom style="medium">
        <color theme="1" tint="4.9989318521683403E-2"/>
      </bottom>
      <diagonal/>
    </border>
    <border>
      <left/>
      <right style="medium">
        <color theme="1" tint="4.9989318521683403E-2"/>
      </right>
      <top style="medium">
        <color theme="1" tint="4.9989318521683403E-2"/>
      </top>
      <bottom style="medium">
        <color theme="1" tint="4.9989318521683403E-2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2" borderId="14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2" xfId="0" applyFont="1" applyFill="1" applyBorder="1" applyAlignment="1">
      <alignment horizontal="center" vertical="center" wrapText="1"/>
    </xf>
    <xf numFmtId="0" fontId="2" fillId="0" borderId="12" xfId="0" applyFont="1" applyBorder="1"/>
    <xf numFmtId="0" fontId="4" fillId="0" borderId="17" xfId="0" applyFont="1" applyBorder="1" applyAlignment="1">
      <alignment horizontal="center"/>
    </xf>
    <xf numFmtId="0" fontId="2" fillId="0" borderId="10" xfId="0" applyFont="1" applyBorder="1"/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2" fillId="0" borderId="0" xfId="0" applyNumberFormat="1" applyFont="1"/>
    <xf numFmtId="4" fontId="2" fillId="0" borderId="0" xfId="0" applyNumberFormat="1" applyFont="1"/>
    <xf numFmtId="0" fontId="3" fillId="2" borderId="12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2" xfId="0" applyFont="1" applyFill="1" applyBorder="1"/>
    <xf numFmtId="0" fontId="3" fillId="0" borderId="0" xfId="0" applyFont="1"/>
    <xf numFmtId="0" fontId="2" fillId="0" borderId="12" xfId="0" applyFont="1" applyBorder="1" applyAlignment="1">
      <alignment horizontal="right"/>
    </xf>
    <xf numFmtId="2" fontId="2" fillId="0" borderId="12" xfId="0" applyNumberFormat="1" applyFont="1" applyBorder="1" applyAlignment="1">
      <alignment horizontal="right"/>
    </xf>
    <xf numFmtId="2" fontId="2" fillId="0" borderId="0" xfId="0" applyNumberFormat="1" applyFont="1" applyAlignment="1">
      <alignment horizontal="right"/>
    </xf>
    <xf numFmtId="0" fontId="3" fillId="2" borderId="13" xfId="0" applyFont="1" applyFill="1" applyBorder="1"/>
    <xf numFmtId="2" fontId="2" fillId="0" borderId="13" xfId="0" applyNumberFormat="1" applyFont="1" applyBorder="1" applyAlignment="1">
      <alignment horizontal="right"/>
    </xf>
    <xf numFmtId="0" fontId="3" fillId="2" borderId="12" xfId="0" applyFont="1" applyFill="1" applyBorder="1" applyAlignment="1">
      <alignment horizontal="left"/>
    </xf>
    <xf numFmtId="2" fontId="3" fillId="0" borderId="12" xfId="0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0" fontId="3" fillId="2" borderId="12" xfId="0" applyFont="1" applyFill="1" applyBorder="1" applyAlignment="1">
      <alignment horizontal="right" vertical="center"/>
    </xf>
    <xf numFmtId="0" fontId="3" fillId="2" borderId="12" xfId="0" applyFont="1" applyFill="1" applyBorder="1" applyAlignment="1">
      <alignment horizontal="right"/>
    </xf>
    <xf numFmtId="0" fontId="3" fillId="0" borderId="0" xfId="0" applyFont="1" applyAlignment="1">
      <alignment horizontal="center" vertical="center" wrapText="1"/>
    </xf>
    <xf numFmtId="0" fontId="2" fillId="0" borderId="15" xfId="0" applyFont="1" applyBorder="1"/>
    <xf numFmtId="0" fontId="2" fillId="7" borderId="15" xfId="0" applyFont="1" applyFill="1" applyBorder="1"/>
    <xf numFmtId="0" fontId="2" fillId="0" borderId="16" xfId="0" applyFont="1" applyBorder="1" applyAlignment="1">
      <alignment horizontal="center" vertical="center"/>
    </xf>
    <xf numFmtId="0" fontId="2" fillId="0" borderId="19" xfId="0" applyFont="1" applyBorder="1"/>
    <xf numFmtId="0" fontId="2" fillId="6" borderId="19" xfId="0" applyFont="1" applyFill="1" applyBorder="1"/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/>
    <xf numFmtId="0" fontId="2" fillId="6" borderId="22" xfId="0" applyFont="1" applyFill="1" applyBorder="1"/>
    <xf numFmtId="0" fontId="2" fillId="0" borderId="23" xfId="0" applyFont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2" fillId="0" borderId="16" xfId="0" applyFont="1" applyBorder="1"/>
    <xf numFmtId="0" fontId="2" fillId="0" borderId="20" xfId="0" applyFont="1" applyBorder="1"/>
    <xf numFmtId="0" fontId="2" fillId="0" borderId="23" xfId="0" applyFont="1" applyBorder="1"/>
    <xf numFmtId="0" fontId="3" fillId="0" borderId="0" xfId="0" applyFont="1" applyAlignment="1">
      <alignment horizontal="center"/>
    </xf>
    <xf numFmtId="10" fontId="2" fillId="0" borderId="15" xfId="0" applyNumberFormat="1" applyFont="1" applyBorder="1"/>
    <xf numFmtId="10" fontId="2" fillId="3" borderId="15" xfId="0" applyNumberFormat="1" applyFont="1" applyFill="1" applyBorder="1"/>
    <xf numFmtId="10" fontId="2" fillId="0" borderId="19" xfId="0" applyNumberFormat="1" applyFont="1" applyBorder="1"/>
    <xf numFmtId="10" fontId="2" fillId="3" borderId="19" xfId="0" applyNumberFormat="1" applyFont="1" applyFill="1" applyBorder="1"/>
    <xf numFmtId="10" fontId="2" fillId="4" borderId="19" xfId="0" applyNumberFormat="1" applyFont="1" applyFill="1" applyBorder="1"/>
    <xf numFmtId="10" fontId="2" fillId="5" borderId="19" xfId="0" applyNumberFormat="1" applyFont="1" applyFill="1" applyBorder="1"/>
    <xf numFmtId="10" fontId="2" fillId="0" borderId="22" xfId="0" applyNumberFormat="1" applyFont="1" applyBorder="1"/>
    <xf numFmtId="10" fontId="2" fillId="5" borderId="22" xfId="0" applyNumberFormat="1" applyFont="1" applyFill="1" applyBorder="1"/>
    <xf numFmtId="0" fontId="3" fillId="0" borderId="14" xfId="0" applyFont="1" applyBorder="1"/>
    <xf numFmtId="0" fontId="3" fillId="0" borderId="18" xfId="0" applyFont="1" applyBorder="1"/>
    <xf numFmtId="0" fontId="3" fillId="0" borderId="21" xfId="0" applyFont="1" applyBorder="1"/>
    <xf numFmtId="0" fontId="3" fillId="0" borderId="14" xfId="0" applyFont="1" applyBorder="1" applyAlignment="1">
      <alignment horizontal="right" vertical="center"/>
    </xf>
    <xf numFmtId="0" fontId="3" fillId="0" borderId="18" xfId="0" applyFont="1" applyBorder="1" applyAlignment="1">
      <alignment horizontal="right" vertical="center"/>
    </xf>
    <xf numFmtId="0" fontId="3" fillId="0" borderId="21" xfId="0" applyFont="1" applyBorder="1" applyAlignment="1">
      <alignment horizontal="right" vertical="center"/>
    </xf>
    <xf numFmtId="0" fontId="3" fillId="0" borderId="12" xfId="0" applyFont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8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/>
    </xf>
    <xf numFmtId="0" fontId="3" fillId="2" borderId="25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36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fill>
        <patternFill patternType="solid">
          <bgColor theme="2" tint="-0.249977111117893"/>
        </patternFill>
      </fill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strRef>
          <c:f>Arkusz5!$A$2</c:f>
          <c:strCache>
            <c:ptCount val="1"/>
            <c:pt idx="0">
              <c:v>ANALIZA TRENDU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Arkusz5!$B$6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name>Linia trendu</c:nam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yVal>
            <c:numRef>
              <c:f>Arkusz5!$C$6:$N$6</c:f>
              <c:numCache>
                <c:formatCode>General</c:formatCode>
                <c:ptCount val="12"/>
                <c:pt idx="0">
                  <c:v>57434</c:v>
                </c:pt>
                <c:pt idx="1">
                  <c:v>50102</c:v>
                </c:pt>
                <c:pt idx="2">
                  <c:v>36002</c:v>
                </c:pt>
                <c:pt idx="3">
                  <c:v>43522</c:v>
                </c:pt>
                <c:pt idx="4">
                  <c:v>44086</c:v>
                </c:pt>
                <c:pt idx="5">
                  <c:v>34498</c:v>
                </c:pt>
                <c:pt idx="6">
                  <c:v>60160</c:v>
                </c:pt>
                <c:pt idx="7">
                  <c:v>36660</c:v>
                </c:pt>
                <c:pt idx="8">
                  <c:v>48034</c:v>
                </c:pt>
                <c:pt idx="9">
                  <c:v>43616</c:v>
                </c:pt>
                <c:pt idx="10">
                  <c:v>37130</c:v>
                </c:pt>
                <c:pt idx="11">
                  <c:v>41360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92-4740-A570-FCA295D42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415487"/>
        <c:axId val="1564416447"/>
      </c:scatterChart>
      <c:valAx>
        <c:axId val="1564415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64416447"/>
        <c:crosses val="autoZero"/>
        <c:crossBetween val="midCat"/>
      </c:valAx>
      <c:valAx>
        <c:axId val="156441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64415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Analiza trendu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Arkusz5!$B$13</c:f>
              <c:strCache>
                <c:ptCount val="1"/>
                <c:pt idx="0">
                  <c:v>29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name>Linia trendu</c:nam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yVal>
            <c:numRef>
              <c:f>Arkusz5!$C$13:$N$13</c:f>
              <c:numCache>
                <c:formatCode>General</c:formatCode>
                <c:ptCount val="12"/>
                <c:pt idx="0">
                  <c:v>38640</c:v>
                </c:pt>
                <c:pt idx="1">
                  <c:v>51555</c:v>
                </c:pt>
                <c:pt idx="2">
                  <c:v>28140</c:v>
                </c:pt>
                <c:pt idx="3">
                  <c:v>21420</c:v>
                </c:pt>
                <c:pt idx="4">
                  <c:v>70770</c:v>
                </c:pt>
                <c:pt idx="5">
                  <c:v>35175</c:v>
                </c:pt>
                <c:pt idx="6">
                  <c:v>34335</c:v>
                </c:pt>
                <c:pt idx="7">
                  <c:v>60375</c:v>
                </c:pt>
                <c:pt idx="8">
                  <c:v>38640</c:v>
                </c:pt>
                <c:pt idx="9">
                  <c:v>33285</c:v>
                </c:pt>
                <c:pt idx="10">
                  <c:v>31605</c:v>
                </c:pt>
                <c:pt idx="11">
                  <c:v>37170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03-4E2E-AF4D-41BEEDA00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88207"/>
        <c:axId val="177578607"/>
      </c:scatterChart>
      <c:valAx>
        <c:axId val="177588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7578607"/>
        <c:crosses val="autoZero"/>
        <c:crossBetween val="midCat"/>
      </c:valAx>
      <c:valAx>
        <c:axId val="17757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7588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Częstość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Cena!$G$3:$G$8</c:f>
              <c:strCache>
                <c:ptCount val="6"/>
                <c:pt idx="0">
                  <c:v>59</c:v>
                </c:pt>
                <c:pt idx="1">
                  <c:v>73,6</c:v>
                </c:pt>
                <c:pt idx="2">
                  <c:v>88,2</c:v>
                </c:pt>
                <c:pt idx="3">
                  <c:v>102,8</c:v>
                </c:pt>
                <c:pt idx="4">
                  <c:v>117,4</c:v>
                </c:pt>
                <c:pt idx="5">
                  <c:v>Więcej</c:v>
                </c:pt>
              </c:strCache>
            </c:strRef>
          </c:cat>
          <c:val>
            <c:numRef>
              <c:f>Cena!$H$3:$H$8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10</c:v>
                </c:pt>
                <c:pt idx="3">
                  <c:v>8</c:v>
                </c:pt>
                <c:pt idx="4">
                  <c:v>7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2D-467B-9328-96E85D758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3729888"/>
        <c:axId val="613731200"/>
      </c:barChart>
      <c:catAx>
        <c:axId val="613729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Zbiór danych (koszyk)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3731200"/>
        <c:crosses val="autoZero"/>
        <c:auto val="1"/>
        <c:lblAlgn val="ctr"/>
        <c:lblOffset val="100"/>
        <c:noMultiLvlLbl val="0"/>
      </c:catAx>
      <c:valAx>
        <c:axId val="6137312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Częstość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1372988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662940</xdr:colOff>
      <xdr:row>1</xdr:row>
      <xdr:rowOff>0</xdr:rowOff>
    </xdr:from>
    <xdr:to>
      <xdr:col>2</xdr:col>
      <xdr:colOff>167640</xdr:colOff>
      <xdr:row>2</xdr:row>
      <xdr:rowOff>60960</xdr:rowOff>
    </xdr:to>
    <xdr:sp macro="[0]!Roczna_Sprzedaz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4F310941-FAEA-F7AF-EEC1-4EF44BDD7069}"/>
            </a:ext>
          </a:extLst>
        </xdr:cNvPr>
        <xdr:cNvSpPr/>
      </xdr:nvSpPr>
      <xdr:spPr>
        <a:xfrm>
          <a:off x="662940" y="144780"/>
          <a:ext cx="876300" cy="281940"/>
        </a:xfrm>
        <a:prstGeom prst="roundRect">
          <a:avLst/>
        </a:prstGeom>
        <a:ln>
          <a:noFill/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</a:rPr>
            <a:t>Aktualizuj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6</xdr:row>
      <xdr:rowOff>7620</xdr:rowOff>
    </xdr:from>
    <xdr:to>
      <xdr:col>6</xdr:col>
      <xdr:colOff>335280</xdr:colOff>
      <xdr:row>8</xdr:row>
      <xdr:rowOff>175260</xdr:rowOff>
    </xdr:to>
    <xdr:sp macro="[0]!wprowadz_dane" textlink="">
      <xdr:nvSpPr>
        <xdr:cNvPr id="2" name="Prostokąt 1">
          <a:extLst>
            <a:ext uri="{FF2B5EF4-FFF2-40B4-BE49-F238E27FC236}">
              <a16:creationId xmlns:a16="http://schemas.microsoft.com/office/drawing/2014/main" id="{E62051DA-8002-43AF-98E8-105671B68ACA}"/>
            </a:ext>
          </a:extLst>
        </xdr:cNvPr>
        <xdr:cNvSpPr/>
      </xdr:nvSpPr>
      <xdr:spPr>
        <a:xfrm>
          <a:off x="2712720" y="113538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wprowadź dane</a:t>
          </a:r>
        </a:p>
      </xdr:txBody>
    </xdr:sp>
    <xdr:clientData/>
  </xdr:twoCellAnchor>
  <xdr:twoCellAnchor>
    <xdr:from>
      <xdr:col>4</xdr:col>
      <xdr:colOff>281940</xdr:colOff>
      <xdr:row>9</xdr:row>
      <xdr:rowOff>144780</xdr:rowOff>
    </xdr:from>
    <xdr:to>
      <xdr:col>6</xdr:col>
      <xdr:colOff>342900</xdr:colOff>
      <xdr:row>12</xdr:row>
      <xdr:rowOff>129540</xdr:rowOff>
    </xdr:to>
    <xdr:sp macro="[0]!_xludf.sort" textlink="">
      <xdr:nvSpPr>
        <xdr:cNvPr id="4" name="Prostokąt 3">
          <a:extLst>
            <a:ext uri="{FF2B5EF4-FFF2-40B4-BE49-F238E27FC236}">
              <a16:creationId xmlns:a16="http://schemas.microsoft.com/office/drawing/2014/main" id="{BF403838-67D0-44A1-9429-51EE77CD8C89}"/>
            </a:ext>
          </a:extLst>
        </xdr:cNvPr>
        <xdr:cNvSpPr/>
      </xdr:nvSpPr>
      <xdr:spPr>
        <a:xfrm>
          <a:off x="2720340" y="182118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sortuj</a:t>
          </a:r>
        </a:p>
      </xdr:txBody>
    </xdr:sp>
    <xdr:clientData/>
  </xdr:twoCellAnchor>
  <xdr:twoCellAnchor>
    <xdr:from>
      <xdr:col>4</xdr:col>
      <xdr:colOff>259080</xdr:colOff>
      <xdr:row>13</xdr:row>
      <xdr:rowOff>76200</xdr:rowOff>
    </xdr:from>
    <xdr:to>
      <xdr:col>6</xdr:col>
      <xdr:colOff>320040</xdr:colOff>
      <xdr:row>16</xdr:row>
      <xdr:rowOff>60960</xdr:rowOff>
    </xdr:to>
    <xdr:sp macro="[0]!kumuluj" textlink="">
      <xdr:nvSpPr>
        <xdr:cNvPr id="5" name="Prostokąt 4">
          <a:extLst>
            <a:ext uri="{FF2B5EF4-FFF2-40B4-BE49-F238E27FC236}">
              <a16:creationId xmlns:a16="http://schemas.microsoft.com/office/drawing/2014/main" id="{68838F50-4EA4-4AED-ACC6-BD3859EE21D6}"/>
            </a:ext>
          </a:extLst>
        </xdr:cNvPr>
        <xdr:cNvSpPr/>
      </xdr:nvSpPr>
      <xdr:spPr>
        <a:xfrm>
          <a:off x="2697480" y="248412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kumuluj</a:t>
          </a:r>
        </a:p>
      </xdr:txBody>
    </xdr:sp>
    <xdr:clientData/>
  </xdr:twoCellAnchor>
  <xdr:twoCellAnchor>
    <xdr:from>
      <xdr:col>4</xdr:col>
      <xdr:colOff>251460</xdr:colOff>
      <xdr:row>17</xdr:row>
      <xdr:rowOff>99060</xdr:rowOff>
    </xdr:from>
    <xdr:to>
      <xdr:col>6</xdr:col>
      <xdr:colOff>312420</xdr:colOff>
      <xdr:row>20</xdr:row>
      <xdr:rowOff>83820</xdr:rowOff>
    </xdr:to>
    <xdr:sp macro="[0]!Klasa" textlink="">
      <xdr:nvSpPr>
        <xdr:cNvPr id="6" name="Prostokąt 5">
          <a:extLst>
            <a:ext uri="{FF2B5EF4-FFF2-40B4-BE49-F238E27FC236}">
              <a16:creationId xmlns:a16="http://schemas.microsoft.com/office/drawing/2014/main" id="{90183105-15F3-41EC-B847-3CC139D95214}"/>
            </a:ext>
          </a:extLst>
        </xdr:cNvPr>
        <xdr:cNvSpPr/>
      </xdr:nvSpPr>
      <xdr:spPr>
        <a:xfrm>
          <a:off x="2689860" y="323850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grupuj towar</a:t>
          </a:r>
        </a:p>
      </xdr:txBody>
    </xdr:sp>
    <xdr:clientData/>
  </xdr:twoCellAnchor>
  <xdr:twoCellAnchor>
    <xdr:from>
      <xdr:col>4</xdr:col>
      <xdr:colOff>266700</xdr:colOff>
      <xdr:row>21</xdr:row>
      <xdr:rowOff>68580</xdr:rowOff>
    </xdr:from>
    <xdr:to>
      <xdr:col>6</xdr:col>
      <xdr:colOff>327660</xdr:colOff>
      <xdr:row>24</xdr:row>
      <xdr:rowOff>53340</xdr:rowOff>
    </xdr:to>
    <xdr:sp macro="[0]!ABC" textlink="">
      <xdr:nvSpPr>
        <xdr:cNvPr id="8" name="Prostokąt 7">
          <a:extLst>
            <a:ext uri="{FF2B5EF4-FFF2-40B4-BE49-F238E27FC236}">
              <a16:creationId xmlns:a16="http://schemas.microsoft.com/office/drawing/2014/main" id="{0D38B50A-D35D-476E-8ED4-B1DD1DA97361}"/>
            </a:ext>
          </a:extLst>
        </xdr:cNvPr>
        <xdr:cNvSpPr/>
      </xdr:nvSpPr>
      <xdr:spPr>
        <a:xfrm>
          <a:off x="2705100" y="393954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oznacz klasę</a:t>
          </a:r>
        </a:p>
      </xdr:txBody>
    </xdr:sp>
    <xdr:clientData/>
  </xdr:twoCellAnchor>
  <xdr:twoCellAnchor>
    <xdr:from>
      <xdr:col>4</xdr:col>
      <xdr:colOff>274320</xdr:colOff>
      <xdr:row>25</xdr:row>
      <xdr:rowOff>38100</xdr:rowOff>
    </xdr:from>
    <xdr:to>
      <xdr:col>6</xdr:col>
      <xdr:colOff>335280</xdr:colOff>
      <xdr:row>28</xdr:row>
      <xdr:rowOff>22860</xdr:rowOff>
    </xdr:to>
    <xdr:sp macro="[0]!wyczysc" textlink="">
      <xdr:nvSpPr>
        <xdr:cNvPr id="9" name="Prostokąt 8">
          <a:extLst>
            <a:ext uri="{FF2B5EF4-FFF2-40B4-BE49-F238E27FC236}">
              <a16:creationId xmlns:a16="http://schemas.microsoft.com/office/drawing/2014/main" id="{D657B4D7-DAB4-4F11-9278-A4E538425606}"/>
            </a:ext>
          </a:extLst>
        </xdr:cNvPr>
        <xdr:cNvSpPr/>
      </xdr:nvSpPr>
      <xdr:spPr>
        <a:xfrm>
          <a:off x="2712720" y="464058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</a:rPr>
            <a:t>czyść </a:t>
          </a:r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arkusze</a:t>
          </a:r>
        </a:p>
      </xdr:txBody>
    </xdr:sp>
    <xdr:clientData/>
  </xdr:twoCellAnchor>
  <xdr:twoCellAnchor>
    <xdr:from>
      <xdr:col>7</xdr:col>
      <xdr:colOff>251460</xdr:colOff>
      <xdr:row>6</xdr:row>
      <xdr:rowOff>15240</xdr:rowOff>
    </xdr:from>
    <xdr:to>
      <xdr:col>9</xdr:col>
      <xdr:colOff>312420</xdr:colOff>
      <xdr:row>9</xdr:row>
      <xdr:rowOff>0</xdr:rowOff>
    </xdr:to>
    <xdr:sp macro="[0]!wprowadz2" textlink="">
      <xdr:nvSpPr>
        <xdr:cNvPr id="10" name="Prostokąt 9">
          <a:extLst>
            <a:ext uri="{FF2B5EF4-FFF2-40B4-BE49-F238E27FC236}">
              <a16:creationId xmlns:a16="http://schemas.microsoft.com/office/drawing/2014/main" id="{26661B2A-7910-4CB9-9E3C-56644BA10712}"/>
            </a:ext>
          </a:extLst>
        </xdr:cNvPr>
        <xdr:cNvSpPr/>
      </xdr:nvSpPr>
      <xdr:spPr>
        <a:xfrm>
          <a:off x="4518660" y="114300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wprowadż</a:t>
          </a:r>
          <a:r>
            <a:rPr lang="pl-PL" sz="1100" b="1" baseline="0">
              <a:solidFill>
                <a:sysClr val="windowText" lastClr="000000"/>
              </a:solidFill>
              <a:latin typeface="Bahnschrift Light" panose="020B0502040204020203" pitchFamily="34" charset="0"/>
            </a:rPr>
            <a:t> dane</a:t>
          </a:r>
          <a:endParaRPr lang="pl-PL" sz="1100" b="1">
            <a:solidFill>
              <a:sysClr val="windowText" lastClr="000000"/>
            </a:solidFill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7</xdr:col>
      <xdr:colOff>259080</xdr:colOff>
      <xdr:row>9</xdr:row>
      <xdr:rowOff>152400</xdr:rowOff>
    </xdr:from>
    <xdr:to>
      <xdr:col>9</xdr:col>
      <xdr:colOff>320040</xdr:colOff>
      <xdr:row>12</xdr:row>
      <xdr:rowOff>137160</xdr:rowOff>
    </xdr:to>
    <xdr:sp macro="[0]!obliczp" textlink="">
      <xdr:nvSpPr>
        <xdr:cNvPr id="11" name="Prostokąt 10">
          <a:extLst>
            <a:ext uri="{FF2B5EF4-FFF2-40B4-BE49-F238E27FC236}">
              <a16:creationId xmlns:a16="http://schemas.microsoft.com/office/drawing/2014/main" id="{7DAD873C-1FBD-4F11-A6D1-34C50D2A25FA}"/>
            </a:ext>
          </a:extLst>
        </xdr:cNvPr>
        <xdr:cNvSpPr/>
      </xdr:nvSpPr>
      <xdr:spPr>
        <a:xfrm>
          <a:off x="4526280" y="182880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oblicz parametry do klasyfikacji</a:t>
          </a:r>
        </a:p>
      </xdr:txBody>
    </xdr:sp>
    <xdr:clientData/>
  </xdr:twoCellAnchor>
  <xdr:twoCellAnchor>
    <xdr:from>
      <xdr:col>7</xdr:col>
      <xdr:colOff>236220</xdr:colOff>
      <xdr:row>13</xdr:row>
      <xdr:rowOff>83820</xdr:rowOff>
    </xdr:from>
    <xdr:to>
      <xdr:col>9</xdr:col>
      <xdr:colOff>297180</xdr:colOff>
      <xdr:row>16</xdr:row>
      <xdr:rowOff>68580</xdr:rowOff>
    </xdr:to>
    <xdr:sp macro="[0]!XYZ" textlink="">
      <xdr:nvSpPr>
        <xdr:cNvPr id="12" name="Prostokąt 11">
          <a:extLst>
            <a:ext uri="{FF2B5EF4-FFF2-40B4-BE49-F238E27FC236}">
              <a16:creationId xmlns:a16="http://schemas.microsoft.com/office/drawing/2014/main" id="{230CC92A-6487-408D-982D-769ED23C6E87}"/>
            </a:ext>
          </a:extLst>
        </xdr:cNvPr>
        <xdr:cNvSpPr/>
      </xdr:nvSpPr>
      <xdr:spPr>
        <a:xfrm>
          <a:off x="4503420" y="249174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oznacz klasę</a:t>
          </a:r>
        </a:p>
      </xdr:txBody>
    </xdr:sp>
    <xdr:clientData/>
  </xdr:twoCellAnchor>
  <xdr:twoCellAnchor>
    <xdr:from>
      <xdr:col>7</xdr:col>
      <xdr:colOff>228600</xdr:colOff>
      <xdr:row>17</xdr:row>
      <xdr:rowOff>106680</xdr:rowOff>
    </xdr:from>
    <xdr:to>
      <xdr:col>9</xdr:col>
      <xdr:colOff>289560</xdr:colOff>
      <xdr:row>20</xdr:row>
      <xdr:rowOff>91440</xdr:rowOff>
    </xdr:to>
    <xdr:sp macro="[0]!sortuj_XYZ" textlink="">
      <xdr:nvSpPr>
        <xdr:cNvPr id="13" name="Prostokąt 12">
          <a:extLst>
            <a:ext uri="{FF2B5EF4-FFF2-40B4-BE49-F238E27FC236}">
              <a16:creationId xmlns:a16="http://schemas.microsoft.com/office/drawing/2014/main" id="{DF5B5E0E-6167-4D88-AC20-AC4D71BAC622}"/>
            </a:ext>
          </a:extLst>
        </xdr:cNvPr>
        <xdr:cNvSpPr/>
      </xdr:nvSpPr>
      <xdr:spPr>
        <a:xfrm>
          <a:off x="4495800" y="324612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sortuj</a:t>
          </a:r>
        </a:p>
      </xdr:txBody>
    </xdr:sp>
    <xdr:clientData/>
  </xdr:twoCellAnchor>
  <xdr:twoCellAnchor>
    <xdr:from>
      <xdr:col>7</xdr:col>
      <xdr:colOff>243840</xdr:colOff>
      <xdr:row>21</xdr:row>
      <xdr:rowOff>76200</xdr:rowOff>
    </xdr:from>
    <xdr:to>
      <xdr:col>9</xdr:col>
      <xdr:colOff>304800</xdr:colOff>
      <xdr:row>24</xdr:row>
      <xdr:rowOff>60960</xdr:rowOff>
    </xdr:to>
    <xdr:sp macro="[0]!obliczt" textlink="">
      <xdr:nvSpPr>
        <xdr:cNvPr id="14" name="Prostokąt 13">
          <a:extLst>
            <a:ext uri="{FF2B5EF4-FFF2-40B4-BE49-F238E27FC236}">
              <a16:creationId xmlns:a16="http://schemas.microsoft.com/office/drawing/2014/main" id="{2A879BF1-DA41-4B3B-8CF2-56A9B8987BB1}"/>
            </a:ext>
          </a:extLst>
        </xdr:cNvPr>
        <xdr:cNvSpPr/>
      </xdr:nvSpPr>
      <xdr:spPr>
        <a:xfrm>
          <a:off x="4511040" y="394716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oblicz trend i pokaż wykres</a:t>
          </a:r>
        </a:p>
      </xdr:txBody>
    </xdr:sp>
    <xdr:clientData/>
  </xdr:twoCellAnchor>
  <xdr:twoCellAnchor>
    <xdr:from>
      <xdr:col>7</xdr:col>
      <xdr:colOff>251460</xdr:colOff>
      <xdr:row>25</xdr:row>
      <xdr:rowOff>45720</xdr:rowOff>
    </xdr:from>
    <xdr:to>
      <xdr:col>9</xdr:col>
      <xdr:colOff>312420</xdr:colOff>
      <xdr:row>28</xdr:row>
      <xdr:rowOff>30480</xdr:rowOff>
    </xdr:to>
    <xdr:sp macro="[0]!wyczysc2" textlink="">
      <xdr:nvSpPr>
        <xdr:cNvPr id="15" name="Prostokąt 14">
          <a:extLst>
            <a:ext uri="{FF2B5EF4-FFF2-40B4-BE49-F238E27FC236}">
              <a16:creationId xmlns:a16="http://schemas.microsoft.com/office/drawing/2014/main" id="{92B0A603-2B5E-431E-93EB-57FC03D3F1EB}"/>
            </a:ext>
          </a:extLst>
        </xdr:cNvPr>
        <xdr:cNvSpPr/>
      </xdr:nvSpPr>
      <xdr:spPr>
        <a:xfrm>
          <a:off x="4518660" y="4648200"/>
          <a:ext cx="1280160" cy="533400"/>
        </a:xfrm>
        <a:prstGeom prst="rect">
          <a:avLst/>
        </a:prstGeom>
        <a:solidFill>
          <a:schemeClr val="bg1">
            <a:lumMod val="65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czyść arkusze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274320</xdr:colOff>
      <xdr:row>0</xdr:row>
      <xdr:rowOff>106680</xdr:rowOff>
    </xdr:from>
    <xdr:to>
      <xdr:col>1</xdr:col>
      <xdr:colOff>510540</xdr:colOff>
      <xdr:row>1</xdr:row>
      <xdr:rowOff>137160</xdr:rowOff>
    </xdr:to>
    <xdr:sp macro="[0]!wybor_menu" textlink="">
      <xdr:nvSpPr>
        <xdr:cNvPr id="2" name="Prostokąt 1">
          <a:extLst>
            <a:ext uri="{FF2B5EF4-FFF2-40B4-BE49-F238E27FC236}">
              <a16:creationId xmlns:a16="http://schemas.microsoft.com/office/drawing/2014/main" id="{86A489C5-C38D-4610-9FDC-8FBA0ACC8484}"/>
            </a:ext>
          </a:extLst>
        </xdr:cNvPr>
        <xdr:cNvSpPr/>
      </xdr:nvSpPr>
      <xdr:spPr>
        <a:xfrm>
          <a:off x="274320" y="106680"/>
          <a:ext cx="845820" cy="220980"/>
        </a:xfrm>
        <a:prstGeom prst="rect">
          <a:avLst/>
        </a:prstGeom>
        <a:solidFill>
          <a:schemeClr val="bg1">
            <a:lumMod val="50000"/>
            <a:alpha val="5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menu</a:t>
          </a:r>
        </a:p>
      </xdr:txBody>
    </xdr:sp>
    <xdr:clientData/>
  </xdr:twoCellAnchor>
  <xdr:twoCellAnchor>
    <xdr:from>
      <xdr:col>0</xdr:col>
      <xdr:colOff>274320</xdr:colOff>
      <xdr:row>2</xdr:row>
      <xdr:rowOff>15240</xdr:rowOff>
    </xdr:from>
    <xdr:to>
      <xdr:col>1</xdr:col>
      <xdr:colOff>510540</xdr:colOff>
      <xdr:row>3</xdr:row>
      <xdr:rowOff>53340</xdr:rowOff>
    </xdr:to>
    <xdr:sp macro="[0]!demo" textlink="">
      <xdr:nvSpPr>
        <xdr:cNvPr id="3" name="Prostokąt 2">
          <a:extLst>
            <a:ext uri="{FF2B5EF4-FFF2-40B4-BE49-F238E27FC236}">
              <a16:creationId xmlns:a16="http://schemas.microsoft.com/office/drawing/2014/main" id="{33F815B5-CEC0-4A9D-9907-AACCD5899587}"/>
            </a:ext>
          </a:extLst>
        </xdr:cNvPr>
        <xdr:cNvSpPr/>
      </xdr:nvSpPr>
      <xdr:spPr>
        <a:xfrm>
          <a:off x="274320" y="396240"/>
          <a:ext cx="845820" cy="220980"/>
        </a:xfrm>
        <a:prstGeom prst="rect">
          <a:avLst/>
        </a:prstGeom>
        <a:solidFill>
          <a:schemeClr val="bg1">
            <a:lumMod val="50000"/>
            <a:alpha val="5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demo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76200</xdr:rowOff>
    </xdr:from>
    <xdr:to>
      <xdr:col>1</xdr:col>
      <xdr:colOff>350520</xdr:colOff>
      <xdr:row>1</xdr:row>
      <xdr:rowOff>106680</xdr:rowOff>
    </xdr:to>
    <xdr:sp macro="[0]!wybor_menu" textlink="">
      <xdr:nvSpPr>
        <xdr:cNvPr id="2" name="Prostokąt 1">
          <a:extLst>
            <a:ext uri="{FF2B5EF4-FFF2-40B4-BE49-F238E27FC236}">
              <a16:creationId xmlns:a16="http://schemas.microsoft.com/office/drawing/2014/main" id="{36B63D02-4694-46F1-A900-AA937EF870AD}"/>
            </a:ext>
          </a:extLst>
        </xdr:cNvPr>
        <xdr:cNvSpPr/>
      </xdr:nvSpPr>
      <xdr:spPr>
        <a:xfrm>
          <a:off x="114300" y="76200"/>
          <a:ext cx="845820" cy="220980"/>
        </a:xfrm>
        <a:prstGeom prst="rect">
          <a:avLst/>
        </a:prstGeom>
        <a:solidFill>
          <a:schemeClr val="bg1">
            <a:lumMod val="50000"/>
            <a:alpha val="5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menu</a:t>
          </a:r>
        </a:p>
      </xdr:txBody>
    </xdr:sp>
    <xdr:clientData/>
  </xdr:twoCellAnchor>
  <xdr:twoCellAnchor>
    <xdr:from>
      <xdr:col>0</xdr:col>
      <xdr:colOff>114300</xdr:colOff>
      <xdr:row>2</xdr:row>
      <xdr:rowOff>0</xdr:rowOff>
    </xdr:from>
    <xdr:to>
      <xdr:col>1</xdr:col>
      <xdr:colOff>350520</xdr:colOff>
      <xdr:row>3</xdr:row>
      <xdr:rowOff>38100</xdr:rowOff>
    </xdr:to>
    <xdr:sp macro="[0]!demo2" textlink="">
      <xdr:nvSpPr>
        <xdr:cNvPr id="3" name="Prostokąt 2">
          <a:extLst>
            <a:ext uri="{FF2B5EF4-FFF2-40B4-BE49-F238E27FC236}">
              <a16:creationId xmlns:a16="http://schemas.microsoft.com/office/drawing/2014/main" id="{B211F0C9-9ABC-4696-A7BB-991F48476000}"/>
            </a:ext>
          </a:extLst>
        </xdr:cNvPr>
        <xdr:cNvSpPr/>
      </xdr:nvSpPr>
      <xdr:spPr>
        <a:xfrm>
          <a:off x="114300" y="381000"/>
          <a:ext cx="845820" cy="220980"/>
        </a:xfrm>
        <a:prstGeom prst="rect">
          <a:avLst/>
        </a:prstGeom>
        <a:solidFill>
          <a:schemeClr val="bg1">
            <a:lumMod val="50000"/>
            <a:alpha val="5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demo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137160</xdr:colOff>
      <xdr:row>2</xdr:row>
      <xdr:rowOff>53340</xdr:rowOff>
    </xdr:from>
    <xdr:to>
      <xdr:col>1</xdr:col>
      <xdr:colOff>373380</xdr:colOff>
      <xdr:row>3</xdr:row>
      <xdr:rowOff>91440</xdr:rowOff>
    </xdr:to>
    <xdr:sp macro="[0]!wybor_menu" textlink="">
      <xdr:nvSpPr>
        <xdr:cNvPr id="2" name="Prostokąt 1">
          <a:extLst>
            <a:ext uri="{FF2B5EF4-FFF2-40B4-BE49-F238E27FC236}">
              <a16:creationId xmlns:a16="http://schemas.microsoft.com/office/drawing/2014/main" id="{36A2543F-8CAC-46EA-AC5B-70F03AB157BE}"/>
            </a:ext>
          </a:extLst>
        </xdr:cNvPr>
        <xdr:cNvSpPr/>
      </xdr:nvSpPr>
      <xdr:spPr>
        <a:xfrm>
          <a:off x="137160" y="53340"/>
          <a:ext cx="845820" cy="220980"/>
        </a:xfrm>
        <a:prstGeom prst="rect">
          <a:avLst/>
        </a:prstGeom>
        <a:solidFill>
          <a:schemeClr val="bg1">
            <a:lumMod val="50000"/>
            <a:alpha val="5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281940</xdr:colOff>
      <xdr:row>18</xdr:row>
      <xdr:rowOff>167640</xdr:rowOff>
    </xdr:from>
    <xdr:to>
      <xdr:col>0</xdr:col>
      <xdr:colOff>1127760</xdr:colOff>
      <xdr:row>20</xdr:row>
      <xdr:rowOff>22860</xdr:rowOff>
    </xdr:to>
    <xdr:sp macro="[0]!wybor_menu" textlink="">
      <xdr:nvSpPr>
        <xdr:cNvPr id="2" name="Prostokąt 1">
          <a:extLst>
            <a:ext uri="{FF2B5EF4-FFF2-40B4-BE49-F238E27FC236}">
              <a16:creationId xmlns:a16="http://schemas.microsoft.com/office/drawing/2014/main" id="{B2C90A07-9611-4EE5-8CCF-5B6B5BB1917A}"/>
            </a:ext>
          </a:extLst>
        </xdr:cNvPr>
        <xdr:cNvSpPr/>
      </xdr:nvSpPr>
      <xdr:spPr>
        <a:xfrm>
          <a:off x="281940" y="3276600"/>
          <a:ext cx="845820" cy="220980"/>
        </a:xfrm>
        <a:prstGeom prst="rect">
          <a:avLst/>
        </a:prstGeom>
        <a:solidFill>
          <a:schemeClr val="bg1">
            <a:lumMod val="50000"/>
            <a:alpha val="5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menu</a:t>
          </a:r>
        </a:p>
      </xdr:txBody>
    </xdr:sp>
    <xdr:clientData/>
  </xdr:twoCellAnchor>
  <xdr:twoCellAnchor>
    <xdr:from>
      <xdr:col>0</xdr:col>
      <xdr:colOff>320040</xdr:colOff>
      <xdr:row>9</xdr:row>
      <xdr:rowOff>45720</xdr:rowOff>
    </xdr:from>
    <xdr:to>
      <xdr:col>0</xdr:col>
      <xdr:colOff>1165860</xdr:colOff>
      <xdr:row>10</xdr:row>
      <xdr:rowOff>83820</xdr:rowOff>
    </xdr:to>
    <xdr:sp macro="[0]!WykresX" textlink="">
      <xdr:nvSpPr>
        <xdr:cNvPr id="3" name="Prostokąt 2">
          <a:extLst>
            <a:ext uri="{FF2B5EF4-FFF2-40B4-BE49-F238E27FC236}">
              <a16:creationId xmlns:a16="http://schemas.microsoft.com/office/drawing/2014/main" id="{29E14391-36F9-4633-961F-488FE0BD9314}"/>
            </a:ext>
          </a:extLst>
        </xdr:cNvPr>
        <xdr:cNvSpPr/>
      </xdr:nvSpPr>
      <xdr:spPr>
        <a:xfrm>
          <a:off x="320040" y="1508760"/>
          <a:ext cx="845820" cy="220980"/>
        </a:xfrm>
        <a:prstGeom prst="rect">
          <a:avLst/>
        </a:prstGeom>
        <a:solidFill>
          <a:schemeClr val="bg1">
            <a:lumMod val="50000"/>
            <a:alpha val="5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wykres</a:t>
          </a:r>
          <a:r>
            <a:rPr lang="pl-PL" sz="1100" b="1" baseline="0">
              <a:solidFill>
                <a:sysClr val="windowText" lastClr="000000"/>
              </a:solidFill>
              <a:latin typeface="Bahnschrift Light" panose="020B0502040204020203" pitchFamily="34" charset="0"/>
            </a:rPr>
            <a:t> X</a:t>
          </a:r>
          <a:endParaRPr lang="pl-PL" sz="1100" b="1">
            <a:solidFill>
              <a:sysClr val="windowText" lastClr="000000"/>
            </a:solidFill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0</xdr:col>
      <xdr:colOff>281940</xdr:colOff>
      <xdr:row>16</xdr:row>
      <xdr:rowOff>53340</xdr:rowOff>
    </xdr:from>
    <xdr:to>
      <xdr:col>0</xdr:col>
      <xdr:colOff>1127760</xdr:colOff>
      <xdr:row>17</xdr:row>
      <xdr:rowOff>91440</xdr:rowOff>
    </xdr:to>
    <xdr:sp macro="[0]!WykresZ" textlink="">
      <xdr:nvSpPr>
        <xdr:cNvPr id="4" name="Prostokąt 3">
          <a:extLst>
            <a:ext uri="{FF2B5EF4-FFF2-40B4-BE49-F238E27FC236}">
              <a16:creationId xmlns:a16="http://schemas.microsoft.com/office/drawing/2014/main" id="{3462F857-2534-4FF5-B2DB-5C64790C3045}"/>
            </a:ext>
          </a:extLst>
        </xdr:cNvPr>
        <xdr:cNvSpPr/>
      </xdr:nvSpPr>
      <xdr:spPr>
        <a:xfrm>
          <a:off x="281940" y="2796540"/>
          <a:ext cx="845820" cy="220980"/>
        </a:xfrm>
        <a:prstGeom prst="rect">
          <a:avLst/>
        </a:prstGeom>
        <a:solidFill>
          <a:schemeClr val="bg1">
            <a:lumMod val="50000"/>
            <a:alpha val="51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pl-PL" sz="1100" b="1">
              <a:solidFill>
                <a:sysClr val="windowText" lastClr="000000"/>
              </a:solidFill>
              <a:latin typeface="Bahnschrift Light" panose="020B0502040204020203" pitchFamily="34" charset="0"/>
            </a:rPr>
            <a:t>wykres</a:t>
          </a:r>
          <a:r>
            <a:rPr lang="pl-PL" sz="1100" b="1" baseline="0">
              <a:solidFill>
                <a:sysClr val="windowText" lastClr="000000"/>
              </a:solidFill>
              <a:latin typeface="Bahnschrift Light" panose="020B0502040204020203" pitchFamily="34" charset="0"/>
            </a:rPr>
            <a:t> Z</a:t>
          </a:r>
          <a:endParaRPr lang="pl-PL" sz="1100" b="1">
            <a:solidFill>
              <a:sysClr val="windowText" lastClr="000000"/>
            </a:solidFill>
            <a:latin typeface="Bahnschrift Light" panose="020B0502040204020203" pitchFamily="34" charset="0"/>
          </a:endParaRPr>
        </a:p>
      </xdr:txBody>
    </xdr:sp>
    <xdr:clientData/>
  </xdr:twoCellAnchor>
  <xdr:twoCellAnchor>
    <xdr:from>
      <xdr:col>0</xdr:col>
      <xdr:colOff>635000</xdr:colOff>
      <xdr:row>20</xdr:row>
      <xdr:rowOff>127000</xdr:rowOff>
    </xdr:from>
    <xdr:to>
      <xdr:col>6</xdr:col>
      <xdr:colOff>0</xdr:colOff>
      <xdr:row>34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16018EA-826C-D240-CCDA-1831852A5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25400</xdr:colOff>
      <xdr:row>20</xdr:row>
      <xdr:rowOff>127000</xdr:rowOff>
    </xdr:from>
    <xdr:to>
      <xdr:col>13</xdr:col>
      <xdr:colOff>177800</xdr:colOff>
      <xdr:row>34</xdr:row>
      <xdr:rowOff>88900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C258096-56B8-7401-0BCF-14E4D7CAD1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562610</xdr:colOff>
      <xdr:row>9</xdr:row>
      <xdr:rowOff>149860</xdr:rowOff>
    </xdr:from>
    <xdr:to>
      <xdr:col>9</xdr:col>
      <xdr:colOff>480060</xdr:colOff>
      <xdr:row>19</xdr:row>
      <xdr:rowOff>156210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E59C72-C43F-E83F-2580-C5BF62E5C3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ek Gurak" refreshedDate="45325.612727199077" createdVersion="8" refreshedVersion="8" minRefreshableVersion="3" recordCount="3000" xr:uid="{0B34B143-3940-4123-A767-1177B3A0F0E9}">
  <cacheSource type="worksheet">
    <worksheetSource ref="A1:N3001" sheet="Dane"/>
  </cacheSource>
  <cacheFields count="14">
    <cacheField name="Numer" numFmtId="0">
      <sharedItems containsSemiMixedTypes="0" containsString="0" containsNumber="1" containsInteger="1" minValue="1" maxValue="3000"/>
    </cacheField>
    <cacheField name="produkt" numFmtId="0">
      <sharedItems containsSemiMixedTypes="0" containsString="0" containsNumber="1" containsInteger="1" minValue="1" maxValue="30" count="30">
        <n v="11"/>
        <n v="4"/>
        <n v="1"/>
        <n v="12"/>
        <n v="15"/>
        <n v="27"/>
        <n v="19"/>
        <n v="9"/>
        <n v="3"/>
        <n v="25"/>
        <n v="17"/>
        <n v="16"/>
        <n v="5"/>
        <n v="8"/>
        <n v="6"/>
        <n v="18"/>
        <n v="23"/>
        <n v="13"/>
        <n v="10"/>
        <n v="2"/>
        <n v="7"/>
        <n v="30"/>
        <n v="24"/>
        <n v="29"/>
        <n v="14"/>
        <n v="28"/>
        <n v="26"/>
        <n v="20"/>
        <n v="21"/>
        <n v="22"/>
      </sharedItems>
    </cacheField>
    <cacheField name="Klient" numFmtId="0">
      <sharedItems containsSemiMixedTypes="0" containsString="0" containsNumber="1" containsInteger="1" minValue="1" maxValue="20"/>
    </cacheField>
    <cacheField name="Data dok." numFmtId="14">
      <sharedItems containsSemiMixedTypes="0" containsNonDate="0" containsDate="1" containsString="0" minDate="2022-01-01T00:00:00" maxDate="2022-12-29T00:00:00"/>
    </cacheField>
    <cacheField name="Dokument" numFmtId="0">
      <sharedItems/>
    </cacheField>
    <cacheField name="Numer zew." numFmtId="0">
      <sharedItems/>
    </cacheField>
    <cacheField name="Jm" numFmtId="0">
      <sharedItems/>
    </cacheField>
    <cacheField name="% Marży" numFmtId="0">
      <sharedItems containsSemiMixedTypes="0" containsString="0" containsNumber="1" containsInteger="1" minValue="100" maxValue="3099"/>
    </cacheField>
    <cacheField name="Ilość" numFmtId="0">
      <sharedItems containsSemiMixedTypes="0" containsString="0" containsNumber="1" containsInteger="1" minValue="16" maxValue="84"/>
    </cacheField>
    <cacheField name="Cena netto" numFmtId="0">
      <sharedItems containsSemiMixedTypes="0" containsString="0" containsNumber="1" containsInteger="1" minValue="59" maxValue="132"/>
    </cacheField>
    <cacheField name="Wartość netto" numFmtId="0">
      <sharedItems containsSemiMixedTypes="0" containsString="0" containsNumber="1" containsInteger="1" minValue="1328" maxValue="10428" count="777">
        <n v="3569"/>
        <n v="4158"/>
        <n v="2604"/>
        <n v="5808"/>
        <n v="4653"/>
        <n v="3400"/>
        <n v="5220"/>
        <n v="3528"/>
        <n v="5632"/>
        <n v="5280"/>
        <n v="5518"/>
        <n v="4644"/>
        <n v="3780"/>
        <n v="5301"/>
        <n v="4576"/>
        <n v="3458"/>
        <n v="3432"/>
        <n v="5278"/>
        <n v="3740"/>
        <n v="4488"/>
        <n v="6048"/>
        <n v="4048"/>
        <n v="5896"/>
        <n v="6237"/>
        <n v="5076"/>
        <n v="3612"/>
        <n v="4230"/>
        <n v="1428"/>
        <n v="3045"/>
        <n v="4840"/>
        <n v="3828"/>
        <n v="4800"/>
        <n v="3024"/>
        <n v="3268"/>
        <n v="7788"/>
        <n v="6016"/>
        <n v="5192"/>
        <n v="6540"/>
        <n v="5185"/>
        <n v="3444"/>
        <n v="4224"/>
        <n v="5014"/>
        <n v="4620"/>
        <n v="5504"/>
        <n v="2856"/>
        <n v="4114"/>
        <n v="4956"/>
        <n v="4565"/>
        <n v="4165"/>
        <n v="3567"/>
        <n v="5445"/>
        <n v="4888"/>
        <n v="4959"/>
        <n v="4950"/>
        <n v="3549"/>
        <n v="3948"/>
        <n v="6336"/>
        <n v="2511"/>
        <n v="4316"/>
        <n v="7412"/>
        <n v="5250"/>
        <n v="4664"/>
        <n v="6195"/>
        <n v="4717"/>
        <n v="3354"/>
        <n v="5544"/>
        <n v="4032"/>
        <n v="5208"/>
        <n v="4056"/>
        <n v="5289"/>
        <n v="7375"/>
        <n v="4928"/>
        <n v="5187"/>
        <n v="4128"/>
        <n v="4116"/>
        <n v="2988"/>
        <n v="7250"/>
        <n v="5123"/>
        <n v="4872"/>
        <n v="4482"/>
        <n v="3738"/>
        <n v="4784"/>
        <n v="5452"/>
        <n v="4418"/>
        <n v="3360"/>
        <n v="5940"/>
        <n v="4980"/>
        <n v="5063"/>
        <n v="5292"/>
        <n v="5655"/>
        <n v="4356"/>
        <n v="2975"/>
        <n v="5375"/>
        <n v="4312"/>
        <n v="2772"/>
        <n v="5450"/>
        <n v="4263"/>
        <n v="5104"/>
        <n v="4400"/>
        <n v="3956"/>
        <n v="5824"/>
        <n v="5766"/>
        <n v="4905"/>
        <n v="3132"/>
        <n v="3276"/>
        <n v="5628"/>
        <n v="5559"/>
        <n v="4004"/>
        <n v="5046"/>
        <n v="4368"/>
        <n v="4071"/>
        <n v="5886"/>
        <n v="5668"/>
        <n v="3675"/>
        <n v="4698"/>
        <n v="6204"/>
        <n v="3552"/>
        <n v="5481"/>
        <n v="7869"/>
        <n v="5146"/>
        <n v="5478"/>
        <n v="4455"/>
        <n v="2992"/>
        <n v="7623"/>
        <n v="6292"/>
        <n v="3485"/>
        <n v="4752"/>
        <n v="4788"/>
        <n v="8107"/>
        <n v="4450"/>
        <n v="5015"/>
        <n v="7000"/>
        <n v="2940"/>
        <n v="3640"/>
        <n v="7128"/>
        <n v="5984"/>
        <n v="4472"/>
        <n v="3995"/>
        <n v="5720"/>
        <n v="3915"/>
        <n v="3096"/>
        <n v="4814"/>
        <n v="7303"/>
        <n v="3204"/>
        <n v="2550"/>
        <n v="5148"/>
        <n v="3936"/>
        <n v="2537"/>
        <n v="4606"/>
        <n v="4277"/>
        <n v="7139"/>
        <n v="3825"/>
        <n v="4005"/>
        <n v="4500"/>
        <n v="2904"/>
        <n v="3328"/>
        <n v="5016"/>
        <n v="3186"/>
        <n v="4142"/>
        <n v="4089"/>
        <n v="4935"/>
        <n v="5115"/>
        <n v="3069"/>
        <n v="5170"/>
        <n v="3486"/>
        <n v="4136"/>
        <n v="2891"/>
        <n v="3520"/>
        <n v="4895"/>
        <n v="6966"/>
        <n v="5828"/>
        <n v="6138"/>
        <n v="6090"/>
        <n v="4437"/>
        <n v="6912"/>
        <n v="2376"/>
        <n v="3984"/>
        <n v="5022"/>
        <n v="3264"/>
        <n v="4371"/>
        <n v="3480"/>
        <n v="6450"/>
        <n v="2360"/>
        <n v="3330"/>
        <n v="2125"/>
        <n v="4704"/>
        <n v="4104"/>
        <n v="3168"/>
        <n v="4452"/>
        <n v="5096"/>
        <n v="4836"/>
        <n v="3720"/>
        <n v="5408"/>
        <n v="5643"/>
        <n v="4200"/>
        <n v="4176"/>
        <n v="3154"/>
        <n v="6050"/>
        <n v="3815"/>
        <n v="2520"/>
        <n v="3652"/>
        <n v="4823"/>
        <n v="6435"/>
        <n v="6600"/>
        <n v="5832"/>
        <n v="4251"/>
        <n v="6264"/>
        <n v="6125"/>
        <n v="5712"/>
        <n v="6375"/>
        <n v="5310"/>
        <n v="4042"/>
        <n v="5995"/>
        <n v="6996"/>
        <n v="3784"/>
        <n v="3649"/>
        <n v="4505"/>
        <n v="4469"/>
        <n v="7280"/>
        <n v="6250"/>
        <n v="4796"/>
        <n v="5200"/>
        <n v="5049"/>
        <n v="3080"/>
        <n v="4732"/>
        <n v="5777"/>
        <n v="5566"/>
        <n v="5005"/>
        <n v="8127"/>
        <n v="7920"/>
        <n v="5130"/>
        <n v="2596"/>
        <n v="6039"/>
        <n v="3306"/>
        <n v="4284"/>
        <n v="8500"/>
        <n v="3696"/>
        <n v="5546"/>
        <n v="3698"/>
        <n v="4300"/>
        <n v="4830"/>
        <n v="5125"/>
        <n v="4140"/>
        <n v="6319"/>
        <n v="5561"/>
        <n v="3393"/>
        <n v="6758"/>
        <n v="4902"/>
        <n v="2408"/>
        <n v="5376"/>
        <n v="7625"/>
        <n v="3735"/>
        <n v="7502"/>
        <n v="6776"/>
        <n v="6030"/>
        <n v="3127"/>
        <n v="6897"/>
        <n v="4743"/>
        <n v="7848"/>
        <n v="3245"/>
        <n v="5460"/>
        <n v="7224"/>
        <n v="4214"/>
        <n v="5750"/>
        <n v="3741"/>
        <n v="3608"/>
        <n v="5676"/>
        <n v="4725"/>
        <n v="5133"/>
        <n v="6413"/>
        <n v="4982"/>
        <n v="2666"/>
        <n v="3654"/>
        <n v="4464"/>
        <n v="5088"/>
        <n v="6674"/>
        <n v="4428"/>
        <n v="6097"/>
        <n v="4420"/>
        <n v="5160"/>
        <n v="6552"/>
        <n v="4002"/>
        <n v="3901"/>
        <n v="2714"/>
        <n v="4897"/>
        <n v="3145"/>
        <n v="6372"/>
        <n v="2880"/>
        <n v="5880"/>
        <n v="4212"/>
        <n v="4080"/>
        <n v="3960"/>
        <n v="3026"/>
        <n v="2950"/>
        <n v="5341"/>
        <n v="4700"/>
        <n v="4130"/>
        <n v="4608"/>
        <n v="6696"/>
        <n v="4992"/>
        <n v="6072"/>
        <n v="4875"/>
        <n v="2349"/>
        <n v="5950"/>
        <n v="4272"/>
        <n v="4185"/>
        <n v="3570"/>
        <n v="4611"/>
        <n v="4264"/>
        <n v="4536"/>
        <n v="6300"/>
        <n v="6104"/>
        <n v="4320"/>
        <n v="6468"/>
        <n v="3913"/>
        <n v="3526"/>
        <n v="5355"/>
        <n v="1683"/>
        <n v="5841"/>
        <n v="6732"/>
        <n v="5332"/>
        <n v="2805"/>
        <n v="4719"/>
        <n v="7611"/>
        <n v="4278"/>
        <n v="6649"/>
        <n v="3999"/>
        <n v="5162"/>
        <n v="3509"/>
        <n v="3403"/>
        <n v="5775"/>
        <n v="2478"/>
        <n v="7875"/>
        <n v="2937"/>
        <n v="7029"/>
        <n v="6579"/>
        <n v="7392"/>
        <n v="6213"/>
        <n v="2759"/>
        <n v="3009"/>
        <n v="3870"/>
        <n v="3990"/>
        <n v="2976"/>
        <n v="6806"/>
        <n v="7260"/>
        <n v="6831"/>
        <n v="4554"/>
        <n v="3744"/>
        <n v="5229"/>
        <n v="5762"/>
        <n v="8184"/>
        <n v="1768"/>
        <n v="3348"/>
        <n v="3304"/>
        <n v="5785"/>
        <n v="4416"/>
        <n v="5687"/>
        <n v="5247"/>
        <n v="5934"/>
        <n v="4360"/>
        <n v="3872"/>
        <n v="5145"/>
        <n v="4233"/>
        <n v="6417"/>
        <n v="4794"/>
        <n v="5724"/>
        <n v="3108"/>
        <n v="3256"/>
        <n v="4186"/>
        <n v="5551"/>
        <n v="2784"/>
        <n v="6278"/>
        <n v="3320"/>
        <n v="4160"/>
        <n v="4851"/>
        <n v="4984"/>
        <n v="8349"/>
        <n v="5508"/>
        <n v="5040"/>
        <n v="4770"/>
        <n v="3864"/>
        <n v="4557"/>
        <n v="6794"/>
        <n v="4687"/>
        <n v="4845"/>
        <n v="5400"/>
        <n v="5500"/>
        <n v="6875"/>
        <n v="8256"/>
        <n v="7884"/>
        <n v="1892"/>
        <n v="3534"/>
        <n v="6136"/>
        <n v="7630"/>
        <n v="3600"/>
        <n v="3760"/>
        <n v="4730"/>
        <n v="4512"/>
        <n v="7085"/>
        <n v="3827"/>
        <n v="6534"/>
        <n v="5490"/>
        <n v="5394"/>
        <n v="3255"/>
        <n v="2905"/>
        <n v="5203"/>
        <n v="5512"/>
        <n v="1870"/>
        <n v="6408"/>
        <n v="5875"/>
        <n v="5916"/>
        <n v="3731"/>
        <n v="2419"/>
        <n v="4929"/>
        <n v="3150"/>
        <n v="6431"/>
        <n v="3564"/>
        <n v="5232"/>
        <n v="4930"/>
        <n v="2848"/>
        <n v="6867"/>
        <n v="3672"/>
        <n v="4680"/>
        <n v="5312"/>
        <n v="5307"/>
        <n v="4033"/>
        <n v="5304"/>
        <n v="4515"/>
        <n v="3196"/>
        <n v="3094"/>
        <n v="5369"/>
        <n v="5082"/>
        <n v="5184"/>
        <n v="4095"/>
        <n v="2673"/>
        <n v="3906"/>
        <n v="5100"/>
        <n v="5565"/>
        <n v="4257"/>
        <n v="6216"/>
        <n v="4183"/>
        <n v="5640"/>
        <n v="5664"/>
        <n v="4250"/>
        <n v="4094"/>
        <n v="6976"/>
        <n v="5525"/>
        <n v="5395"/>
        <n v="5429"/>
        <n v="3060"/>
        <n v="5251"/>
        <n v="7018"/>
        <n v="7524"/>
        <n v="4524"/>
        <n v="6480"/>
        <n v="3068"/>
        <n v="5856"/>
        <n v="4067"/>
        <n v="5270"/>
        <n v="1711"/>
        <n v="5616"/>
        <n v="3267"/>
        <n v="6063"/>
        <n v="4896"/>
        <n v="6003"/>
        <n v="4750"/>
        <n v="4092"/>
        <n v="5607"/>
        <n v="7095"/>
        <n v="6510"/>
        <n v="5568"/>
        <n v="4050"/>
        <n v="4324"/>
        <n v="2490"/>
        <n v="4410"/>
        <n v="6144"/>
        <n v="4350"/>
        <n v="5000"/>
        <n v="6655"/>
        <n v="3192"/>
        <n v="3182"/>
        <n v="3240"/>
        <n v="8625"/>
        <n v="5074"/>
        <n v="6344"/>
        <n v="5418"/>
        <n v="6825"/>
        <n v="5073"/>
        <n v="7500"/>
        <n v="3382"/>
        <n v="3003"/>
        <n v="8000"/>
        <n v="6321"/>
        <n v="5580"/>
        <n v="6248"/>
        <n v="4590"/>
        <n v="5358"/>
        <n v="6720"/>
        <n v="3471"/>
        <n v="4000"/>
        <n v="6588"/>
        <n v="6322"/>
        <n v="5346"/>
        <n v="7740"/>
        <n v="4539"/>
        <n v="3854"/>
        <n v="6864"/>
        <n v="3290"/>
        <n v="3384"/>
        <n v="5742"/>
        <n v="6391"/>
        <n v="3885"/>
        <n v="2183"/>
        <n v="6298"/>
        <n v="3560"/>
        <n v="4150"/>
        <n v="6171"/>
        <n v="3456"/>
        <n v="5760"/>
        <n v="4578"/>
        <n v="3440"/>
        <n v="4785"/>
        <n v="5590"/>
        <n v="2816"/>
        <n v="8228"/>
        <n v="4914"/>
        <n v="5642"/>
        <n v="4386"/>
        <n v="2573"/>
        <n v="2773"/>
        <n v="4598"/>
        <n v="5964"/>
        <n v="6327"/>
        <n v="3071"/>
        <n v="3219"/>
        <n v="5124"/>
        <n v="5994"/>
        <n v="7750"/>
        <n v="4550"/>
        <n v="5922"/>
        <n v="5865"/>
        <n v="3315"/>
        <n v="3818"/>
        <n v="6771"/>
        <n v="2436"/>
        <n v="8470"/>
        <n v="6142"/>
        <n v="1328"/>
        <n v="7353"/>
        <n v="7865"/>
        <n v="4329"/>
        <n v="6105"/>
        <n v="5264"/>
        <n v="6192"/>
        <n v="3663"/>
        <n v="3996"/>
        <n v="3822"/>
        <n v="2184"/>
        <n v="6438"/>
        <n v="10428"/>
        <n v="3835"/>
        <n v="6132"/>
        <n v="6392"/>
        <n v="6188"/>
        <n v="3648"/>
        <n v="5456"/>
        <n v="3658"/>
        <n v="9900"/>
        <n v="5550"/>
        <n v="4731"/>
        <n v="5439"/>
        <n v="6156"/>
        <n v="5929"/>
        <n v="6240"/>
        <n v="5796"/>
        <n v="2697"/>
        <n v="6630"/>
        <n v="5368"/>
        <n v="5883"/>
        <n v="2065"/>
        <n v="7998"/>
        <n v="2914"/>
        <n v="3375"/>
        <n v="2656"/>
        <n v="7656"/>
        <n v="5246"/>
        <n v="2822"/>
        <n v="3655"/>
        <n v="9372"/>
        <n v="5547"/>
        <n v="2301"/>
        <n v="6804"/>
        <n v="2820"/>
        <n v="4459"/>
        <n v="3625"/>
        <n v="6059"/>
        <n v="4218"/>
        <n v="5217"/>
        <n v="3008"/>
        <n v="8591"/>
        <n v="6448"/>
        <n v="5670"/>
        <n v="5850"/>
        <n v="2790"/>
        <n v="2726"/>
        <n v="1652"/>
        <n v="2444"/>
        <n v="4988"/>
        <n v="6432"/>
        <n v="3420"/>
        <n v="4399"/>
        <n v="4816"/>
        <n v="5440"/>
        <n v="7125"/>
        <n v="5805"/>
        <n v="4760"/>
        <n v="5106"/>
        <n v="7245"/>
        <n v="5625"/>
        <n v="4440"/>
        <n v="7350"/>
        <n v="4884"/>
        <n v="2730"/>
        <n v="7437"/>
        <n v="5412"/>
        <n v="3627"/>
        <n v="4059"/>
        <n v="4305"/>
        <n v="3478"/>
        <n v="3363"/>
        <n v="3597"/>
        <n v="3762"/>
        <n v="6708"/>
        <n v="6625"/>
        <n v="2002"/>
        <n v="3367"/>
        <n v="3270"/>
        <n v="3366"/>
        <n v="2006"/>
        <n v="4806"/>
        <n v="4125"/>
        <n v="4361"/>
        <n v="3441"/>
        <n v="6474"/>
        <n v="7227"/>
        <n v="4107"/>
        <n v="3344"/>
        <n v="1829"/>
        <n v="6106"/>
        <n v="3225"/>
        <n v="5324"/>
        <n v="6750"/>
        <n v="7744"/>
        <n v="6032"/>
        <n v="6549"/>
        <n v="5472"/>
        <n v="2739"/>
        <n v="3010"/>
        <n v="4625"/>
        <n v="4968"/>
        <n v="9240"/>
        <n v="6512"/>
        <n v="3572"/>
        <n v="2720"/>
        <n v="5952"/>
        <n v="4551"/>
        <n v="2289"/>
        <n v="5031"/>
        <n v="5734"/>
        <n v="9546"/>
        <n v="5487"/>
        <n v="3840"/>
        <n v="6000"/>
        <n v="5874"/>
        <n v="8712"/>
        <n v="6045"/>
        <n v="8901"/>
        <n v="6837"/>
        <n v="5150"/>
        <n v="7236"/>
        <n v="4650"/>
        <n v="4841"/>
        <n v="6882"/>
        <n v="6993"/>
        <n v="2580"/>
        <n v="3296"/>
        <n v="4429"/>
        <n v="3861"/>
        <n v="2375"/>
        <n v="5459"/>
        <n v="8316"/>
        <n v="5928"/>
        <n v="4738"/>
        <n v="2838"/>
        <n v="2523"/>
        <n v="2241"/>
        <n v="5871"/>
        <n v="2832"/>
        <n v="5665"/>
        <n v="7931"/>
        <n v="4335"/>
        <n v="6035"/>
        <n v="2655"/>
        <n v="7476"/>
        <n v="8976"/>
        <n v="3916"/>
        <n v="8052"/>
        <n v="2987"/>
        <n v="4635"/>
        <n v="6351"/>
        <n v="6760"/>
        <n v="7004"/>
        <n v="2250"/>
        <n v="3540"/>
        <n v="6500"/>
        <n v="6386"/>
        <n v="3465"/>
        <n v="8100"/>
        <n v="3848"/>
        <n v="7828"/>
        <n v="6006"/>
        <n v="3914"/>
        <n v="7035"/>
        <n v="2268"/>
        <n v="6405"/>
        <n v="1743"/>
        <n v="3811"/>
        <n v="4189"/>
        <n v="2242"/>
        <n v="8125"/>
        <n v="4375"/>
        <n v="3162"/>
        <n v="5562"/>
        <n v="2688"/>
        <n v="5047"/>
        <n v="3924"/>
        <n v="3510"/>
        <n v="6545"/>
        <n v="1740"/>
        <n v="2464"/>
        <n v="6077"/>
        <n v="4662"/>
        <n v="4860"/>
        <n v="7722"/>
        <n v="3293"/>
        <n v="6231"/>
        <n v="5340"/>
        <n v="5661"/>
        <n v="5356"/>
        <n v="6424"/>
        <n v="6279"/>
        <n v="7140"/>
        <n v="6489"/>
        <n v="3488"/>
        <n v="6592"/>
        <n v="5974"/>
        <n v="7425"/>
        <n v="6643"/>
        <n v="3481"/>
        <n v="3813"/>
        <n v="2100"/>
        <n v="3036"/>
        <n v="6225"/>
        <n v="6930"/>
        <n v="8514"/>
        <n v="6052"/>
        <n v="2635"/>
        <n v="7488"/>
        <n v="6688"/>
        <n v="3666"/>
        <n v="7381"/>
        <n v="4641"/>
        <n v="3599"/>
        <n v="2001"/>
        <n v="3502"/>
        <n v="2958"/>
        <n v="6633"/>
      </sharedItems>
    </cacheField>
    <cacheField name="Vat" numFmtId="0">
      <sharedItems containsSemiMixedTypes="0" containsString="0" containsNumber="1" minValue="305.44" maxValue="2398.44"/>
    </cacheField>
    <cacheField name="Wartość brutto" numFmtId="4">
      <sharedItems containsSemiMixedTypes="0" containsString="0" containsNumber="1" minValue="1633.44" maxValue="12826.44"/>
    </cacheField>
    <cacheField name="miesiac" numFmtId="0">
      <sharedItems containsSemiMixedTypes="0" containsString="0" containsNumber="1" containsInteger="1" minValue="1" maxValue="12" count="12">
        <n v="1"/>
        <n v="4"/>
        <n v="12"/>
        <n v="3"/>
        <n v="6"/>
        <n v="10"/>
        <n v="7"/>
        <n v="9"/>
        <n v="11"/>
        <n v="2"/>
        <n v="5"/>
        <n v="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n v="1"/>
    <x v="0"/>
    <n v="11"/>
    <d v="2022-01-05T00:00:00"/>
    <s v="FA"/>
    <s v="1052/2021"/>
    <s v="kpl"/>
    <n v="100"/>
    <n v="43"/>
    <n v="83"/>
    <x v="0"/>
    <n v="820.87"/>
    <n v="4389.87"/>
    <x v="0"/>
  </r>
  <r>
    <n v="2"/>
    <x v="1"/>
    <n v="8"/>
    <d v="2022-04-08T00:00:00"/>
    <s v="FA"/>
    <s v="1052/2022"/>
    <s v="kpl"/>
    <n v="101"/>
    <n v="42"/>
    <n v="99"/>
    <x v="1"/>
    <n v="956.34"/>
    <n v="5114.34"/>
    <x v="1"/>
  </r>
  <r>
    <n v="3"/>
    <x v="2"/>
    <n v="5"/>
    <d v="2022-12-10T00:00:00"/>
    <s v="FA"/>
    <s v="1052/2023"/>
    <s v="kpl"/>
    <n v="102"/>
    <n v="31"/>
    <n v="84"/>
    <x v="2"/>
    <n v="598.92000000000007"/>
    <n v="3202.92"/>
    <x v="2"/>
  </r>
  <r>
    <n v="4"/>
    <x v="3"/>
    <n v="14"/>
    <d v="2022-03-23T00:00:00"/>
    <s v="FA"/>
    <s v="1052/2024"/>
    <s v="kpl"/>
    <n v="103"/>
    <n v="66"/>
    <n v="88"/>
    <x v="3"/>
    <n v="1335.8400000000001"/>
    <n v="7143.84"/>
    <x v="3"/>
  </r>
  <r>
    <n v="5"/>
    <x v="1"/>
    <n v="9"/>
    <d v="2022-04-28T00:00:00"/>
    <s v="FA"/>
    <s v="1052/2025"/>
    <s v="kpl"/>
    <n v="104"/>
    <n v="47"/>
    <n v="99"/>
    <x v="4"/>
    <n v="1070.19"/>
    <n v="5723.1900000000005"/>
    <x v="1"/>
  </r>
  <r>
    <n v="6"/>
    <x v="4"/>
    <n v="14"/>
    <d v="2022-06-03T00:00:00"/>
    <s v="FA"/>
    <s v="1052/2026"/>
    <s v="kpl"/>
    <n v="105"/>
    <n v="40"/>
    <n v="85"/>
    <x v="5"/>
    <n v="782"/>
    <n v="4182"/>
    <x v="4"/>
  </r>
  <r>
    <n v="7"/>
    <x v="5"/>
    <n v="9"/>
    <d v="2022-10-16T00:00:00"/>
    <s v="FA"/>
    <s v="1052/2027"/>
    <s v="kpl"/>
    <n v="106"/>
    <n v="60"/>
    <n v="87"/>
    <x v="6"/>
    <n v="1200.6000000000001"/>
    <n v="6420.6"/>
    <x v="5"/>
  </r>
  <r>
    <n v="8"/>
    <x v="6"/>
    <n v="7"/>
    <d v="2022-07-01T00:00:00"/>
    <s v="FA"/>
    <s v="1052/2028"/>
    <s v="kpl"/>
    <n v="107"/>
    <n v="42"/>
    <n v="84"/>
    <x v="7"/>
    <n v="811.44"/>
    <n v="4339.4400000000005"/>
    <x v="6"/>
  </r>
  <r>
    <n v="9"/>
    <x v="3"/>
    <n v="11"/>
    <d v="2022-07-22T00:00:00"/>
    <s v="FA"/>
    <s v="1052/2029"/>
    <s v="kpl"/>
    <n v="108"/>
    <n v="64"/>
    <n v="88"/>
    <x v="8"/>
    <n v="1295.3600000000001"/>
    <n v="6927.3600000000006"/>
    <x v="6"/>
  </r>
  <r>
    <n v="10"/>
    <x v="7"/>
    <n v="8"/>
    <d v="2022-09-25T00:00:00"/>
    <s v="FA"/>
    <s v="1052/2030"/>
    <s v="kpl"/>
    <n v="109"/>
    <n v="55"/>
    <n v="96"/>
    <x v="9"/>
    <n v="1214.4000000000001"/>
    <n v="6494.4"/>
    <x v="7"/>
  </r>
  <r>
    <n v="11"/>
    <x v="8"/>
    <n v="8"/>
    <d v="2022-01-20T00:00:00"/>
    <s v="FA"/>
    <s v="1052/2031"/>
    <s v="kpl"/>
    <n v="110"/>
    <n v="62"/>
    <n v="89"/>
    <x v="10"/>
    <n v="1269.1400000000001"/>
    <n v="6787.14"/>
    <x v="0"/>
  </r>
  <r>
    <n v="12"/>
    <x v="9"/>
    <n v="11"/>
    <d v="2022-06-09T00:00:00"/>
    <s v="FA"/>
    <s v="1052/2032"/>
    <s v="kpl"/>
    <n v="111"/>
    <n v="43"/>
    <n v="108"/>
    <x v="11"/>
    <n v="1068.1200000000001"/>
    <n v="5712.12"/>
    <x v="4"/>
  </r>
  <r>
    <n v="13"/>
    <x v="10"/>
    <n v="9"/>
    <d v="2022-03-11T00:00:00"/>
    <s v="FA"/>
    <s v="1052/2033"/>
    <s v="kpl"/>
    <n v="112"/>
    <n v="45"/>
    <n v="84"/>
    <x v="12"/>
    <n v="869.40000000000009"/>
    <n v="4649.3999999999996"/>
    <x v="3"/>
  </r>
  <r>
    <n v="14"/>
    <x v="11"/>
    <n v="13"/>
    <d v="2022-04-05T00:00:00"/>
    <s v="FA"/>
    <s v="1052/2034"/>
    <s v="kpl"/>
    <n v="113"/>
    <n v="57"/>
    <n v="93"/>
    <x v="13"/>
    <n v="1219.23"/>
    <n v="6520.23"/>
    <x v="1"/>
  </r>
  <r>
    <n v="15"/>
    <x v="3"/>
    <n v="10"/>
    <d v="2022-04-26T00:00:00"/>
    <s v="FA"/>
    <s v="1052/2035"/>
    <s v="kpl"/>
    <n v="114"/>
    <n v="52"/>
    <n v="88"/>
    <x v="14"/>
    <n v="1052.48"/>
    <n v="5628.48"/>
    <x v="1"/>
  </r>
  <r>
    <n v="16"/>
    <x v="12"/>
    <n v="8"/>
    <d v="2022-07-02T00:00:00"/>
    <s v="FA"/>
    <s v="1052/2036"/>
    <s v="kpl"/>
    <n v="115"/>
    <n v="38"/>
    <n v="91"/>
    <x v="15"/>
    <n v="795.34"/>
    <n v="4253.34"/>
    <x v="6"/>
  </r>
  <r>
    <n v="17"/>
    <x v="3"/>
    <n v="9"/>
    <d v="2022-04-23T00:00:00"/>
    <s v="FA"/>
    <s v="1052/2037"/>
    <s v="kpl"/>
    <n v="116"/>
    <n v="39"/>
    <n v="88"/>
    <x v="16"/>
    <n v="789.36"/>
    <n v="4221.3599999999997"/>
    <x v="1"/>
  </r>
  <r>
    <n v="18"/>
    <x v="12"/>
    <n v="11"/>
    <d v="2022-01-20T00:00:00"/>
    <s v="FA"/>
    <s v="1052/2038"/>
    <s v="kpl"/>
    <n v="117"/>
    <n v="58"/>
    <n v="91"/>
    <x v="17"/>
    <n v="1213.94"/>
    <n v="6491.9400000000005"/>
    <x v="0"/>
  </r>
  <r>
    <n v="19"/>
    <x v="4"/>
    <n v="5"/>
    <d v="2022-06-04T00:00:00"/>
    <s v="FA"/>
    <s v="1052/2039"/>
    <s v="kpl"/>
    <n v="118"/>
    <n v="44"/>
    <n v="85"/>
    <x v="18"/>
    <n v="860.2"/>
    <n v="4600.2"/>
    <x v="4"/>
  </r>
  <r>
    <n v="20"/>
    <x v="3"/>
    <n v="10"/>
    <d v="2022-06-03T00:00:00"/>
    <s v="FA"/>
    <s v="1052/2040"/>
    <s v="kpl"/>
    <n v="119"/>
    <n v="51"/>
    <n v="88"/>
    <x v="19"/>
    <n v="1032.24"/>
    <n v="5520.24"/>
    <x v="4"/>
  </r>
  <r>
    <n v="21"/>
    <x v="7"/>
    <n v="10"/>
    <d v="2022-04-26T00:00:00"/>
    <s v="FA"/>
    <s v="1052/2041"/>
    <s v="kpl"/>
    <n v="120"/>
    <n v="63"/>
    <n v="96"/>
    <x v="20"/>
    <n v="1391.04"/>
    <n v="7439.04"/>
    <x v="1"/>
  </r>
  <r>
    <n v="22"/>
    <x v="13"/>
    <n v="9"/>
    <d v="2022-01-23T00:00:00"/>
    <s v="FA"/>
    <s v="1052/2042"/>
    <s v="kpl"/>
    <n v="121"/>
    <n v="46"/>
    <n v="88"/>
    <x v="21"/>
    <n v="931.04000000000008"/>
    <n v="4979.04"/>
    <x v="0"/>
  </r>
  <r>
    <n v="23"/>
    <x v="3"/>
    <n v="9"/>
    <d v="2022-11-01T00:00:00"/>
    <s v="FA"/>
    <s v="1052/2043"/>
    <s v="kpl"/>
    <n v="122"/>
    <n v="67"/>
    <n v="88"/>
    <x v="22"/>
    <n v="1356.0800000000002"/>
    <n v="7252.08"/>
    <x v="8"/>
  </r>
  <r>
    <n v="24"/>
    <x v="1"/>
    <n v="11"/>
    <d v="2022-02-18T00:00:00"/>
    <s v="FA"/>
    <s v="1052/2044"/>
    <s v="kpl"/>
    <n v="123"/>
    <n v="63"/>
    <n v="99"/>
    <x v="23"/>
    <n v="1434.51"/>
    <n v="7671.51"/>
    <x v="9"/>
  </r>
  <r>
    <n v="25"/>
    <x v="9"/>
    <n v="10"/>
    <d v="2022-05-26T00:00:00"/>
    <s v="FA"/>
    <s v="1052/2045"/>
    <s v="kpl"/>
    <n v="124"/>
    <n v="47"/>
    <n v="108"/>
    <x v="24"/>
    <n v="1167.48"/>
    <n v="6243.48"/>
    <x v="10"/>
  </r>
  <r>
    <n v="26"/>
    <x v="14"/>
    <n v="11"/>
    <d v="2022-08-23T00:00:00"/>
    <s v="FA"/>
    <s v="1052/2046"/>
    <s v="kpl"/>
    <n v="125"/>
    <n v="42"/>
    <n v="86"/>
    <x v="25"/>
    <n v="830.76"/>
    <n v="4442.76"/>
    <x v="11"/>
  </r>
  <r>
    <n v="27"/>
    <x v="15"/>
    <n v="12"/>
    <d v="2022-10-06T00:00:00"/>
    <s v="FA"/>
    <s v="1052/2047"/>
    <s v="kpl"/>
    <n v="126"/>
    <n v="47"/>
    <n v="90"/>
    <x v="26"/>
    <n v="972.90000000000009"/>
    <n v="5202.8999999999996"/>
    <x v="5"/>
  </r>
  <r>
    <n v="28"/>
    <x v="10"/>
    <n v="11"/>
    <d v="2022-06-04T00:00:00"/>
    <s v="FA"/>
    <s v="1052/2048"/>
    <s v="kpl"/>
    <n v="127"/>
    <n v="17"/>
    <n v="84"/>
    <x v="27"/>
    <n v="328.44"/>
    <n v="1756.44"/>
    <x v="4"/>
  </r>
  <r>
    <n v="29"/>
    <x v="5"/>
    <n v="13"/>
    <d v="2022-05-09T00:00:00"/>
    <s v="FA"/>
    <s v="1052/2049"/>
    <s v="kpl"/>
    <n v="128"/>
    <n v="35"/>
    <n v="87"/>
    <x v="28"/>
    <n v="700.35"/>
    <n v="3745.35"/>
    <x v="10"/>
  </r>
  <r>
    <n v="30"/>
    <x v="3"/>
    <n v="8"/>
    <d v="2022-01-12T00:00:00"/>
    <s v="FA"/>
    <s v="1052/2050"/>
    <s v="kpl"/>
    <n v="129"/>
    <n v="55"/>
    <n v="88"/>
    <x v="29"/>
    <n v="1113.2"/>
    <n v="5953.2"/>
    <x v="0"/>
  </r>
  <r>
    <n v="31"/>
    <x v="5"/>
    <n v="10"/>
    <d v="2022-08-07T00:00:00"/>
    <s v="FA"/>
    <s v="1052/2051"/>
    <s v="kpl"/>
    <n v="130"/>
    <n v="44"/>
    <n v="87"/>
    <x v="30"/>
    <n v="880.44"/>
    <n v="4708.4400000000005"/>
    <x v="11"/>
  </r>
  <r>
    <n v="32"/>
    <x v="7"/>
    <n v="10"/>
    <d v="2022-02-23T00:00:00"/>
    <s v="FA"/>
    <s v="1052/2052"/>
    <s v="kpl"/>
    <n v="131"/>
    <n v="50"/>
    <n v="96"/>
    <x v="31"/>
    <n v="1104"/>
    <n v="5904"/>
    <x v="9"/>
  </r>
  <r>
    <n v="33"/>
    <x v="10"/>
    <n v="14"/>
    <d v="2022-11-11T00:00:00"/>
    <s v="FA"/>
    <s v="1052/2053"/>
    <s v="kpl"/>
    <n v="132"/>
    <n v="36"/>
    <n v="84"/>
    <x v="32"/>
    <n v="695.52"/>
    <n v="3719.52"/>
    <x v="8"/>
  </r>
  <r>
    <n v="34"/>
    <x v="14"/>
    <n v="9"/>
    <d v="2022-04-26T00:00:00"/>
    <s v="FA"/>
    <s v="1052/2054"/>
    <s v="kpl"/>
    <n v="133"/>
    <n v="38"/>
    <n v="86"/>
    <x v="33"/>
    <n v="751.64"/>
    <n v="4019.64"/>
    <x v="1"/>
  </r>
  <r>
    <n v="35"/>
    <x v="16"/>
    <n v="12"/>
    <d v="2022-11-07T00:00:00"/>
    <s v="FA"/>
    <s v="1052/2055"/>
    <s v="kpl"/>
    <n v="134"/>
    <n v="59"/>
    <n v="132"/>
    <x v="34"/>
    <n v="1791.24"/>
    <n v="9579.24"/>
    <x v="8"/>
  </r>
  <r>
    <n v="36"/>
    <x v="17"/>
    <n v="9"/>
    <d v="2022-08-07T00:00:00"/>
    <s v="FA"/>
    <s v="1052/2056"/>
    <s v="kpl"/>
    <n v="135"/>
    <n v="64"/>
    <n v="94"/>
    <x v="35"/>
    <n v="1383.68"/>
    <n v="7399.68"/>
    <x v="11"/>
  </r>
  <r>
    <n v="37"/>
    <x v="3"/>
    <n v="11"/>
    <d v="2022-12-03T00:00:00"/>
    <s v="FA"/>
    <s v="1052/2057"/>
    <s v="kpl"/>
    <n v="136"/>
    <n v="59"/>
    <n v="88"/>
    <x v="36"/>
    <n v="1194.1600000000001"/>
    <n v="6386.16"/>
    <x v="2"/>
  </r>
  <r>
    <n v="38"/>
    <x v="18"/>
    <n v="10"/>
    <d v="2022-07-23T00:00:00"/>
    <s v="FA"/>
    <s v="1052/2058"/>
    <s v="kpl"/>
    <n v="137"/>
    <n v="60"/>
    <n v="109"/>
    <x v="37"/>
    <n v="1504.2"/>
    <n v="8044.2"/>
    <x v="6"/>
  </r>
  <r>
    <n v="39"/>
    <x v="4"/>
    <n v="4"/>
    <d v="2022-11-10T00:00:00"/>
    <s v="FA"/>
    <s v="1052/2059"/>
    <s v="kpl"/>
    <n v="138"/>
    <n v="61"/>
    <n v="85"/>
    <x v="38"/>
    <n v="1192.55"/>
    <n v="6377.55"/>
    <x v="8"/>
  </r>
  <r>
    <n v="40"/>
    <x v="6"/>
    <n v="11"/>
    <d v="2022-08-16T00:00:00"/>
    <s v="FA"/>
    <s v="1052/2060"/>
    <s v="kpl"/>
    <n v="139"/>
    <n v="41"/>
    <n v="84"/>
    <x v="39"/>
    <n v="792.12"/>
    <n v="4236.12"/>
    <x v="11"/>
  </r>
  <r>
    <n v="41"/>
    <x v="3"/>
    <n v="5"/>
    <d v="2022-09-17T00:00:00"/>
    <s v="FA"/>
    <s v="1052/2061"/>
    <s v="kpl"/>
    <n v="140"/>
    <n v="48"/>
    <n v="88"/>
    <x v="40"/>
    <n v="971.5200000000001"/>
    <n v="5195.5200000000004"/>
    <x v="7"/>
  </r>
  <r>
    <n v="42"/>
    <x v="18"/>
    <n v="8"/>
    <d v="2022-06-09T00:00:00"/>
    <s v="FA"/>
    <s v="1052/2062"/>
    <s v="kpl"/>
    <n v="141"/>
    <n v="46"/>
    <n v="109"/>
    <x v="41"/>
    <n v="1153.22"/>
    <n v="6167.22"/>
    <x v="4"/>
  </r>
  <r>
    <n v="43"/>
    <x v="6"/>
    <n v="10"/>
    <d v="2022-07-07T00:00:00"/>
    <s v="FA"/>
    <s v="1052/2063"/>
    <s v="kpl"/>
    <n v="142"/>
    <n v="55"/>
    <n v="84"/>
    <x v="42"/>
    <n v="1062.6000000000001"/>
    <n v="5682.6"/>
    <x v="6"/>
  </r>
  <r>
    <n v="44"/>
    <x v="14"/>
    <n v="10"/>
    <d v="2022-07-20T00:00:00"/>
    <s v="FA"/>
    <s v="1052/2064"/>
    <s v="kpl"/>
    <n v="143"/>
    <n v="64"/>
    <n v="86"/>
    <x v="43"/>
    <n v="1265.92"/>
    <n v="6769.92"/>
    <x v="6"/>
  </r>
  <r>
    <n v="45"/>
    <x v="2"/>
    <n v="8"/>
    <d v="2022-10-09T00:00:00"/>
    <s v="FA"/>
    <s v="1052/2065"/>
    <s v="kpl"/>
    <n v="144"/>
    <n v="34"/>
    <n v="84"/>
    <x v="44"/>
    <n v="656.88"/>
    <n v="3512.88"/>
    <x v="5"/>
  </r>
  <r>
    <n v="46"/>
    <x v="19"/>
    <n v="11"/>
    <d v="2022-09-16T00:00:00"/>
    <s v="FA"/>
    <s v="1052/2066"/>
    <s v="kpl"/>
    <n v="145"/>
    <n v="34"/>
    <n v="121"/>
    <x v="45"/>
    <n v="946.22"/>
    <n v="5060.22"/>
    <x v="7"/>
  </r>
  <r>
    <n v="47"/>
    <x v="10"/>
    <n v="7"/>
    <d v="2022-04-14T00:00:00"/>
    <s v="FA"/>
    <s v="1052/2067"/>
    <s v="kpl"/>
    <n v="146"/>
    <n v="59"/>
    <n v="84"/>
    <x v="46"/>
    <n v="1139.8800000000001"/>
    <n v="6095.88"/>
    <x v="1"/>
  </r>
  <r>
    <n v="48"/>
    <x v="0"/>
    <n v="11"/>
    <d v="2022-08-01T00:00:00"/>
    <s v="FA"/>
    <s v="1052/2068"/>
    <s v="kpl"/>
    <n v="147"/>
    <n v="55"/>
    <n v="83"/>
    <x v="47"/>
    <n v="1049.95"/>
    <n v="5614.95"/>
    <x v="11"/>
  </r>
  <r>
    <n v="49"/>
    <x v="4"/>
    <n v="13"/>
    <d v="2022-02-21T00:00:00"/>
    <s v="FA"/>
    <s v="1052/2069"/>
    <s v="kpl"/>
    <n v="148"/>
    <n v="49"/>
    <n v="85"/>
    <x v="48"/>
    <n v="957.95"/>
    <n v="5122.95"/>
    <x v="9"/>
  </r>
  <r>
    <n v="50"/>
    <x v="5"/>
    <n v="7"/>
    <d v="2022-03-08T00:00:00"/>
    <s v="FA"/>
    <s v="1052/2070"/>
    <s v="kpl"/>
    <n v="149"/>
    <n v="41"/>
    <n v="87"/>
    <x v="49"/>
    <n v="820.41000000000008"/>
    <n v="4387.41"/>
    <x v="3"/>
  </r>
  <r>
    <n v="51"/>
    <x v="19"/>
    <n v="15"/>
    <d v="2022-02-06T00:00:00"/>
    <s v="FA"/>
    <s v="1052/2071"/>
    <s v="kpl"/>
    <n v="150"/>
    <n v="45"/>
    <n v="121"/>
    <x v="50"/>
    <n v="1252.3500000000001"/>
    <n v="6697.35"/>
    <x v="9"/>
  </r>
  <r>
    <n v="52"/>
    <x v="20"/>
    <n v="8"/>
    <d v="2022-04-02T00:00:00"/>
    <s v="FA"/>
    <s v="1052/2072"/>
    <s v="kpl"/>
    <n v="151"/>
    <n v="47"/>
    <n v="104"/>
    <x v="51"/>
    <n v="1124.24"/>
    <n v="6012.24"/>
    <x v="1"/>
  </r>
  <r>
    <n v="53"/>
    <x v="21"/>
    <n v="9"/>
    <d v="2022-06-08T00:00:00"/>
    <s v="FA"/>
    <s v="1052/2073"/>
    <s v="kpl"/>
    <n v="152"/>
    <n v="57"/>
    <n v="87"/>
    <x v="52"/>
    <n v="1140.57"/>
    <n v="6099.57"/>
    <x v="4"/>
  </r>
  <r>
    <n v="54"/>
    <x v="1"/>
    <n v="12"/>
    <d v="2022-09-17T00:00:00"/>
    <s v="FA"/>
    <s v="1052/2074"/>
    <s v="kpl"/>
    <n v="153"/>
    <n v="50"/>
    <n v="99"/>
    <x v="53"/>
    <n v="1138.5"/>
    <n v="6088.5"/>
    <x v="7"/>
  </r>
  <r>
    <n v="55"/>
    <x v="12"/>
    <n v="10"/>
    <d v="2022-05-13T00:00:00"/>
    <s v="FA"/>
    <s v="1052/2075"/>
    <s v="kpl"/>
    <n v="154"/>
    <n v="39"/>
    <n v="91"/>
    <x v="54"/>
    <n v="816.27"/>
    <n v="4365.2700000000004"/>
    <x v="10"/>
  </r>
  <r>
    <n v="56"/>
    <x v="10"/>
    <n v="13"/>
    <d v="2022-12-27T00:00:00"/>
    <s v="FA"/>
    <s v="1052/2076"/>
    <s v="kpl"/>
    <n v="155"/>
    <n v="47"/>
    <n v="84"/>
    <x v="55"/>
    <n v="908.04000000000008"/>
    <n v="4856.04"/>
    <x v="2"/>
  </r>
  <r>
    <n v="57"/>
    <x v="16"/>
    <n v="5"/>
    <d v="2022-06-21T00:00:00"/>
    <s v="FA"/>
    <s v="1052/2077"/>
    <s v="kpl"/>
    <n v="156"/>
    <n v="48"/>
    <n v="132"/>
    <x v="56"/>
    <n v="1457.28"/>
    <n v="7793.28"/>
    <x v="4"/>
  </r>
  <r>
    <n v="58"/>
    <x v="11"/>
    <n v="9"/>
    <d v="2022-12-26T00:00:00"/>
    <s v="FA"/>
    <s v="1052/2078"/>
    <s v="kpl"/>
    <n v="157"/>
    <n v="27"/>
    <n v="93"/>
    <x v="57"/>
    <n v="577.53"/>
    <n v="3088.5299999999997"/>
    <x v="2"/>
  </r>
  <r>
    <n v="59"/>
    <x v="0"/>
    <n v="10"/>
    <d v="2022-07-23T00:00:00"/>
    <s v="FA"/>
    <s v="1052/2079"/>
    <s v="kpl"/>
    <n v="158"/>
    <n v="52"/>
    <n v="83"/>
    <x v="58"/>
    <n v="992.68000000000006"/>
    <n v="5308.68"/>
    <x v="6"/>
  </r>
  <r>
    <n v="60"/>
    <x v="18"/>
    <n v="8"/>
    <d v="2022-09-24T00:00:00"/>
    <s v="FA"/>
    <s v="1052/2080"/>
    <s v="kpl"/>
    <n v="159"/>
    <n v="68"/>
    <n v="109"/>
    <x v="59"/>
    <n v="1704.76"/>
    <n v="9116.76"/>
    <x v="7"/>
  </r>
  <r>
    <n v="61"/>
    <x v="22"/>
    <n v="14"/>
    <d v="2022-06-14T00:00:00"/>
    <s v="FA"/>
    <s v="1052/2081"/>
    <s v="kpl"/>
    <n v="160"/>
    <n v="42"/>
    <n v="125"/>
    <x v="60"/>
    <n v="1207.5"/>
    <n v="6457.5"/>
    <x v="4"/>
  </r>
  <r>
    <n v="62"/>
    <x v="3"/>
    <n v="9"/>
    <d v="2022-11-22T00:00:00"/>
    <s v="FA"/>
    <s v="1052/2082"/>
    <s v="kpl"/>
    <n v="161"/>
    <n v="53"/>
    <n v="88"/>
    <x v="61"/>
    <n v="1072.72"/>
    <n v="5736.72"/>
    <x v="8"/>
  </r>
  <r>
    <n v="63"/>
    <x v="23"/>
    <n v="8"/>
    <d v="2022-11-21T00:00:00"/>
    <s v="FA"/>
    <s v="1052/2083"/>
    <s v="kpl"/>
    <n v="162"/>
    <n v="59"/>
    <n v="105"/>
    <x v="62"/>
    <n v="1424.8500000000001"/>
    <n v="7619.85"/>
    <x v="8"/>
  </r>
  <r>
    <n v="64"/>
    <x v="8"/>
    <n v="8"/>
    <d v="2022-07-04T00:00:00"/>
    <s v="FA"/>
    <s v="1052/2084"/>
    <s v="kpl"/>
    <n v="163"/>
    <n v="53"/>
    <n v="89"/>
    <x v="63"/>
    <n v="1084.9100000000001"/>
    <n v="5801.91"/>
    <x v="6"/>
  </r>
  <r>
    <n v="65"/>
    <x v="0"/>
    <n v="11"/>
    <d v="2022-02-13T00:00:00"/>
    <s v="FA"/>
    <s v="1052/2085"/>
    <s v="kpl"/>
    <n v="164"/>
    <n v="55"/>
    <n v="83"/>
    <x v="47"/>
    <n v="1049.95"/>
    <n v="5614.95"/>
    <x v="9"/>
  </r>
  <r>
    <n v="66"/>
    <x v="14"/>
    <n v="10"/>
    <d v="2022-05-25T00:00:00"/>
    <s v="FA"/>
    <s v="1052/2086"/>
    <s v="kpl"/>
    <n v="165"/>
    <n v="39"/>
    <n v="86"/>
    <x v="64"/>
    <n v="771.42000000000007"/>
    <n v="4125.42"/>
    <x v="10"/>
  </r>
  <r>
    <n v="67"/>
    <x v="3"/>
    <n v="10"/>
    <d v="2022-12-21T00:00:00"/>
    <s v="FA"/>
    <s v="1052/2087"/>
    <s v="kpl"/>
    <n v="166"/>
    <n v="63"/>
    <n v="88"/>
    <x v="65"/>
    <n v="1275.1200000000001"/>
    <n v="6819.12"/>
    <x v="2"/>
  </r>
  <r>
    <n v="68"/>
    <x v="21"/>
    <n v="9"/>
    <d v="2022-08-04T00:00:00"/>
    <s v="FA"/>
    <s v="1052/2088"/>
    <s v="kpl"/>
    <n v="167"/>
    <n v="35"/>
    <n v="87"/>
    <x v="28"/>
    <n v="700.35"/>
    <n v="3745.35"/>
    <x v="11"/>
  </r>
  <r>
    <n v="69"/>
    <x v="2"/>
    <n v="13"/>
    <d v="2022-02-18T00:00:00"/>
    <s v="FA"/>
    <s v="1052/2089"/>
    <s v="kpl"/>
    <n v="168"/>
    <n v="48"/>
    <n v="84"/>
    <x v="66"/>
    <n v="927.36"/>
    <n v="4959.3599999999997"/>
    <x v="9"/>
  </r>
  <r>
    <n v="70"/>
    <x v="6"/>
    <n v="10"/>
    <d v="2022-08-19T00:00:00"/>
    <s v="FA"/>
    <s v="1052/2090"/>
    <s v="kpl"/>
    <n v="169"/>
    <n v="62"/>
    <n v="84"/>
    <x v="67"/>
    <n v="1197.8400000000001"/>
    <n v="6405.84"/>
    <x v="11"/>
  </r>
  <r>
    <n v="71"/>
    <x v="20"/>
    <n v="11"/>
    <d v="2022-01-22T00:00:00"/>
    <s v="FA"/>
    <s v="1052/2091"/>
    <s v="kpl"/>
    <n v="170"/>
    <n v="39"/>
    <n v="104"/>
    <x v="68"/>
    <n v="932.88"/>
    <n v="4988.88"/>
    <x v="0"/>
  </r>
  <r>
    <n v="72"/>
    <x v="24"/>
    <n v="11"/>
    <d v="2022-01-14T00:00:00"/>
    <s v="FA"/>
    <s v="1052/2092"/>
    <s v="kpl"/>
    <n v="171"/>
    <n v="41"/>
    <n v="129"/>
    <x v="69"/>
    <n v="1216.47"/>
    <n v="6505.47"/>
    <x v="0"/>
  </r>
  <r>
    <n v="73"/>
    <x v="3"/>
    <n v="12"/>
    <d v="2022-04-20T00:00:00"/>
    <s v="FA"/>
    <s v="1052/2093"/>
    <s v="kpl"/>
    <n v="172"/>
    <n v="51"/>
    <n v="88"/>
    <x v="19"/>
    <n v="1032.24"/>
    <n v="5520.24"/>
    <x v="1"/>
  </r>
  <r>
    <n v="74"/>
    <x v="22"/>
    <n v="11"/>
    <d v="2022-10-04T00:00:00"/>
    <s v="FA"/>
    <s v="1052/2094"/>
    <s v="kpl"/>
    <n v="173"/>
    <n v="59"/>
    <n v="125"/>
    <x v="70"/>
    <n v="1696.25"/>
    <n v="9071.25"/>
    <x v="5"/>
  </r>
  <r>
    <n v="75"/>
    <x v="3"/>
    <n v="10"/>
    <d v="2022-09-25T00:00:00"/>
    <s v="FA"/>
    <s v="1052/2095"/>
    <s v="kpl"/>
    <n v="174"/>
    <n v="56"/>
    <n v="88"/>
    <x v="71"/>
    <n v="1133.44"/>
    <n v="6061.4400000000005"/>
    <x v="7"/>
  </r>
  <r>
    <n v="76"/>
    <x v="12"/>
    <n v="10"/>
    <d v="2022-01-20T00:00:00"/>
    <s v="FA"/>
    <s v="1052/2096"/>
    <s v="kpl"/>
    <n v="175"/>
    <n v="57"/>
    <n v="91"/>
    <x v="72"/>
    <n v="1193.01"/>
    <n v="6380.01"/>
    <x v="0"/>
  </r>
  <r>
    <n v="77"/>
    <x v="14"/>
    <n v="8"/>
    <d v="2022-02-24T00:00:00"/>
    <s v="FA"/>
    <s v="1052/2097"/>
    <s v="kpl"/>
    <n v="176"/>
    <n v="48"/>
    <n v="86"/>
    <x v="73"/>
    <n v="949.44"/>
    <n v="5077.4400000000005"/>
    <x v="9"/>
  </r>
  <r>
    <n v="78"/>
    <x v="2"/>
    <n v="8"/>
    <d v="2022-10-02T00:00:00"/>
    <s v="FA"/>
    <s v="1052/2098"/>
    <s v="kpl"/>
    <n v="177"/>
    <n v="49"/>
    <n v="84"/>
    <x v="74"/>
    <n v="946.68000000000006"/>
    <n v="5062.68"/>
    <x v="5"/>
  </r>
  <r>
    <n v="79"/>
    <x v="0"/>
    <n v="11"/>
    <d v="2022-03-12T00:00:00"/>
    <s v="FA"/>
    <s v="1052/2099"/>
    <s v="kpl"/>
    <n v="178"/>
    <n v="36"/>
    <n v="83"/>
    <x v="75"/>
    <n v="687.24"/>
    <n v="3675.24"/>
    <x v="3"/>
  </r>
  <r>
    <n v="80"/>
    <x v="22"/>
    <n v="8"/>
    <d v="2022-10-14T00:00:00"/>
    <s v="FA"/>
    <s v="1052/2100"/>
    <s v="kpl"/>
    <n v="179"/>
    <n v="58"/>
    <n v="125"/>
    <x v="76"/>
    <n v="1667.5"/>
    <n v="8917.5"/>
    <x v="5"/>
  </r>
  <r>
    <n v="81"/>
    <x v="17"/>
    <n v="13"/>
    <d v="2022-11-22T00:00:00"/>
    <s v="FA"/>
    <s v="1052/2101"/>
    <s v="kpl"/>
    <n v="180"/>
    <n v="52"/>
    <n v="94"/>
    <x v="51"/>
    <n v="1124.24"/>
    <n v="6012.24"/>
    <x v="8"/>
  </r>
  <r>
    <n v="82"/>
    <x v="18"/>
    <n v="8"/>
    <d v="2022-07-10T00:00:00"/>
    <s v="FA"/>
    <s v="1052/2102"/>
    <s v="kpl"/>
    <n v="181"/>
    <n v="47"/>
    <n v="109"/>
    <x v="77"/>
    <n v="1178.29"/>
    <n v="6301.29"/>
    <x v="6"/>
  </r>
  <r>
    <n v="83"/>
    <x v="6"/>
    <n v="10"/>
    <d v="2022-10-12T00:00:00"/>
    <s v="FA"/>
    <s v="1052/2103"/>
    <s v="kpl"/>
    <n v="182"/>
    <n v="58"/>
    <n v="84"/>
    <x v="78"/>
    <n v="1120.56"/>
    <n v="5992.5599999999995"/>
    <x v="5"/>
  </r>
  <r>
    <n v="84"/>
    <x v="0"/>
    <n v="12"/>
    <d v="2022-08-14T00:00:00"/>
    <s v="FA"/>
    <s v="1052/2104"/>
    <s v="kpl"/>
    <n v="183"/>
    <n v="54"/>
    <n v="83"/>
    <x v="79"/>
    <n v="1030.8600000000001"/>
    <n v="5512.8600000000006"/>
    <x v="11"/>
  </r>
  <r>
    <n v="85"/>
    <x v="8"/>
    <n v="12"/>
    <d v="2022-09-06T00:00:00"/>
    <s v="FA"/>
    <s v="1052/2105"/>
    <s v="kpl"/>
    <n v="184"/>
    <n v="42"/>
    <n v="89"/>
    <x v="80"/>
    <n v="859.74"/>
    <n v="4597.74"/>
    <x v="7"/>
  </r>
  <r>
    <n v="86"/>
    <x v="20"/>
    <n v="12"/>
    <d v="2022-06-23T00:00:00"/>
    <s v="FA"/>
    <s v="1052/2106"/>
    <s v="kpl"/>
    <n v="185"/>
    <n v="46"/>
    <n v="104"/>
    <x v="81"/>
    <n v="1100.32"/>
    <n v="5884.32"/>
    <x v="4"/>
  </r>
  <r>
    <n v="87"/>
    <x v="17"/>
    <n v="6"/>
    <d v="2022-06-18T00:00:00"/>
    <s v="FA"/>
    <s v="1052/2107"/>
    <s v="kpl"/>
    <n v="186"/>
    <n v="58"/>
    <n v="94"/>
    <x v="82"/>
    <n v="1253.96"/>
    <n v="6705.96"/>
    <x v="4"/>
  </r>
  <r>
    <n v="88"/>
    <x v="18"/>
    <n v="10"/>
    <d v="2022-12-03T00:00:00"/>
    <s v="FA"/>
    <s v="1052/2108"/>
    <s v="kpl"/>
    <n v="187"/>
    <n v="60"/>
    <n v="109"/>
    <x v="37"/>
    <n v="1504.2"/>
    <n v="8044.2"/>
    <x v="2"/>
  </r>
  <r>
    <n v="89"/>
    <x v="17"/>
    <n v="12"/>
    <d v="2022-02-14T00:00:00"/>
    <s v="FA"/>
    <s v="1052/2109"/>
    <s v="kpl"/>
    <n v="188"/>
    <n v="47"/>
    <n v="94"/>
    <x v="83"/>
    <n v="1016.1400000000001"/>
    <n v="5434.14"/>
    <x v="9"/>
  </r>
  <r>
    <n v="90"/>
    <x v="20"/>
    <n v="9"/>
    <d v="2022-05-02T00:00:00"/>
    <s v="FA"/>
    <s v="1052/2110"/>
    <s v="kpl"/>
    <n v="189"/>
    <n v="46"/>
    <n v="104"/>
    <x v="81"/>
    <n v="1100.32"/>
    <n v="5884.32"/>
    <x v="10"/>
  </r>
  <r>
    <n v="91"/>
    <x v="23"/>
    <n v="12"/>
    <d v="2022-12-12T00:00:00"/>
    <s v="FA"/>
    <s v="1052/2111"/>
    <s v="kpl"/>
    <n v="190"/>
    <n v="32"/>
    <n v="105"/>
    <x v="84"/>
    <n v="772.80000000000007"/>
    <n v="4132.8"/>
    <x v="2"/>
  </r>
  <r>
    <n v="92"/>
    <x v="2"/>
    <n v="10"/>
    <d v="2022-10-25T00:00:00"/>
    <s v="FA"/>
    <s v="1052/2112"/>
    <s v="kpl"/>
    <n v="191"/>
    <n v="58"/>
    <n v="84"/>
    <x v="78"/>
    <n v="1120.56"/>
    <n v="5992.5599999999995"/>
    <x v="5"/>
  </r>
  <r>
    <n v="93"/>
    <x v="12"/>
    <n v="10"/>
    <d v="2022-08-18T00:00:00"/>
    <s v="FA"/>
    <s v="1052/2113"/>
    <s v="kpl"/>
    <n v="192"/>
    <n v="38"/>
    <n v="91"/>
    <x v="15"/>
    <n v="795.34"/>
    <n v="4253.34"/>
    <x v="11"/>
  </r>
  <r>
    <n v="94"/>
    <x v="14"/>
    <n v="9"/>
    <d v="2022-10-20T00:00:00"/>
    <s v="FA"/>
    <s v="1052/2114"/>
    <s v="kpl"/>
    <n v="193"/>
    <n v="38"/>
    <n v="86"/>
    <x v="33"/>
    <n v="751.64"/>
    <n v="4019.64"/>
    <x v="5"/>
  </r>
  <r>
    <n v="95"/>
    <x v="0"/>
    <n v="6"/>
    <d v="2022-09-11T00:00:00"/>
    <s v="FA"/>
    <s v="1052/2115"/>
    <s v="kpl"/>
    <n v="194"/>
    <n v="43"/>
    <n v="83"/>
    <x v="0"/>
    <n v="820.87"/>
    <n v="4389.87"/>
    <x v="7"/>
  </r>
  <r>
    <n v="96"/>
    <x v="10"/>
    <n v="7"/>
    <d v="2022-09-16T00:00:00"/>
    <s v="FA"/>
    <s v="1052/2116"/>
    <s v="kpl"/>
    <n v="195"/>
    <n v="43"/>
    <n v="84"/>
    <x v="25"/>
    <n v="830.76"/>
    <n v="4442.76"/>
    <x v="7"/>
  </r>
  <r>
    <n v="97"/>
    <x v="16"/>
    <n v="8"/>
    <d v="2022-01-12T00:00:00"/>
    <s v="FA"/>
    <s v="1052/2117"/>
    <s v="kpl"/>
    <n v="196"/>
    <n v="45"/>
    <n v="132"/>
    <x v="85"/>
    <n v="1366.2"/>
    <n v="7306.2"/>
    <x v="0"/>
  </r>
  <r>
    <n v="98"/>
    <x v="0"/>
    <n v="14"/>
    <d v="2022-07-22T00:00:00"/>
    <s v="FA"/>
    <s v="1052/2118"/>
    <s v="kpl"/>
    <n v="197"/>
    <n v="60"/>
    <n v="83"/>
    <x v="86"/>
    <n v="1145.4000000000001"/>
    <n v="6125.4"/>
    <x v="6"/>
  </r>
  <r>
    <n v="99"/>
    <x v="0"/>
    <n v="7"/>
    <d v="2022-04-22T00:00:00"/>
    <s v="FA"/>
    <s v="1052/2119"/>
    <s v="kpl"/>
    <n v="198"/>
    <n v="61"/>
    <n v="83"/>
    <x v="87"/>
    <n v="1164.49"/>
    <n v="6227.49"/>
    <x v="1"/>
  </r>
  <r>
    <n v="100"/>
    <x v="2"/>
    <n v="6"/>
    <d v="2022-05-15T00:00:00"/>
    <s v="FA"/>
    <s v="1052/2120"/>
    <s v="kpl"/>
    <n v="199"/>
    <n v="63"/>
    <n v="84"/>
    <x v="88"/>
    <n v="1217.1600000000001"/>
    <n v="6509.16"/>
    <x v="10"/>
  </r>
  <r>
    <n v="101"/>
    <x v="21"/>
    <n v="5"/>
    <d v="2022-07-12T00:00:00"/>
    <s v="FA"/>
    <s v="1052/2121"/>
    <s v="kpl"/>
    <n v="200"/>
    <n v="65"/>
    <n v="87"/>
    <x v="89"/>
    <n v="1300.6500000000001"/>
    <n v="6955.65"/>
    <x v="6"/>
  </r>
  <r>
    <n v="102"/>
    <x v="1"/>
    <n v="8"/>
    <d v="2022-05-04T00:00:00"/>
    <s v="FA"/>
    <s v="1052/2122"/>
    <s v="kpl"/>
    <n v="201"/>
    <n v="44"/>
    <n v="99"/>
    <x v="90"/>
    <n v="1001.88"/>
    <n v="5357.88"/>
    <x v="10"/>
  </r>
  <r>
    <n v="103"/>
    <x v="4"/>
    <n v="13"/>
    <d v="2022-10-12T00:00:00"/>
    <s v="FA"/>
    <s v="1052/2123"/>
    <s v="kpl"/>
    <n v="202"/>
    <n v="35"/>
    <n v="85"/>
    <x v="91"/>
    <n v="684.25"/>
    <n v="3659.25"/>
    <x v="5"/>
  </r>
  <r>
    <n v="104"/>
    <x v="22"/>
    <n v="13"/>
    <d v="2022-10-06T00:00:00"/>
    <s v="FA"/>
    <s v="1052/2124"/>
    <s v="kpl"/>
    <n v="203"/>
    <n v="43"/>
    <n v="125"/>
    <x v="92"/>
    <n v="1236.25"/>
    <n v="6611.25"/>
    <x v="5"/>
  </r>
  <r>
    <n v="105"/>
    <x v="13"/>
    <n v="9"/>
    <d v="2022-02-16T00:00:00"/>
    <s v="FA"/>
    <s v="1052/2125"/>
    <s v="kpl"/>
    <n v="204"/>
    <n v="49"/>
    <n v="88"/>
    <x v="93"/>
    <n v="991.76"/>
    <n v="5303.76"/>
    <x v="9"/>
  </r>
  <r>
    <n v="106"/>
    <x v="6"/>
    <n v="11"/>
    <d v="2022-08-11T00:00:00"/>
    <s v="FA"/>
    <s v="1052/2126"/>
    <s v="kpl"/>
    <n v="205"/>
    <n v="33"/>
    <n v="84"/>
    <x v="94"/>
    <n v="637.56000000000006"/>
    <n v="3409.56"/>
    <x v="11"/>
  </r>
  <r>
    <n v="107"/>
    <x v="18"/>
    <n v="9"/>
    <d v="2022-08-20T00:00:00"/>
    <s v="FA"/>
    <s v="1052/2127"/>
    <s v="kpl"/>
    <n v="206"/>
    <n v="50"/>
    <n v="109"/>
    <x v="95"/>
    <n v="1253.5"/>
    <n v="6703.5"/>
    <x v="11"/>
  </r>
  <r>
    <n v="108"/>
    <x v="5"/>
    <n v="10"/>
    <d v="2022-05-28T00:00:00"/>
    <s v="FA"/>
    <s v="1052/2128"/>
    <s v="kpl"/>
    <n v="207"/>
    <n v="49"/>
    <n v="87"/>
    <x v="96"/>
    <n v="980.49"/>
    <n v="5243.49"/>
    <x v="10"/>
  </r>
  <r>
    <n v="109"/>
    <x v="3"/>
    <n v="10"/>
    <d v="2022-12-23T00:00:00"/>
    <s v="FA"/>
    <s v="1052/2129"/>
    <s v="kpl"/>
    <n v="208"/>
    <n v="58"/>
    <n v="88"/>
    <x v="97"/>
    <n v="1173.92"/>
    <n v="6277.92"/>
    <x v="2"/>
  </r>
  <r>
    <n v="110"/>
    <x v="13"/>
    <n v="11"/>
    <d v="2022-11-09T00:00:00"/>
    <s v="FA"/>
    <s v="1052/2130"/>
    <s v="kpl"/>
    <n v="209"/>
    <n v="50"/>
    <n v="88"/>
    <x v="98"/>
    <n v="1012"/>
    <n v="5412"/>
    <x v="8"/>
  </r>
  <r>
    <n v="111"/>
    <x v="14"/>
    <n v="9"/>
    <d v="2022-05-09T00:00:00"/>
    <s v="FA"/>
    <s v="1052/2131"/>
    <s v="kpl"/>
    <n v="210"/>
    <n v="46"/>
    <n v="86"/>
    <x v="99"/>
    <n v="909.88"/>
    <n v="4865.88"/>
    <x v="10"/>
  </r>
  <r>
    <n v="112"/>
    <x v="5"/>
    <n v="12"/>
    <d v="2022-01-03T00:00:00"/>
    <s v="FA"/>
    <s v="1052/2132"/>
    <s v="kpl"/>
    <n v="211"/>
    <n v="56"/>
    <n v="87"/>
    <x v="78"/>
    <n v="1120.56"/>
    <n v="5992.5599999999995"/>
    <x v="0"/>
  </r>
  <r>
    <n v="113"/>
    <x v="20"/>
    <n v="13"/>
    <d v="2022-08-20T00:00:00"/>
    <s v="FA"/>
    <s v="1052/2133"/>
    <s v="kpl"/>
    <n v="212"/>
    <n v="56"/>
    <n v="104"/>
    <x v="100"/>
    <n v="1339.52"/>
    <n v="7163.52"/>
    <x v="11"/>
  </r>
  <r>
    <n v="114"/>
    <x v="11"/>
    <n v="10"/>
    <d v="2022-09-26T00:00:00"/>
    <s v="FA"/>
    <s v="1052/2134"/>
    <s v="kpl"/>
    <n v="213"/>
    <n v="62"/>
    <n v="93"/>
    <x v="101"/>
    <n v="1326.18"/>
    <n v="7092.18"/>
    <x v="7"/>
  </r>
  <r>
    <n v="115"/>
    <x v="6"/>
    <n v="9"/>
    <d v="2022-10-16T00:00:00"/>
    <s v="FA"/>
    <s v="1052/2135"/>
    <s v="kpl"/>
    <n v="214"/>
    <n v="48"/>
    <n v="84"/>
    <x v="66"/>
    <n v="927.36"/>
    <n v="4959.3599999999997"/>
    <x v="5"/>
  </r>
  <r>
    <n v="116"/>
    <x v="16"/>
    <n v="7"/>
    <d v="2022-07-06T00:00:00"/>
    <s v="FA"/>
    <s v="1052/2136"/>
    <s v="kpl"/>
    <n v="215"/>
    <n v="48"/>
    <n v="132"/>
    <x v="56"/>
    <n v="1457.28"/>
    <n v="7793.28"/>
    <x v="6"/>
  </r>
  <r>
    <n v="117"/>
    <x v="18"/>
    <n v="7"/>
    <d v="2022-09-06T00:00:00"/>
    <s v="FA"/>
    <s v="1052/2137"/>
    <s v="kpl"/>
    <n v="216"/>
    <n v="45"/>
    <n v="109"/>
    <x v="102"/>
    <n v="1128.1500000000001"/>
    <n v="6033.15"/>
    <x v="7"/>
  </r>
  <r>
    <n v="118"/>
    <x v="5"/>
    <n v="9"/>
    <d v="2022-04-27T00:00:00"/>
    <s v="FA"/>
    <s v="1052/2138"/>
    <s v="kpl"/>
    <n v="217"/>
    <n v="36"/>
    <n v="87"/>
    <x v="103"/>
    <n v="720.36"/>
    <n v="3852.36"/>
    <x v="1"/>
  </r>
  <r>
    <n v="119"/>
    <x v="3"/>
    <n v="12"/>
    <d v="2022-06-18T00:00:00"/>
    <s v="FA"/>
    <s v="1052/2139"/>
    <s v="kpl"/>
    <n v="218"/>
    <n v="55"/>
    <n v="88"/>
    <x v="29"/>
    <n v="1113.2"/>
    <n v="5953.2"/>
    <x v="4"/>
  </r>
  <r>
    <n v="120"/>
    <x v="10"/>
    <n v="10"/>
    <d v="2022-01-13T00:00:00"/>
    <s v="FA"/>
    <s v="1052/2140"/>
    <s v="kpl"/>
    <n v="219"/>
    <n v="39"/>
    <n v="84"/>
    <x v="104"/>
    <n v="753.48"/>
    <n v="4029.48"/>
    <x v="0"/>
  </r>
  <r>
    <n v="121"/>
    <x v="10"/>
    <n v="6"/>
    <d v="2022-06-03T00:00:00"/>
    <s v="FA"/>
    <s v="1052/2141"/>
    <s v="kpl"/>
    <n v="220"/>
    <n v="67"/>
    <n v="84"/>
    <x v="105"/>
    <n v="1294.44"/>
    <n v="6922.4400000000005"/>
    <x v="4"/>
  </r>
  <r>
    <n v="122"/>
    <x v="18"/>
    <n v="7"/>
    <d v="2022-12-07T00:00:00"/>
    <s v="FA"/>
    <s v="1052/2142"/>
    <s v="kpl"/>
    <n v="221"/>
    <n v="51"/>
    <n v="109"/>
    <x v="106"/>
    <n v="1278.5700000000002"/>
    <n v="6837.57"/>
    <x v="2"/>
  </r>
  <r>
    <n v="123"/>
    <x v="3"/>
    <n v="9"/>
    <d v="2022-02-01T00:00:00"/>
    <s v="FA"/>
    <s v="1052/2143"/>
    <s v="kpl"/>
    <n v="222"/>
    <n v="60"/>
    <n v="88"/>
    <x v="9"/>
    <n v="1214.4000000000001"/>
    <n v="6494.4"/>
    <x v="9"/>
  </r>
  <r>
    <n v="124"/>
    <x v="12"/>
    <n v="11"/>
    <d v="2022-09-07T00:00:00"/>
    <s v="FA"/>
    <s v="1052/2144"/>
    <s v="kpl"/>
    <n v="223"/>
    <n v="44"/>
    <n v="91"/>
    <x v="107"/>
    <n v="920.92000000000007"/>
    <n v="4924.92"/>
    <x v="7"/>
  </r>
  <r>
    <n v="125"/>
    <x v="5"/>
    <n v="7"/>
    <d v="2022-09-01T00:00:00"/>
    <s v="FA"/>
    <s v="1052/2145"/>
    <s v="kpl"/>
    <n v="224"/>
    <n v="58"/>
    <n v="87"/>
    <x v="108"/>
    <n v="1160.5800000000002"/>
    <n v="6206.58"/>
    <x v="7"/>
  </r>
  <r>
    <n v="126"/>
    <x v="10"/>
    <n v="11"/>
    <d v="2022-10-16T00:00:00"/>
    <s v="FA"/>
    <s v="1052/2146"/>
    <s v="kpl"/>
    <n v="225"/>
    <n v="45"/>
    <n v="84"/>
    <x v="12"/>
    <n v="869.40000000000009"/>
    <n v="4649.3999999999996"/>
    <x v="5"/>
  </r>
  <r>
    <n v="127"/>
    <x v="12"/>
    <n v="6"/>
    <d v="2022-08-12T00:00:00"/>
    <s v="FA"/>
    <s v="1052/2147"/>
    <s v="kpl"/>
    <n v="226"/>
    <n v="48"/>
    <n v="91"/>
    <x v="109"/>
    <n v="1004.6400000000001"/>
    <n v="5372.64"/>
    <x v="11"/>
  </r>
  <r>
    <n v="128"/>
    <x v="25"/>
    <n v="9"/>
    <d v="2022-02-06T00:00:00"/>
    <s v="FA"/>
    <s v="1052/2148"/>
    <s v="kpl"/>
    <n v="227"/>
    <n v="69"/>
    <n v="59"/>
    <x v="110"/>
    <n v="936.33"/>
    <n v="5007.33"/>
    <x v="9"/>
  </r>
  <r>
    <n v="129"/>
    <x v="6"/>
    <n v="9"/>
    <d v="2022-10-20T00:00:00"/>
    <s v="FA"/>
    <s v="1052/2149"/>
    <s v="kpl"/>
    <n v="228"/>
    <n v="42"/>
    <n v="84"/>
    <x v="7"/>
    <n v="811.44"/>
    <n v="4339.4400000000005"/>
    <x v="5"/>
  </r>
  <r>
    <n v="130"/>
    <x v="18"/>
    <n v="9"/>
    <d v="2022-05-07T00:00:00"/>
    <s v="FA"/>
    <s v="1052/2150"/>
    <s v="kpl"/>
    <n v="229"/>
    <n v="54"/>
    <n v="109"/>
    <x v="111"/>
    <n v="1353.78"/>
    <n v="7239.78"/>
    <x v="10"/>
  </r>
  <r>
    <n v="131"/>
    <x v="18"/>
    <n v="11"/>
    <d v="2022-12-23T00:00:00"/>
    <s v="FA"/>
    <s v="1052/2151"/>
    <s v="kpl"/>
    <n v="230"/>
    <n v="52"/>
    <n v="109"/>
    <x v="112"/>
    <n v="1303.6400000000001"/>
    <n v="6971.64"/>
    <x v="2"/>
  </r>
  <r>
    <n v="132"/>
    <x v="23"/>
    <n v="8"/>
    <d v="2022-05-16T00:00:00"/>
    <s v="FA"/>
    <s v="1052/2152"/>
    <s v="kpl"/>
    <n v="231"/>
    <n v="35"/>
    <n v="105"/>
    <x v="113"/>
    <n v="845.25"/>
    <n v="4520.25"/>
    <x v="10"/>
  </r>
  <r>
    <n v="133"/>
    <x v="21"/>
    <n v="5"/>
    <d v="2022-11-16T00:00:00"/>
    <s v="FA"/>
    <s v="1052/2153"/>
    <s v="kpl"/>
    <n v="232"/>
    <n v="54"/>
    <n v="87"/>
    <x v="114"/>
    <n v="1080.54"/>
    <n v="5778.54"/>
    <x v="8"/>
  </r>
  <r>
    <n v="134"/>
    <x v="16"/>
    <n v="9"/>
    <d v="2022-01-27T00:00:00"/>
    <s v="FA"/>
    <s v="1052/2154"/>
    <s v="kpl"/>
    <n v="233"/>
    <n v="47"/>
    <n v="132"/>
    <x v="115"/>
    <n v="1426.92"/>
    <n v="7630.92"/>
    <x v="0"/>
  </r>
  <r>
    <n v="135"/>
    <x v="15"/>
    <n v="9"/>
    <d v="2022-11-26T00:00:00"/>
    <s v="FA"/>
    <s v="1052/2155"/>
    <s v="kpl"/>
    <n v="234"/>
    <n v="58"/>
    <n v="90"/>
    <x v="6"/>
    <n v="1200.6000000000001"/>
    <n v="6420.6"/>
    <x v="8"/>
  </r>
  <r>
    <n v="136"/>
    <x v="7"/>
    <n v="10"/>
    <d v="2022-03-02T00:00:00"/>
    <s v="FA"/>
    <s v="1052/2156"/>
    <s v="kpl"/>
    <n v="235"/>
    <n v="37"/>
    <n v="96"/>
    <x v="116"/>
    <n v="816.96"/>
    <n v="4368.96"/>
    <x v="3"/>
  </r>
  <r>
    <n v="137"/>
    <x v="26"/>
    <n v="10"/>
    <d v="2022-08-10T00:00:00"/>
    <s v="FA"/>
    <s v="1052/2157"/>
    <s v="kpl"/>
    <n v="236"/>
    <n v="44"/>
    <n v="99"/>
    <x v="90"/>
    <n v="1001.88"/>
    <n v="5357.88"/>
    <x v="11"/>
  </r>
  <r>
    <n v="138"/>
    <x v="21"/>
    <n v="8"/>
    <d v="2022-12-23T00:00:00"/>
    <s v="FA"/>
    <s v="1052/2158"/>
    <s v="kpl"/>
    <n v="237"/>
    <n v="58"/>
    <n v="87"/>
    <x v="108"/>
    <n v="1160.5800000000002"/>
    <n v="6206.58"/>
    <x v="2"/>
  </r>
  <r>
    <n v="139"/>
    <x v="21"/>
    <n v="15"/>
    <d v="2022-11-03T00:00:00"/>
    <s v="FA"/>
    <s v="1052/2159"/>
    <s v="kpl"/>
    <n v="238"/>
    <n v="63"/>
    <n v="87"/>
    <x v="117"/>
    <n v="1260.6300000000001"/>
    <n v="6741.63"/>
    <x v="8"/>
  </r>
  <r>
    <n v="140"/>
    <x v="24"/>
    <n v="8"/>
    <d v="2022-08-18T00:00:00"/>
    <s v="FA"/>
    <s v="1052/2160"/>
    <s v="kpl"/>
    <n v="239"/>
    <n v="61"/>
    <n v="129"/>
    <x v="118"/>
    <n v="1809.8700000000001"/>
    <n v="9678.8700000000008"/>
    <x v="11"/>
  </r>
  <r>
    <n v="141"/>
    <x v="0"/>
    <n v="13"/>
    <d v="2022-07-03T00:00:00"/>
    <s v="FA"/>
    <s v="1052/2161"/>
    <s v="kpl"/>
    <n v="240"/>
    <n v="62"/>
    <n v="83"/>
    <x v="119"/>
    <n v="1183.5800000000002"/>
    <n v="6329.58"/>
    <x v="6"/>
  </r>
  <r>
    <n v="142"/>
    <x v="0"/>
    <n v="8"/>
    <d v="2022-12-16T00:00:00"/>
    <s v="FA"/>
    <s v="1052/2162"/>
    <s v="kpl"/>
    <n v="241"/>
    <n v="66"/>
    <n v="83"/>
    <x v="120"/>
    <n v="1259.94"/>
    <n v="6737.9400000000005"/>
    <x v="2"/>
  </r>
  <r>
    <n v="143"/>
    <x v="26"/>
    <n v="11"/>
    <d v="2022-03-02T00:00:00"/>
    <s v="FA"/>
    <s v="1052/2163"/>
    <s v="kpl"/>
    <n v="242"/>
    <n v="45"/>
    <n v="99"/>
    <x v="121"/>
    <n v="1024.6500000000001"/>
    <n v="5479.65"/>
    <x v="3"/>
  </r>
  <r>
    <n v="144"/>
    <x v="26"/>
    <n v="10"/>
    <d v="2022-11-14T00:00:00"/>
    <s v="FA"/>
    <s v="1052/2164"/>
    <s v="kpl"/>
    <n v="243"/>
    <n v="50"/>
    <n v="99"/>
    <x v="53"/>
    <n v="1138.5"/>
    <n v="6088.5"/>
    <x v="8"/>
  </r>
  <r>
    <n v="145"/>
    <x v="10"/>
    <n v="6"/>
    <d v="2022-09-11T00:00:00"/>
    <s v="FA"/>
    <s v="1052/2165"/>
    <s v="kpl"/>
    <n v="244"/>
    <n v="40"/>
    <n v="84"/>
    <x v="84"/>
    <n v="772.80000000000007"/>
    <n v="4132.8"/>
    <x v="7"/>
  </r>
  <r>
    <n v="146"/>
    <x v="3"/>
    <n v="7"/>
    <d v="2022-04-08T00:00:00"/>
    <s v="FA"/>
    <s v="1052/2166"/>
    <s v="kpl"/>
    <n v="245"/>
    <n v="34"/>
    <n v="88"/>
    <x v="122"/>
    <n v="688.16000000000008"/>
    <n v="3680.16"/>
    <x v="1"/>
  </r>
  <r>
    <n v="147"/>
    <x v="14"/>
    <n v="10"/>
    <d v="2022-07-14T00:00:00"/>
    <s v="FA"/>
    <s v="1052/2167"/>
    <s v="kpl"/>
    <n v="246"/>
    <n v="42"/>
    <n v="86"/>
    <x v="25"/>
    <n v="830.76"/>
    <n v="4442.76"/>
    <x v="6"/>
  </r>
  <r>
    <n v="148"/>
    <x v="19"/>
    <n v="12"/>
    <d v="2022-11-17T00:00:00"/>
    <s v="FA"/>
    <s v="1052/2168"/>
    <s v="kpl"/>
    <n v="247"/>
    <n v="63"/>
    <n v="121"/>
    <x v="123"/>
    <n v="1753.29"/>
    <n v="9376.2900000000009"/>
    <x v="8"/>
  </r>
  <r>
    <n v="149"/>
    <x v="19"/>
    <n v="12"/>
    <d v="2022-06-21T00:00:00"/>
    <s v="FA"/>
    <s v="1052/2169"/>
    <s v="kpl"/>
    <n v="248"/>
    <n v="52"/>
    <n v="121"/>
    <x v="124"/>
    <n v="1447.16"/>
    <n v="7739.16"/>
    <x v="4"/>
  </r>
  <r>
    <n v="150"/>
    <x v="4"/>
    <n v="11"/>
    <d v="2022-02-12T00:00:00"/>
    <s v="FA"/>
    <s v="1052/2170"/>
    <s v="kpl"/>
    <n v="249"/>
    <n v="41"/>
    <n v="85"/>
    <x v="125"/>
    <n v="801.55000000000007"/>
    <n v="4286.55"/>
    <x v="9"/>
  </r>
  <r>
    <n v="151"/>
    <x v="26"/>
    <n v="8"/>
    <d v="2022-02-22T00:00:00"/>
    <s v="FA"/>
    <s v="1052/2171"/>
    <s v="kpl"/>
    <n v="250"/>
    <n v="48"/>
    <n v="99"/>
    <x v="126"/>
    <n v="1092.96"/>
    <n v="5844.96"/>
    <x v="9"/>
  </r>
  <r>
    <n v="152"/>
    <x v="13"/>
    <n v="8"/>
    <d v="2022-05-07T00:00:00"/>
    <s v="FA"/>
    <s v="1052/2172"/>
    <s v="kpl"/>
    <n v="251"/>
    <n v="59"/>
    <n v="88"/>
    <x v="36"/>
    <n v="1194.1600000000001"/>
    <n v="6386.16"/>
    <x v="10"/>
  </r>
  <r>
    <n v="153"/>
    <x v="2"/>
    <n v="8"/>
    <d v="2022-03-05T00:00:00"/>
    <s v="FA"/>
    <s v="1052/2173"/>
    <s v="kpl"/>
    <n v="252"/>
    <n v="57"/>
    <n v="84"/>
    <x v="127"/>
    <n v="1101.24"/>
    <n v="5889.24"/>
    <x v="3"/>
  </r>
  <r>
    <n v="154"/>
    <x v="19"/>
    <n v="12"/>
    <d v="2022-12-18T00:00:00"/>
    <s v="FA"/>
    <s v="1052/2174"/>
    <s v="kpl"/>
    <n v="253"/>
    <n v="67"/>
    <n v="121"/>
    <x v="128"/>
    <n v="1864.6100000000001"/>
    <n v="9971.61"/>
    <x v="2"/>
  </r>
  <r>
    <n v="155"/>
    <x v="8"/>
    <n v="8"/>
    <d v="2022-09-09T00:00:00"/>
    <s v="FA"/>
    <s v="1052/2175"/>
    <s v="kpl"/>
    <n v="254"/>
    <n v="50"/>
    <n v="89"/>
    <x v="129"/>
    <n v="1023.5"/>
    <n v="5473.5"/>
    <x v="7"/>
  </r>
  <r>
    <n v="156"/>
    <x v="16"/>
    <n v="11"/>
    <d v="2022-03-24T00:00:00"/>
    <s v="FA"/>
    <s v="1052/2176"/>
    <s v="kpl"/>
    <n v="255"/>
    <n v="44"/>
    <n v="132"/>
    <x v="3"/>
    <n v="1335.8400000000001"/>
    <n v="7143.84"/>
    <x v="3"/>
  </r>
  <r>
    <n v="157"/>
    <x v="4"/>
    <n v="10"/>
    <d v="2022-02-09T00:00:00"/>
    <s v="FA"/>
    <s v="1052/2177"/>
    <s v="kpl"/>
    <n v="256"/>
    <n v="59"/>
    <n v="85"/>
    <x v="130"/>
    <n v="1153.45"/>
    <n v="6168.45"/>
    <x v="9"/>
  </r>
  <r>
    <n v="158"/>
    <x v="22"/>
    <n v="13"/>
    <d v="2022-02-16T00:00:00"/>
    <s v="FA"/>
    <s v="1052/2178"/>
    <s v="kpl"/>
    <n v="257"/>
    <n v="56"/>
    <n v="125"/>
    <x v="131"/>
    <n v="1610"/>
    <n v="8610"/>
    <x v="9"/>
  </r>
  <r>
    <n v="159"/>
    <x v="2"/>
    <n v="12"/>
    <d v="2022-10-15T00:00:00"/>
    <s v="FA"/>
    <s v="1052/2179"/>
    <s v="kpl"/>
    <n v="258"/>
    <n v="35"/>
    <n v="84"/>
    <x v="132"/>
    <n v="676.2"/>
    <n v="3616.2"/>
    <x v="5"/>
  </r>
  <r>
    <n v="160"/>
    <x v="12"/>
    <n v="6"/>
    <d v="2022-12-09T00:00:00"/>
    <s v="FA"/>
    <s v="1052/2180"/>
    <s v="kpl"/>
    <n v="259"/>
    <n v="40"/>
    <n v="91"/>
    <x v="133"/>
    <n v="837.2"/>
    <n v="4477.2"/>
    <x v="2"/>
  </r>
  <r>
    <n v="161"/>
    <x v="16"/>
    <n v="10"/>
    <d v="2022-07-13T00:00:00"/>
    <s v="FA"/>
    <s v="1052/2181"/>
    <s v="kpl"/>
    <n v="260"/>
    <n v="54"/>
    <n v="132"/>
    <x v="134"/>
    <n v="1639.44"/>
    <n v="8767.44"/>
    <x v="6"/>
  </r>
  <r>
    <n v="162"/>
    <x v="3"/>
    <n v="7"/>
    <d v="2022-08-09T00:00:00"/>
    <s v="FA"/>
    <s v="1052/2182"/>
    <s v="kpl"/>
    <n v="261"/>
    <n v="68"/>
    <n v="88"/>
    <x v="135"/>
    <n v="1376.3200000000002"/>
    <n v="7360.32"/>
    <x v="11"/>
  </r>
  <r>
    <n v="163"/>
    <x v="20"/>
    <n v="10"/>
    <d v="2022-10-17T00:00:00"/>
    <s v="FA"/>
    <s v="1052/2183"/>
    <s v="kpl"/>
    <n v="262"/>
    <n v="43"/>
    <n v="104"/>
    <x v="136"/>
    <n v="1028.56"/>
    <n v="5500.5599999999995"/>
    <x v="5"/>
  </r>
  <r>
    <n v="164"/>
    <x v="4"/>
    <n v="10"/>
    <d v="2022-03-24T00:00:00"/>
    <s v="FA"/>
    <s v="1052/2184"/>
    <s v="kpl"/>
    <n v="263"/>
    <n v="47"/>
    <n v="85"/>
    <x v="137"/>
    <n v="918.85"/>
    <n v="4913.8500000000004"/>
    <x v="3"/>
  </r>
  <r>
    <n v="165"/>
    <x v="3"/>
    <n v="12"/>
    <d v="2022-12-03T00:00:00"/>
    <s v="FA"/>
    <s v="1052/2185"/>
    <s v="kpl"/>
    <n v="264"/>
    <n v="49"/>
    <n v="88"/>
    <x v="93"/>
    <n v="991.76"/>
    <n v="5303.76"/>
    <x v="2"/>
  </r>
  <r>
    <n v="166"/>
    <x v="3"/>
    <n v="9"/>
    <d v="2022-03-14T00:00:00"/>
    <s v="FA"/>
    <s v="1052/2186"/>
    <s v="kpl"/>
    <n v="265"/>
    <n v="65"/>
    <n v="88"/>
    <x v="138"/>
    <n v="1315.6000000000001"/>
    <n v="7035.6"/>
    <x v="3"/>
  </r>
  <r>
    <n v="167"/>
    <x v="5"/>
    <n v="14"/>
    <d v="2022-10-10T00:00:00"/>
    <s v="FA"/>
    <s v="1052/2187"/>
    <s v="kpl"/>
    <n v="266"/>
    <n v="45"/>
    <n v="87"/>
    <x v="139"/>
    <n v="900.45"/>
    <n v="4815.45"/>
    <x v="5"/>
  </r>
  <r>
    <n v="168"/>
    <x v="14"/>
    <n v="13"/>
    <d v="2022-11-23T00:00:00"/>
    <s v="FA"/>
    <s v="1052/2188"/>
    <s v="kpl"/>
    <n v="267"/>
    <n v="36"/>
    <n v="86"/>
    <x v="140"/>
    <n v="712.08"/>
    <n v="3808.08"/>
    <x v="8"/>
  </r>
  <r>
    <n v="169"/>
    <x v="10"/>
    <n v="11"/>
    <d v="2022-05-09T00:00:00"/>
    <s v="FA"/>
    <s v="1052/2189"/>
    <s v="kpl"/>
    <n v="268"/>
    <n v="41"/>
    <n v="84"/>
    <x v="39"/>
    <n v="792.12"/>
    <n v="4236.12"/>
    <x v="10"/>
  </r>
  <r>
    <n v="170"/>
    <x v="0"/>
    <n v="10"/>
    <d v="2022-01-21T00:00:00"/>
    <s v="FA"/>
    <s v="1052/2190"/>
    <s v="kpl"/>
    <n v="269"/>
    <n v="58"/>
    <n v="83"/>
    <x v="141"/>
    <n v="1107.22"/>
    <n v="5921.22"/>
    <x v="0"/>
  </r>
  <r>
    <n v="171"/>
    <x v="18"/>
    <n v="12"/>
    <d v="2022-11-26T00:00:00"/>
    <s v="FA"/>
    <s v="1052/2191"/>
    <s v="kpl"/>
    <n v="270"/>
    <n v="67"/>
    <n v="109"/>
    <x v="142"/>
    <n v="1679.69"/>
    <n v="8982.69"/>
    <x v="8"/>
  </r>
  <r>
    <n v="172"/>
    <x v="3"/>
    <n v="12"/>
    <d v="2022-03-22T00:00:00"/>
    <s v="FA"/>
    <s v="1052/2192"/>
    <s v="kpl"/>
    <n v="271"/>
    <n v="63"/>
    <n v="88"/>
    <x v="65"/>
    <n v="1275.1200000000001"/>
    <n v="6819.12"/>
    <x v="3"/>
  </r>
  <r>
    <n v="173"/>
    <x v="8"/>
    <n v="11"/>
    <d v="2022-02-03T00:00:00"/>
    <s v="FA"/>
    <s v="1052/2193"/>
    <s v="kpl"/>
    <n v="272"/>
    <n v="36"/>
    <n v="89"/>
    <x v="143"/>
    <n v="736.92000000000007"/>
    <n v="3940.92"/>
    <x v="9"/>
  </r>
  <r>
    <n v="174"/>
    <x v="4"/>
    <n v="10"/>
    <d v="2022-10-06T00:00:00"/>
    <s v="FA"/>
    <s v="1052/2194"/>
    <s v="kpl"/>
    <n v="273"/>
    <n v="30"/>
    <n v="85"/>
    <x v="144"/>
    <n v="586.5"/>
    <n v="3136.5"/>
    <x v="5"/>
  </r>
  <r>
    <n v="175"/>
    <x v="26"/>
    <n v="8"/>
    <d v="2022-06-27T00:00:00"/>
    <s v="FA"/>
    <s v="1052/2195"/>
    <s v="kpl"/>
    <n v="274"/>
    <n v="52"/>
    <n v="99"/>
    <x v="145"/>
    <n v="1184.04"/>
    <n v="6332.04"/>
    <x v="4"/>
  </r>
  <r>
    <n v="176"/>
    <x v="10"/>
    <n v="10"/>
    <d v="2022-02-12T00:00:00"/>
    <s v="FA"/>
    <s v="1052/2196"/>
    <s v="kpl"/>
    <n v="275"/>
    <n v="58"/>
    <n v="84"/>
    <x v="78"/>
    <n v="1120.56"/>
    <n v="5992.5599999999995"/>
    <x v="9"/>
  </r>
  <r>
    <n v="177"/>
    <x v="7"/>
    <n v="13"/>
    <d v="2022-01-06T00:00:00"/>
    <s v="FA"/>
    <s v="1052/2197"/>
    <s v="kpl"/>
    <n v="276"/>
    <n v="41"/>
    <n v="96"/>
    <x v="146"/>
    <n v="905.28000000000009"/>
    <n v="4841.28"/>
    <x v="0"/>
  </r>
  <r>
    <n v="178"/>
    <x v="25"/>
    <n v="9"/>
    <d v="2022-12-17T00:00:00"/>
    <s v="FA"/>
    <s v="1052/2198"/>
    <s v="kpl"/>
    <n v="277"/>
    <n v="43"/>
    <n v="59"/>
    <x v="147"/>
    <n v="583.51"/>
    <n v="3120.51"/>
    <x v="2"/>
  </r>
  <r>
    <n v="179"/>
    <x v="17"/>
    <n v="7"/>
    <d v="2022-03-27T00:00:00"/>
    <s v="FA"/>
    <s v="1052/2199"/>
    <s v="kpl"/>
    <n v="278"/>
    <n v="49"/>
    <n v="94"/>
    <x v="148"/>
    <n v="1059.3800000000001"/>
    <n v="5665.38"/>
    <x v="3"/>
  </r>
  <r>
    <n v="180"/>
    <x v="21"/>
    <n v="8"/>
    <d v="2022-05-16T00:00:00"/>
    <s v="FA"/>
    <s v="1052/2200"/>
    <s v="kpl"/>
    <n v="279"/>
    <n v="49"/>
    <n v="87"/>
    <x v="96"/>
    <n v="980.49"/>
    <n v="5243.49"/>
    <x v="10"/>
  </r>
  <r>
    <n v="181"/>
    <x v="19"/>
    <n v="7"/>
    <d v="2022-09-26T00:00:00"/>
    <s v="FA"/>
    <s v="1052/2201"/>
    <s v="kpl"/>
    <n v="280"/>
    <n v="40"/>
    <n v="121"/>
    <x v="29"/>
    <n v="1113.2"/>
    <n v="5953.2"/>
    <x v="7"/>
  </r>
  <r>
    <n v="182"/>
    <x v="16"/>
    <n v="9"/>
    <d v="2022-01-28T00:00:00"/>
    <s v="FA"/>
    <s v="1052/2202"/>
    <s v="kpl"/>
    <n v="281"/>
    <n v="54"/>
    <n v="132"/>
    <x v="134"/>
    <n v="1639.44"/>
    <n v="8767.44"/>
    <x v="0"/>
  </r>
  <r>
    <n v="183"/>
    <x v="12"/>
    <n v="6"/>
    <d v="2022-09-02T00:00:00"/>
    <s v="FA"/>
    <s v="1052/2203"/>
    <s v="kpl"/>
    <n v="282"/>
    <n v="47"/>
    <n v="91"/>
    <x v="149"/>
    <n v="983.71"/>
    <n v="5260.71"/>
    <x v="7"/>
  </r>
  <r>
    <n v="184"/>
    <x v="16"/>
    <n v="7"/>
    <d v="2022-01-16T00:00:00"/>
    <s v="FA"/>
    <s v="1052/2204"/>
    <s v="kpl"/>
    <n v="283"/>
    <n v="33"/>
    <n v="132"/>
    <x v="90"/>
    <n v="1001.88"/>
    <n v="5357.88"/>
    <x v="0"/>
  </r>
  <r>
    <n v="185"/>
    <x v="26"/>
    <n v="10"/>
    <d v="2022-02-25T00:00:00"/>
    <s v="FA"/>
    <s v="1052/2205"/>
    <s v="kpl"/>
    <n v="284"/>
    <n v="50"/>
    <n v="99"/>
    <x v="53"/>
    <n v="1138.5"/>
    <n v="6088.5"/>
    <x v="9"/>
  </r>
  <r>
    <n v="186"/>
    <x v="16"/>
    <n v="9"/>
    <d v="2022-10-25T00:00:00"/>
    <s v="FA"/>
    <s v="1052/2206"/>
    <s v="kpl"/>
    <n v="285"/>
    <n v="54"/>
    <n v="132"/>
    <x v="134"/>
    <n v="1639.44"/>
    <n v="8767.44"/>
    <x v="5"/>
  </r>
  <r>
    <n v="187"/>
    <x v="3"/>
    <n v="11"/>
    <d v="2022-11-10T00:00:00"/>
    <s v="FA"/>
    <s v="1052/2207"/>
    <s v="kpl"/>
    <n v="286"/>
    <n v="56"/>
    <n v="88"/>
    <x v="71"/>
    <n v="1133.44"/>
    <n v="6061.4400000000005"/>
    <x v="8"/>
  </r>
  <r>
    <n v="188"/>
    <x v="19"/>
    <n v="5"/>
    <d v="2022-08-18T00:00:00"/>
    <s v="FA"/>
    <s v="1052/2208"/>
    <s v="kpl"/>
    <n v="287"/>
    <n v="59"/>
    <n v="121"/>
    <x v="150"/>
    <n v="1641.97"/>
    <n v="8780.9699999999993"/>
    <x v="11"/>
  </r>
  <r>
    <n v="189"/>
    <x v="4"/>
    <n v="5"/>
    <d v="2022-06-23T00:00:00"/>
    <s v="FA"/>
    <s v="1052/2209"/>
    <s v="kpl"/>
    <n v="288"/>
    <n v="45"/>
    <n v="85"/>
    <x v="151"/>
    <n v="879.75"/>
    <n v="4704.75"/>
    <x v="4"/>
  </r>
  <r>
    <n v="190"/>
    <x v="8"/>
    <n v="10"/>
    <d v="2022-01-14T00:00:00"/>
    <s v="FA"/>
    <s v="1052/2210"/>
    <s v="kpl"/>
    <n v="289"/>
    <n v="45"/>
    <n v="89"/>
    <x v="152"/>
    <n v="921.15000000000009"/>
    <n v="4926.1499999999996"/>
    <x v="0"/>
  </r>
  <r>
    <n v="191"/>
    <x v="15"/>
    <n v="7"/>
    <d v="2022-07-22T00:00:00"/>
    <s v="FA"/>
    <s v="1052/2211"/>
    <s v="kpl"/>
    <n v="290"/>
    <n v="50"/>
    <n v="90"/>
    <x v="153"/>
    <n v="1035"/>
    <n v="5535"/>
    <x v="6"/>
  </r>
  <r>
    <n v="192"/>
    <x v="11"/>
    <n v="10"/>
    <d v="2022-09-26T00:00:00"/>
    <s v="FA"/>
    <s v="1052/2212"/>
    <s v="kpl"/>
    <n v="291"/>
    <n v="57"/>
    <n v="93"/>
    <x v="13"/>
    <n v="1219.23"/>
    <n v="6520.23"/>
    <x v="7"/>
  </r>
  <r>
    <n v="193"/>
    <x v="3"/>
    <n v="10"/>
    <d v="2022-12-11T00:00:00"/>
    <s v="FA"/>
    <s v="1052/2213"/>
    <s v="kpl"/>
    <n v="292"/>
    <n v="33"/>
    <n v="88"/>
    <x v="154"/>
    <n v="667.92000000000007"/>
    <n v="3571.92"/>
    <x v="2"/>
  </r>
  <r>
    <n v="194"/>
    <x v="20"/>
    <n v="12"/>
    <d v="2022-06-15T00:00:00"/>
    <s v="FA"/>
    <s v="1052/2214"/>
    <s v="kpl"/>
    <n v="293"/>
    <n v="32"/>
    <n v="104"/>
    <x v="155"/>
    <n v="765.44"/>
    <n v="4093.44"/>
    <x v="4"/>
  </r>
  <r>
    <n v="195"/>
    <x v="16"/>
    <n v="7"/>
    <d v="2022-12-06T00:00:00"/>
    <s v="FA"/>
    <s v="1052/2215"/>
    <s v="kpl"/>
    <n v="294"/>
    <n v="42"/>
    <n v="132"/>
    <x v="65"/>
    <n v="1275.1200000000001"/>
    <n v="6819.12"/>
    <x v="2"/>
  </r>
  <r>
    <n v="196"/>
    <x v="13"/>
    <n v="11"/>
    <d v="2022-07-23T00:00:00"/>
    <s v="FA"/>
    <s v="1052/2216"/>
    <s v="kpl"/>
    <n v="295"/>
    <n v="57"/>
    <n v="88"/>
    <x v="156"/>
    <n v="1153.68"/>
    <n v="6169.68"/>
    <x v="6"/>
  </r>
  <r>
    <n v="197"/>
    <x v="25"/>
    <n v="9"/>
    <d v="2022-05-13T00:00:00"/>
    <s v="FA"/>
    <s v="1052/2217"/>
    <s v="kpl"/>
    <n v="296"/>
    <n v="54"/>
    <n v="59"/>
    <x v="157"/>
    <n v="732.78000000000009"/>
    <n v="3918.78"/>
    <x v="10"/>
  </r>
  <r>
    <n v="198"/>
    <x v="18"/>
    <n v="9"/>
    <d v="2022-01-28T00:00:00"/>
    <s v="FA"/>
    <s v="1052/2218"/>
    <s v="kpl"/>
    <n v="297"/>
    <n v="38"/>
    <n v="109"/>
    <x v="158"/>
    <n v="952.66000000000008"/>
    <n v="5094.66"/>
    <x v="0"/>
  </r>
  <r>
    <n v="199"/>
    <x v="5"/>
    <n v="3"/>
    <d v="2022-03-28T00:00:00"/>
    <s v="FA"/>
    <s v="1052/2219"/>
    <s v="kpl"/>
    <n v="298"/>
    <n v="47"/>
    <n v="87"/>
    <x v="159"/>
    <n v="940.47"/>
    <n v="5029.47"/>
    <x v="3"/>
  </r>
  <r>
    <n v="200"/>
    <x v="6"/>
    <n v="9"/>
    <d v="2022-11-12T00:00:00"/>
    <s v="FA"/>
    <s v="1052/2220"/>
    <s v="kpl"/>
    <n v="299"/>
    <n v="42"/>
    <n v="84"/>
    <x v="7"/>
    <n v="811.44"/>
    <n v="4339.4400000000005"/>
    <x v="8"/>
  </r>
  <r>
    <n v="201"/>
    <x v="23"/>
    <n v="11"/>
    <d v="2022-07-23T00:00:00"/>
    <s v="FA"/>
    <s v="1052/2221"/>
    <s v="kpl"/>
    <n v="300"/>
    <n v="47"/>
    <n v="105"/>
    <x v="160"/>
    <n v="1135.05"/>
    <n v="6070.05"/>
    <x v="6"/>
  </r>
  <r>
    <n v="202"/>
    <x v="11"/>
    <n v="14"/>
    <d v="2022-06-02T00:00:00"/>
    <s v="FA"/>
    <s v="1052/2222"/>
    <s v="kpl"/>
    <n v="301"/>
    <n v="55"/>
    <n v="93"/>
    <x v="161"/>
    <n v="1176.45"/>
    <n v="6291.45"/>
    <x v="4"/>
  </r>
  <r>
    <n v="203"/>
    <x v="11"/>
    <n v="10"/>
    <d v="2022-01-07T00:00:00"/>
    <s v="FA"/>
    <s v="1052/2223"/>
    <s v="kpl"/>
    <n v="302"/>
    <n v="33"/>
    <n v="93"/>
    <x v="162"/>
    <n v="705.87"/>
    <n v="3774.87"/>
    <x v="0"/>
  </r>
  <r>
    <n v="204"/>
    <x v="17"/>
    <n v="7"/>
    <d v="2022-04-26T00:00:00"/>
    <s v="FA"/>
    <s v="1052/2224"/>
    <s v="kpl"/>
    <n v="303"/>
    <n v="55"/>
    <n v="94"/>
    <x v="163"/>
    <n v="1189.1000000000001"/>
    <n v="6359.1"/>
    <x v="1"/>
  </r>
  <r>
    <n v="205"/>
    <x v="0"/>
    <n v="12"/>
    <d v="2022-12-28T00:00:00"/>
    <s v="FA"/>
    <s v="1052/2225"/>
    <s v="kpl"/>
    <n v="304"/>
    <n v="42"/>
    <n v="83"/>
    <x v="164"/>
    <n v="801.78000000000009"/>
    <n v="4287.78"/>
    <x v="2"/>
  </r>
  <r>
    <n v="206"/>
    <x v="3"/>
    <n v="8"/>
    <d v="2022-12-12T00:00:00"/>
    <s v="FA"/>
    <s v="1052/2226"/>
    <s v="kpl"/>
    <n v="305"/>
    <n v="47"/>
    <n v="88"/>
    <x v="165"/>
    <n v="951.28000000000009"/>
    <n v="5087.28"/>
    <x v="2"/>
  </r>
  <r>
    <n v="207"/>
    <x v="25"/>
    <n v="6"/>
    <d v="2022-08-20T00:00:00"/>
    <s v="FA"/>
    <s v="1052/2227"/>
    <s v="kpl"/>
    <n v="306"/>
    <n v="49"/>
    <n v="59"/>
    <x v="166"/>
    <n v="664.93000000000006"/>
    <n v="3555.9300000000003"/>
    <x v="11"/>
  </r>
  <r>
    <n v="208"/>
    <x v="13"/>
    <n v="9"/>
    <d v="2022-11-14T00:00:00"/>
    <s v="FA"/>
    <s v="1052/2228"/>
    <s v="kpl"/>
    <n v="307"/>
    <n v="60"/>
    <n v="88"/>
    <x v="9"/>
    <n v="1214.4000000000001"/>
    <n v="6494.4"/>
    <x v="8"/>
  </r>
  <r>
    <n v="209"/>
    <x v="3"/>
    <n v="11"/>
    <d v="2022-10-11T00:00:00"/>
    <s v="FA"/>
    <s v="1052/2229"/>
    <s v="kpl"/>
    <n v="308"/>
    <n v="40"/>
    <n v="88"/>
    <x v="167"/>
    <n v="809.6"/>
    <n v="4329.6000000000004"/>
    <x v="5"/>
  </r>
  <r>
    <n v="210"/>
    <x v="8"/>
    <n v="8"/>
    <d v="2022-04-18T00:00:00"/>
    <s v="FA"/>
    <s v="1052/2230"/>
    <s v="kpl"/>
    <n v="309"/>
    <n v="55"/>
    <n v="89"/>
    <x v="168"/>
    <n v="1125.8500000000001"/>
    <n v="6020.85"/>
    <x v="1"/>
  </r>
  <r>
    <n v="211"/>
    <x v="12"/>
    <n v="13"/>
    <d v="2022-11-18T00:00:00"/>
    <s v="FA"/>
    <s v="1052/2231"/>
    <s v="kpl"/>
    <n v="310"/>
    <n v="57"/>
    <n v="91"/>
    <x v="72"/>
    <n v="1193.01"/>
    <n v="6380.01"/>
    <x v="8"/>
  </r>
  <r>
    <n v="212"/>
    <x v="24"/>
    <n v="7"/>
    <d v="2022-03-05T00:00:00"/>
    <s v="FA"/>
    <s v="1052/2232"/>
    <s v="kpl"/>
    <n v="311"/>
    <n v="54"/>
    <n v="129"/>
    <x v="169"/>
    <n v="1602.18"/>
    <n v="8568.18"/>
    <x v="3"/>
  </r>
  <r>
    <n v="213"/>
    <x v="18"/>
    <n v="12"/>
    <d v="2022-07-23T00:00:00"/>
    <s v="FA"/>
    <s v="1052/2233"/>
    <s v="kpl"/>
    <n v="312"/>
    <n v="54"/>
    <n v="109"/>
    <x v="111"/>
    <n v="1353.78"/>
    <n v="7239.78"/>
    <x v="6"/>
  </r>
  <r>
    <n v="214"/>
    <x v="17"/>
    <n v="8"/>
    <d v="2022-02-12T00:00:00"/>
    <s v="FA"/>
    <s v="1052/2234"/>
    <s v="kpl"/>
    <n v="313"/>
    <n v="62"/>
    <n v="94"/>
    <x v="170"/>
    <n v="1340.44"/>
    <n v="7168.4400000000005"/>
    <x v="9"/>
  </r>
  <r>
    <n v="215"/>
    <x v="24"/>
    <n v="4"/>
    <d v="2022-08-12T00:00:00"/>
    <s v="FA"/>
    <s v="1052/2235"/>
    <s v="kpl"/>
    <n v="314"/>
    <n v="54"/>
    <n v="129"/>
    <x v="169"/>
    <n v="1602.18"/>
    <n v="8568.18"/>
    <x v="11"/>
  </r>
  <r>
    <n v="216"/>
    <x v="18"/>
    <n v="10"/>
    <d v="2022-11-27T00:00:00"/>
    <s v="FA"/>
    <s v="1052/2236"/>
    <s v="kpl"/>
    <n v="315"/>
    <n v="54"/>
    <n v="109"/>
    <x v="111"/>
    <n v="1353.78"/>
    <n v="7239.78"/>
    <x v="8"/>
  </r>
  <r>
    <n v="217"/>
    <x v="26"/>
    <n v="10"/>
    <d v="2022-10-16T00:00:00"/>
    <s v="FA"/>
    <s v="1052/2237"/>
    <s v="kpl"/>
    <n v="316"/>
    <n v="62"/>
    <n v="99"/>
    <x v="171"/>
    <n v="1411.74"/>
    <n v="7549.74"/>
    <x v="5"/>
  </r>
  <r>
    <n v="218"/>
    <x v="23"/>
    <n v="7"/>
    <d v="2022-08-17T00:00:00"/>
    <s v="FA"/>
    <s v="1052/2238"/>
    <s v="kpl"/>
    <n v="317"/>
    <n v="58"/>
    <n v="105"/>
    <x v="172"/>
    <n v="1400.7"/>
    <n v="7490.7"/>
    <x v="11"/>
  </r>
  <r>
    <n v="219"/>
    <x v="5"/>
    <n v="8"/>
    <d v="2022-07-11T00:00:00"/>
    <s v="FA"/>
    <s v="1052/2239"/>
    <s v="kpl"/>
    <n v="318"/>
    <n v="51"/>
    <n v="87"/>
    <x v="173"/>
    <n v="1020.51"/>
    <n v="5457.51"/>
    <x v="6"/>
  </r>
  <r>
    <n v="220"/>
    <x v="2"/>
    <n v="13"/>
    <d v="2022-02-13T00:00:00"/>
    <s v="FA"/>
    <s v="1052/2240"/>
    <s v="kpl"/>
    <n v="319"/>
    <n v="39"/>
    <n v="84"/>
    <x v="104"/>
    <n v="753.48"/>
    <n v="4029.48"/>
    <x v="9"/>
  </r>
  <r>
    <n v="221"/>
    <x v="9"/>
    <n v="9"/>
    <d v="2022-07-18T00:00:00"/>
    <s v="FA"/>
    <s v="1052/2241"/>
    <s v="kpl"/>
    <n v="320"/>
    <n v="64"/>
    <n v="108"/>
    <x v="174"/>
    <n v="1589.76"/>
    <n v="8501.76"/>
    <x v="6"/>
  </r>
  <r>
    <n v="222"/>
    <x v="6"/>
    <n v="13"/>
    <d v="2022-10-07T00:00:00"/>
    <s v="FA"/>
    <s v="1052/2242"/>
    <s v="kpl"/>
    <n v="321"/>
    <n v="48"/>
    <n v="84"/>
    <x v="66"/>
    <n v="927.36"/>
    <n v="4959.3599999999997"/>
    <x v="5"/>
  </r>
  <r>
    <n v="223"/>
    <x v="13"/>
    <n v="7"/>
    <d v="2022-03-04T00:00:00"/>
    <s v="FA"/>
    <s v="1052/2243"/>
    <s v="kpl"/>
    <n v="322"/>
    <n v="27"/>
    <n v="88"/>
    <x v="175"/>
    <n v="546.48"/>
    <n v="2922.48"/>
    <x v="3"/>
  </r>
  <r>
    <n v="224"/>
    <x v="0"/>
    <n v="7"/>
    <d v="2022-09-28T00:00:00"/>
    <s v="FA"/>
    <s v="1052/2244"/>
    <s v="kpl"/>
    <n v="323"/>
    <n v="48"/>
    <n v="83"/>
    <x v="176"/>
    <n v="916.32"/>
    <n v="4900.32"/>
    <x v="7"/>
  </r>
  <r>
    <n v="225"/>
    <x v="11"/>
    <n v="13"/>
    <d v="2022-05-04T00:00:00"/>
    <s v="FA"/>
    <s v="1052/2245"/>
    <s v="kpl"/>
    <n v="324"/>
    <n v="54"/>
    <n v="93"/>
    <x v="177"/>
    <n v="1155.06"/>
    <n v="6177.0599999999995"/>
    <x v="10"/>
  </r>
  <r>
    <n v="226"/>
    <x v="7"/>
    <n v="9"/>
    <d v="2022-10-06T00:00:00"/>
    <s v="FA"/>
    <s v="1052/2246"/>
    <s v="kpl"/>
    <n v="325"/>
    <n v="34"/>
    <n v="96"/>
    <x v="178"/>
    <n v="750.72"/>
    <n v="4014.7200000000003"/>
    <x v="5"/>
  </r>
  <r>
    <n v="227"/>
    <x v="15"/>
    <n v="11"/>
    <d v="2022-08-28T00:00:00"/>
    <s v="FA"/>
    <s v="1052/2247"/>
    <s v="kpl"/>
    <n v="326"/>
    <n v="42"/>
    <n v="90"/>
    <x v="12"/>
    <n v="869.40000000000009"/>
    <n v="4649.3999999999996"/>
    <x v="11"/>
  </r>
  <r>
    <n v="228"/>
    <x v="11"/>
    <n v="11"/>
    <d v="2022-07-27T00:00:00"/>
    <s v="FA"/>
    <s v="1052/2248"/>
    <s v="kpl"/>
    <n v="327"/>
    <n v="47"/>
    <n v="93"/>
    <x v="179"/>
    <n v="1005.33"/>
    <n v="5376.33"/>
    <x v="6"/>
  </r>
  <r>
    <n v="229"/>
    <x v="5"/>
    <n v="10"/>
    <d v="2022-01-19T00:00:00"/>
    <s v="FA"/>
    <s v="1052/2249"/>
    <s v="kpl"/>
    <n v="328"/>
    <n v="40"/>
    <n v="87"/>
    <x v="180"/>
    <n v="800.40000000000009"/>
    <n v="4280.3999999999996"/>
    <x v="0"/>
  </r>
  <r>
    <n v="230"/>
    <x v="3"/>
    <n v="12"/>
    <d v="2022-03-19T00:00:00"/>
    <s v="FA"/>
    <s v="1052/2250"/>
    <s v="kpl"/>
    <n v="329"/>
    <n v="50"/>
    <n v="88"/>
    <x v="98"/>
    <n v="1012"/>
    <n v="5412"/>
    <x v="3"/>
  </r>
  <r>
    <n v="231"/>
    <x v="24"/>
    <n v="5"/>
    <d v="2022-04-08T00:00:00"/>
    <s v="FA"/>
    <s v="1052/2251"/>
    <s v="kpl"/>
    <n v="330"/>
    <n v="50"/>
    <n v="129"/>
    <x v="181"/>
    <n v="1483.5"/>
    <n v="7933.5"/>
    <x v="1"/>
  </r>
  <r>
    <n v="232"/>
    <x v="25"/>
    <n v="12"/>
    <d v="2022-10-24T00:00:00"/>
    <s v="FA"/>
    <s v="1052/2252"/>
    <s v="kpl"/>
    <n v="331"/>
    <n v="40"/>
    <n v="59"/>
    <x v="182"/>
    <n v="542.80000000000007"/>
    <n v="2902.8"/>
    <x v="5"/>
  </r>
  <r>
    <n v="233"/>
    <x v="15"/>
    <n v="16"/>
    <d v="2022-10-25T00:00:00"/>
    <s v="FA"/>
    <s v="1052/2253"/>
    <s v="kpl"/>
    <n v="332"/>
    <n v="37"/>
    <n v="90"/>
    <x v="183"/>
    <n v="765.9"/>
    <n v="4095.9"/>
    <x v="5"/>
  </r>
  <r>
    <n v="234"/>
    <x v="22"/>
    <n v="11"/>
    <d v="2022-08-20T00:00:00"/>
    <s v="FA"/>
    <s v="1052/2254"/>
    <s v="kpl"/>
    <n v="333"/>
    <n v="17"/>
    <n v="125"/>
    <x v="184"/>
    <n v="488.75"/>
    <n v="2613.75"/>
    <x v="11"/>
  </r>
  <r>
    <n v="235"/>
    <x v="18"/>
    <n v="8"/>
    <d v="2022-05-10T00:00:00"/>
    <s v="FA"/>
    <s v="1052/2255"/>
    <s v="kpl"/>
    <n v="334"/>
    <n v="60"/>
    <n v="109"/>
    <x v="37"/>
    <n v="1504.2"/>
    <n v="8044.2"/>
    <x v="10"/>
  </r>
  <r>
    <n v="236"/>
    <x v="13"/>
    <n v="12"/>
    <d v="2022-01-08T00:00:00"/>
    <s v="FA"/>
    <s v="1052/2256"/>
    <s v="kpl"/>
    <n v="335"/>
    <n v="52"/>
    <n v="88"/>
    <x v="14"/>
    <n v="1052.48"/>
    <n v="5628.48"/>
    <x v="0"/>
  </r>
  <r>
    <n v="237"/>
    <x v="6"/>
    <n v="10"/>
    <d v="2022-03-13T00:00:00"/>
    <s v="FA"/>
    <s v="1052/2257"/>
    <s v="kpl"/>
    <n v="336"/>
    <n v="56"/>
    <n v="84"/>
    <x v="185"/>
    <n v="1081.92"/>
    <n v="5785.92"/>
    <x v="3"/>
  </r>
  <r>
    <n v="238"/>
    <x v="9"/>
    <n v="9"/>
    <d v="2022-06-24T00:00:00"/>
    <s v="FA"/>
    <s v="1052/2258"/>
    <s v="kpl"/>
    <n v="337"/>
    <n v="38"/>
    <n v="108"/>
    <x v="186"/>
    <n v="943.92000000000007"/>
    <n v="5047.92"/>
    <x v="4"/>
  </r>
  <r>
    <n v="239"/>
    <x v="26"/>
    <n v="8"/>
    <d v="2022-09-22T00:00:00"/>
    <s v="FA"/>
    <s v="1052/2259"/>
    <s v="kpl"/>
    <n v="338"/>
    <n v="32"/>
    <n v="99"/>
    <x v="187"/>
    <n v="728.64"/>
    <n v="3896.64"/>
    <x v="7"/>
  </r>
  <r>
    <n v="240"/>
    <x v="10"/>
    <n v="9"/>
    <d v="2022-12-17T00:00:00"/>
    <s v="FA"/>
    <s v="1052/2260"/>
    <s v="kpl"/>
    <n v="339"/>
    <n v="53"/>
    <n v="84"/>
    <x v="188"/>
    <n v="1023.96"/>
    <n v="5475.96"/>
    <x v="2"/>
  </r>
  <r>
    <n v="241"/>
    <x v="20"/>
    <n v="13"/>
    <d v="2022-09-23T00:00:00"/>
    <s v="FA"/>
    <s v="1052/2261"/>
    <s v="kpl"/>
    <n v="340"/>
    <n v="49"/>
    <n v="104"/>
    <x v="189"/>
    <n v="1172.0800000000002"/>
    <n v="6268.08"/>
    <x v="7"/>
  </r>
  <r>
    <n v="242"/>
    <x v="7"/>
    <n v="11"/>
    <d v="2022-08-15T00:00:00"/>
    <s v="FA"/>
    <s v="1052/2262"/>
    <s v="kpl"/>
    <n v="341"/>
    <n v="50"/>
    <n v="96"/>
    <x v="31"/>
    <n v="1104"/>
    <n v="5904"/>
    <x v="11"/>
  </r>
  <r>
    <n v="243"/>
    <x v="17"/>
    <n v="8"/>
    <d v="2022-11-26T00:00:00"/>
    <s v="FA"/>
    <s v="1052/2263"/>
    <s v="kpl"/>
    <n v="342"/>
    <n v="66"/>
    <n v="94"/>
    <x v="115"/>
    <n v="1426.92"/>
    <n v="7630.92"/>
    <x v="8"/>
  </r>
  <r>
    <n v="244"/>
    <x v="14"/>
    <n v="8"/>
    <d v="2022-06-03T00:00:00"/>
    <s v="FA"/>
    <s v="1052/2264"/>
    <s v="kpl"/>
    <n v="343"/>
    <n v="42"/>
    <n v="86"/>
    <x v="25"/>
    <n v="830.76"/>
    <n v="4442.76"/>
    <x v="4"/>
  </r>
  <r>
    <n v="245"/>
    <x v="10"/>
    <n v="7"/>
    <d v="2022-11-16T00:00:00"/>
    <s v="FA"/>
    <s v="1052/2265"/>
    <s v="kpl"/>
    <n v="344"/>
    <n v="42"/>
    <n v="84"/>
    <x v="7"/>
    <n v="811.44"/>
    <n v="4339.4400000000005"/>
    <x v="8"/>
  </r>
  <r>
    <n v="246"/>
    <x v="11"/>
    <n v="7"/>
    <d v="2022-01-08T00:00:00"/>
    <s v="FA"/>
    <s v="1052/2266"/>
    <s v="kpl"/>
    <n v="345"/>
    <n v="52"/>
    <n v="93"/>
    <x v="190"/>
    <n v="1112.28"/>
    <n v="5948.28"/>
    <x v="0"/>
  </r>
  <r>
    <n v="247"/>
    <x v="11"/>
    <n v="8"/>
    <d v="2022-11-20T00:00:00"/>
    <s v="FA"/>
    <s v="1052/2267"/>
    <s v="kpl"/>
    <n v="346"/>
    <n v="40"/>
    <n v="93"/>
    <x v="191"/>
    <n v="855.6"/>
    <n v="4575.6000000000004"/>
    <x v="8"/>
  </r>
  <r>
    <n v="248"/>
    <x v="20"/>
    <n v="8"/>
    <d v="2022-05-07T00:00:00"/>
    <s v="FA"/>
    <s v="1052/2268"/>
    <s v="kpl"/>
    <n v="347"/>
    <n v="42"/>
    <n v="104"/>
    <x v="109"/>
    <n v="1004.6400000000001"/>
    <n v="5372.64"/>
    <x v="10"/>
  </r>
  <r>
    <n v="249"/>
    <x v="9"/>
    <n v="9"/>
    <d v="2022-06-16T00:00:00"/>
    <s v="FA"/>
    <s v="1052/2269"/>
    <s v="kpl"/>
    <n v="348"/>
    <n v="55"/>
    <n v="108"/>
    <x v="85"/>
    <n v="1366.2"/>
    <n v="7306.2"/>
    <x v="4"/>
  </r>
  <r>
    <n v="250"/>
    <x v="6"/>
    <n v="13"/>
    <d v="2022-11-25T00:00:00"/>
    <s v="FA"/>
    <s v="1052/2270"/>
    <s v="kpl"/>
    <n v="349"/>
    <n v="45"/>
    <n v="84"/>
    <x v="12"/>
    <n v="869.40000000000009"/>
    <n v="4649.3999999999996"/>
    <x v="8"/>
  </r>
  <r>
    <n v="251"/>
    <x v="0"/>
    <n v="6"/>
    <d v="2022-03-05T00:00:00"/>
    <s v="FA"/>
    <s v="1052/2271"/>
    <s v="kpl"/>
    <n v="350"/>
    <n v="42"/>
    <n v="83"/>
    <x v="164"/>
    <n v="801.78000000000009"/>
    <n v="4287.78"/>
    <x v="3"/>
  </r>
  <r>
    <n v="252"/>
    <x v="20"/>
    <n v="8"/>
    <d v="2022-05-25T00:00:00"/>
    <s v="FA"/>
    <s v="1052/2272"/>
    <s v="kpl"/>
    <n v="351"/>
    <n v="52"/>
    <n v="104"/>
    <x v="192"/>
    <n v="1243.8400000000001"/>
    <n v="6651.84"/>
    <x v="10"/>
  </r>
  <r>
    <n v="253"/>
    <x v="26"/>
    <n v="8"/>
    <d v="2022-11-22T00:00:00"/>
    <s v="FA"/>
    <s v="1052/2273"/>
    <s v="kpl"/>
    <n v="352"/>
    <n v="57"/>
    <n v="99"/>
    <x v="193"/>
    <n v="1297.8900000000001"/>
    <n v="6940.89"/>
    <x v="8"/>
  </r>
  <r>
    <n v="254"/>
    <x v="10"/>
    <n v="9"/>
    <d v="2022-06-21T00:00:00"/>
    <s v="FA"/>
    <s v="1052/2274"/>
    <s v="kpl"/>
    <n v="353"/>
    <n v="59"/>
    <n v="84"/>
    <x v="46"/>
    <n v="1139.8800000000001"/>
    <n v="6095.88"/>
    <x v="4"/>
  </r>
  <r>
    <n v="255"/>
    <x v="6"/>
    <n v="7"/>
    <d v="2022-02-13T00:00:00"/>
    <s v="FA"/>
    <s v="1052/2275"/>
    <s v="kpl"/>
    <n v="354"/>
    <n v="50"/>
    <n v="84"/>
    <x v="194"/>
    <n v="966"/>
    <n v="5166"/>
    <x v="9"/>
  </r>
  <r>
    <n v="256"/>
    <x v="5"/>
    <n v="11"/>
    <d v="2022-02-11T00:00:00"/>
    <s v="FA"/>
    <s v="1052/2276"/>
    <s v="kpl"/>
    <n v="355"/>
    <n v="48"/>
    <n v="87"/>
    <x v="195"/>
    <n v="960.48"/>
    <n v="5136.4799999999996"/>
    <x v="9"/>
  </r>
  <r>
    <n v="257"/>
    <x v="3"/>
    <n v="9"/>
    <d v="2022-07-21T00:00:00"/>
    <s v="FA"/>
    <s v="1052/2277"/>
    <s v="kpl"/>
    <n v="356"/>
    <n v="64"/>
    <n v="88"/>
    <x v="8"/>
    <n v="1295.3600000000001"/>
    <n v="6927.3600000000006"/>
    <x v="6"/>
  </r>
  <r>
    <n v="258"/>
    <x v="0"/>
    <n v="9"/>
    <d v="2022-09-18T00:00:00"/>
    <s v="FA"/>
    <s v="1052/2278"/>
    <s v="kpl"/>
    <n v="357"/>
    <n v="38"/>
    <n v="83"/>
    <x v="196"/>
    <n v="725.42000000000007"/>
    <n v="3879.42"/>
    <x v="7"/>
  </r>
  <r>
    <n v="259"/>
    <x v="10"/>
    <n v="7"/>
    <d v="2022-12-05T00:00:00"/>
    <s v="FA"/>
    <s v="1052/2279"/>
    <s v="kpl"/>
    <n v="358"/>
    <n v="43"/>
    <n v="84"/>
    <x v="25"/>
    <n v="830.76"/>
    <n v="4442.76"/>
    <x v="2"/>
  </r>
  <r>
    <n v="260"/>
    <x v="19"/>
    <n v="13"/>
    <d v="2022-08-25T00:00:00"/>
    <s v="FA"/>
    <s v="1052/2280"/>
    <s v="kpl"/>
    <n v="359"/>
    <n v="50"/>
    <n v="121"/>
    <x v="197"/>
    <n v="1391.5"/>
    <n v="7441.5"/>
    <x v="11"/>
  </r>
  <r>
    <n v="261"/>
    <x v="18"/>
    <n v="11"/>
    <d v="2022-01-20T00:00:00"/>
    <s v="FA"/>
    <s v="1052/2281"/>
    <s v="kpl"/>
    <n v="360"/>
    <n v="47"/>
    <n v="109"/>
    <x v="77"/>
    <n v="1178.29"/>
    <n v="6301.29"/>
    <x v="0"/>
  </r>
  <r>
    <n v="262"/>
    <x v="18"/>
    <n v="11"/>
    <d v="2022-06-06T00:00:00"/>
    <s v="FA"/>
    <s v="1052/2282"/>
    <s v="kpl"/>
    <n v="361"/>
    <n v="35"/>
    <n v="109"/>
    <x v="198"/>
    <n v="877.45"/>
    <n v="4692.45"/>
    <x v="4"/>
  </r>
  <r>
    <n v="263"/>
    <x v="6"/>
    <n v="13"/>
    <d v="2022-12-19T00:00:00"/>
    <s v="FA"/>
    <s v="1052/2283"/>
    <s v="kpl"/>
    <n v="362"/>
    <n v="30"/>
    <n v="84"/>
    <x v="199"/>
    <n v="579.6"/>
    <n v="3099.6"/>
    <x v="2"/>
  </r>
  <r>
    <n v="264"/>
    <x v="0"/>
    <n v="11"/>
    <d v="2022-01-10T00:00:00"/>
    <s v="FA"/>
    <s v="1052/2284"/>
    <s v="kpl"/>
    <n v="363"/>
    <n v="44"/>
    <n v="83"/>
    <x v="200"/>
    <n v="839.96"/>
    <n v="4491.96"/>
    <x v="0"/>
  </r>
  <r>
    <n v="265"/>
    <x v="12"/>
    <n v="9"/>
    <d v="2022-12-20T00:00:00"/>
    <s v="FA"/>
    <s v="1052/2285"/>
    <s v="kpl"/>
    <n v="364"/>
    <n v="53"/>
    <n v="91"/>
    <x v="201"/>
    <n v="1109.29"/>
    <n v="5932.29"/>
    <x v="2"/>
  </r>
  <r>
    <n v="266"/>
    <x v="3"/>
    <n v="7"/>
    <d v="2022-04-13T00:00:00"/>
    <s v="FA"/>
    <s v="1052/2286"/>
    <s v="kpl"/>
    <n v="365"/>
    <n v="40"/>
    <n v="88"/>
    <x v="167"/>
    <n v="809.6"/>
    <n v="4329.6000000000004"/>
    <x v="1"/>
  </r>
  <r>
    <n v="267"/>
    <x v="23"/>
    <n v="5"/>
    <d v="2022-03-13T00:00:00"/>
    <s v="FA"/>
    <s v="1052/2287"/>
    <s v="kpl"/>
    <n v="366"/>
    <n v="44"/>
    <n v="105"/>
    <x v="42"/>
    <n v="1062.6000000000001"/>
    <n v="5682.6"/>
    <x v="3"/>
  </r>
  <r>
    <n v="268"/>
    <x v="26"/>
    <n v="13"/>
    <d v="2022-01-19T00:00:00"/>
    <s v="FA"/>
    <s v="1052/2288"/>
    <s v="kpl"/>
    <n v="367"/>
    <n v="65"/>
    <n v="99"/>
    <x v="202"/>
    <n v="1480.05"/>
    <n v="7915.05"/>
    <x v="0"/>
  </r>
  <r>
    <n v="269"/>
    <x v="16"/>
    <n v="13"/>
    <d v="2022-10-27T00:00:00"/>
    <s v="FA"/>
    <s v="1052/2289"/>
    <s v="kpl"/>
    <n v="368"/>
    <n v="50"/>
    <n v="132"/>
    <x v="203"/>
    <n v="1518"/>
    <n v="8118"/>
    <x v="5"/>
  </r>
  <r>
    <n v="270"/>
    <x v="9"/>
    <n v="9"/>
    <d v="2022-02-15T00:00:00"/>
    <s v="FA"/>
    <s v="1052/2290"/>
    <s v="kpl"/>
    <n v="369"/>
    <n v="54"/>
    <n v="108"/>
    <x v="204"/>
    <n v="1341.3600000000001"/>
    <n v="7173.3600000000006"/>
    <x v="9"/>
  </r>
  <r>
    <n v="271"/>
    <x v="18"/>
    <n v="10"/>
    <d v="2022-08-15T00:00:00"/>
    <s v="FA"/>
    <s v="1052/2291"/>
    <s v="kpl"/>
    <n v="370"/>
    <n v="39"/>
    <n v="109"/>
    <x v="205"/>
    <n v="977.73"/>
    <n v="5228.7299999999996"/>
    <x v="11"/>
  </r>
  <r>
    <n v="272"/>
    <x v="9"/>
    <n v="8"/>
    <d v="2022-11-19T00:00:00"/>
    <s v="FA"/>
    <s v="1052/2292"/>
    <s v="kpl"/>
    <n v="371"/>
    <n v="58"/>
    <n v="108"/>
    <x v="206"/>
    <n v="1440.72"/>
    <n v="7704.72"/>
    <x v="8"/>
  </r>
  <r>
    <n v="273"/>
    <x v="22"/>
    <n v="14"/>
    <d v="2022-02-09T00:00:00"/>
    <s v="FA"/>
    <s v="1052/2293"/>
    <s v="kpl"/>
    <n v="372"/>
    <n v="49"/>
    <n v="125"/>
    <x v="207"/>
    <n v="1408.75"/>
    <n v="7533.75"/>
    <x v="9"/>
  </r>
  <r>
    <n v="274"/>
    <x v="3"/>
    <n v="10"/>
    <d v="2022-09-10T00:00:00"/>
    <s v="FA"/>
    <s v="1052/2294"/>
    <s v="kpl"/>
    <n v="373"/>
    <n v="56"/>
    <n v="88"/>
    <x v="71"/>
    <n v="1133.44"/>
    <n v="6061.4400000000005"/>
    <x v="7"/>
  </r>
  <r>
    <n v="275"/>
    <x v="18"/>
    <n v="11"/>
    <d v="2022-06-11T00:00:00"/>
    <s v="FA"/>
    <s v="1052/2295"/>
    <s v="kpl"/>
    <n v="374"/>
    <n v="38"/>
    <n v="109"/>
    <x v="158"/>
    <n v="952.66000000000008"/>
    <n v="5094.66"/>
    <x v="4"/>
  </r>
  <r>
    <n v="276"/>
    <x v="6"/>
    <n v="12"/>
    <d v="2022-03-24T00:00:00"/>
    <s v="FA"/>
    <s v="1052/2296"/>
    <s v="kpl"/>
    <n v="375"/>
    <n v="68"/>
    <n v="84"/>
    <x v="208"/>
    <n v="1313.76"/>
    <n v="7025.76"/>
    <x v="3"/>
  </r>
  <r>
    <n v="277"/>
    <x v="22"/>
    <n v="13"/>
    <d v="2022-09-17T00:00:00"/>
    <s v="FA"/>
    <s v="1052/2297"/>
    <s v="kpl"/>
    <n v="376"/>
    <n v="51"/>
    <n v="125"/>
    <x v="209"/>
    <n v="1466.25"/>
    <n v="7841.25"/>
    <x v="7"/>
  </r>
  <r>
    <n v="278"/>
    <x v="2"/>
    <n v="10"/>
    <d v="2022-08-08T00:00:00"/>
    <s v="FA"/>
    <s v="1052/2298"/>
    <s v="kpl"/>
    <n v="377"/>
    <n v="33"/>
    <n v="84"/>
    <x v="94"/>
    <n v="637.56000000000006"/>
    <n v="3409.56"/>
    <x v="11"/>
  </r>
  <r>
    <n v="279"/>
    <x v="10"/>
    <n v="9"/>
    <d v="2022-05-08T00:00:00"/>
    <s v="FA"/>
    <s v="1052/2299"/>
    <s v="kpl"/>
    <n v="378"/>
    <n v="52"/>
    <n v="84"/>
    <x v="109"/>
    <n v="1004.6400000000001"/>
    <n v="5372.64"/>
    <x v="10"/>
  </r>
  <r>
    <n v="280"/>
    <x v="15"/>
    <n v="6"/>
    <d v="2022-03-03T00:00:00"/>
    <s v="FA"/>
    <s v="1052/2300"/>
    <s v="kpl"/>
    <n v="379"/>
    <n v="59"/>
    <n v="90"/>
    <x v="210"/>
    <n v="1221.3"/>
    <n v="6531.3"/>
    <x v="3"/>
  </r>
  <r>
    <n v="281"/>
    <x v="5"/>
    <n v="5"/>
    <d v="2022-02-23T00:00:00"/>
    <s v="FA"/>
    <s v="1052/2301"/>
    <s v="kpl"/>
    <n v="380"/>
    <n v="56"/>
    <n v="87"/>
    <x v="78"/>
    <n v="1120.56"/>
    <n v="5992.5599999999995"/>
    <x v="9"/>
  </r>
  <r>
    <n v="282"/>
    <x v="6"/>
    <n v="11"/>
    <d v="2022-02-06T00:00:00"/>
    <s v="FA"/>
    <s v="1052/2302"/>
    <s v="kpl"/>
    <n v="381"/>
    <n v="39"/>
    <n v="84"/>
    <x v="104"/>
    <n v="753.48"/>
    <n v="4029.48"/>
    <x v="9"/>
  </r>
  <r>
    <n v="283"/>
    <x v="14"/>
    <n v="5"/>
    <d v="2022-06-16T00:00:00"/>
    <s v="FA"/>
    <s v="1052/2303"/>
    <s v="kpl"/>
    <n v="382"/>
    <n v="47"/>
    <n v="86"/>
    <x v="211"/>
    <n v="929.66000000000008"/>
    <n v="4971.66"/>
    <x v="4"/>
  </r>
  <r>
    <n v="284"/>
    <x v="18"/>
    <n v="10"/>
    <d v="2022-10-16T00:00:00"/>
    <s v="FA"/>
    <s v="1052/2304"/>
    <s v="kpl"/>
    <n v="383"/>
    <n v="55"/>
    <n v="109"/>
    <x v="212"/>
    <n v="1378.8500000000001"/>
    <n v="7373.85"/>
    <x v="5"/>
  </r>
  <r>
    <n v="285"/>
    <x v="18"/>
    <n v="9"/>
    <d v="2022-10-08T00:00:00"/>
    <s v="FA"/>
    <s v="1052/2305"/>
    <s v="kpl"/>
    <n v="384"/>
    <n v="51"/>
    <n v="109"/>
    <x v="106"/>
    <n v="1278.5700000000002"/>
    <n v="6837.57"/>
    <x v="5"/>
  </r>
  <r>
    <n v="286"/>
    <x v="16"/>
    <n v="6"/>
    <d v="2022-09-18T00:00:00"/>
    <s v="FA"/>
    <s v="1052/2306"/>
    <s v="kpl"/>
    <n v="385"/>
    <n v="53"/>
    <n v="132"/>
    <x v="213"/>
    <n v="1609.0800000000002"/>
    <n v="8605.08"/>
    <x v="7"/>
  </r>
  <r>
    <n v="287"/>
    <x v="18"/>
    <n v="14"/>
    <d v="2022-02-11T00:00:00"/>
    <s v="FA"/>
    <s v="1052/2307"/>
    <s v="kpl"/>
    <n v="386"/>
    <n v="60"/>
    <n v="109"/>
    <x v="37"/>
    <n v="1504.2"/>
    <n v="8044.2"/>
    <x v="9"/>
  </r>
  <r>
    <n v="288"/>
    <x v="5"/>
    <n v="10"/>
    <d v="2022-08-09T00:00:00"/>
    <s v="FA"/>
    <s v="1052/2308"/>
    <s v="kpl"/>
    <n v="387"/>
    <n v="57"/>
    <n v="87"/>
    <x v="52"/>
    <n v="1140.57"/>
    <n v="6099.57"/>
    <x v="11"/>
  </r>
  <r>
    <n v="289"/>
    <x v="13"/>
    <n v="10"/>
    <d v="2022-10-17T00:00:00"/>
    <s v="FA"/>
    <s v="1052/2309"/>
    <s v="kpl"/>
    <n v="388"/>
    <n v="43"/>
    <n v="88"/>
    <x v="214"/>
    <n v="870.32"/>
    <n v="4654.32"/>
    <x v="5"/>
  </r>
  <r>
    <n v="290"/>
    <x v="8"/>
    <n v="11"/>
    <d v="2022-05-16T00:00:00"/>
    <s v="FA"/>
    <s v="1052/2310"/>
    <s v="kpl"/>
    <n v="389"/>
    <n v="41"/>
    <n v="89"/>
    <x v="215"/>
    <n v="839.27"/>
    <n v="4488.2700000000004"/>
    <x v="10"/>
  </r>
  <r>
    <n v="291"/>
    <x v="4"/>
    <n v="8"/>
    <d v="2022-09-25T00:00:00"/>
    <s v="FA"/>
    <s v="1052/2311"/>
    <s v="kpl"/>
    <n v="390"/>
    <n v="53"/>
    <n v="85"/>
    <x v="216"/>
    <n v="1036.1500000000001"/>
    <n v="5541.15"/>
    <x v="7"/>
  </r>
  <r>
    <n v="292"/>
    <x v="3"/>
    <n v="9"/>
    <d v="2022-09-19T00:00:00"/>
    <s v="FA"/>
    <s v="1052/2312"/>
    <s v="kpl"/>
    <n v="391"/>
    <n v="51"/>
    <n v="88"/>
    <x v="19"/>
    <n v="1032.24"/>
    <n v="5520.24"/>
    <x v="7"/>
  </r>
  <r>
    <n v="293"/>
    <x v="21"/>
    <n v="11"/>
    <d v="2022-11-24T00:00:00"/>
    <s v="FA"/>
    <s v="1052/2313"/>
    <s v="kpl"/>
    <n v="392"/>
    <n v="45"/>
    <n v="87"/>
    <x v="139"/>
    <n v="900.45"/>
    <n v="4815.45"/>
    <x v="8"/>
  </r>
  <r>
    <n v="294"/>
    <x v="18"/>
    <n v="8"/>
    <d v="2022-04-05T00:00:00"/>
    <s v="FA"/>
    <s v="1052/2314"/>
    <s v="kpl"/>
    <n v="393"/>
    <n v="41"/>
    <n v="109"/>
    <x v="217"/>
    <n v="1027.8700000000001"/>
    <n v="5496.87"/>
    <x v="1"/>
  </r>
  <r>
    <n v="295"/>
    <x v="20"/>
    <n v="11"/>
    <d v="2022-12-03T00:00:00"/>
    <s v="FA"/>
    <s v="1052/2315"/>
    <s v="kpl"/>
    <n v="394"/>
    <n v="70"/>
    <n v="104"/>
    <x v="218"/>
    <n v="1674.4"/>
    <n v="8954.4"/>
    <x v="2"/>
  </r>
  <r>
    <n v="296"/>
    <x v="22"/>
    <n v="7"/>
    <d v="2022-12-26T00:00:00"/>
    <s v="FA"/>
    <s v="1052/2316"/>
    <s v="kpl"/>
    <n v="395"/>
    <n v="50"/>
    <n v="125"/>
    <x v="219"/>
    <n v="1437.5"/>
    <n v="7687.5"/>
    <x v="2"/>
  </r>
  <r>
    <n v="297"/>
    <x v="18"/>
    <n v="10"/>
    <d v="2022-04-07T00:00:00"/>
    <s v="FA"/>
    <s v="1052/2317"/>
    <s v="kpl"/>
    <n v="396"/>
    <n v="44"/>
    <n v="109"/>
    <x v="220"/>
    <n v="1103.0800000000002"/>
    <n v="5899.08"/>
    <x v="1"/>
  </r>
  <r>
    <n v="298"/>
    <x v="20"/>
    <n v="6"/>
    <d v="2022-06-14T00:00:00"/>
    <s v="FA"/>
    <s v="1052/2318"/>
    <s v="kpl"/>
    <n v="397"/>
    <n v="50"/>
    <n v="104"/>
    <x v="221"/>
    <n v="1196"/>
    <n v="6396"/>
    <x v="4"/>
  </r>
  <r>
    <n v="299"/>
    <x v="1"/>
    <n v="11"/>
    <d v="2022-12-22T00:00:00"/>
    <s v="FA"/>
    <s v="1052/2319"/>
    <s v="kpl"/>
    <n v="398"/>
    <n v="51"/>
    <n v="99"/>
    <x v="222"/>
    <n v="1161.27"/>
    <n v="6210.27"/>
    <x v="2"/>
  </r>
  <r>
    <n v="300"/>
    <x v="16"/>
    <n v="9"/>
    <d v="2022-06-17T00:00:00"/>
    <s v="FA"/>
    <s v="1052/2320"/>
    <s v="kpl"/>
    <n v="399"/>
    <n v="47"/>
    <n v="132"/>
    <x v="115"/>
    <n v="1426.92"/>
    <n v="7630.92"/>
    <x v="4"/>
  </r>
  <r>
    <n v="301"/>
    <x v="13"/>
    <n v="9"/>
    <d v="2022-07-27T00:00:00"/>
    <s v="FA"/>
    <s v="1052/2321"/>
    <s v="kpl"/>
    <n v="400"/>
    <n v="35"/>
    <n v="88"/>
    <x v="223"/>
    <n v="708.4"/>
    <n v="3788.4"/>
    <x v="6"/>
  </r>
  <r>
    <n v="302"/>
    <x v="13"/>
    <n v="8"/>
    <d v="2022-12-22T00:00:00"/>
    <s v="FA"/>
    <s v="1052/2322"/>
    <s v="kpl"/>
    <n v="401"/>
    <n v="60"/>
    <n v="88"/>
    <x v="9"/>
    <n v="1214.4000000000001"/>
    <n v="6494.4"/>
    <x v="2"/>
  </r>
  <r>
    <n v="303"/>
    <x v="18"/>
    <n v="10"/>
    <d v="2022-08-16T00:00:00"/>
    <s v="FA"/>
    <s v="1052/2323"/>
    <s v="kpl"/>
    <n v="402"/>
    <n v="50"/>
    <n v="109"/>
    <x v="95"/>
    <n v="1253.5"/>
    <n v="6703.5"/>
    <x v="11"/>
  </r>
  <r>
    <n v="304"/>
    <x v="12"/>
    <n v="13"/>
    <d v="2022-07-28T00:00:00"/>
    <s v="FA"/>
    <s v="1052/2324"/>
    <s v="kpl"/>
    <n v="403"/>
    <n v="52"/>
    <n v="91"/>
    <x v="224"/>
    <n v="1088.3600000000001"/>
    <n v="5820.3600000000006"/>
    <x v="6"/>
  </r>
  <r>
    <n v="305"/>
    <x v="18"/>
    <n v="9"/>
    <d v="2022-10-12T00:00:00"/>
    <s v="FA"/>
    <s v="1052/2325"/>
    <s v="kpl"/>
    <n v="404"/>
    <n v="53"/>
    <n v="109"/>
    <x v="225"/>
    <n v="1328.71"/>
    <n v="7105.71"/>
    <x v="5"/>
  </r>
  <r>
    <n v="306"/>
    <x v="19"/>
    <n v="14"/>
    <d v="2022-10-26T00:00:00"/>
    <s v="FA"/>
    <s v="1052/2326"/>
    <s v="kpl"/>
    <n v="405"/>
    <n v="46"/>
    <n v="121"/>
    <x v="226"/>
    <n v="1280.18"/>
    <n v="6846.18"/>
    <x v="5"/>
  </r>
  <r>
    <n v="307"/>
    <x v="12"/>
    <n v="8"/>
    <d v="2022-07-19T00:00:00"/>
    <s v="FA"/>
    <s v="1052/2327"/>
    <s v="kpl"/>
    <n v="406"/>
    <n v="55"/>
    <n v="91"/>
    <x v="227"/>
    <n v="1151.1500000000001"/>
    <n v="6156.15"/>
    <x v="6"/>
  </r>
  <r>
    <n v="308"/>
    <x v="24"/>
    <n v="10"/>
    <d v="2022-11-22T00:00:00"/>
    <s v="FA"/>
    <s v="1052/2328"/>
    <s v="kpl"/>
    <n v="407"/>
    <n v="63"/>
    <n v="129"/>
    <x v="228"/>
    <n v="1869.21"/>
    <n v="9996.2099999999991"/>
    <x v="8"/>
  </r>
  <r>
    <n v="309"/>
    <x v="16"/>
    <n v="10"/>
    <d v="2022-07-19T00:00:00"/>
    <s v="FA"/>
    <s v="1052/2329"/>
    <s v="kpl"/>
    <n v="408"/>
    <n v="60"/>
    <n v="132"/>
    <x v="229"/>
    <n v="1821.6000000000001"/>
    <n v="9741.6"/>
    <x v="6"/>
  </r>
  <r>
    <n v="310"/>
    <x v="15"/>
    <n v="4"/>
    <d v="2022-05-12T00:00:00"/>
    <s v="FA"/>
    <s v="1052/2330"/>
    <s v="kpl"/>
    <n v="409"/>
    <n v="57"/>
    <n v="90"/>
    <x v="230"/>
    <n v="1179.9000000000001"/>
    <n v="6309.9"/>
    <x v="10"/>
  </r>
  <r>
    <n v="311"/>
    <x v="7"/>
    <n v="7"/>
    <d v="2022-07-17T00:00:00"/>
    <s v="FA"/>
    <s v="1052/2331"/>
    <s v="kpl"/>
    <n v="410"/>
    <n v="49"/>
    <n v="96"/>
    <x v="185"/>
    <n v="1081.92"/>
    <n v="5785.92"/>
    <x v="6"/>
  </r>
  <r>
    <n v="312"/>
    <x v="25"/>
    <n v="5"/>
    <d v="2022-08-21T00:00:00"/>
    <s v="FA"/>
    <s v="1052/2332"/>
    <s v="kpl"/>
    <n v="411"/>
    <n v="44"/>
    <n v="59"/>
    <x v="231"/>
    <n v="597.08000000000004"/>
    <n v="3193.08"/>
    <x v="11"/>
  </r>
  <r>
    <n v="313"/>
    <x v="6"/>
    <n v="9"/>
    <d v="2022-12-13T00:00:00"/>
    <s v="FA"/>
    <s v="1052/2333"/>
    <s v="kpl"/>
    <n v="412"/>
    <n v="57"/>
    <n v="84"/>
    <x v="127"/>
    <n v="1101.24"/>
    <n v="5889.24"/>
    <x v="2"/>
  </r>
  <r>
    <n v="314"/>
    <x v="7"/>
    <n v="3"/>
    <d v="2022-01-17T00:00:00"/>
    <s v="FA"/>
    <s v="1052/2334"/>
    <s v="kpl"/>
    <n v="413"/>
    <n v="34"/>
    <n v="96"/>
    <x v="178"/>
    <n v="750.72"/>
    <n v="4014.7200000000003"/>
    <x v="0"/>
  </r>
  <r>
    <n v="315"/>
    <x v="1"/>
    <n v="11"/>
    <d v="2022-02-27T00:00:00"/>
    <s v="FA"/>
    <s v="1052/2335"/>
    <s v="kpl"/>
    <n v="414"/>
    <n v="61"/>
    <n v="99"/>
    <x v="232"/>
    <n v="1388.97"/>
    <n v="7427.97"/>
    <x v="9"/>
  </r>
  <r>
    <n v="316"/>
    <x v="21"/>
    <n v="15"/>
    <d v="2022-12-09T00:00:00"/>
    <s v="FA"/>
    <s v="1052/2336"/>
    <s v="kpl"/>
    <n v="415"/>
    <n v="38"/>
    <n v="87"/>
    <x v="233"/>
    <n v="760.38"/>
    <n v="4066.38"/>
    <x v="2"/>
  </r>
  <r>
    <n v="317"/>
    <x v="2"/>
    <n v="9"/>
    <d v="2022-06-12T00:00:00"/>
    <s v="FA"/>
    <s v="1052/2337"/>
    <s v="kpl"/>
    <n v="416"/>
    <n v="51"/>
    <n v="84"/>
    <x v="234"/>
    <n v="985.32"/>
    <n v="5269.32"/>
    <x v="4"/>
  </r>
  <r>
    <n v="318"/>
    <x v="7"/>
    <n v="7"/>
    <d v="2022-07-06T00:00:00"/>
    <s v="FA"/>
    <s v="1052/2338"/>
    <s v="kpl"/>
    <n v="417"/>
    <n v="49"/>
    <n v="96"/>
    <x v="185"/>
    <n v="1081.92"/>
    <n v="5785.92"/>
    <x v="6"/>
  </r>
  <r>
    <n v="319"/>
    <x v="26"/>
    <n v="9"/>
    <d v="2022-06-05T00:00:00"/>
    <s v="FA"/>
    <s v="1052/2339"/>
    <s v="kpl"/>
    <n v="418"/>
    <n v="50"/>
    <n v="99"/>
    <x v="53"/>
    <n v="1138.5"/>
    <n v="6088.5"/>
    <x v="4"/>
  </r>
  <r>
    <n v="320"/>
    <x v="22"/>
    <n v="7"/>
    <d v="2022-02-03T00:00:00"/>
    <s v="FA"/>
    <s v="1052/2340"/>
    <s v="kpl"/>
    <n v="419"/>
    <n v="68"/>
    <n v="125"/>
    <x v="235"/>
    <n v="1955"/>
    <n v="10455"/>
    <x v="9"/>
  </r>
  <r>
    <n v="321"/>
    <x v="18"/>
    <n v="9"/>
    <d v="2022-12-19T00:00:00"/>
    <s v="FA"/>
    <s v="1052/2341"/>
    <s v="kpl"/>
    <n v="420"/>
    <n v="35"/>
    <n v="109"/>
    <x v="198"/>
    <n v="877.45"/>
    <n v="4692.45"/>
    <x v="2"/>
  </r>
  <r>
    <n v="322"/>
    <x v="13"/>
    <n v="9"/>
    <d v="2022-02-11T00:00:00"/>
    <s v="FA"/>
    <s v="1052/2342"/>
    <s v="kpl"/>
    <n v="421"/>
    <n v="42"/>
    <n v="88"/>
    <x v="236"/>
    <n v="850.08"/>
    <n v="4546.08"/>
    <x v="9"/>
  </r>
  <r>
    <n v="323"/>
    <x v="17"/>
    <n v="10"/>
    <d v="2022-09-09T00:00:00"/>
    <s v="FA"/>
    <s v="1052/2343"/>
    <s v="kpl"/>
    <n v="422"/>
    <n v="59"/>
    <n v="94"/>
    <x v="237"/>
    <n v="1275.5800000000002"/>
    <n v="6821.58"/>
    <x v="7"/>
  </r>
  <r>
    <n v="324"/>
    <x v="18"/>
    <n v="12"/>
    <d v="2022-07-06T00:00:00"/>
    <s v="FA"/>
    <s v="1052/2344"/>
    <s v="kpl"/>
    <n v="423"/>
    <n v="39"/>
    <n v="109"/>
    <x v="205"/>
    <n v="977.73"/>
    <n v="5228.7299999999996"/>
    <x v="6"/>
  </r>
  <r>
    <n v="325"/>
    <x v="2"/>
    <n v="10"/>
    <d v="2022-08-05T00:00:00"/>
    <s v="FA"/>
    <s v="1052/2345"/>
    <s v="kpl"/>
    <n v="424"/>
    <n v="47"/>
    <n v="84"/>
    <x v="55"/>
    <n v="908.04000000000008"/>
    <n v="4856.04"/>
    <x v="11"/>
  </r>
  <r>
    <n v="326"/>
    <x v="0"/>
    <n v="7"/>
    <d v="2022-04-03T00:00:00"/>
    <s v="FA"/>
    <s v="1052/2346"/>
    <s v="kpl"/>
    <n v="425"/>
    <n v="55"/>
    <n v="83"/>
    <x v="47"/>
    <n v="1049.95"/>
    <n v="5614.95"/>
    <x v="1"/>
  </r>
  <r>
    <n v="327"/>
    <x v="14"/>
    <n v="12"/>
    <d v="2022-07-02T00:00:00"/>
    <s v="FA"/>
    <s v="1052/2347"/>
    <s v="kpl"/>
    <n v="426"/>
    <n v="43"/>
    <n v="86"/>
    <x v="238"/>
    <n v="850.54000000000008"/>
    <n v="4548.54"/>
    <x v="6"/>
  </r>
  <r>
    <n v="328"/>
    <x v="14"/>
    <n v="7"/>
    <d v="2022-08-28T00:00:00"/>
    <s v="FA"/>
    <s v="1052/2348"/>
    <s v="kpl"/>
    <n v="427"/>
    <n v="50"/>
    <n v="86"/>
    <x v="239"/>
    <n v="989"/>
    <n v="5289"/>
    <x v="11"/>
  </r>
  <r>
    <n v="329"/>
    <x v="23"/>
    <n v="9"/>
    <d v="2022-02-12T00:00:00"/>
    <s v="FA"/>
    <s v="1052/2349"/>
    <s v="kpl"/>
    <n v="428"/>
    <n v="46"/>
    <n v="105"/>
    <x v="240"/>
    <n v="1110.9000000000001"/>
    <n v="5940.9"/>
    <x v="9"/>
  </r>
  <r>
    <n v="330"/>
    <x v="21"/>
    <n v="11"/>
    <d v="2022-11-13T00:00:00"/>
    <s v="FA"/>
    <s v="1052/2350"/>
    <s v="kpl"/>
    <n v="429"/>
    <n v="45"/>
    <n v="87"/>
    <x v="139"/>
    <n v="900.45"/>
    <n v="4815.45"/>
    <x v="8"/>
  </r>
  <r>
    <n v="331"/>
    <x v="22"/>
    <n v="12"/>
    <d v="2022-07-02T00:00:00"/>
    <s v="FA"/>
    <s v="1052/2351"/>
    <s v="kpl"/>
    <n v="430"/>
    <n v="41"/>
    <n v="125"/>
    <x v="241"/>
    <n v="1178.75"/>
    <n v="6303.75"/>
    <x v="6"/>
  </r>
  <r>
    <n v="332"/>
    <x v="9"/>
    <n v="10"/>
    <d v="2022-09-05T00:00:00"/>
    <s v="FA"/>
    <s v="1052/2352"/>
    <s v="kpl"/>
    <n v="431"/>
    <n v="54"/>
    <n v="108"/>
    <x v="204"/>
    <n v="1341.3600000000001"/>
    <n v="7173.3600000000006"/>
    <x v="7"/>
  </r>
  <r>
    <n v="333"/>
    <x v="15"/>
    <n v="11"/>
    <d v="2022-02-06T00:00:00"/>
    <s v="FA"/>
    <s v="1052/2353"/>
    <s v="kpl"/>
    <n v="432"/>
    <n v="46"/>
    <n v="90"/>
    <x v="242"/>
    <n v="952.2"/>
    <n v="5092.2"/>
    <x v="9"/>
  </r>
  <r>
    <n v="334"/>
    <x v="8"/>
    <n v="7"/>
    <d v="2022-11-25T00:00:00"/>
    <s v="FA"/>
    <s v="1052/2354"/>
    <s v="kpl"/>
    <n v="433"/>
    <n v="71"/>
    <n v="89"/>
    <x v="243"/>
    <n v="1453.3700000000001"/>
    <n v="7772.37"/>
    <x v="8"/>
  </r>
  <r>
    <n v="335"/>
    <x v="14"/>
    <n v="9"/>
    <d v="2022-05-21T00:00:00"/>
    <s v="FA"/>
    <s v="1052/2355"/>
    <s v="kpl"/>
    <n v="434"/>
    <n v="50"/>
    <n v="86"/>
    <x v="239"/>
    <n v="989"/>
    <n v="5289"/>
    <x v="10"/>
  </r>
  <r>
    <n v="336"/>
    <x v="0"/>
    <n v="8"/>
    <d v="2022-10-09T00:00:00"/>
    <s v="FA"/>
    <s v="1052/2356"/>
    <s v="kpl"/>
    <n v="435"/>
    <n v="67"/>
    <n v="83"/>
    <x v="244"/>
    <n v="1279.03"/>
    <n v="6840.03"/>
    <x v="5"/>
  </r>
  <r>
    <n v="337"/>
    <x v="3"/>
    <n v="11"/>
    <d v="2022-12-11T00:00:00"/>
    <s v="FA"/>
    <s v="1052/2357"/>
    <s v="kpl"/>
    <n v="436"/>
    <n v="48"/>
    <n v="88"/>
    <x v="40"/>
    <n v="971.5200000000001"/>
    <n v="5195.5200000000004"/>
    <x v="2"/>
  </r>
  <r>
    <n v="338"/>
    <x v="21"/>
    <n v="7"/>
    <d v="2022-11-09T00:00:00"/>
    <s v="FA"/>
    <s v="1052/2358"/>
    <s v="kpl"/>
    <n v="437"/>
    <n v="39"/>
    <n v="87"/>
    <x v="245"/>
    <n v="780.39"/>
    <n v="4173.3900000000003"/>
    <x v="8"/>
  </r>
  <r>
    <n v="339"/>
    <x v="10"/>
    <n v="14"/>
    <d v="2022-08-08T00:00:00"/>
    <s v="FA"/>
    <s v="1052/2359"/>
    <s v="kpl"/>
    <n v="438"/>
    <n v="48"/>
    <n v="84"/>
    <x v="66"/>
    <n v="927.36"/>
    <n v="4959.3599999999997"/>
    <x v="11"/>
  </r>
  <r>
    <n v="340"/>
    <x v="24"/>
    <n v="7"/>
    <d v="2022-01-18T00:00:00"/>
    <s v="FA"/>
    <s v="1052/2360"/>
    <s v="kpl"/>
    <n v="439"/>
    <n v="41"/>
    <n v="129"/>
    <x v="69"/>
    <n v="1216.47"/>
    <n v="6505.47"/>
    <x v="0"/>
  </r>
  <r>
    <n v="341"/>
    <x v="18"/>
    <n v="11"/>
    <d v="2022-10-22T00:00:00"/>
    <s v="FA"/>
    <s v="1052/2361"/>
    <s v="kpl"/>
    <n v="440"/>
    <n v="62"/>
    <n v="109"/>
    <x v="246"/>
    <n v="1554.3400000000001"/>
    <n v="8312.34"/>
    <x v="5"/>
  </r>
  <r>
    <n v="342"/>
    <x v="14"/>
    <n v="13"/>
    <d v="2022-07-28T00:00:00"/>
    <s v="FA"/>
    <s v="1052/2362"/>
    <s v="kpl"/>
    <n v="441"/>
    <n v="57"/>
    <n v="86"/>
    <x v="247"/>
    <n v="1127.46"/>
    <n v="6029.46"/>
    <x v="6"/>
  </r>
  <r>
    <n v="343"/>
    <x v="14"/>
    <n v="10"/>
    <d v="2022-05-06T00:00:00"/>
    <s v="FA"/>
    <s v="1052/2363"/>
    <s v="kpl"/>
    <n v="442"/>
    <n v="28"/>
    <n v="86"/>
    <x v="248"/>
    <n v="553.84"/>
    <n v="2961.84"/>
    <x v="10"/>
  </r>
  <r>
    <n v="344"/>
    <x v="18"/>
    <n v="8"/>
    <d v="2022-06-11T00:00:00"/>
    <s v="FA"/>
    <s v="1052/2364"/>
    <s v="kpl"/>
    <n v="443"/>
    <n v="35"/>
    <n v="109"/>
    <x v="198"/>
    <n v="877.45"/>
    <n v="4692.45"/>
    <x v="4"/>
  </r>
  <r>
    <n v="345"/>
    <x v="21"/>
    <n v="10"/>
    <d v="2022-03-23T00:00:00"/>
    <s v="FA"/>
    <s v="1052/2365"/>
    <s v="kpl"/>
    <n v="444"/>
    <n v="54"/>
    <n v="87"/>
    <x v="114"/>
    <n v="1080.54"/>
    <n v="5778.54"/>
    <x v="3"/>
  </r>
  <r>
    <n v="346"/>
    <x v="7"/>
    <n v="12"/>
    <d v="2022-12-17T00:00:00"/>
    <s v="FA"/>
    <s v="1052/2366"/>
    <s v="kpl"/>
    <n v="445"/>
    <n v="56"/>
    <n v="96"/>
    <x v="249"/>
    <n v="1236.48"/>
    <n v="6612.48"/>
    <x v="2"/>
  </r>
  <r>
    <n v="347"/>
    <x v="4"/>
    <n v="11"/>
    <d v="2022-01-05T00:00:00"/>
    <s v="FA"/>
    <s v="1052/2367"/>
    <s v="kpl"/>
    <n v="446"/>
    <n v="59"/>
    <n v="85"/>
    <x v="130"/>
    <n v="1153.45"/>
    <n v="6168.45"/>
    <x v="0"/>
  </r>
  <r>
    <n v="348"/>
    <x v="0"/>
    <n v="9"/>
    <d v="2022-09-19T00:00:00"/>
    <s v="FA"/>
    <s v="1052/2368"/>
    <s v="kpl"/>
    <n v="447"/>
    <n v="55"/>
    <n v="83"/>
    <x v="47"/>
    <n v="1049.95"/>
    <n v="5614.95"/>
    <x v="7"/>
  </r>
  <r>
    <n v="349"/>
    <x v="21"/>
    <n v="16"/>
    <d v="2022-08-12T00:00:00"/>
    <s v="FA"/>
    <s v="1052/2369"/>
    <s v="kpl"/>
    <n v="448"/>
    <n v="49"/>
    <n v="87"/>
    <x v="96"/>
    <n v="980.49"/>
    <n v="5243.49"/>
    <x v="11"/>
  </r>
  <r>
    <n v="350"/>
    <x v="14"/>
    <n v="10"/>
    <d v="2022-05-12T00:00:00"/>
    <s v="FA"/>
    <s v="1052/2370"/>
    <s v="kpl"/>
    <n v="449"/>
    <n v="43"/>
    <n v="86"/>
    <x v="238"/>
    <n v="850.54000000000008"/>
    <n v="4548.54"/>
    <x v="10"/>
  </r>
  <r>
    <n v="351"/>
    <x v="22"/>
    <n v="11"/>
    <d v="2022-02-14T00:00:00"/>
    <s v="FA"/>
    <s v="1052/2371"/>
    <s v="kpl"/>
    <n v="450"/>
    <n v="61"/>
    <n v="125"/>
    <x v="250"/>
    <n v="1753.75"/>
    <n v="9378.75"/>
    <x v="9"/>
  </r>
  <r>
    <n v="352"/>
    <x v="0"/>
    <n v="6"/>
    <d v="2022-08-11T00:00:00"/>
    <s v="FA"/>
    <s v="1052/2372"/>
    <s v="kpl"/>
    <n v="451"/>
    <n v="45"/>
    <n v="83"/>
    <x v="251"/>
    <n v="859.05000000000007"/>
    <n v="4594.05"/>
    <x v="11"/>
  </r>
  <r>
    <n v="353"/>
    <x v="19"/>
    <n v="9"/>
    <d v="2022-04-17T00:00:00"/>
    <s v="FA"/>
    <s v="1052/2373"/>
    <s v="kpl"/>
    <n v="452"/>
    <n v="62"/>
    <n v="121"/>
    <x v="252"/>
    <n v="1725.46"/>
    <n v="9227.4599999999991"/>
    <x v="1"/>
  </r>
  <r>
    <n v="354"/>
    <x v="6"/>
    <n v="8"/>
    <d v="2022-02-17T00:00:00"/>
    <s v="FA"/>
    <s v="1052/2374"/>
    <s v="kpl"/>
    <n v="453"/>
    <n v="66"/>
    <n v="84"/>
    <x v="65"/>
    <n v="1275.1200000000001"/>
    <n v="6819.12"/>
    <x v="9"/>
  </r>
  <r>
    <n v="355"/>
    <x v="19"/>
    <n v="8"/>
    <d v="2022-06-05T00:00:00"/>
    <s v="FA"/>
    <s v="1052/2375"/>
    <s v="kpl"/>
    <n v="454"/>
    <n v="56"/>
    <n v="121"/>
    <x v="253"/>
    <n v="1558.48"/>
    <n v="8334.48"/>
    <x v="4"/>
  </r>
  <r>
    <n v="356"/>
    <x v="15"/>
    <n v="10"/>
    <d v="2022-12-03T00:00:00"/>
    <s v="FA"/>
    <s v="1052/2376"/>
    <s v="kpl"/>
    <n v="455"/>
    <n v="67"/>
    <n v="90"/>
    <x v="254"/>
    <n v="1386.9"/>
    <n v="7416.9"/>
    <x v="2"/>
  </r>
  <r>
    <n v="357"/>
    <x v="25"/>
    <n v="10"/>
    <d v="2022-04-21T00:00:00"/>
    <s v="FA"/>
    <s v="1052/2377"/>
    <s v="kpl"/>
    <n v="456"/>
    <n v="53"/>
    <n v="59"/>
    <x v="255"/>
    <n v="719.21"/>
    <n v="3846.21"/>
    <x v="1"/>
  </r>
  <r>
    <n v="358"/>
    <x v="19"/>
    <n v="10"/>
    <d v="2022-04-12T00:00:00"/>
    <s v="FA"/>
    <s v="1052/2378"/>
    <s v="kpl"/>
    <n v="457"/>
    <n v="57"/>
    <n v="121"/>
    <x v="256"/>
    <n v="1586.3100000000002"/>
    <n v="8483.31"/>
    <x v="1"/>
  </r>
  <r>
    <n v="359"/>
    <x v="18"/>
    <n v="14"/>
    <d v="2022-05-04T00:00:00"/>
    <s v="FA"/>
    <s v="1052/2379"/>
    <s v="kpl"/>
    <n v="458"/>
    <n v="50"/>
    <n v="109"/>
    <x v="95"/>
    <n v="1253.5"/>
    <n v="6703.5"/>
    <x v="10"/>
  </r>
  <r>
    <n v="360"/>
    <x v="11"/>
    <n v="14"/>
    <d v="2022-08-26T00:00:00"/>
    <s v="FA"/>
    <s v="1052/2380"/>
    <s v="kpl"/>
    <n v="459"/>
    <n v="51"/>
    <n v="93"/>
    <x v="257"/>
    <n v="1090.8900000000001"/>
    <n v="5833.89"/>
    <x v="11"/>
  </r>
  <r>
    <n v="361"/>
    <x v="7"/>
    <n v="10"/>
    <d v="2022-12-08T00:00:00"/>
    <s v="FA"/>
    <s v="1052/2381"/>
    <s v="kpl"/>
    <n v="460"/>
    <n v="43"/>
    <n v="96"/>
    <x v="73"/>
    <n v="949.44"/>
    <n v="5077.4400000000005"/>
    <x v="2"/>
  </r>
  <r>
    <n v="362"/>
    <x v="9"/>
    <n v="11"/>
    <d v="2022-02-02T00:00:00"/>
    <s v="FA"/>
    <s v="1052/2382"/>
    <s v="kpl"/>
    <n v="461"/>
    <n v="56"/>
    <n v="108"/>
    <x v="20"/>
    <n v="1391.04"/>
    <n v="7439.04"/>
    <x v="9"/>
  </r>
  <r>
    <n v="363"/>
    <x v="18"/>
    <n v="11"/>
    <d v="2022-06-18T00:00:00"/>
    <s v="FA"/>
    <s v="1052/2383"/>
    <s v="kpl"/>
    <n v="462"/>
    <n v="72"/>
    <n v="109"/>
    <x v="258"/>
    <n v="1805.0400000000002"/>
    <n v="9653.0400000000009"/>
    <x v="4"/>
  </r>
  <r>
    <n v="364"/>
    <x v="25"/>
    <n v="14"/>
    <d v="2022-01-21T00:00:00"/>
    <s v="FA"/>
    <s v="1052/2384"/>
    <s v="kpl"/>
    <n v="463"/>
    <n v="55"/>
    <n v="59"/>
    <x v="259"/>
    <n v="746.35"/>
    <n v="3991.35"/>
    <x v="0"/>
  </r>
  <r>
    <n v="365"/>
    <x v="10"/>
    <n v="12"/>
    <d v="2022-03-12T00:00:00"/>
    <s v="FA"/>
    <s v="1052/2385"/>
    <s v="kpl"/>
    <n v="464"/>
    <n v="65"/>
    <n v="84"/>
    <x v="260"/>
    <n v="1255.8"/>
    <n v="6715.8"/>
    <x v="3"/>
  </r>
  <r>
    <n v="366"/>
    <x v="24"/>
    <n v="6"/>
    <d v="2022-01-13T00:00:00"/>
    <s v="FA"/>
    <s v="1052/2386"/>
    <s v="kpl"/>
    <n v="465"/>
    <n v="56"/>
    <n v="129"/>
    <x v="261"/>
    <n v="1661.52"/>
    <n v="8885.52"/>
    <x v="0"/>
  </r>
  <r>
    <n v="367"/>
    <x v="3"/>
    <n v="10"/>
    <d v="2022-03-01T00:00:00"/>
    <s v="FA"/>
    <s v="1052/2387"/>
    <s v="kpl"/>
    <n v="466"/>
    <n v="48"/>
    <n v="88"/>
    <x v="40"/>
    <n v="971.5200000000001"/>
    <n v="5195.5200000000004"/>
    <x v="3"/>
  </r>
  <r>
    <n v="368"/>
    <x v="14"/>
    <n v="10"/>
    <d v="2022-08-26T00:00:00"/>
    <s v="FA"/>
    <s v="1052/2388"/>
    <s v="kpl"/>
    <n v="467"/>
    <n v="49"/>
    <n v="86"/>
    <x v="262"/>
    <n v="969.22"/>
    <n v="5183.22"/>
    <x v="11"/>
  </r>
  <r>
    <n v="369"/>
    <x v="22"/>
    <n v="9"/>
    <d v="2022-09-21T00:00:00"/>
    <s v="FA"/>
    <s v="1052/2389"/>
    <s v="kpl"/>
    <n v="468"/>
    <n v="46"/>
    <n v="125"/>
    <x v="263"/>
    <n v="1322.5"/>
    <n v="7072.5"/>
    <x v="7"/>
  </r>
  <r>
    <n v="370"/>
    <x v="21"/>
    <n v="5"/>
    <d v="2022-09-05T00:00:00"/>
    <s v="FA"/>
    <s v="1052/2390"/>
    <s v="kpl"/>
    <n v="469"/>
    <n v="65"/>
    <n v="87"/>
    <x v="89"/>
    <n v="1300.6500000000001"/>
    <n v="6955.65"/>
    <x v="7"/>
  </r>
  <r>
    <n v="371"/>
    <x v="5"/>
    <n v="9"/>
    <d v="2022-10-17T00:00:00"/>
    <s v="FA"/>
    <s v="1052/2391"/>
    <s v="kpl"/>
    <n v="470"/>
    <n v="43"/>
    <n v="87"/>
    <x v="264"/>
    <n v="860.43000000000006"/>
    <n v="4601.43"/>
    <x v="5"/>
  </r>
  <r>
    <n v="372"/>
    <x v="3"/>
    <n v="12"/>
    <d v="2022-03-11T00:00:00"/>
    <s v="FA"/>
    <s v="1052/2392"/>
    <s v="kpl"/>
    <n v="471"/>
    <n v="41"/>
    <n v="88"/>
    <x v="265"/>
    <n v="829.84"/>
    <n v="4437.84"/>
    <x v="3"/>
  </r>
  <r>
    <n v="373"/>
    <x v="14"/>
    <n v="6"/>
    <d v="2022-04-22T00:00:00"/>
    <s v="FA"/>
    <s v="1052/2393"/>
    <s v="kpl"/>
    <n v="472"/>
    <n v="66"/>
    <n v="86"/>
    <x v="266"/>
    <n v="1305.48"/>
    <n v="6981.48"/>
    <x v="1"/>
  </r>
  <r>
    <n v="374"/>
    <x v="20"/>
    <n v="10"/>
    <d v="2022-04-18T00:00:00"/>
    <s v="FA"/>
    <s v="1052/2394"/>
    <s v="kpl"/>
    <n v="473"/>
    <n v="49"/>
    <n v="104"/>
    <x v="189"/>
    <n v="1172.0800000000002"/>
    <n v="6268.08"/>
    <x v="1"/>
  </r>
  <r>
    <n v="375"/>
    <x v="7"/>
    <n v="12"/>
    <d v="2022-09-20T00:00:00"/>
    <s v="FA"/>
    <s v="1052/2395"/>
    <s v="kpl"/>
    <n v="474"/>
    <n v="44"/>
    <n v="96"/>
    <x v="40"/>
    <n v="971.5200000000001"/>
    <n v="5195.5200000000004"/>
    <x v="7"/>
  </r>
  <r>
    <n v="376"/>
    <x v="23"/>
    <n v="7"/>
    <d v="2022-05-19T00:00:00"/>
    <s v="FA"/>
    <s v="1052/2396"/>
    <s v="kpl"/>
    <n v="475"/>
    <n v="45"/>
    <n v="105"/>
    <x v="267"/>
    <n v="1086.75"/>
    <n v="5811.75"/>
    <x v="10"/>
  </r>
  <r>
    <n v="377"/>
    <x v="17"/>
    <n v="10"/>
    <d v="2022-04-28T00:00:00"/>
    <s v="FA"/>
    <s v="1052/2397"/>
    <s v="kpl"/>
    <n v="476"/>
    <n v="45"/>
    <n v="94"/>
    <x v="26"/>
    <n v="972.90000000000009"/>
    <n v="5202.8999999999996"/>
    <x v="1"/>
  </r>
  <r>
    <n v="378"/>
    <x v="21"/>
    <n v="9"/>
    <d v="2022-11-23T00:00:00"/>
    <s v="FA"/>
    <s v="1052/2398"/>
    <s v="kpl"/>
    <n v="477"/>
    <n v="59"/>
    <n v="87"/>
    <x v="268"/>
    <n v="1180.5900000000001"/>
    <n v="6313.59"/>
    <x v="8"/>
  </r>
  <r>
    <n v="379"/>
    <x v="19"/>
    <n v="8"/>
    <d v="2022-11-16T00:00:00"/>
    <s v="FA"/>
    <s v="1052/2399"/>
    <s v="kpl"/>
    <n v="478"/>
    <n v="53"/>
    <n v="121"/>
    <x v="269"/>
    <n v="1474.99"/>
    <n v="7887.99"/>
    <x v="8"/>
  </r>
  <r>
    <n v="380"/>
    <x v="1"/>
    <n v="8"/>
    <d v="2022-04-25T00:00:00"/>
    <s v="FA"/>
    <s v="1052/2400"/>
    <s v="kpl"/>
    <n v="479"/>
    <n v="47"/>
    <n v="99"/>
    <x v="4"/>
    <n v="1070.19"/>
    <n v="5723.1900000000005"/>
    <x v="1"/>
  </r>
  <r>
    <n v="381"/>
    <x v="17"/>
    <n v="6"/>
    <d v="2022-07-21T00:00:00"/>
    <s v="FA"/>
    <s v="1052/2401"/>
    <s v="kpl"/>
    <n v="480"/>
    <n v="53"/>
    <n v="94"/>
    <x v="270"/>
    <n v="1145.8600000000001"/>
    <n v="6127.8600000000006"/>
    <x v="6"/>
  </r>
  <r>
    <n v="382"/>
    <x v="13"/>
    <n v="8"/>
    <d v="2022-02-01T00:00:00"/>
    <s v="FA"/>
    <s v="1052/2402"/>
    <s v="kpl"/>
    <n v="481"/>
    <n v="47"/>
    <n v="88"/>
    <x v="165"/>
    <n v="951.28000000000009"/>
    <n v="5087.28"/>
    <x v="9"/>
  </r>
  <r>
    <n v="383"/>
    <x v="14"/>
    <n v="9"/>
    <d v="2022-10-07T00:00:00"/>
    <s v="FA"/>
    <s v="1052/2403"/>
    <s v="kpl"/>
    <n v="482"/>
    <n v="31"/>
    <n v="86"/>
    <x v="271"/>
    <n v="613.18000000000006"/>
    <n v="3279.1800000000003"/>
    <x v="5"/>
  </r>
  <r>
    <n v="384"/>
    <x v="13"/>
    <n v="15"/>
    <d v="2022-02-24T00:00:00"/>
    <s v="FA"/>
    <s v="1052/2404"/>
    <s v="kpl"/>
    <n v="483"/>
    <n v="55"/>
    <n v="88"/>
    <x v="29"/>
    <n v="1113.2"/>
    <n v="5953.2"/>
    <x v="9"/>
  </r>
  <r>
    <n v="385"/>
    <x v="5"/>
    <n v="11"/>
    <d v="2022-07-16T00:00:00"/>
    <s v="FA"/>
    <s v="1052/2405"/>
    <s v="kpl"/>
    <n v="484"/>
    <n v="42"/>
    <n v="87"/>
    <x v="272"/>
    <n v="840.42000000000007"/>
    <n v="4494.42"/>
    <x v="6"/>
  </r>
  <r>
    <n v="386"/>
    <x v="24"/>
    <n v="8"/>
    <d v="2022-02-05T00:00:00"/>
    <s v="FA"/>
    <s v="1052/2406"/>
    <s v="kpl"/>
    <n v="485"/>
    <n v="38"/>
    <n v="129"/>
    <x v="247"/>
    <n v="1127.46"/>
    <n v="6029.46"/>
    <x v="9"/>
  </r>
  <r>
    <n v="387"/>
    <x v="11"/>
    <n v="9"/>
    <d v="2022-11-25T00:00:00"/>
    <s v="FA"/>
    <s v="1052/2407"/>
    <s v="kpl"/>
    <n v="486"/>
    <n v="48"/>
    <n v="93"/>
    <x v="273"/>
    <n v="1026.72"/>
    <n v="5490.72"/>
    <x v="8"/>
  </r>
  <r>
    <n v="388"/>
    <x v="3"/>
    <n v="11"/>
    <d v="2022-02-08T00:00:00"/>
    <s v="FA"/>
    <s v="1052/2408"/>
    <s v="kpl"/>
    <n v="487"/>
    <n v="65"/>
    <n v="88"/>
    <x v="138"/>
    <n v="1315.6000000000001"/>
    <n v="7035.6"/>
    <x v="9"/>
  </r>
  <r>
    <n v="389"/>
    <x v="7"/>
    <n v="13"/>
    <d v="2022-09-20T00:00:00"/>
    <s v="FA"/>
    <s v="1052/2409"/>
    <s v="kpl"/>
    <n v="488"/>
    <n v="53"/>
    <n v="96"/>
    <x v="274"/>
    <n v="1170.24"/>
    <n v="6258.24"/>
    <x v="7"/>
  </r>
  <r>
    <n v="390"/>
    <x v="17"/>
    <n v="14"/>
    <d v="2022-09-10T00:00:00"/>
    <s v="FA"/>
    <s v="1052/2410"/>
    <s v="kpl"/>
    <n v="489"/>
    <n v="71"/>
    <n v="94"/>
    <x v="275"/>
    <n v="1535.02"/>
    <n v="8209.02"/>
    <x v="7"/>
  </r>
  <r>
    <n v="391"/>
    <x v="9"/>
    <n v="4"/>
    <d v="2022-08-23T00:00:00"/>
    <s v="FA"/>
    <s v="1052/2411"/>
    <s v="kpl"/>
    <n v="490"/>
    <n v="41"/>
    <n v="108"/>
    <x v="276"/>
    <n v="1018.44"/>
    <n v="5446.4400000000005"/>
    <x v="11"/>
  </r>
  <r>
    <n v="392"/>
    <x v="13"/>
    <n v="14"/>
    <d v="2022-04-11T00:00:00"/>
    <s v="FA"/>
    <s v="1052/2412"/>
    <s v="kpl"/>
    <n v="491"/>
    <n v="53"/>
    <n v="88"/>
    <x v="61"/>
    <n v="1072.72"/>
    <n v="5736.72"/>
    <x v="1"/>
  </r>
  <r>
    <n v="393"/>
    <x v="0"/>
    <n v="13"/>
    <d v="2022-01-10T00:00:00"/>
    <s v="FA"/>
    <s v="1052/2413"/>
    <s v="kpl"/>
    <n v="492"/>
    <n v="45"/>
    <n v="83"/>
    <x v="251"/>
    <n v="859.05000000000007"/>
    <n v="4594.05"/>
    <x v="0"/>
  </r>
  <r>
    <n v="394"/>
    <x v="21"/>
    <n v="5"/>
    <d v="2022-03-09T00:00:00"/>
    <s v="FA"/>
    <s v="1052/2414"/>
    <s v="kpl"/>
    <n v="493"/>
    <n v="58"/>
    <n v="87"/>
    <x v="108"/>
    <n v="1160.5800000000002"/>
    <n v="6206.58"/>
    <x v="3"/>
  </r>
  <r>
    <n v="395"/>
    <x v="12"/>
    <n v="10"/>
    <d v="2022-04-26T00:00:00"/>
    <s v="FA"/>
    <s v="1052/2415"/>
    <s v="kpl"/>
    <n v="494"/>
    <n v="67"/>
    <n v="91"/>
    <x v="277"/>
    <n v="1402.3100000000002"/>
    <n v="7499.31"/>
    <x v="1"/>
  </r>
  <r>
    <n v="396"/>
    <x v="4"/>
    <n v="6"/>
    <d v="2022-07-04T00:00:00"/>
    <s v="FA"/>
    <s v="1052/2416"/>
    <s v="kpl"/>
    <n v="495"/>
    <n v="52"/>
    <n v="85"/>
    <x v="278"/>
    <n v="1016.6"/>
    <n v="5436.6"/>
    <x v="6"/>
  </r>
  <r>
    <n v="397"/>
    <x v="22"/>
    <n v="8"/>
    <d v="2022-03-23T00:00:00"/>
    <s v="FA"/>
    <s v="1052/2417"/>
    <s v="kpl"/>
    <n v="496"/>
    <n v="59"/>
    <n v="125"/>
    <x v="70"/>
    <n v="1696.25"/>
    <n v="9071.25"/>
    <x v="3"/>
  </r>
  <r>
    <n v="398"/>
    <x v="24"/>
    <n v="12"/>
    <d v="2022-04-25T00:00:00"/>
    <s v="FA"/>
    <s v="1052/2418"/>
    <s v="kpl"/>
    <n v="497"/>
    <n v="40"/>
    <n v="129"/>
    <x v="279"/>
    <n v="1186.8"/>
    <n v="6346.8"/>
    <x v="1"/>
  </r>
  <r>
    <n v="399"/>
    <x v="13"/>
    <n v="10"/>
    <d v="2022-03-21T00:00:00"/>
    <s v="FA"/>
    <s v="1052/2419"/>
    <s v="kpl"/>
    <n v="498"/>
    <n v="42"/>
    <n v="88"/>
    <x v="236"/>
    <n v="850.08"/>
    <n v="4546.08"/>
    <x v="3"/>
  </r>
  <r>
    <n v="400"/>
    <x v="20"/>
    <n v="3"/>
    <d v="2022-02-18T00:00:00"/>
    <s v="FA"/>
    <s v="1052/2420"/>
    <s v="kpl"/>
    <n v="499"/>
    <n v="46"/>
    <n v="104"/>
    <x v="81"/>
    <n v="1100.32"/>
    <n v="5884.32"/>
    <x v="9"/>
  </r>
  <r>
    <n v="401"/>
    <x v="20"/>
    <n v="7"/>
    <d v="2022-03-24T00:00:00"/>
    <s v="FA"/>
    <s v="1052/2421"/>
    <s v="kpl"/>
    <n v="500"/>
    <n v="63"/>
    <n v="104"/>
    <x v="280"/>
    <n v="1506.96"/>
    <n v="8058.96"/>
    <x v="3"/>
  </r>
  <r>
    <n v="402"/>
    <x v="21"/>
    <n v="13"/>
    <d v="2022-06-13T00:00:00"/>
    <s v="FA"/>
    <s v="1052/2422"/>
    <s v="kpl"/>
    <n v="501"/>
    <n v="46"/>
    <n v="87"/>
    <x v="281"/>
    <n v="920.46"/>
    <n v="4922.46"/>
    <x v="4"/>
  </r>
  <r>
    <n v="403"/>
    <x v="0"/>
    <n v="14"/>
    <d v="2022-02-05T00:00:00"/>
    <s v="FA"/>
    <s v="1052/2423"/>
    <s v="kpl"/>
    <n v="502"/>
    <n v="47"/>
    <n v="83"/>
    <x v="282"/>
    <n v="897.23"/>
    <n v="4798.2299999999996"/>
    <x v="9"/>
  </r>
  <r>
    <n v="404"/>
    <x v="25"/>
    <n v="8"/>
    <d v="2022-08-03T00:00:00"/>
    <s v="FA"/>
    <s v="1052/2424"/>
    <s v="kpl"/>
    <n v="503"/>
    <n v="46"/>
    <n v="59"/>
    <x v="283"/>
    <n v="624.22"/>
    <n v="3338.2200000000003"/>
    <x v="11"/>
  </r>
  <r>
    <n v="405"/>
    <x v="0"/>
    <n v="8"/>
    <d v="2022-04-17T00:00:00"/>
    <s v="FA"/>
    <s v="1052/2425"/>
    <s v="kpl"/>
    <n v="504"/>
    <n v="59"/>
    <n v="83"/>
    <x v="284"/>
    <n v="1126.31"/>
    <n v="6023.3099999999995"/>
    <x v="1"/>
  </r>
  <r>
    <n v="406"/>
    <x v="14"/>
    <n v="7"/>
    <d v="2022-08-26T00:00:00"/>
    <s v="FA"/>
    <s v="1052/2426"/>
    <s v="kpl"/>
    <n v="505"/>
    <n v="54"/>
    <n v="86"/>
    <x v="11"/>
    <n v="1068.1200000000001"/>
    <n v="5712.12"/>
    <x v="11"/>
  </r>
  <r>
    <n v="407"/>
    <x v="4"/>
    <n v="11"/>
    <d v="2022-05-26T00:00:00"/>
    <s v="FA"/>
    <s v="1052/2427"/>
    <s v="kpl"/>
    <n v="506"/>
    <n v="37"/>
    <n v="85"/>
    <x v="285"/>
    <n v="723.35"/>
    <n v="3868.35"/>
    <x v="10"/>
  </r>
  <r>
    <n v="408"/>
    <x v="22"/>
    <n v="6"/>
    <d v="2022-04-11T00:00:00"/>
    <s v="FA"/>
    <s v="1052/2428"/>
    <s v="kpl"/>
    <n v="507"/>
    <n v="59"/>
    <n v="125"/>
    <x v="70"/>
    <n v="1696.25"/>
    <n v="9071.25"/>
    <x v="1"/>
  </r>
  <r>
    <n v="409"/>
    <x v="12"/>
    <n v="9"/>
    <d v="2022-08-22T00:00:00"/>
    <s v="FA"/>
    <s v="1052/2429"/>
    <s v="kpl"/>
    <n v="508"/>
    <n v="53"/>
    <n v="91"/>
    <x v="201"/>
    <n v="1109.29"/>
    <n v="5932.29"/>
    <x v="11"/>
  </r>
  <r>
    <n v="410"/>
    <x v="9"/>
    <n v="10"/>
    <d v="2022-09-12T00:00:00"/>
    <s v="FA"/>
    <s v="1052/2430"/>
    <s v="kpl"/>
    <n v="509"/>
    <n v="59"/>
    <n v="108"/>
    <x v="286"/>
    <n v="1465.5600000000002"/>
    <n v="7837.56"/>
    <x v="7"/>
  </r>
  <r>
    <n v="411"/>
    <x v="15"/>
    <n v="9"/>
    <d v="2022-11-07T00:00:00"/>
    <s v="FA"/>
    <s v="1052/2431"/>
    <s v="kpl"/>
    <n v="510"/>
    <n v="32"/>
    <n v="90"/>
    <x v="287"/>
    <n v="662.4"/>
    <n v="3542.4"/>
    <x v="8"/>
  </r>
  <r>
    <n v="412"/>
    <x v="0"/>
    <n v="11"/>
    <d v="2022-01-16T00:00:00"/>
    <s v="FA"/>
    <s v="1052/2432"/>
    <s v="kpl"/>
    <n v="511"/>
    <n v="47"/>
    <n v="83"/>
    <x v="282"/>
    <n v="897.23"/>
    <n v="4798.2299999999996"/>
    <x v="0"/>
  </r>
  <r>
    <n v="413"/>
    <x v="16"/>
    <n v="9"/>
    <d v="2022-12-21T00:00:00"/>
    <s v="FA"/>
    <s v="1052/2433"/>
    <s v="kpl"/>
    <n v="512"/>
    <n v="59"/>
    <n v="132"/>
    <x v="34"/>
    <n v="1791.24"/>
    <n v="9579.24"/>
    <x v="2"/>
  </r>
  <r>
    <n v="414"/>
    <x v="15"/>
    <n v="7"/>
    <d v="2022-04-23T00:00:00"/>
    <s v="FA"/>
    <s v="1052/2434"/>
    <s v="kpl"/>
    <n v="513"/>
    <n v="55"/>
    <n v="90"/>
    <x v="53"/>
    <n v="1138.5"/>
    <n v="6088.5"/>
    <x v="1"/>
  </r>
  <r>
    <n v="415"/>
    <x v="22"/>
    <n v="9"/>
    <d v="2022-02-13T00:00:00"/>
    <s v="FA"/>
    <s v="1052/2435"/>
    <s v="kpl"/>
    <n v="514"/>
    <n v="61"/>
    <n v="125"/>
    <x v="250"/>
    <n v="1753.75"/>
    <n v="9378.75"/>
    <x v="9"/>
  </r>
  <r>
    <n v="416"/>
    <x v="23"/>
    <n v="12"/>
    <d v="2022-08-14T00:00:00"/>
    <s v="FA"/>
    <s v="1052/2436"/>
    <s v="kpl"/>
    <n v="515"/>
    <n v="56"/>
    <n v="105"/>
    <x v="288"/>
    <n v="1352.4"/>
    <n v="7232.4"/>
    <x v="11"/>
  </r>
  <r>
    <n v="417"/>
    <x v="2"/>
    <n v="14"/>
    <d v="2022-10-17T00:00:00"/>
    <s v="FA"/>
    <s v="1052/2437"/>
    <s v="kpl"/>
    <n v="516"/>
    <n v="52"/>
    <n v="84"/>
    <x v="109"/>
    <n v="1004.6400000000001"/>
    <n v="5372.64"/>
    <x v="5"/>
  </r>
  <r>
    <n v="418"/>
    <x v="21"/>
    <n v="12"/>
    <d v="2022-02-02T00:00:00"/>
    <s v="FA"/>
    <s v="1052/2438"/>
    <s v="kpl"/>
    <n v="517"/>
    <n v="46"/>
    <n v="87"/>
    <x v="281"/>
    <n v="920.46"/>
    <n v="4922.46"/>
    <x v="9"/>
  </r>
  <r>
    <n v="419"/>
    <x v="21"/>
    <n v="13"/>
    <d v="2022-02-26T00:00:00"/>
    <s v="FA"/>
    <s v="1052/2439"/>
    <s v="kpl"/>
    <n v="518"/>
    <n v="46"/>
    <n v="87"/>
    <x v="281"/>
    <n v="920.46"/>
    <n v="4922.46"/>
    <x v="9"/>
  </r>
  <r>
    <n v="420"/>
    <x v="9"/>
    <n v="13"/>
    <d v="2022-10-03T00:00:00"/>
    <s v="FA"/>
    <s v="1052/2440"/>
    <s v="kpl"/>
    <n v="519"/>
    <n v="39"/>
    <n v="108"/>
    <x v="289"/>
    <n v="968.76"/>
    <n v="5180.76"/>
    <x v="5"/>
  </r>
  <r>
    <n v="421"/>
    <x v="4"/>
    <n v="10"/>
    <d v="2022-09-22T00:00:00"/>
    <s v="FA"/>
    <s v="1052/2441"/>
    <s v="kpl"/>
    <n v="520"/>
    <n v="48"/>
    <n v="85"/>
    <x v="290"/>
    <n v="938.40000000000009"/>
    <n v="5018.3999999999996"/>
    <x v="7"/>
  </r>
  <r>
    <n v="422"/>
    <x v="5"/>
    <n v="7"/>
    <d v="2022-03-24T00:00:00"/>
    <s v="FA"/>
    <s v="1052/2442"/>
    <s v="kpl"/>
    <n v="521"/>
    <n v="47"/>
    <n v="87"/>
    <x v="159"/>
    <n v="940.47"/>
    <n v="5029.47"/>
    <x v="3"/>
  </r>
  <r>
    <n v="423"/>
    <x v="10"/>
    <n v="8"/>
    <d v="2022-02-12T00:00:00"/>
    <s v="FA"/>
    <s v="1052/2443"/>
    <s v="kpl"/>
    <n v="522"/>
    <n v="49"/>
    <n v="84"/>
    <x v="74"/>
    <n v="946.68000000000006"/>
    <n v="5062.68"/>
    <x v="9"/>
  </r>
  <r>
    <n v="424"/>
    <x v="13"/>
    <n v="11"/>
    <d v="2022-02-21T00:00:00"/>
    <s v="FA"/>
    <s v="1052/2444"/>
    <s v="kpl"/>
    <n v="523"/>
    <n v="45"/>
    <n v="88"/>
    <x v="291"/>
    <n v="910.80000000000007"/>
    <n v="4870.8"/>
    <x v="9"/>
  </r>
  <r>
    <n v="425"/>
    <x v="8"/>
    <n v="7"/>
    <d v="2022-07-07T00:00:00"/>
    <s v="FA"/>
    <s v="1052/2445"/>
    <s v="kpl"/>
    <n v="524"/>
    <n v="34"/>
    <n v="89"/>
    <x v="292"/>
    <n v="695.98"/>
    <n v="3721.98"/>
    <x v="6"/>
  </r>
  <r>
    <n v="426"/>
    <x v="25"/>
    <n v="8"/>
    <d v="2022-03-15T00:00:00"/>
    <s v="FA"/>
    <s v="1052/2446"/>
    <s v="kpl"/>
    <n v="525"/>
    <n v="50"/>
    <n v="59"/>
    <x v="293"/>
    <n v="678.5"/>
    <n v="3628.5"/>
    <x v="3"/>
  </r>
  <r>
    <n v="427"/>
    <x v="5"/>
    <n v="8"/>
    <d v="2022-08-05T00:00:00"/>
    <s v="FA"/>
    <s v="1052/2447"/>
    <s v="kpl"/>
    <n v="526"/>
    <n v="49"/>
    <n v="87"/>
    <x v="96"/>
    <n v="980.49"/>
    <n v="5243.49"/>
    <x v="11"/>
  </r>
  <r>
    <n v="428"/>
    <x v="18"/>
    <n v="10"/>
    <d v="2022-07-22T00:00:00"/>
    <s v="FA"/>
    <s v="1052/2448"/>
    <s v="kpl"/>
    <n v="527"/>
    <n v="49"/>
    <n v="109"/>
    <x v="294"/>
    <n v="1228.43"/>
    <n v="6569.43"/>
    <x v="6"/>
  </r>
  <r>
    <n v="429"/>
    <x v="12"/>
    <n v="6"/>
    <d v="2022-07-15T00:00:00"/>
    <s v="FA"/>
    <s v="1052/2449"/>
    <s v="kpl"/>
    <n v="528"/>
    <n v="53"/>
    <n v="91"/>
    <x v="201"/>
    <n v="1109.29"/>
    <n v="5932.29"/>
    <x v="6"/>
  </r>
  <r>
    <n v="430"/>
    <x v="0"/>
    <n v="7"/>
    <d v="2022-02-26T00:00:00"/>
    <s v="FA"/>
    <s v="1052/2450"/>
    <s v="kpl"/>
    <n v="529"/>
    <n v="58"/>
    <n v="83"/>
    <x v="141"/>
    <n v="1107.22"/>
    <n v="5921.22"/>
    <x v="9"/>
  </r>
  <r>
    <n v="431"/>
    <x v="13"/>
    <n v="8"/>
    <d v="2022-09-22T00:00:00"/>
    <s v="FA"/>
    <s v="1052/2451"/>
    <s v="kpl"/>
    <n v="530"/>
    <n v="55"/>
    <n v="88"/>
    <x v="29"/>
    <n v="1113.2"/>
    <n v="5953.2"/>
    <x v="7"/>
  </r>
  <r>
    <n v="432"/>
    <x v="17"/>
    <n v="7"/>
    <d v="2022-02-17T00:00:00"/>
    <s v="FA"/>
    <s v="1052/2452"/>
    <s v="kpl"/>
    <n v="531"/>
    <n v="50"/>
    <n v="94"/>
    <x v="295"/>
    <n v="1081"/>
    <n v="5781"/>
    <x v="9"/>
  </r>
  <r>
    <n v="433"/>
    <x v="11"/>
    <n v="10"/>
    <d v="2022-12-09T00:00:00"/>
    <s v="FA"/>
    <s v="1052/2453"/>
    <s v="kpl"/>
    <n v="532"/>
    <n v="54"/>
    <n v="93"/>
    <x v="177"/>
    <n v="1155.06"/>
    <n v="6177.0599999999995"/>
    <x v="2"/>
  </r>
  <r>
    <n v="434"/>
    <x v="25"/>
    <n v="9"/>
    <d v="2022-02-08T00:00:00"/>
    <s v="FA"/>
    <s v="1052/2454"/>
    <s v="kpl"/>
    <n v="533"/>
    <n v="70"/>
    <n v="59"/>
    <x v="296"/>
    <n v="949.90000000000009"/>
    <n v="5079.8999999999996"/>
    <x v="9"/>
  </r>
  <r>
    <n v="435"/>
    <x v="7"/>
    <n v="17"/>
    <d v="2022-09-20T00:00:00"/>
    <s v="FA"/>
    <s v="1052/2455"/>
    <s v="kpl"/>
    <n v="534"/>
    <n v="48"/>
    <n v="96"/>
    <x v="297"/>
    <n v="1059.8400000000001"/>
    <n v="5667.84"/>
    <x v="7"/>
  </r>
  <r>
    <n v="436"/>
    <x v="23"/>
    <n v="7"/>
    <d v="2022-10-25T00:00:00"/>
    <s v="FA"/>
    <s v="1052/2456"/>
    <s v="kpl"/>
    <n v="535"/>
    <n v="46"/>
    <n v="105"/>
    <x v="240"/>
    <n v="1110.9000000000001"/>
    <n v="5940.9"/>
    <x v="5"/>
  </r>
  <r>
    <n v="437"/>
    <x v="9"/>
    <n v="5"/>
    <d v="2022-02-14T00:00:00"/>
    <s v="FA"/>
    <s v="1052/2457"/>
    <s v="kpl"/>
    <n v="536"/>
    <n v="62"/>
    <n v="108"/>
    <x v="298"/>
    <n v="1540.0800000000002"/>
    <n v="8236.08"/>
    <x v="9"/>
  </r>
  <r>
    <n v="438"/>
    <x v="7"/>
    <n v="12"/>
    <d v="2022-03-27T00:00:00"/>
    <s v="FA"/>
    <s v="1052/2458"/>
    <s v="kpl"/>
    <n v="537"/>
    <n v="52"/>
    <n v="96"/>
    <x v="299"/>
    <n v="1148.1600000000001"/>
    <n v="6140.16"/>
    <x v="3"/>
  </r>
  <r>
    <n v="439"/>
    <x v="8"/>
    <n v="13"/>
    <d v="2022-03-07T00:00:00"/>
    <s v="FA"/>
    <s v="1052/2459"/>
    <s v="kpl"/>
    <n v="538"/>
    <n v="34"/>
    <n v="89"/>
    <x v="292"/>
    <n v="695.98"/>
    <n v="3721.98"/>
    <x v="3"/>
  </r>
  <r>
    <n v="440"/>
    <x v="13"/>
    <n v="11"/>
    <d v="2022-10-24T00:00:00"/>
    <s v="FA"/>
    <s v="1052/2460"/>
    <s v="kpl"/>
    <n v="539"/>
    <n v="69"/>
    <n v="88"/>
    <x v="300"/>
    <n v="1396.5600000000002"/>
    <n v="7468.56"/>
    <x v="5"/>
  </r>
  <r>
    <n v="441"/>
    <x v="18"/>
    <n v="9"/>
    <d v="2022-02-17T00:00:00"/>
    <s v="FA"/>
    <s v="1052/2461"/>
    <s v="kpl"/>
    <n v="540"/>
    <n v="51"/>
    <n v="109"/>
    <x v="106"/>
    <n v="1278.5700000000002"/>
    <n v="6837.57"/>
    <x v="9"/>
  </r>
  <r>
    <n v="442"/>
    <x v="22"/>
    <n v="9"/>
    <d v="2022-05-14T00:00:00"/>
    <s v="FA"/>
    <s v="1052/2462"/>
    <s v="kpl"/>
    <n v="541"/>
    <n v="39"/>
    <n v="125"/>
    <x v="301"/>
    <n v="1121.25"/>
    <n v="5996.25"/>
    <x v="10"/>
  </r>
  <r>
    <n v="443"/>
    <x v="5"/>
    <n v="13"/>
    <d v="2022-05-28T00:00:00"/>
    <s v="FA"/>
    <s v="1052/2463"/>
    <s v="kpl"/>
    <n v="542"/>
    <n v="27"/>
    <n v="87"/>
    <x v="302"/>
    <n v="540.27"/>
    <n v="2889.27"/>
    <x v="10"/>
  </r>
  <r>
    <n v="444"/>
    <x v="4"/>
    <n v="10"/>
    <d v="2022-09-27T00:00:00"/>
    <s v="FA"/>
    <s v="1052/2464"/>
    <s v="kpl"/>
    <n v="543"/>
    <n v="70"/>
    <n v="85"/>
    <x v="303"/>
    <n v="1368.5"/>
    <n v="7318.5"/>
    <x v="7"/>
  </r>
  <r>
    <n v="445"/>
    <x v="8"/>
    <n v="11"/>
    <d v="2022-10-06T00:00:00"/>
    <s v="FA"/>
    <s v="1052/2465"/>
    <s v="kpl"/>
    <n v="544"/>
    <n v="48"/>
    <n v="89"/>
    <x v="304"/>
    <n v="982.56000000000006"/>
    <n v="5254.56"/>
    <x v="5"/>
  </r>
  <r>
    <n v="446"/>
    <x v="11"/>
    <n v="12"/>
    <d v="2022-02-21T00:00:00"/>
    <s v="FA"/>
    <s v="1052/2466"/>
    <s v="kpl"/>
    <n v="545"/>
    <n v="45"/>
    <n v="93"/>
    <x v="305"/>
    <n v="962.55000000000007"/>
    <n v="5147.55"/>
    <x v="9"/>
  </r>
  <r>
    <n v="447"/>
    <x v="23"/>
    <n v="10"/>
    <d v="2022-03-26T00:00:00"/>
    <s v="FA"/>
    <s v="1052/2467"/>
    <s v="kpl"/>
    <n v="546"/>
    <n v="34"/>
    <n v="105"/>
    <x v="306"/>
    <n v="821.1"/>
    <n v="4391.1000000000004"/>
    <x v="3"/>
  </r>
  <r>
    <n v="448"/>
    <x v="21"/>
    <n v="10"/>
    <d v="2022-01-10T00:00:00"/>
    <s v="FA"/>
    <s v="1052/2468"/>
    <s v="kpl"/>
    <n v="547"/>
    <n v="53"/>
    <n v="87"/>
    <x v="307"/>
    <n v="1060.53"/>
    <n v="5671.53"/>
    <x v="0"/>
  </r>
  <r>
    <n v="449"/>
    <x v="0"/>
    <n v="6"/>
    <d v="2022-05-15T00:00:00"/>
    <s v="FA"/>
    <s v="1052/2469"/>
    <s v="kpl"/>
    <n v="548"/>
    <n v="52"/>
    <n v="83"/>
    <x v="58"/>
    <n v="992.68000000000006"/>
    <n v="5308.68"/>
    <x v="10"/>
  </r>
  <r>
    <n v="450"/>
    <x v="20"/>
    <n v="5"/>
    <d v="2022-01-26T00:00:00"/>
    <s v="FA"/>
    <s v="1052/2470"/>
    <s v="kpl"/>
    <n v="549"/>
    <n v="41"/>
    <n v="104"/>
    <x v="308"/>
    <n v="980.72"/>
    <n v="5244.72"/>
    <x v="0"/>
  </r>
  <r>
    <n v="451"/>
    <x v="2"/>
    <n v="9"/>
    <d v="2022-05-05T00:00:00"/>
    <s v="FA"/>
    <s v="1052/2471"/>
    <s v="kpl"/>
    <n v="550"/>
    <n v="41"/>
    <n v="84"/>
    <x v="39"/>
    <n v="792.12"/>
    <n v="4236.12"/>
    <x v="10"/>
  </r>
  <r>
    <n v="452"/>
    <x v="13"/>
    <n v="9"/>
    <d v="2022-09-02T00:00:00"/>
    <s v="FA"/>
    <s v="1052/2472"/>
    <s v="kpl"/>
    <n v="551"/>
    <n v="57"/>
    <n v="88"/>
    <x v="156"/>
    <n v="1153.68"/>
    <n v="6169.68"/>
    <x v="7"/>
  </r>
  <r>
    <n v="453"/>
    <x v="10"/>
    <n v="4"/>
    <d v="2022-07-16T00:00:00"/>
    <s v="FA"/>
    <s v="1052/2473"/>
    <s v="kpl"/>
    <n v="552"/>
    <n v="54"/>
    <n v="84"/>
    <x v="309"/>
    <n v="1043.28"/>
    <n v="5579.28"/>
    <x v="6"/>
  </r>
  <r>
    <n v="454"/>
    <x v="11"/>
    <n v="12"/>
    <d v="2022-07-05T00:00:00"/>
    <s v="FA"/>
    <s v="1052/2474"/>
    <s v="kpl"/>
    <n v="553"/>
    <n v="47"/>
    <n v="93"/>
    <x v="179"/>
    <n v="1005.33"/>
    <n v="5376.33"/>
    <x v="6"/>
  </r>
  <r>
    <n v="455"/>
    <x v="20"/>
    <n v="7"/>
    <d v="2022-02-14T00:00:00"/>
    <s v="FA"/>
    <s v="1052/2475"/>
    <s v="kpl"/>
    <n v="554"/>
    <n v="47"/>
    <n v="104"/>
    <x v="51"/>
    <n v="1124.24"/>
    <n v="6012.24"/>
    <x v="9"/>
  </r>
  <r>
    <n v="456"/>
    <x v="17"/>
    <n v="12"/>
    <d v="2022-10-08T00:00:00"/>
    <s v="FA"/>
    <s v="1052/2476"/>
    <s v="kpl"/>
    <n v="555"/>
    <n v="64"/>
    <n v="94"/>
    <x v="35"/>
    <n v="1383.68"/>
    <n v="7399.68"/>
    <x v="5"/>
  </r>
  <r>
    <n v="457"/>
    <x v="23"/>
    <n v="9"/>
    <d v="2022-07-05T00:00:00"/>
    <s v="FA"/>
    <s v="1052/2477"/>
    <s v="kpl"/>
    <n v="556"/>
    <n v="60"/>
    <n v="105"/>
    <x v="310"/>
    <n v="1449"/>
    <n v="7749"/>
    <x v="6"/>
  </r>
  <r>
    <n v="458"/>
    <x v="18"/>
    <n v="6"/>
    <d v="2022-05-11T00:00:00"/>
    <s v="FA"/>
    <s v="1052/2478"/>
    <s v="kpl"/>
    <n v="557"/>
    <n v="56"/>
    <n v="109"/>
    <x v="311"/>
    <n v="1403.92"/>
    <n v="7507.92"/>
    <x v="10"/>
  </r>
  <r>
    <n v="459"/>
    <x v="9"/>
    <n v="11"/>
    <d v="2022-09-25T00:00:00"/>
    <s v="FA"/>
    <s v="1052/2479"/>
    <s v="kpl"/>
    <n v="558"/>
    <n v="40"/>
    <n v="108"/>
    <x v="312"/>
    <n v="993.6"/>
    <n v="5313.6"/>
    <x v="7"/>
  </r>
  <r>
    <n v="460"/>
    <x v="6"/>
    <n v="9"/>
    <d v="2022-07-10T00:00:00"/>
    <s v="FA"/>
    <s v="1052/2480"/>
    <s v="kpl"/>
    <n v="559"/>
    <n v="58"/>
    <n v="84"/>
    <x v="78"/>
    <n v="1120.56"/>
    <n v="5992.5599999999995"/>
    <x v="6"/>
  </r>
  <r>
    <n v="461"/>
    <x v="16"/>
    <n v="14"/>
    <d v="2022-12-20T00:00:00"/>
    <s v="FA"/>
    <s v="1052/2481"/>
    <s v="kpl"/>
    <n v="560"/>
    <n v="49"/>
    <n v="132"/>
    <x v="313"/>
    <n v="1487.64"/>
    <n v="7955.64"/>
    <x v="2"/>
  </r>
  <r>
    <n v="462"/>
    <x v="18"/>
    <n v="11"/>
    <d v="2022-11-11T00:00:00"/>
    <s v="FA"/>
    <s v="1052/2482"/>
    <s v="kpl"/>
    <n v="561"/>
    <n v="49"/>
    <n v="109"/>
    <x v="294"/>
    <n v="1228.43"/>
    <n v="6569.43"/>
    <x v="8"/>
  </r>
  <r>
    <n v="463"/>
    <x v="13"/>
    <n v="7"/>
    <d v="2022-02-22T00:00:00"/>
    <s v="FA"/>
    <s v="1052/2483"/>
    <s v="kpl"/>
    <n v="562"/>
    <n v="48"/>
    <n v="88"/>
    <x v="40"/>
    <n v="971.5200000000001"/>
    <n v="5195.5200000000004"/>
    <x v="9"/>
  </r>
  <r>
    <n v="464"/>
    <x v="23"/>
    <n v="10"/>
    <d v="2022-06-16T00:00:00"/>
    <s v="FA"/>
    <s v="1052/2484"/>
    <s v="kpl"/>
    <n v="563"/>
    <n v="50"/>
    <n v="105"/>
    <x v="60"/>
    <n v="1207.5"/>
    <n v="6457.5"/>
    <x v="4"/>
  </r>
  <r>
    <n v="465"/>
    <x v="12"/>
    <n v="6"/>
    <d v="2022-08-09T00:00:00"/>
    <s v="FA"/>
    <s v="1052/2485"/>
    <s v="kpl"/>
    <n v="564"/>
    <n v="43"/>
    <n v="91"/>
    <x v="314"/>
    <n v="899.99"/>
    <n v="4812.99"/>
    <x v="11"/>
  </r>
  <r>
    <n v="466"/>
    <x v="26"/>
    <n v="11"/>
    <d v="2022-10-11T00:00:00"/>
    <s v="FA"/>
    <s v="1052/2486"/>
    <s v="kpl"/>
    <n v="565"/>
    <n v="44"/>
    <n v="99"/>
    <x v="90"/>
    <n v="1001.88"/>
    <n v="5357.88"/>
    <x v="5"/>
  </r>
  <r>
    <n v="467"/>
    <x v="14"/>
    <n v="10"/>
    <d v="2022-10-21T00:00:00"/>
    <s v="FA"/>
    <s v="1052/2487"/>
    <s v="kpl"/>
    <n v="566"/>
    <n v="41"/>
    <n v="86"/>
    <x v="315"/>
    <n v="810.98"/>
    <n v="4336.9799999999996"/>
    <x v="5"/>
  </r>
  <r>
    <n v="468"/>
    <x v="4"/>
    <n v="11"/>
    <d v="2022-01-15T00:00:00"/>
    <s v="FA"/>
    <s v="1052/2488"/>
    <s v="kpl"/>
    <n v="567"/>
    <n v="63"/>
    <n v="85"/>
    <x v="316"/>
    <n v="1231.6500000000001"/>
    <n v="6586.65"/>
    <x v="0"/>
  </r>
  <r>
    <n v="469"/>
    <x v="26"/>
    <n v="6"/>
    <d v="2022-07-22T00:00:00"/>
    <s v="FA"/>
    <s v="1052/2489"/>
    <s v="kpl"/>
    <n v="568"/>
    <n v="17"/>
    <n v="99"/>
    <x v="317"/>
    <n v="387.09000000000003"/>
    <n v="2070.09"/>
    <x v="6"/>
  </r>
  <r>
    <n v="470"/>
    <x v="1"/>
    <n v="11"/>
    <d v="2022-09-02T00:00:00"/>
    <s v="FA"/>
    <s v="1052/2490"/>
    <s v="kpl"/>
    <n v="569"/>
    <n v="59"/>
    <n v="99"/>
    <x v="318"/>
    <n v="1343.43"/>
    <n v="7184.43"/>
    <x v="7"/>
  </r>
  <r>
    <n v="471"/>
    <x v="16"/>
    <n v="11"/>
    <d v="2022-07-24T00:00:00"/>
    <s v="FA"/>
    <s v="1052/2491"/>
    <s v="kpl"/>
    <n v="570"/>
    <n v="51"/>
    <n v="132"/>
    <x v="319"/>
    <n v="1548.3600000000001"/>
    <n v="8280.36"/>
    <x v="6"/>
  </r>
  <r>
    <n v="472"/>
    <x v="14"/>
    <n v="12"/>
    <d v="2022-07-18T00:00:00"/>
    <s v="FA"/>
    <s v="1052/2492"/>
    <s v="kpl"/>
    <n v="571"/>
    <n v="62"/>
    <n v="86"/>
    <x v="320"/>
    <n v="1226.3600000000001"/>
    <n v="6558.3600000000006"/>
    <x v="6"/>
  </r>
  <r>
    <n v="473"/>
    <x v="4"/>
    <n v="9"/>
    <d v="2022-01-27T00:00:00"/>
    <s v="FA"/>
    <s v="1052/2493"/>
    <s v="kpl"/>
    <n v="572"/>
    <n v="33"/>
    <n v="85"/>
    <x v="321"/>
    <n v="645.15"/>
    <n v="3450.15"/>
    <x v="0"/>
  </r>
  <r>
    <n v="474"/>
    <x v="19"/>
    <n v="10"/>
    <d v="2022-09-20T00:00:00"/>
    <s v="FA"/>
    <s v="1052/2494"/>
    <s v="kpl"/>
    <n v="573"/>
    <n v="39"/>
    <n v="121"/>
    <x v="322"/>
    <n v="1085.3700000000001"/>
    <n v="5804.37"/>
    <x v="7"/>
  </r>
  <r>
    <n v="475"/>
    <x v="24"/>
    <n v="9"/>
    <d v="2022-08-18T00:00:00"/>
    <s v="FA"/>
    <s v="1052/2495"/>
    <s v="kpl"/>
    <n v="574"/>
    <n v="59"/>
    <n v="129"/>
    <x v="323"/>
    <n v="1750.53"/>
    <n v="9361.5300000000007"/>
    <x v="11"/>
  </r>
  <r>
    <n v="476"/>
    <x v="17"/>
    <n v="8"/>
    <d v="2022-11-02T00:00:00"/>
    <s v="FA"/>
    <s v="1052/2496"/>
    <s v="kpl"/>
    <n v="575"/>
    <n v="52"/>
    <n v="94"/>
    <x v="51"/>
    <n v="1124.24"/>
    <n v="6012.24"/>
    <x v="8"/>
  </r>
  <r>
    <n v="477"/>
    <x v="11"/>
    <n v="6"/>
    <d v="2022-07-23T00:00:00"/>
    <s v="FA"/>
    <s v="1052/2497"/>
    <s v="kpl"/>
    <n v="576"/>
    <n v="46"/>
    <n v="93"/>
    <x v="324"/>
    <n v="983.94"/>
    <n v="5261.9400000000005"/>
    <x v="6"/>
  </r>
  <r>
    <n v="478"/>
    <x v="18"/>
    <n v="14"/>
    <d v="2022-01-05T00:00:00"/>
    <s v="FA"/>
    <s v="1052/2498"/>
    <s v="kpl"/>
    <n v="577"/>
    <n v="61"/>
    <n v="109"/>
    <x v="325"/>
    <n v="1529.27"/>
    <n v="8178.27"/>
    <x v="0"/>
  </r>
  <r>
    <n v="479"/>
    <x v="6"/>
    <n v="9"/>
    <d v="2022-10-25T00:00:00"/>
    <s v="FA"/>
    <s v="1052/2499"/>
    <s v="kpl"/>
    <n v="578"/>
    <n v="35"/>
    <n v="84"/>
    <x v="132"/>
    <n v="676.2"/>
    <n v="3616.2"/>
    <x v="5"/>
  </r>
  <r>
    <n v="480"/>
    <x v="11"/>
    <n v="9"/>
    <d v="2022-05-21T00:00:00"/>
    <s v="FA"/>
    <s v="1052/2500"/>
    <s v="kpl"/>
    <n v="579"/>
    <n v="43"/>
    <n v="93"/>
    <x v="326"/>
    <n v="919.7700000000001"/>
    <n v="4918.7700000000004"/>
    <x v="10"/>
  </r>
  <r>
    <n v="481"/>
    <x v="8"/>
    <n v="13"/>
    <d v="2022-02-28T00:00:00"/>
    <s v="FA"/>
    <s v="1052/2501"/>
    <s v="kpl"/>
    <n v="580"/>
    <n v="58"/>
    <n v="89"/>
    <x v="327"/>
    <n v="1187.26"/>
    <n v="6349.26"/>
    <x v="9"/>
  </r>
  <r>
    <n v="482"/>
    <x v="19"/>
    <n v="15"/>
    <d v="2022-09-05T00:00:00"/>
    <s v="FA"/>
    <s v="1052/2502"/>
    <s v="kpl"/>
    <n v="581"/>
    <n v="29"/>
    <n v="121"/>
    <x v="328"/>
    <n v="807.07"/>
    <n v="4316.07"/>
    <x v="7"/>
  </r>
  <r>
    <n v="483"/>
    <x v="5"/>
    <n v="9"/>
    <d v="2022-09-26T00:00:00"/>
    <s v="FA"/>
    <s v="1052/2503"/>
    <s v="kpl"/>
    <n v="582"/>
    <n v="60"/>
    <n v="87"/>
    <x v="6"/>
    <n v="1200.6000000000001"/>
    <n v="6420.6"/>
    <x v="7"/>
  </r>
  <r>
    <n v="484"/>
    <x v="0"/>
    <n v="9"/>
    <d v="2022-01-10T00:00:00"/>
    <s v="FA"/>
    <s v="1052/2504"/>
    <s v="kpl"/>
    <n v="583"/>
    <n v="41"/>
    <n v="83"/>
    <x v="329"/>
    <n v="782.69"/>
    <n v="4185.6900000000005"/>
    <x v="0"/>
  </r>
  <r>
    <n v="485"/>
    <x v="20"/>
    <n v="8"/>
    <d v="2022-03-05T00:00:00"/>
    <s v="FA"/>
    <s v="1052/2505"/>
    <s v="kpl"/>
    <n v="584"/>
    <n v="48"/>
    <n v="104"/>
    <x v="299"/>
    <n v="1148.1600000000001"/>
    <n v="6140.16"/>
    <x v="3"/>
  </r>
  <r>
    <n v="486"/>
    <x v="19"/>
    <n v="8"/>
    <d v="2022-06-04T00:00:00"/>
    <s v="FA"/>
    <s v="1052/2506"/>
    <s v="kpl"/>
    <n v="585"/>
    <n v="59"/>
    <n v="121"/>
    <x v="150"/>
    <n v="1641.97"/>
    <n v="8780.9699999999993"/>
    <x v="4"/>
  </r>
  <r>
    <n v="487"/>
    <x v="23"/>
    <n v="10"/>
    <d v="2022-02-08T00:00:00"/>
    <s v="FA"/>
    <s v="1052/2507"/>
    <s v="kpl"/>
    <n v="586"/>
    <n v="55"/>
    <n v="105"/>
    <x v="330"/>
    <n v="1328.25"/>
    <n v="7103.25"/>
    <x v="9"/>
  </r>
  <r>
    <n v="488"/>
    <x v="16"/>
    <n v="9"/>
    <d v="2022-02-28T00:00:00"/>
    <s v="FA"/>
    <s v="1052/2508"/>
    <s v="kpl"/>
    <n v="587"/>
    <n v="45"/>
    <n v="132"/>
    <x v="85"/>
    <n v="1366.2"/>
    <n v="7306.2"/>
    <x v="9"/>
  </r>
  <r>
    <n v="489"/>
    <x v="25"/>
    <n v="10"/>
    <d v="2022-06-15T00:00:00"/>
    <s v="FA"/>
    <s v="1052/2509"/>
    <s v="kpl"/>
    <n v="588"/>
    <n v="42"/>
    <n v="59"/>
    <x v="331"/>
    <n v="569.94000000000005"/>
    <n v="3047.94"/>
    <x v="4"/>
  </r>
  <r>
    <n v="490"/>
    <x v="7"/>
    <n v="12"/>
    <d v="2022-05-12T00:00:00"/>
    <s v="FA"/>
    <s v="1052/2510"/>
    <s v="kpl"/>
    <n v="589"/>
    <n v="43"/>
    <n v="96"/>
    <x v="73"/>
    <n v="949.44"/>
    <n v="5077.4400000000005"/>
    <x v="10"/>
  </r>
  <r>
    <n v="491"/>
    <x v="22"/>
    <n v="6"/>
    <d v="2022-08-05T00:00:00"/>
    <s v="FA"/>
    <s v="1052/2511"/>
    <s v="kpl"/>
    <n v="590"/>
    <n v="63"/>
    <n v="125"/>
    <x v="332"/>
    <n v="1811.25"/>
    <n v="9686.25"/>
    <x v="11"/>
  </r>
  <r>
    <n v="492"/>
    <x v="8"/>
    <n v="9"/>
    <d v="2022-01-24T00:00:00"/>
    <s v="FA"/>
    <s v="1052/2512"/>
    <s v="kpl"/>
    <n v="591"/>
    <n v="33"/>
    <n v="89"/>
    <x v="333"/>
    <n v="675.51"/>
    <n v="3612.51"/>
    <x v="0"/>
  </r>
  <r>
    <n v="493"/>
    <x v="1"/>
    <n v="13"/>
    <d v="2022-07-16T00:00:00"/>
    <s v="FA"/>
    <s v="1052/2513"/>
    <s v="kpl"/>
    <n v="592"/>
    <n v="71"/>
    <n v="99"/>
    <x v="334"/>
    <n v="1616.67"/>
    <n v="8645.67"/>
    <x v="6"/>
  </r>
  <r>
    <n v="494"/>
    <x v="24"/>
    <n v="8"/>
    <d v="2022-07-23T00:00:00"/>
    <s v="FA"/>
    <s v="1052/2514"/>
    <s v="kpl"/>
    <n v="593"/>
    <n v="51"/>
    <n v="129"/>
    <x v="335"/>
    <n v="1513.17"/>
    <n v="8092.17"/>
    <x v="6"/>
  </r>
  <r>
    <n v="495"/>
    <x v="16"/>
    <n v="9"/>
    <d v="2022-10-22T00:00:00"/>
    <s v="FA"/>
    <s v="1052/2515"/>
    <s v="kpl"/>
    <n v="594"/>
    <n v="56"/>
    <n v="132"/>
    <x v="336"/>
    <n v="1700.16"/>
    <n v="9092.16"/>
    <x v="5"/>
  </r>
  <r>
    <n v="496"/>
    <x v="0"/>
    <n v="14"/>
    <d v="2022-05-27T00:00:00"/>
    <s v="FA"/>
    <s v="1052/2516"/>
    <s v="kpl"/>
    <n v="595"/>
    <n v="52"/>
    <n v="83"/>
    <x v="58"/>
    <n v="992.68000000000006"/>
    <n v="5308.68"/>
    <x v="10"/>
  </r>
  <r>
    <n v="497"/>
    <x v="5"/>
    <n v="11"/>
    <d v="2022-02-21T00:00:00"/>
    <s v="FA"/>
    <s v="1052/2517"/>
    <s v="kpl"/>
    <n v="596"/>
    <n v="42"/>
    <n v="87"/>
    <x v="272"/>
    <n v="840.42000000000007"/>
    <n v="4494.42"/>
    <x v="9"/>
  </r>
  <r>
    <n v="498"/>
    <x v="16"/>
    <n v="8"/>
    <d v="2022-12-17T00:00:00"/>
    <s v="FA"/>
    <s v="1052/2518"/>
    <s v="kpl"/>
    <n v="597"/>
    <n v="54"/>
    <n v="132"/>
    <x v="134"/>
    <n v="1639.44"/>
    <n v="8767.44"/>
    <x v="2"/>
  </r>
  <r>
    <n v="499"/>
    <x v="18"/>
    <n v="8"/>
    <d v="2022-11-19T00:00:00"/>
    <s v="FA"/>
    <s v="1052/2519"/>
    <s v="kpl"/>
    <n v="598"/>
    <n v="57"/>
    <n v="109"/>
    <x v="337"/>
    <n v="1428.99"/>
    <n v="7641.99"/>
    <x v="8"/>
  </r>
  <r>
    <n v="500"/>
    <x v="8"/>
    <n v="10"/>
    <d v="2022-05-14T00:00:00"/>
    <s v="FA"/>
    <s v="1052/2520"/>
    <s v="kpl"/>
    <n v="599"/>
    <n v="31"/>
    <n v="89"/>
    <x v="338"/>
    <n v="634.57000000000005"/>
    <n v="3393.57"/>
    <x v="10"/>
  </r>
  <r>
    <n v="501"/>
    <x v="25"/>
    <n v="7"/>
    <d v="2022-12-05T00:00:00"/>
    <s v="FA"/>
    <s v="1052/2521"/>
    <s v="kpl"/>
    <n v="600"/>
    <n v="51"/>
    <n v="59"/>
    <x v="339"/>
    <n v="692.07"/>
    <n v="3701.07"/>
    <x v="2"/>
  </r>
  <r>
    <n v="502"/>
    <x v="16"/>
    <n v="10"/>
    <d v="2022-04-23T00:00:00"/>
    <s v="FA"/>
    <s v="1052/2522"/>
    <s v="kpl"/>
    <n v="601"/>
    <n v="48"/>
    <n v="132"/>
    <x v="56"/>
    <n v="1457.28"/>
    <n v="7793.28"/>
    <x v="1"/>
  </r>
  <r>
    <n v="503"/>
    <x v="13"/>
    <n v="9"/>
    <d v="2022-08-14T00:00:00"/>
    <s v="FA"/>
    <s v="1052/2523"/>
    <s v="kpl"/>
    <n v="602"/>
    <n v="57"/>
    <n v="88"/>
    <x v="156"/>
    <n v="1153.68"/>
    <n v="6169.68"/>
    <x v="11"/>
  </r>
  <r>
    <n v="504"/>
    <x v="14"/>
    <n v="9"/>
    <d v="2022-11-24T00:00:00"/>
    <s v="FA"/>
    <s v="1052/2524"/>
    <s v="kpl"/>
    <n v="603"/>
    <n v="45"/>
    <n v="86"/>
    <x v="340"/>
    <n v="890.1"/>
    <n v="4760.1000000000004"/>
    <x v="8"/>
  </r>
  <r>
    <n v="505"/>
    <x v="23"/>
    <n v="13"/>
    <d v="2022-05-26T00:00:00"/>
    <s v="FA"/>
    <s v="1052/2525"/>
    <s v="kpl"/>
    <n v="604"/>
    <n v="38"/>
    <n v="105"/>
    <x v="341"/>
    <n v="917.7"/>
    <n v="4907.7"/>
    <x v="10"/>
  </r>
  <r>
    <n v="506"/>
    <x v="11"/>
    <n v="12"/>
    <d v="2022-11-23T00:00:00"/>
    <s v="FA"/>
    <s v="1052/2526"/>
    <s v="kpl"/>
    <n v="605"/>
    <n v="32"/>
    <n v="93"/>
    <x v="342"/>
    <n v="684.48"/>
    <n v="3660.48"/>
    <x v="8"/>
  </r>
  <r>
    <n v="507"/>
    <x v="0"/>
    <n v="8"/>
    <d v="2022-07-10T00:00:00"/>
    <s v="FA"/>
    <s v="1052/2527"/>
    <s v="kpl"/>
    <n v="606"/>
    <n v="82"/>
    <n v="83"/>
    <x v="343"/>
    <n v="1565.38"/>
    <n v="8371.380000000001"/>
    <x v="6"/>
  </r>
  <r>
    <n v="508"/>
    <x v="19"/>
    <n v="15"/>
    <d v="2022-07-01T00:00:00"/>
    <s v="FA"/>
    <s v="1052/2528"/>
    <s v="kpl"/>
    <n v="607"/>
    <n v="60"/>
    <n v="121"/>
    <x v="344"/>
    <n v="1669.8000000000002"/>
    <n v="8929.7999999999993"/>
    <x v="6"/>
  </r>
  <r>
    <n v="509"/>
    <x v="26"/>
    <n v="8"/>
    <d v="2022-08-24T00:00:00"/>
    <s v="FA"/>
    <s v="1052/2529"/>
    <s v="kpl"/>
    <n v="608"/>
    <n v="69"/>
    <n v="99"/>
    <x v="345"/>
    <n v="1571.13"/>
    <n v="8402.130000000001"/>
    <x v="11"/>
  </r>
  <r>
    <n v="510"/>
    <x v="1"/>
    <n v="7"/>
    <d v="2022-01-22T00:00:00"/>
    <s v="FA"/>
    <s v="1052/2530"/>
    <s v="kpl"/>
    <n v="609"/>
    <n v="46"/>
    <n v="99"/>
    <x v="346"/>
    <n v="1047.42"/>
    <n v="5601.42"/>
    <x v="0"/>
  </r>
  <r>
    <n v="511"/>
    <x v="21"/>
    <n v="9"/>
    <d v="2022-09-09T00:00:00"/>
    <s v="FA"/>
    <s v="1052/2531"/>
    <s v="kpl"/>
    <n v="610"/>
    <n v="39"/>
    <n v="87"/>
    <x v="245"/>
    <n v="780.39"/>
    <n v="4173.3900000000003"/>
    <x v="7"/>
  </r>
  <r>
    <n v="512"/>
    <x v="7"/>
    <n v="12"/>
    <d v="2022-10-08T00:00:00"/>
    <s v="FA"/>
    <s v="1052/2532"/>
    <s v="kpl"/>
    <n v="611"/>
    <n v="39"/>
    <n v="96"/>
    <x v="347"/>
    <n v="861.12"/>
    <n v="4605.12"/>
    <x v="5"/>
  </r>
  <r>
    <n v="513"/>
    <x v="0"/>
    <n v="10"/>
    <d v="2022-10-08T00:00:00"/>
    <s v="FA"/>
    <s v="1052/2533"/>
    <s v="kpl"/>
    <n v="612"/>
    <n v="63"/>
    <n v="83"/>
    <x v="348"/>
    <n v="1202.67"/>
    <n v="6431.67"/>
    <x v="5"/>
  </r>
  <r>
    <n v="514"/>
    <x v="3"/>
    <n v="9"/>
    <d v="2022-08-26T00:00:00"/>
    <s v="FA"/>
    <s v="1052/2534"/>
    <s v="kpl"/>
    <n v="613"/>
    <n v="41"/>
    <n v="88"/>
    <x v="265"/>
    <n v="829.84"/>
    <n v="4437.84"/>
    <x v="11"/>
  </r>
  <r>
    <n v="515"/>
    <x v="6"/>
    <n v="13"/>
    <d v="2022-03-07T00:00:00"/>
    <s v="FA"/>
    <s v="1052/2535"/>
    <s v="kpl"/>
    <n v="614"/>
    <n v="52"/>
    <n v="84"/>
    <x v="109"/>
    <n v="1004.6400000000001"/>
    <n v="5372.64"/>
    <x v="3"/>
  </r>
  <r>
    <n v="516"/>
    <x v="14"/>
    <n v="9"/>
    <d v="2022-01-23T00:00:00"/>
    <s v="FA"/>
    <s v="1052/2536"/>
    <s v="kpl"/>
    <n v="615"/>
    <n v="67"/>
    <n v="86"/>
    <x v="349"/>
    <n v="1325.26"/>
    <n v="7087.26"/>
    <x v="0"/>
  </r>
  <r>
    <n v="517"/>
    <x v="6"/>
    <n v="12"/>
    <d v="2022-04-02T00:00:00"/>
    <s v="FA"/>
    <s v="1052/2537"/>
    <s v="kpl"/>
    <n v="616"/>
    <n v="49"/>
    <n v="84"/>
    <x v="74"/>
    <n v="946.68000000000006"/>
    <n v="5062.68"/>
    <x v="1"/>
  </r>
  <r>
    <n v="518"/>
    <x v="16"/>
    <n v="6"/>
    <d v="2022-10-02T00:00:00"/>
    <s v="FA"/>
    <s v="1052/2538"/>
    <s v="kpl"/>
    <n v="617"/>
    <n v="62"/>
    <n v="132"/>
    <x v="350"/>
    <n v="1882.3200000000002"/>
    <n v="10066.32"/>
    <x v="5"/>
  </r>
  <r>
    <n v="519"/>
    <x v="20"/>
    <n v="10"/>
    <d v="2022-01-22T00:00:00"/>
    <s v="FA"/>
    <s v="1052/2539"/>
    <s v="kpl"/>
    <n v="618"/>
    <n v="17"/>
    <n v="104"/>
    <x v="351"/>
    <n v="406.64000000000004"/>
    <n v="2174.64"/>
    <x v="0"/>
  </r>
  <r>
    <n v="520"/>
    <x v="11"/>
    <n v="8"/>
    <d v="2022-05-20T00:00:00"/>
    <s v="FA"/>
    <s v="1052/2540"/>
    <s v="kpl"/>
    <n v="619"/>
    <n v="36"/>
    <n v="93"/>
    <x v="352"/>
    <n v="770.04000000000008"/>
    <n v="4118.04"/>
    <x v="10"/>
  </r>
  <r>
    <n v="521"/>
    <x v="23"/>
    <n v="9"/>
    <d v="2022-08-27T00:00:00"/>
    <s v="FA"/>
    <s v="1052/2541"/>
    <s v="kpl"/>
    <n v="620"/>
    <n v="55"/>
    <n v="105"/>
    <x v="330"/>
    <n v="1328.25"/>
    <n v="7103.25"/>
    <x v="11"/>
  </r>
  <r>
    <n v="522"/>
    <x v="25"/>
    <n v="8"/>
    <d v="2022-07-23T00:00:00"/>
    <s v="FA"/>
    <s v="1052/2542"/>
    <s v="kpl"/>
    <n v="621"/>
    <n v="56"/>
    <n v="59"/>
    <x v="353"/>
    <n v="759.92000000000007"/>
    <n v="4063.92"/>
    <x v="6"/>
  </r>
  <r>
    <n v="523"/>
    <x v="24"/>
    <n v="12"/>
    <d v="2022-06-23T00:00:00"/>
    <s v="FA"/>
    <s v="1052/2543"/>
    <s v="kpl"/>
    <n v="622"/>
    <n v="63"/>
    <n v="129"/>
    <x v="228"/>
    <n v="1869.21"/>
    <n v="9996.2099999999991"/>
    <x v="4"/>
  </r>
  <r>
    <n v="524"/>
    <x v="8"/>
    <n v="7"/>
    <d v="2022-05-23T00:00:00"/>
    <s v="FA"/>
    <s v="1052/2544"/>
    <s v="kpl"/>
    <n v="623"/>
    <n v="65"/>
    <n v="89"/>
    <x v="354"/>
    <n v="1330.55"/>
    <n v="7115.55"/>
    <x v="10"/>
  </r>
  <r>
    <n v="525"/>
    <x v="7"/>
    <n v="12"/>
    <d v="2022-04-06T00:00:00"/>
    <s v="FA"/>
    <s v="1052/2545"/>
    <s v="kpl"/>
    <n v="624"/>
    <n v="46"/>
    <n v="96"/>
    <x v="355"/>
    <n v="1015.6800000000001"/>
    <n v="5431.68"/>
    <x v="1"/>
  </r>
  <r>
    <n v="526"/>
    <x v="3"/>
    <n v="6"/>
    <d v="2022-07-02T00:00:00"/>
    <s v="FA"/>
    <s v="1052/2546"/>
    <s v="kpl"/>
    <n v="625"/>
    <n v="56"/>
    <n v="88"/>
    <x v="71"/>
    <n v="1133.44"/>
    <n v="6061.4400000000005"/>
    <x v="6"/>
  </r>
  <r>
    <n v="527"/>
    <x v="18"/>
    <n v="6"/>
    <d v="2022-08-06T00:00:00"/>
    <s v="FA"/>
    <s v="1052/2547"/>
    <s v="kpl"/>
    <n v="626"/>
    <n v="57"/>
    <n v="109"/>
    <x v="337"/>
    <n v="1428.99"/>
    <n v="7641.99"/>
    <x v="11"/>
  </r>
  <r>
    <n v="528"/>
    <x v="6"/>
    <n v="9"/>
    <d v="2022-05-06T00:00:00"/>
    <s v="FA"/>
    <s v="1052/2548"/>
    <s v="kpl"/>
    <n v="627"/>
    <n v="51"/>
    <n v="84"/>
    <x v="234"/>
    <n v="985.32"/>
    <n v="5269.32"/>
    <x v="10"/>
  </r>
  <r>
    <n v="529"/>
    <x v="25"/>
    <n v="11"/>
    <d v="2022-06-21T00:00:00"/>
    <s v="FA"/>
    <s v="1052/2549"/>
    <s v="kpl"/>
    <n v="628"/>
    <n v="44"/>
    <n v="59"/>
    <x v="231"/>
    <n v="597.08000000000004"/>
    <n v="3193.08"/>
    <x v="4"/>
  </r>
  <r>
    <n v="530"/>
    <x v="19"/>
    <n v="12"/>
    <d v="2022-02-03T00:00:00"/>
    <s v="FA"/>
    <s v="1052/2550"/>
    <s v="kpl"/>
    <n v="629"/>
    <n v="47"/>
    <n v="121"/>
    <x v="356"/>
    <n v="1308.01"/>
    <n v="6995.01"/>
    <x v="9"/>
  </r>
  <r>
    <n v="531"/>
    <x v="16"/>
    <n v="5"/>
    <d v="2022-07-04T00:00:00"/>
    <s v="FA"/>
    <s v="1052/2551"/>
    <s v="kpl"/>
    <n v="630"/>
    <n v="50"/>
    <n v="132"/>
    <x v="203"/>
    <n v="1518"/>
    <n v="8118"/>
    <x v="6"/>
  </r>
  <r>
    <n v="532"/>
    <x v="12"/>
    <n v="8"/>
    <d v="2022-11-09T00:00:00"/>
    <s v="FA"/>
    <s v="1052/2552"/>
    <s v="kpl"/>
    <n v="631"/>
    <n v="57"/>
    <n v="91"/>
    <x v="72"/>
    <n v="1193.01"/>
    <n v="6380.01"/>
    <x v="8"/>
  </r>
  <r>
    <n v="533"/>
    <x v="14"/>
    <n v="7"/>
    <d v="2022-05-13T00:00:00"/>
    <s v="FA"/>
    <s v="1052/2553"/>
    <s v="kpl"/>
    <n v="632"/>
    <n v="50"/>
    <n v="86"/>
    <x v="239"/>
    <n v="989"/>
    <n v="5289"/>
    <x v="10"/>
  </r>
  <r>
    <n v="534"/>
    <x v="17"/>
    <n v="9"/>
    <d v="2022-04-08T00:00:00"/>
    <s v="FA"/>
    <s v="1052/2554"/>
    <s v="kpl"/>
    <n v="633"/>
    <n v="59"/>
    <n v="94"/>
    <x v="237"/>
    <n v="1275.5800000000002"/>
    <n v="6821.58"/>
    <x v="1"/>
  </r>
  <r>
    <n v="535"/>
    <x v="26"/>
    <n v="13"/>
    <d v="2022-01-23T00:00:00"/>
    <s v="FA"/>
    <s v="1052/2555"/>
    <s v="kpl"/>
    <n v="634"/>
    <n v="53"/>
    <n v="99"/>
    <x v="357"/>
    <n v="1206.81"/>
    <n v="6453.8099999999995"/>
    <x v="0"/>
  </r>
  <r>
    <n v="536"/>
    <x v="25"/>
    <n v="10"/>
    <d v="2022-07-27T00:00:00"/>
    <s v="FA"/>
    <s v="1052/2556"/>
    <s v="kpl"/>
    <n v="635"/>
    <n v="54"/>
    <n v="59"/>
    <x v="157"/>
    <n v="732.78000000000009"/>
    <n v="3918.78"/>
    <x v="6"/>
  </r>
  <r>
    <n v="537"/>
    <x v="17"/>
    <n v="12"/>
    <d v="2022-12-17T00:00:00"/>
    <s v="FA"/>
    <s v="1052/2557"/>
    <s v="kpl"/>
    <n v="636"/>
    <n v="58"/>
    <n v="94"/>
    <x v="82"/>
    <n v="1253.96"/>
    <n v="6705.96"/>
    <x v="2"/>
  </r>
  <r>
    <n v="538"/>
    <x v="14"/>
    <n v="11"/>
    <d v="2022-01-06T00:00:00"/>
    <s v="FA"/>
    <s v="1052/2558"/>
    <s v="kpl"/>
    <n v="637"/>
    <n v="69"/>
    <n v="86"/>
    <x v="358"/>
    <n v="1364.8200000000002"/>
    <n v="7298.82"/>
    <x v="0"/>
  </r>
  <r>
    <n v="539"/>
    <x v="21"/>
    <n v="10"/>
    <d v="2022-02-04T00:00:00"/>
    <s v="FA"/>
    <s v="1052/2559"/>
    <s v="kpl"/>
    <n v="638"/>
    <n v="47"/>
    <n v="87"/>
    <x v="159"/>
    <n v="940.47"/>
    <n v="5029.47"/>
    <x v="9"/>
  </r>
  <r>
    <n v="540"/>
    <x v="26"/>
    <n v="9"/>
    <d v="2022-03-17T00:00:00"/>
    <s v="FA"/>
    <s v="1052/2560"/>
    <s v="kpl"/>
    <n v="639"/>
    <n v="50"/>
    <n v="99"/>
    <x v="53"/>
    <n v="1138.5"/>
    <n v="6088.5"/>
    <x v="3"/>
  </r>
  <r>
    <n v="541"/>
    <x v="26"/>
    <n v="8"/>
    <d v="2022-10-18T00:00:00"/>
    <s v="FA"/>
    <s v="1052/2561"/>
    <s v="kpl"/>
    <n v="640"/>
    <n v="42"/>
    <n v="99"/>
    <x v="1"/>
    <n v="956.34"/>
    <n v="5114.34"/>
    <x v="5"/>
  </r>
  <r>
    <n v="542"/>
    <x v="18"/>
    <n v="11"/>
    <d v="2022-06-25T00:00:00"/>
    <s v="FA"/>
    <s v="1052/2562"/>
    <s v="kpl"/>
    <n v="641"/>
    <n v="40"/>
    <n v="109"/>
    <x v="359"/>
    <n v="1002.8000000000001"/>
    <n v="5362.8"/>
    <x v="4"/>
  </r>
  <r>
    <n v="543"/>
    <x v="3"/>
    <n v="10"/>
    <d v="2022-11-21T00:00:00"/>
    <s v="FA"/>
    <s v="1052/2563"/>
    <s v="kpl"/>
    <n v="642"/>
    <n v="44"/>
    <n v="88"/>
    <x v="360"/>
    <n v="890.56000000000006"/>
    <n v="4762.5600000000004"/>
    <x v="8"/>
  </r>
  <r>
    <n v="544"/>
    <x v="23"/>
    <n v="8"/>
    <d v="2022-03-21T00:00:00"/>
    <s v="FA"/>
    <s v="1052/2564"/>
    <s v="kpl"/>
    <n v="643"/>
    <n v="49"/>
    <n v="105"/>
    <x v="361"/>
    <n v="1183.3500000000001"/>
    <n v="6328.35"/>
    <x v="3"/>
  </r>
  <r>
    <n v="545"/>
    <x v="0"/>
    <n v="11"/>
    <d v="2022-04-18T00:00:00"/>
    <s v="FA"/>
    <s v="1052/2565"/>
    <s v="kpl"/>
    <n v="644"/>
    <n v="51"/>
    <n v="83"/>
    <x v="362"/>
    <n v="973.59"/>
    <n v="5206.59"/>
    <x v="1"/>
  </r>
  <r>
    <n v="546"/>
    <x v="11"/>
    <n v="9"/>
    <d v="2022-12-15T00:00:00"/>
    <s v="FA"/>
    <s v="1052/2566"/>
    <s v="kpl"/>
    <n v="645"/>
    <n v="69"/>
    <n v="93"/>
    <x v="363"/>
    <n v="1475.91"/>
    <n v="7892.91"/>
    <x v="2"/>
  </r>
  <r>
    <n v="547"/>
    <x v="22"/>
    <n v="4"/>
    <d v="2022-04-11T00:00:00"/>
    <s v="FA"/>
    <s v="1052/2567"/>
    <s v="kpl"/>
    <n v="646"/>
    <n v="68"/>
    <n v="125"/>
    <x v="235"/>
    <n v="1955"/>
    <n v="10455"/>
    <x v="1"/>
  </r>
  <r>
    <n v="548"/>
    <x v="0"/>
    <n v="13"/>
    <d v="2022-11-17T00:00:00"/>
    <s v="FA"/>
    <s v="1052/2568"/>
    <s v="kpl"/>
    <n v="647"/>
    <n v="55"/>
    <n v="83"/>
    <x v="47"/>
    <n v="1049.95"/>
    <n v="5614.95"/>
    <x v="8"/>
  </r>
  <r>
    <n v="549"/>
    <x v="3"/>
    <n v="13"/>
    <d v="2022-07-11T00:00:00"/>
    <s v="FA"/>
    <s v="1052/2569"/>
    <s v="kpl"/>
    <n v="648"/>
    <n v="65"/>
    <n v="88"/>
    <x v="138"/>
    <n v="1315.6000000000001"/>
    <n v="7035.6"/>
    <x v="6"/>
  </r>
  <r>
    <n v="550"/>
    <x v="6"/>
    <n v="8"/>
    <d v="2022-06-05T00:00:00"/>
    <s v="FA"/>
    <s v="1052/2570"/>
    <s v="kpl"/>
    <n v="649"/>
    <n v="43"/>
    <n v="84"/>
    <x v="25"/>
    <n v="830.76"/>
    <n v="4442.76"/>
    <x v="4"/>
  </r>
  <r>
    <n v="551"/>
    <x v="17"/>
    <n v="9"/>
    <d v="2022-05-15T00:00:00"/>
    <s v="FA"/>
    <s v="1052/2571"/>
    <s v="kpl"/>
    <n v="650"/>
    <n v="51"/>
    <n v="94"/>
    <x v="364"/>
    <n v="1102.6200000000001"/>
    <n v="5896.62"/>
    <x v="10"/>
  </r>
  <r>
    <n v="552"/>
    <x v="20"/>
    <n v="10"/>
    <d v="2022-04-09T00:00:00"/>
    <s v="FA"/>
    <s v="1052/2572"/>
    <s v="kpl"/>
    <n v="651"/>
    <n v="49"/>
    <n v="104"/>
    <x v="189"/>
    <n v="1172.0800000000002"/>
    <n v="6268.08"/>
    <x v="1"/>
  </r>
  <r>
    <n v="553"/>
    <x v="9"/>
    <n v="5"/>
    <d v="2022-04-19T00:00:00"/>
    <s v="FA"/>
    <s v="1052/2573"/>
    <s v="kpl"/>
    <n v="652"/>
    <n v="59"/>
    <n v="108"/>
    <x v="286"/>
    <n v="1465.5600000000002"/>
    <n v="7837.56"/>
    <x v="1"/>
  </r>
  <r>
    <n v="554"/>
    <x v="5"/>
    <n v="8"/>
    <d v="2022-04-13T00:00:00"/>
    <s v="FA"/>
    <s v="1052/2574"/>
    <s v="kpl"/>
    <n v="653"/>
    <n v="58"/>
    <n v="87"/>
    <x v="108"/>
    <n v="1160.5800000000002"/>
    <n v="6206.58"/>
    <x v="1"/>
  </r>
  <r>
    <n v="555"/>
    <x v="9"/>
    <n v="15"/>
    <d v="2022-10-09T00:00:00"/>
    <s v="FA"/>
    <s v="1052/2575"/>
    <s v="kpl"/>
    <n v="654"/>
    <n v="53"/>
    <n v="108"/>
    <x v="365"/>
    <n v="1316.52"/>
    <n v="7040.52"/>
    <x v="5"/>
  </r>
  <r>
    <n v="556"/>
    <x v="14"/>
    <n v="11"/>
    <d v="2022-03-01T00:00:00"/>
    <s v="FA"/>
    <s v="1052/2576"/>
    <s v="kpl"/>
    <n v="655"/>
    <n v="45"/>
    <n v="86"/>
    <x v="340"/>
    <n v="890.1"/>
    <n v="4760.1000000000004"/>
    <x v="3"/>
  </r>
  <r>
    <n v="557"/>
    <x v="4"/>
    <n v="10"/>
    <d v="2022-02-09T00:00:00"/>
    <s v="FA"/>
    <s v="1052/2577"/>
    <s v="kpl"/>
    <n v="656"/>
    <n v="45"/>
    <n v="85"/>
    <x v="151"/>
    <n v="879.75"/>
    <n v="4704.75"/>
    <x v="9"/>
  </r>
  <r>
    <n v="558"/>
    <x v="2"/>
    <n v="11"/>
    <d v="2022-03-07T00:00:00"/>
    <s v="FA"/>
    <s v="1052/2578"/>
    <s v="kpl"/>
    <n v="657"/>
    <n v="37"/>
    <n v="84"/>
    <x v="366"/>
    <n v="714.84"/>
    <n v="3822.84"/>
    <x v="3"/>
  </r>
  <r>
    <n v="559"/>
    <x v="19"/>
    <n v="6"/>
    <d v="2022-12-09T00:00:00"/>
    <s v="FA"/>
    <s v="1052/2579"/>
    <s v="kpl"/>
    <n v="658"/>
    <n v="47"/>
    <n v="121"/>
    <x v="356"/>
    <n v="1308.01"/>
    <n v="6995.01"/>
    <x v="2"/>
  </r>
  <r>
    <n v="560"/>
    <x v="3"/>
    <n v="13"/>
    <d v="2022-08-12T00:00:00"/>
    <s v="FA"/>
    <s v="1052/2580"/>
    <s v="kpl"/>
    <n v="659"/>
    <n v="65"/>
    <n v="88"/>
    <x v="138"/>
    <n v="1315.6000000000001"/>
    <n v="7035.6"/>
    <x v="11"/>
  </r>
  <r>
    <n v="561"/>
    <x v="13"/>
    <n v="8"/>
    <d v="2022-10-18T00:00:00"/>
    <s v="FA"/>
    <s v="1052/2581"/>
    <s v="kpl"/>
    <n v="660"/>
    <n v="37"/>
    <n v="88"/>
    <x v="367"/>
    <n v="748.88"/>
    <n v="4004.88"/>
    <x v="5"/>
  </r>
  <r>
    <n v="562"/>
    <x v="17"/>
    <n v="12"/>
    <d v="2022-04-10T00:00:00"/>
    <s v="FA"/>
    <s v="1052/2582"/>
    <s v="kpl"/>
    <n v="661"/>
    <n v="54"/>
    <n v="94"/>
    <x v="24"/>
    <n v="1167.48"/>
    <n v="6243.48"/>
    <x v="1"/>
  </r>
  <r>
    <n v="563"/>
    <x v="9"/>
    <n v="14"/>
    <d v="2022-11-19T00:00:00"/>
    <s v="FA"/>
    <s v="1052/2583"/>
    <s v="kpl"/>
    <n v="662"/>
    <n v="39"/>
    <n v="108"/>
    <x v="289"/>
    <n v="968.76"/>
    <n v="5180.76"/>
    <x v="8"/>
  </r>
  <r>
    <n v="564"/>
    <x v="11"/>
    <n v="16"/>
    <d v="2022-02-11T00:00:00"/>
    <s v="FA"/>
    <s v="1052/2584"/>
    <s v="kpl"/>
    <n v="663"/>
    <n v="48"/>
    <n v="93"/>
    <x v="273"/>
    <n v="1026.72"/>
    <n v="5490.72"/>
    <x v="9"/>
  </r>
  <r>
    <n v="565"/>
    <x v="12"/>
    <n v="12"/>
    <d v="2022-06-11T00:00:00"/>
    <s v="FA"/>
    <s v="1052/2585"/>
    <s v="kpl"/>
    <n v="664"/>
    <n v="46"/>
    <n v="91"/>
    <x v="368"/>
    <n v="962.78000000000009"/>
    <n v="5148.78"/>
    <x v="4"/>
  </r>
  <r>
    <n v="566"/>
    <x v="12"/>
    <n v="13"/>
    <d v="2022-03-11T00:00:00"/>
    <s v="FA"/>
    <s v="1052/2586"/>
    <s v="kpl"/>
    <n v="665"/>
    <n v="61"/>
    <n v="91"/>
    <x v="369"/>
    <n v="1276.73"/>
    <n v="6827.73"/>
    <x v="3"/>
  </r>
  <r>
    <n v="567"/>
    <x v="17"/>
    <n v="7"/>
    <d v="2022-10-21T00:00:00"/>
    <s v="FA"/>
    <s v="1052/2587"/>
    <s v="kpl"/>
    <n v="666"/>
    <n v="62"/>
    <n v="94"/>
    <x v="170"/>
    <n v="1340.44"/>
    <n v="7168.4400000000005"/>
    <x v="5"/>
  </r>
  <r>
    <n v="568"/>
    <x v="7"/>
    <n v="9"/>
    <d v="2022-01-19T00:00:00"/>
    <s v="FA"/>
    <s v="1052/2588"/>
    <s v="kpl"/>
    <n v="667"/>
    <n v="29"/>
    <n v="96"/>
    <x v="370"/>
    <n v="640.32000000000005"/>
    <n v="3424.32"/>
    <x v="0"/>
  </r>
  <r>
    <n v="569"/>
    <x v="0"/>
    <n v="12"/>
    <d v="2022-06-26T00:00:00"/>
    <s v="FA"/>
    <s v="1052/2589"/>
    <s v="kpl"/>
    <n v="668"/>
    <n v="41"/>
    <n v="83"/>
    <x v="329"/>
    <n v="782.69"/>
    <n v="4185.6900000000005"/>
    <x v="4"/>
  </r>
  <r>
    <n v="570"/>
    <x v="14"/>
    <n v="15"/>
    <d v="2022-02-05T00:00:00"/>
    <s v="FA"/>
    <s v="1052/2590"/>
    <s v="kpl"/>
    <n v="669"/>
    <n v="73"/>
    <n v="86"/>
    <x v="371"/>
    <n v="1443.94"/>
    <n v="7721.9400000000005"/>
    <x v="9"/>
  </r>
  <r>
    <n v="571"/>
    <x v="19"/>
    <n v="9"/>
    <d v="2022-01-20T00:00:00"/>
    <s v="FA"/>
    <s v="1052/2591"/>
    <s v="kpl"/>
    <n v="670"/>
    <n v="36"/>
    <n v="121"/>
    <x v="90"/>
    <n v="1001.88"/>
    <n v="5357.88"/>
    <x v="0"/>
  </r>
  <r>
    <n v="572"/>
    <x v="6"/>
    <n v="6"/>
    <d v="2022-08-10T00:00:00"/>
    <s v="FA"/>
    <s v="1052/2592"/>
    <s v="kpl"/>
    <n v="671"/>
    <n v="51"/>
    <n v="84"/>
    <x v="234"/>
    <n v="985.32"/>
    <n v="5269.32"/>
    <x v="11"/>
  </r>
  <r>
    <n v="573"/>
    <x v="3"/>
    <n v="5"/>
    <d v="2022-05-24T00:00:00"/>
    <s v="FA"/>
    <s v="1052/2593"/>
    <s v="kpl"/>
    <n v="672"/>
    <n v="53"/>
    <n v="88"/>
    <x v="61"/>
    <n v="1072.72"/>
    <n v="5736.72"/>
    <x v="10"/>
  </r>
  <r>
    <n v="574"/>
    <x v="0"/>
    <n v="7"/>
    <d v="2022-04-26T00:00:00"/>
    <s v="FA"/>
    <s v="1052/2594"/>
    <s v="kpl"/>
    <n v="673"/>
    <n v="40"/>
    <n v="83"/>
    <x v="372"/>
    <n v="763.6"/>
    <n v="4083.6"/>
    <x v="1"/>
  </r>
  <r>
    <n v="575"/>
    <x v="13"/>
    <n v="6"/>
    <d v="2022-01-20T00:00:00"/>
    <s v="FA"/>
    <s v="1052/2595"/>
    <s v="kpl"/>
    <n v="674"/>
    <n v="45"/>
    <n v="88"/>
    <x v="291"/>
    <n v="910.80000000000007"/>
    <n v="4870.8"/>
    <x v="0"/>
  </r>
  <r>
    <n v="576"/>
    <x v="20"/>
    <n v="9"/>
    <d v="2022-03-15T00:00:00"/>
    <s v="FA"/>
    <s v="1052/2596"/>
    <s v="kpl"/>
    <n v="675"/>
    <n v="40"/>
    <n v="104"/>
    <x v="373"/>
    <n v="956.80000000000007"/>
    <n v="5116.8"/>
    <x v="3"/>
  </r>
  <r>
    <n v="577"/>
    <x v="6"/>
    <n v="11"/>
    <d v="2022-02-06T00:00:00"/>
    <s v="FA"/>
    <s v="1052/2597"/>
    <s v="kpl"/>
    <n v="676"/>
    <n v="47"/>
    <n v="84"/>
    <x v="55"/>
    <n v="908.04000000000008"/>
    <n v="4856.04"/>
    <x v="9"/>
  </r>
  <r>
    <n v="578"/>
    <x v="26"/>
    <n v="9"/>
    <d v="2022-09-09T00:00:00"/>
    <s v="FA"/>
    <s v="1052/2598"/>
    <s v="kpl"/>
    <n v="677"/>
    <n v="49"/>
    <n v="99"/>
    <x v="374"/>
    <n v="1115.73"/>
    <n v="5966.73"/>
    <x v="7"/>
  </r>
  <r>
    <n v="579"/>
    <x v="8"/>
    <n v="9"/>
    <d v="2022-01-17T00:00:00"/>
    <s v="FA"/>
    <s v="1052/2599"/>
    <s v="kpl"/>
    <n v="678"/>
    <n v="56"/>
    <n v="89"/>
    <x v="375"/>
    <n v="1146.32"/>
    <n v="6130.32"/>
    <x v="0"/>
  </r>
  <r>
    <n v="580"/>
    <x v="17"/>
    <n v="10"/>
    <d v="2022-12-02T00:00:00"/>
    <s v="FA"/>
    <s v="1052/2600"/>
    <s v="kpl"/>
    <n v="679"/>
    <n v="45"/>
    <n v="94"/>
    <x v="26"/>
    <n v="972.90000000000009"/>
    <n v="5202.8999999999996"/>
    <x v="2"/>
  </r>
  <r>
    <n v="581"/>
    <x v="23"/>
    <n v="12"/>
    <d v="2022-08-13T00:00:00"/>
    <s v="FA"/>
    <s v="1052/2601"/>
    <s v="kpl"/>
    <n v="680"/>
    <n v="51"/>
    <n v="105"/>
    <x v="316"/>
    <n v="1231.6500000000001"/>
    <n v="6586.65"/>
    <x v="11"/>
  </r>
  <r>
    <n v="582"/>
    <x v="19"/>
    <n v="9"/>
    <d v="2022-03-23T00:00:00"/>
    <s v="FA"/>
    <s v="1052/2602"/>
    <s v="kpl"/>
    <n v="681"/>
    <n v="69"/>
    <n v="121"/>
    <x v="376"/>
    <n v="1920.27"/>
    <n v="10269.27"/>
    <x v="3"/>
  </r>
  <r>
    <n v="583"/>
    <x v="9"/>
    <n v="15"/>
    <d v="2022-01-12T00:00:00"/>
    <s v="FA"/>
    <s v="1052/2603"/>
    <s v="kpl"/>
    <n v="682"/>
    <n v="51"/>
    <n v="108"/>
    <x v="377"/>
    <n v="1266.8400000000001"/>
    <n v="6774.84"/>
    <x v="0"/>
  </r>
  <r>
    <n v="584"/>
    <x v="1"/>
    <n v="11"/>
    <d v="2022-12-19T00:00:00"/>
    <s v="FA"/>
    <s v="1052/2604"/>
    <s v="kpl"/>
    <n v="683"/>
    <n v="46"/>
    <n v="99"/>
    <x v="346"/>
    <n v="1047.42"/>
    <n v="5601.42"/>
    <x v="2"/>
  </r>
  <r>
    <n v="585"/>
    <x v="3"/>
    <n v="10"/>
    <d v="2022-07-18T00:00:00"/>
    <s v="FA"/>
    <s v="1052/2605"/>
    <s v="kpl"/>
    <n v="684"/>
    <n v="40"/>
    <n v="88"/>
    <x v="167"/>
    <n v="809.6"/>
    <n v="4329.6000000000004"/>
    <x v="6"/>
  </r>
  <r>
    <n v="586"/>
    <x v="3"/>
    <n v="9"/>
    <d v="2022-04-08T00:00:00"/>
    <s v="FA"/>
    <s v="1052/2606"/>
    <s v="kpl"/>
    <n v="685"/>
    <n v="67"/>
    <n v="88"/>
    <x v="22"/>
    <n v="1356.0800000000002"/>
    <n v="7252.08"/>
    <x v="1"/>
  </r>
  <r>
    <n v="587"/>
    <x v="6"/>
    <n v="9"/>
    <d v="2022-04-17T00:00:00"/>
    <s v="FA"/>
    <s v="1052/2607"/>
    <s v="kpl"/>
    <n v="686"/>
    <n v="60"/>
    <n v="84"/>
    <x v="378"/>
    <n v="1159.2"/>
    <n v="6199.2"/>
    <x v="1"/>
  </r>
  <r>
    <n v="588"/>
    <x v="18"/>
    <n v="11"/>
    <d v="2022-01-02T00:00:00"/>
    <s v="FA"/>
    <s v="1052/2608"/>
    <s v="kpl"/>
    <n v="687"/>
    <n v="41"/>
    <n v="109"/>
    <x v="217"/>
    <n v="1027.8700000000001"/>
    <n v="5496.87"/>
    <x v="0"/>
  </r>
  <r>
    <n v="589"/>
    <x v="8"/>
    <n v="8"/>
    <d v="2022-09-22T00:00:00"/>
    <s v="FA"/>
    <s v="1052/2609"/>
    <s v="kpl"/>
    <n v="688"/>
    <n v="36"/>
    <n v="89"/>
    <x v="143"/>
    <n v="736.92000000000007"/>
    <n v="3940.92"/>
    <x v="7"/>
  </r>
  <r>
    <n v="590"/>
    <x v="18"/>
    <n v="9"/>
    <d v="2022-11-19T00:00:00"/>
    <s v="FA"/>
    <s v="1052/2610"/>
    <s v="kpl"/>
    <n v="689"/>
    <n v="41"/>
    <n v="109"/>
    <x v="217"/>
    <n v="1027.8700000000001"/>
    <n v="5496.87"/>
    <x v="8"/>
  </r>
  <r>
    <n v="591"/>
    <x v="4"/>
    <n v="11"/>
    <d v="2022-06-04T00:00:00"/>
    <s v="FA"/>
    <s v="1052/2611"/>
    <s v="kpl"/>
    <n v="690"/>
    <n v="47"/>
    <n v="85"/>
    <x v="137"/>
    <n v="918.85"/>
    <n v="4913.8500000000004"/>
    <x v="4"/>
  </r>
  <r>
    <n v="592"/>
    <x v="17"/>
    <n v="11"/>
    <d v="2022-10-16T00:00:00"/>
    <s v="FA"/>
    <s v="1052/2612"/>
    <s v="kpl"/>
    <n v="691"/>
    <n v="66"/>
    <n v="94"/>
    <x v="115"/>
    <n v="1426.92"/>
    <n v="7630.92"/>
    <x v="5"/>
  </r>
  <r>
    <n v="593"/>
    <x v="13"/>
    <n v="13"/>
    <d v="2022-11-26T00:00:00"/>
    <s v="FA"/>
    <s v="1052/2613"/>
    <s v="kpl"/>
    <n v="692"/>
    <n v="47"/>
    <n v="88"/>
    <x v="165"/>
    <n v="951.28000000000009"/>
    <n v="5087.28"/>
    <x v="8"/>
  </r>
  <r>
    <n v="594"/>
    <x v="15"/>
    <n v="12"/>
    <d v="2022-10-15T00:00:00"/>
    <s v="FA"/>
    <s v="1052/2614"/>
    <s v="kpl"/>
    <n v="693"/>
    <n v="53"/>
    <n v="90"/>
    <x v="379"/>
    <n v="1097.1000000000001"/>
    <n v="5867.1"/>
    <x v="5"/>
  </r>
  <r>
    <n v="595"/>
    <x v="22"/>
    <n v="8"/>
    <d v="2022-01-13T00:00:00"/>
    <s v="FA"/>
    <s v="1052/2615"/>
    <s v="kpl"/>
    <n v="694"/>
    <n v="51"/>
    <n v="125"/>
    <x v="209"/>
    <n v="1466.25"/>
    <n v="7841.25"/>
    <x v="0"/>
  </r>
  <r>
    <n v="596"/>
    <x v="4"/>
    <n v="10"/>
    <d v="2022-01-09T00:00:00"/>
    <s v="FA"/>
    <s v="1052/2616"/>
    <s v="kpl"/>
    <n v="695"/>
    <n v="48"/>
    <n v="85"/>
    <x v="290"/>
    <n v="938.40000000000009"/>
    <n v="5018.3999999999996"/>
    <x v="0"/>
  </r>
  <r>
    <n v="597"/>
    <x v="2"/>
    <n v="6"/>
    <d v="2022-12-14T00:00:00"/>
    <s v="FA"/>
    <s v="1052/2617"/>
    <s v="kpl"/>
    <n v="696"/>
    <n v="34"/>
    <n v="84"/>
    <x v="44"/>
    <n v="656.88"/>
    <n v="3512.88"/>
    <x v="2"/>
  </r>
  <r>
    <n v="598"/>
    <x v="26"/>
    <n v="11"/>
    <d v="2022-02-23T00:00:00"/>
    <s v="FA"/>
    <s v="1052/2618"/>
    <s v="kpl"/>
    <n v="697"/>
    <n v="57"/>
    <n v="99"/>
    <x v="193"/>
    <n v="1297.8900000000001"/>
    <n v="6940.89"/>
    <x v="9"/>
  </r>
  <r>
    <n v="599"/>
    <x v="10"/>
    <n v="8"/>
    <d v="2022-04-05T00:00:00"/>
    <s v="FA"/>
    <s v="1052/2619"/>
    <s v="kpl"/>
    <n v="698"/>
    <n v="30"/>
    <n v="84"/>
    <x v="199"/>
    <n v="579.6"/>
    <n v="3099.6"/>
    <x v="1"/>
  </r>
  <r>
    <n v="600"/>
    <x v="8"/>
    <n v="9"/>
    <d v="2022-12-15T00:00:00"/>
    <s v="FA"/>
    <s v="1052/2620"/>
    <s v="kpl"/>
    <n v="699"/>
    <n v="33"/>
    <n v="89"/>
    <x v="333"/>
    <n v="675.51"/>
    <n v="3612.51"/>
    <x v="2"/>
  </r>
  <r>
    <n v="601"/>
    <x v="6"/>
    <n v="11"/>
    <d v="2022-06-13T00:00:00"/>
    <s v="FA"/>
    <s v="1052/2621"/>
    <s v="kpl"/>
    <n v="700"/>
    <n v="46"/>
    <n v="84"/>
    <x v="380"/>
    <n v="888.72"/>
    <n v="4752.72"/>
    <x v="4"/>
  </r>
  <r>
    <n v="602"/>
    <x v="11"/>
    <n v="11"/>
    <d v="2022-07-14T00:00:00"/>
    <s v="FA"/>
    <s v="1052/2622"/>
    <s v="kpl"/>
    <n v="701"/>
    <n v="33"/>
    <n v="93"/>
    <x v="162"/>
    <n v="705.87"/>
    <n v="3774.87"/>
    <x v="6"/>
  </r>
  <r>
    <n v="603"/>
    <x v="11"/>
    <n v="9"/>
    <d v="2022-09-26T00:00:00"/>
    <s v="FA"/>
    <s v="1052/2623"/>
    <s v="kpl"/>
    <n v="702"/>
    <n v="49"/>
    <n v="93"/>
    <x v="381"/>
    <n v="1048.1100000000001"/>
    <n v="5605.1100000000006"/>
    <x v="7"/>
  </r>
  <r>
    <n v="604"/>
    <x v="14"/>
    <n v="4"/>
    <d v="2022-02-15T00:00:00"/>
    <s v="FA"/>
    <s v="1052/2624"/>
    <s v="kpl"/>
    <n v="703"/>
    <n v="79"/>
    <n v="86"/>
    <x v="382"/>
    <n v="1562.6200000000001"/>
    <n v="8356.6200000000008"/>
    <x v="9"/>
  </r>
  <r>
    <n v="605"/>
    <x v="19"/>
    <n v="10"/>
    <d v="2022-04-16T00:00:00"/>
    <s v="FA"/>
    <s v="1052/2625"/>
    <s v="kpl"/>
    <n v="704"/>
    <n v="40"/>
    <n v="121"/>
    <x v="29"/>
    <n v="1113.2"/>
    <n v="5953.2"/>
    <x v="1"/>
  </r>
  <r>
    <n v="606"/>
    <x v="22"/>
    <n v="10"/>
    <d v="2022-03-25T00:00:00"/>
    <s v="FA"/>
    <s v="1052/2626"/>
    <s v="kpl"/>
    <n v="705"/>
    <n v="50"/>
    <n v="125"/>
    <x v="219"/>
    <n v="1437.5"/>
    <n v="7687.5"/>
    <x v="3"/>
  </r>
  <r>
    <n v="607"/>
    <x v="8"/>
    <n v="9"/>
    <d v="2022-09-14T00:00:00"/>
    <s v="FA"/>
    <s v="1052/2627"/>
    <s v="kpl"/>
    <n v="706"/>
    <n v="58"/>
    <n v="89"/>
    <x v="327"/>
    <n v="1187.26"/>
    <n v="6349.26"/>
    <x v="7"/>
  </r>
  <r>
    <n v="608"/>
    <x v="18"/>
    <n v="16"/>
    <d v="2022-05-17T00:00:00"/>
    <s v="FA"/>
    <s v="1052/2628"/>
    <s v="kpl"/>
    <n v="707"/>
    <n v="54"/>
    <n v="109"/>
    <x v="111"/>
    <n v="1353.78"/>
    <n v="7239.78"/>
    <x v="10"/>
  </r>
  <r>
    <n v="609"/>
    <x v="18"/>
    <n v="9"/>
    <d v="2022-07-04T00:00:00"/>
    <s v="FA"/>
    <s v="1052/2629"/>
    <s v="kpl"/>
    <n v="708"/>
    <n v="43"/>
    <n v="109"/>
    <x v="383"/>
    <n v="1078.01"/>
    <n v="5765.01"/>
    <x v="6"/>
  </r>
  <r>
    <n v="610"/>
    <x v="12"/>
    <n v="10"/>
    <d v="2022-06-15T00:00:00"/>
    <s v="FA"/>
    <s v="1052/2630"/>
    <s v="kpl"/>
    <n v="709"/>
    <n v="57"/>
    <n v="91"/>
    <x v="72"/>
    <n v="1193.01"/>
    <n v="6380.01"/>
    <x v="4"/>
  </r>
  <r>
    <n v="611"/>
    <x v="2"/>
    <n v="12"/>
    <d v="2022-05-13T00:00:00"/>
    <s v="FA"/>
    <s v="1052/2631"/>
    <s v="kpl"/>
    <n v="710"/>
    <n v="31"/>
    <n v="84"/>
    <x v="2"/>
    <n v="598.92000000000007"/>
    <n v="3202.92"/>
    <x v="10"/>
  </r>
  <r>
    <n v="612"/>
    <x v="4"/>
    <n v="8"/>
    <d v="2022-02-04T00:00:00"/>
    <s v="FA"/>
    <s v="1052/2632"/>
    <s v="kpl"/>
    <n v="711"/>
    <n v="57"/>
    <n v="85"/>
    <x v="384"/>
    <n v="1114.3500000000001"/>
    <n v="5959.35"/>
    <x v="9"/>
  </r>
  <r>
    <n v="613"/>
    <x v="18"/>
    <n v="6"/>
    <d v="2022-03-07T00:00:00"/>
    <s v="FA"/>
    <s v="1052/2633"/>
    <s v="kpl"/>
    <n v="712"/>
    <n v="54"/>
    <n v="109"/>
    <x v="111"/>
    <n v="1353.78"/>
    <n v="7239.78"/>
    <x v="3"/>
  </r>
  <r>
    <n v="614"/>
    <x v="17"/>
    <n v="8"/>
    <d v="2022-01-14T00:00:00"/>
    <s v="FA"/>
    <s v="1052/2634"/>
    <s v="kpl"/>
    <n v="713"/>
    <n v="49"/>
    <n v="94"/>
    <x v="148"/>
    <n v="1059.3800000000001"/>
    <n v="5665.38"/>
    <x v="0"/>
  </r>
  <r>
    <n v="615"/>
    <x v="15"/>
    <n v="13"/>
    <d v="2022-08-09T00:00:00"/>
    <s v="FA"/>
    <s v="1052/2635"/>
    <s v="kpl"/>
    <n v="714"/>
    <n v="60"/>
    <n v="90"/>
    <x v="385"/>
    <n v="1242"/>
    <n v="6642"/>
    <x v="11"/>
  </r>
  <r>
    <n v="616"/>
    <x v="22"/>
    <n v="8"/>
    <d v="2022-10-13T00:00:00"/>
    <s v="FA"/>
    <s v="1052/2636"/>
    <s v="kpl"/>
    <n v="715"/>
    <n v="44"/>
    <n v="125"/>
    <x v="386"/>
    <n v="1265"/>
    <n v="6765"/>
    <x v="5"/>
  </r>
  <r>
    <n v="617"/>
    <x v="7"/>
    <n v="10"/>
    <d v="2022-09-17T00:00:00"/>
    <s v="FA"/>
    <s v="1052/2637"/>
    <s v="kpl"/>
    <n v="716"/>
    <n v="46"/>
    <n v="96"/>
    <x v="355"/>
    <n v="1015.6800000000001"/>
    <n v="5431.68"/>
    <x v="7"/>
  </r>
  <r>
    <n v="618"/>
    <x v="3"/>
    <n v="10"/>
    <d v="2022-06-26T00:00:00"/>
    <s v="FA"/>
    <s v="1052/2638"/>
    <s v="kpl"/>
    <n v="717"/>
    <n v="52"/>
    <n v="88"/>
    <x v="14"/>
    <n v="1052.48"/>
    <n v="5628.48"/>
    <x v="4"/>
  </r>
  <r>
    <n v="619"/>
    <x v="1"/>
    <n v="10"/>
    <d v="2022-05-06T00:00:00"/>
    <s v="FA"/>
    <s v="1052/2639"/>
    <s v="kpl"/>
    <n v="718"/>
    <n v="51"/>
    <n v="99"/>
    <x v="222"/>
    <n v="1161.27"/>
    <n v="6210.27"/>
    <x v="10"/>
  </r>
  <r>
    <n v="620"/>
    <x v="22"/>
    <n v="10"/>
    <d v="2022-06-13T00:00:00"/>
    <s v="FA"/>
    <s v="1052/2640"/>
    <s v="kpl"/>
    <n v="719"/>
    <n v="55"/>
    <n v="125"/>
    <x v="387"/>
    <n v="1581.25"/>
    <n v="8456.25"/>
    <x v="4"/>
  </r>
  <r>
    <n v="621"/>
    <x v="15"/>
    <n v="11"/>
    <d v="2022-12-22T00:00:00"/>
    <s v="FA"/>
    <s v="1052/2641"/>
    <s v="kpl"/>
    <n v="720"/>
    <n v="48"/>
    <n v="90"/>
    <x v="312"/>
    <n v="993.6"/>
    <n v="5313.6"/>
    <x v="2"/>
  </r>
  <r>
    <n v="622"/>
    <x v="3"/>
    <n v="9"/>
    <d v="2022-02-08T00:00:00"/>
    <s v="FA"/>
    <s v="1052/2642"/>
    <s v="kpl"/>
    <n v="721"/>
    <n v="65"/>
    <n v="88"/>
    <x v="138"/>
    <n v="1315.6000000000001"/>
    <n v="7035.6"/>
    <x v="9"/>
  </r>
  <r>
    <n v="623"/>
    <x v="6"/>
    <n v="10"/>
    <d v="2022-06-24T00:00:00"/>
    <s v="FA"/>
    <s v="1052/2643"/>
    <s v="kpl"/>
    <n v="722"/>
    <n v="39"/>
    <n v="84"/>
    <x v="104"/>
    <n v="753.48"/>
    <n v="4029.48"/>
    <x v="4"/>
  </r>
  <r>
    <n v="624"/>
    <x v="21"/>
    <n v="8"/>
    <d v="2022-10-08T00:00:00"/>
    <s v="FA"/>
    <s v="1052/2644"/>
    <s v="kpl"/>
    <n v="723"/>
    <n v="47"/>
    <n v="87"/>
    <x v="159"/>
    <n v="940.47"/>
    <n v="5029.47"/>
    <x v="5"/>
  </r>
  <r>
    <n v="625"/>
    <x v="24"/>
    <n v="10"/>
    <d v="2022-07-10T00:00:00"/>
    <s v="FA"/>
    <s v="1052/2645"/>
    <s v="kpl"/>
    <n v="724"/>
    <n v="64"/>
    <n v="129"/>
    <x v="388"/>
    <n v="1898.88"/>
    <n v="10154.880000000001"/>
    <x v="6"/>
  </r>
  <r>
    <n v="626"/>
    <x v="22"/>
    <n v="7"/>
    <d v="2022-09-03T00:00:00"/>
    <s v="FA"/>
    <s v="1052/2646"/>
    <s v="kpl"/>
    <n v="725"/>
    <n v="42"/>
    <n v="125"/>
    <x v="60"/>
    <n v="1207.5"/>
    <n v="6457.5"/>
    <x v="7"/>
  </r>
  <r>
    <n v="627"/>
    <x v="9"/>
    <n v="14"/>
    <d v="2022-05-10T00:00:00"/>
    <s v="FA"/>
    <s v="1052/2647"/>
    <s v="kpl"/>
    <n v="726"/>
    <n v="73"/>
    <n v="108"/>
    <x v="389"/>
    <n v="1813.3200000000002"/>
    <n v="9697.32"/>
    <x v="10"/>
  </r>
  <r>
    <n v="628"/>
    <x v="16"/>
    <n v="9"/>
    <d v="2022-09-05T00:00:00"/>
    <s v="FA"/>
    <s v="1052/2648"/>
    <s v="kpl"/>
    <n v="727"/>
    <n v="45"/>
    <n v="132"/>
    <x v="85"/>
    <n v="1366.2"/>
    <n v="7306.2"/>
    <x v="7"/>
  </r>
  <r>
    <n v="629"/>
    <x v="0"/>
    <n v="11"/>
    <d v="2022-11-07T00:00:00"/>
    <s v="FA"/>
    <s v="1052/2649"/>
    <s v="kpl"/>
    <n v="728"/>
    <n v="40"/>
    <n v="83"/>
    <x v="372"/>
    <n v="763.6"/>
    <n v="4083.6"/>
    <x v="8"/>
  </r>
  <r>
    <n v="630"/>
    <x v="2"/>
    <n v="9"/>
    <d v="2022-03-07T00:00:00"/>
    <s v="FA"/>
    <s v="1052/2650"/>
    <s v="kpl"/>
    <n v="729"/>
    <n v="42"/>
    <n v="84"/>
    <x v="7"/>
    <n v="811.44"/>
    <n v="4339.4400000000005"/>
    <x v="3"/>
  </r>
  <r>
    <n v="631"/>
    <x v="18"/>
    <n v="5"/>
    <d v="2022-01-14T00:00:00"/>
    <s v="FA"/>
    <s v="1052/2651"/>
    <s v="kpl"/>
    <n v="730"/>
    <n v="46"/>
    <n v="109"/>
    <x v="41"/>
    <n v="1153.22"/>
    <n v="6167.22"/>
    <x v="0"/>
  </r>
  <r>
    <n v="632"/>
    <x v="21"/>
    <n v="8"/>
    <d v="2022-10-18T00:00:00"/>
    <s v="FA"/>
    <s v="1052/2652"/>
    <s v="kpl"/>
    <n v="731"/>
    <n v="39"/>
    <n v="87"/>
    <x v="245"/>
    <n v="780.39"/>
    <n v="4173.3900000000003"/>
    <x v="5"/>
  </r>
  <r>
    <n v="633"/>
    <x v="0"/>
    <n v="6"/>
    <d v="2022-04-21T00:00:00"/>
    <s v="FA"/>
    <s v="1052/2653"/>
    <s v="kpl"/>
    <n v="732"/>
    <n v="48"/>
    <n v="83"/>
    <x v="176"/>
    <n v="916.32"/>
    <n v="4900.32"/>
    <x v="1"/>
  </r>
  <r>
    <n v="634"/>
    <x v="14"/>
    <n v="10"/>
    <d v="2022-04-09T00:00:00"/>
    <s v="FA"/>
    <s v="1052/2654"/>
    <s v="kpl"/>
    <n v="733"/>
    <n v="22"/>
    <n v="86"/>
    <x v="390"/>
    <n v="435.16"/>
    <n v="2327.16"/>
    <x v="1"/>
  </r>
  <r>
    <n v="635"/>
    <x v="3"/>
    <n v="7"/>
    <d v="2022-05-24T00:00:00"/>
    <s v="FA"/>
    <s v="1052/2655"/>
    <s v="kpl"/>
    <n v="734"/>
    <n v="44"/>
    <n v="88"/>
    <x v="360"/>
    <n v="890.56000000000006"/>
    <n v="4762.5600000000004"/>
    <x v="10"/>
  </r>
  <r>
    <n v="636"/>
    <x v="24"/>
    <n v="14"/>
    <d v="2022-08-02T00:00:00"/>
    <s v="FA"/>
    <s v="1052/2656"/>
    <s v="kpl"/>
    <n v="735"/>
    <n v="36"/>
    <n v="129"/>
    <x v="11"/>
    <n v="1068.1200000000001"/>
    <n v="5712.12"/>
    <x v="11"/>
  </r>
  <r>
    <n v="637"/>
    <x v="6"/>
    <n v="12"/>
    <d v="2022-07-27T00:00:00"/>
    <s v="FA"/>
    <s v="1052/2657"/>
    <s v="kpl"/>
    <n v="736"/>
    <n v="46"/>
    <n v="84"/>
    <x v="380"/>
    <n v="888.72"/>
    <n v="4752.72"/>
    <x v="6"/>
  </r>
  <r>
    <n v="638"/>
    <x v="26"/>
    <n v="8"/>
    <d v="2022-03-06T00:00:00"/>
    <s v="FA"/>
    <s v="1052/2658"/>
    <s v="kpl"/>
    <n v="737"/>
    <n v="62"/>
    <n v="99"/>
    <x v="171"/>
    <n v="1411.74"/>
    <n v="7549.74"/>
    <x v="3"/>
  </r>
  <r>
    <n v="639"/>
    <x v="16"/>
    <n v="9"/>
    <d v="2022-11-12T00:00:00"/>
    <s v="FA"/>
    <s v="1052/2659"/>
    <s v="kpl"/>
    <n v="738"/>
    <n v="36"/>
    <n v="132"/>
    <x v="126"/>
    <n v="1092.96"/>
    <n v="5844.96"/>
    <x v="8"/>
  </r>
  <r>
    <n v="640"/>
    <x v="11"/>
    <n v="6"/>
    <d v="2022-01-17T00:00:00"/>
    <s v="FA"/>
    <s v="1052/2660"/>
    <s v="kpl"/>
    <n v="739"/>
    <n v="38"/>
    <n v="93"/>
    <x v="391"/>
    <n v="812.82"/>
    <n v="4346.82"/>
    <x v="0"/>
  </r>
  <r>
    <n v="641"/>
    <x v="20"/>
    <n v="13"/>
    <d v="2022-07-20T00:00:00"/>
    <s v="FA"/>
    <s v="1052/2661"/>
    <s v="kpl"/>
    <n v="740"/>
    <n v="59"/>
    <n v="104"/>
    <x v="392"/>
    <n v="1411.28"/>
    <n v="7547.28"/>
    <x v="6"/>
  </r>
  <r>
    <n v="642"/>
    <x v="26"/>
    <n v="12"/>
    <d v="2022-12-03T00:00:00"/>
    <s v="FA"/>
    <s v="1052/2662"/>
    <s v="kpl"/>
    <n v="741"/>
    <n v="60"/>
    <n v="99"/>
    <x v="85"/>
    <n v="1366.2"/>
    <n v="7306.2"/>
    <x v="2"/>
  </r>
  <r>
    <n v="643"/>
    <x v="0"/>
    <n v="9"/>
    <d v="2022-08-27T00:00:00"/>
    <s v="FA"/>
    <s v="1052/2663"/>
    <s v="kpl"/>
    <n v="742"/>
    <n v="41"/>
    <n v="83"/>
    <x v="329"/>
    <n v="782.69"/>
    <n v="4185.6900000000005"/>
    <x v="11"/>
  </r>
  <r>
    <n v="644"/>
    <x v="7"/>
    <n v="8"/>
    <d v="2022-09-02T00:00:00"/>
    <s v="FA"/>
    <s v="1052/2664"/>
    <s v="kpl"/>
    <n v="743"/>
    <n v="42"/>
    <n v="96"/>
    <x v="66"/>
    <n v="927.36"/>
    <n v="4959.3599999999997"/>
    <x v="7"/>
  </r>
  <r>
    <n v="645"/>
    <x v="18"/>
    <n v="14"/>
    <d v="2022-09-03T00:00:00"/>
    <s v="FA"/>
    <s v="1052/2665"/>
    <s v="kpl"/>
    <n v="744"/>
    <n v="70"/>
    <n v="109"/>
    <x v="393"/>
    <n v="1754.9"/>
    <n v="9384.9"/>
    <x v="7"/>
  </r>
  <r>
    <n v="646"/>
    <x v="3"/>
    <n v="6"/>
    <d v="2022-05-28T00:00:00"/>
    <s v="FA"/>
    <s v="1052/2666"/>
    <s v="kpl"/>
    <n v="745"/>
    <n v="52"/>
    <n v="88"/>
    <x v="14"/>
    <n v="1052.48"/>
    <n v="5628.48"/>
    <x v="10"/>
  </r>
  <r>
    <n v="647"/>
    <x v="15"/>
    <n v="10"/>
    <d v="2022-12-20T00:00:00"/>
    <s v="FA"/>
    <s v="1052/2667"/>
    <s v="kpl"/>
    <n v="746"/>
    <n v="40"/>
    <n v="90"/>
    <x v="394"/>
    <n v="828"/>
    <n v="4428"/>
    <x v="2"/>
  </r>
  <r>
    <n v="648"/>
    <x v="17"/>
    <n v="11"/>
    <d v="2022-01-13T00:00:00"/>
    <s v="FA"/>
    <s v="1052/2668"/>
    <s v="kpl"/>
    <n v="747"/>
    <n v="49"/>
    <n v="94"/>
    <x v="148"/>
    <n v="1059.3800000000001"/>
    <n v="5665.38"/>
    <x v="0"/>
  </r>
  <r>
    <n v="649"/>
    <x v="6"/>
    <n v="11"/>
    <d v="2022-10-24T00:00:00"/>
    <s v="FA"/>
    <s v="1052/2669"/>
    <s v="kpl"/>
    <n v="748"/>
    <n v="33"/>
    <n v="84"/>
    <x v="94"/>
    <n v="637.56000000000006"/>
    <n v="3409.56"/>
    <x v="5"/>
  </r>
  <r>
    <n v="650"/>
    <x v="26"/>
    <n v="6"/>
    <d v="2022-06-01T00:00:00"/>
    <s v="FA"/>
    <s v="1052/2670"/>
    <s v="kpl"/>
    <n v="749"/>
    <n v="80"/>
    <n v="99"/>
    <x v="229"/>
    <n v="1821.6000000000001"/>
    <n v="9741.6"/>
    <x v="4"/>
  </r>
  <r>
    <n v="651"/>
    <x v="19"/>
    <n v="17"/>
    <d v="2022-11-03T00:00:00"/>
    <s v="FA"/>
    <s v="1052/2671"/>
    <s v="kpl"/>
    <n v="750"/>
    <n v="36"/>
    <n v="121"/>
    <x v="90"/>
    <n v="1001.88"/>
    <n v="5357.88"/>
    <x v="8"/>
  </r>
  <r>
    <n v="652"/>
    <x v="17"/>
    <n v="10"/>
    <d v="2022-10-06T00:00:00"/>
    <s v="FA"/>
    <s v="1052/2672"/>
    <s v="kpl"/>
    <n v="751"/>
    <n v="40"/>
    <n v="94"/>
    <x v="395"/>
    <n v="864.80000000000007"/>
    <n v="4624.8"/>
    <x v="5"/>
  </r>
  <r>
    <n v="653"/>
    <x v="14"/>
    <n v="8"/>
    <d v="2022-11-21T00:00:00"/>
    <s v="FA"/>
    <s v="1052/2673"/>
    <s v="kpl"/>
    <n v="752"/>
    <n v="55"/>
    <n v="86"/>
    <x v="396"/>
    <n v="1087.9000000000001"/>
    <n v="5817.9"/>
    <x v="8"/>
  </r>
  <r>
    <n v="654"/>
    <x v="3"/>
    <n v="11"/>
    <d v="2022-11-09T00:00:00"/>
    <s v="FA"/>
    <s v="1052/2674"/>
    <s v="kpl"/>
    <n v="753"/>
    <n v="53"/>
    <n v="88"/>
    <x v="61"/>
    <n v="1072.72"/>
    <n v="5736.72"/>
    <x v="8"/>
  </r>
  <r>
    <n v="655"/>
    <x v="6"/>
    <n v="11"/>
    <d v="2022-05-27T00:00:00"/>
    <s v="FA"/>
    <s v="1052/2675"/>
    <s v="kpl"/>
    <n v="754"/>
    <n v="66"/>
    <n v="84"/>
    <x v="65"/>
    <n v="1275.1200000000001"/>
    <n v="6819.12"/>
    <x v="10"/>
  </r>
  <r>
    <n v="656"/>
    <x v="18"/>
    <n v="7"/>
    <d v="2022-11-18T00:00:00"/>
    <s v="FA"/>
    <s v="1052/2676"/>
    <s v="kpl"/>
    <n v="755"/>
    <n v="57"/>
    <n v="109"/>
    <x v="337"/>
    <n v="1428.99"/>
    <n v="7641.99"/>
    <x v="8"/>
  </r>
  <r>
    <n v="657"/>
    <x v="17"/>
    <n v="12"/>
    <d v="2022-09-27T00:00:00"/>
    <s v="FA"/>
    <s v="1052/2677"/>
    <s v="kpl"/>
    <n v="756"/>
    <n v="48"/>
    <n v="94"/>
    <x v="397"/>
    <n v="1037.76"/>
    <n v="5549.76"/>
    <x v="7"/>
  </r>
  <r>
    <n v="658"/>
    <x v="14"/>
    <n v="6"/>
    <d v="2022-01-12T00:00:00"/>
    <s v="FA"/>
    <s v="1052/2678"/>
    <s v="kpl"/>
    <n v="757"/>
    <n v="47"/>
    <n v="86"/>
    <x v="211"/>
    <n v="929.66000000000008"/>
    <n v="4971.66"/>
    <x v="0"/>
  </r>
  <r>
    <n v="659"/>
    <x v="18"/>
    <n v="11"/>
    <d v="2022-02-02T00:00:00"/>
    <s v="FA"/>
    <s v="1052/2679"/>
    <s v="kpl"/>
    <n v="758"/>
    <n v="67"/>
    <n v="109"/>
    <x v="142"/>
    <n v="1679.69"/>
    <n v="8982.69"/>
    <x v="9"/>
  </r>
  <r>
    <n v="660"/>
    <x v="4"/>
    <n v="10"/>
    <d v="2022-10-16T00:00:00"/>
    <s v="FA"/>
    <s v="1052/2680"/>
    <s v="kpl"/>
    <n v="759"/>
    <n v="59"/>
    <n v="85"/>
    <x v="130"/>
    <n v="1153.45"/>
    <n v="6168.45"/>
    <x v="5"/>
  </r>
  <r>
    <n v="661"/>
    <x v="25"/>
    <n v="12"/>
    <d v="2022-07-06T00:00:00"/>
    <s v="FA"/>
    <s v="1052/2681"/>
    <s v="kpl"/>
    <n v="760"/>
    <n v="56"/>
    <n v="59"/>
    <x v="353"/>
    <n v="759.92000000000007"/>
    <n v="4063.92"/>
    <x v="6"/>
  </r>
  <r>
    <n v="662"/>
    <x v="26"/>
    <n v="9"/>
    <d v="2022-01-07T00:00:00"/>
    <s v="FA"/>
    <s v="1052/2682"/>
    <s v="kpl"/>
    <n v="761"/>
    <n v="44"/>
    <n v="99"/>
    <x v="90"/>
    <n v="1001.88"/>
    <n v="5357.88"/>
    <x v="0"/>
  </r>
  <r>
    <n v="663"/>
    <x v="18"/>
    <n v="7"/>
    <d v="2022-07-24T00:00:00"/>
    <s v="FA"/>
    <s v="1052/2683"/>
    <s v="kpl"/>
    <n v="762"/>
    <n v="65"/>
    <n v="109"/>
    <x v="398"/>
    <n v="1629.5500000000002"/>
    <n v="8714.5499999999993"/>
    <x v="6"/>
  </r>
  <r>
    <n v="664"/>
    <x v="6"/>
    <n v="9"/>
    <d v="2022-06-03T00:00:00"/>
    <s v="FA"/>
    <s v="1052/2684"/>
    <s v="kpl"/>
    <n v="763"/>
    <n v="45"/>
    <n v="84"/>
    <x v="12"/>
    <n v="869.40000000000009"/>
    <n v="4649.3999999999996"/>
    <x v="4"/>
  </r>
  <r>
    <n v="665"/>
    <x v="17"/>
    <n v="7"/>
    <d v="2022-08-24T00:00:00"/>
    <s v="FA"/>
    <s v="1052/2685"/>
    <s v="kpl"/>
    <n v="764"/>
    <n v="52"/>
    <n v="94"/>
    <x v="51"/>
    <n v="1124.24"/>
    <n v="6012.24"/>
    <x v="11"/>
  </r>
  <r>
    <n v="666"/>
    <x v="3"/>
    <n v="9"/>
    <d v="2022-08-04T00:00:00"/>
    <s v="FA"/>
    <s v="1052/2686"/>
    <s v="kpl"/>
    <n v="765"/>
    <n v="53"/>
    <n v="88"/>
    <x v="61"/>
    <n v="1072.72"/>
    <n v="5736.72"/>
    <x v="11"/>
  </r>
  <r>
    <n v="667"/>
    <x v="9"/>
    <n v="12"/>
    <d v="2022-09-23T00:00:00"/>
    <s v="FA"/>
    <s v="1052/2687"/>
    <s v="kpl"/>
    <n v="766"/>
    <n v="47"/>
    <n v="108"/>
    <x v="24"/>
    <n v="1167.48"/>
    <n v="6243.48"/>
    <x v="7"/>
  </r>
  <r>
    <n v="668"/>
    <x v="8"/>
    <n v="8"/>
    <d v="2022-05-27T00:00:00"/>
    <s v="FA"/>
    <s v="1052/2688"/>
    <s v="kpl"/>
    <n v="767"/>
    <n v="43"/>
    <n v="89"/>
    <x v="399"/>
    <n v="880.21"/>
    <n v="4707.21"/>
    <x v="10"/>
  </r>
  <r>
    <n v="669"/>
    <x v="18"/>
    <n v="14"/>
    <d v="2022-07-04T00:00:00"/>
    <s v="FA"/>
    <s v="1052/2689"/>
    <s v="kpl"/>
    <n v="768"/>
    <n v="45"/>
    <n v="109"/>
    <x v="102"/>
    <n v="1128.1500000000001"/>
    <n v="6033.15"/>
    <x v="6"/>
  </r>
  <r>
    <n v="670"/>
    <x v="0"/>
    <n v="8"/>
    <d v="2022-05-06T00:00:00"/>
    <s v="FA"/>
    <s v="1052/2690"/>
    <s v="kpl"/>
    <n v="769"/>
    <n v="45"/>
    <n v="83"/>
    <x v="251"/>
    <n v="859.05000000000007"/>
    <n v="4594.05"/>
    <x v="10"/>
  </r>
  <r>
    <n v="671"/>
    <x v="1"/>
    <n v="13"/>
    <d v="2022-11-09T00:00:00"/>
    <s v="FA"/>
    <s v="1052/2691"/>
    <s v="kpl"/>
    <n v="770"/>
    <n v="46"/>
    <n v="99"/>
    <x v="346"/>
    <n v="1047.42"/>
    <n v="5601.42"/>
    <x v="8"/>
  </r>
  <r>
    <n v="672"/>
    <x v="1"/>
    <n v="11"/>
    <d v="2022-08-28T00:00:00"/>
    <s v="FA"/>
    <s v="1052/2692"/>
    <s v="kpl"/>
    <n v="771"/>
    <n v="47"/>
    <n v="99"/>
    <x v="4"/>
    <n v="1070.19"/>
    <n v="5723.1900000000005"/>
    <x v="11"/>
  </r>
  <r>
    <n v="673"/>
    <x v="6"/>
    <n v="7"/>
    <d v="2022-08-13T00:00:00"/>
    <s v="FA"/>
    <s v="1052/2693"/>
    <s v="kpl"/>
    <n v="772"/>
    <n v="65"/>
    <n v="84"/>
    <x v="260"/>
    <n v="1255.8"/>
    <n v="6715.8"/>
    <x v="11"/>
  </r>
  <r>
    <n v="674"/>
    <x v="8"/>
    <n v="7"/>
    <d v="2022-07-25T00:00:00"/>
    <s v="FA"/>
    <s v="1052/2694"/>
    <s v="kpl"/>
    <n v="773"/>
    <n v="50"/>
    <n v="89"/>
    <x v="129"/>
    <n v="1023.5"/>
    <n v="5473.5"/>
    <x v="6"/>
  </r>
  <r>
    <n v="675"/>
    <x v="12"/>
    <n v="8"/>
    <d v="2022-07-05T00:00:00"/>
    <s v="FA"/>
    <s v="1052/2695"/>
    <s v="kpl"/>
    <n v="774"/>
    <n v="60"/>
    <n v="91"/>
    <x v="260"/>
    <n v="1255.8"/>
    <n v="6715.8"/>
    <x v="6"/>
  </r>
  <r>
    <n v="676"/>
    <x v="26"/>
    <n v="8"/>
    <d v="2022-12-12T00:00:00"/>
    <s v="FA"/>
    <s v="1052/2696"/>
    <s v="kpl"/>
    <n v="775"/>
    <n v="66"/>
    <n v="99"/>
    <x v="400"/>
    <n v="1502.8200000000002"/>
    <n v="8036.82"/>
    <x v="2"/>
  </r>
  <r>
    <n v="677"/>
    <x v="15"/>
    <n v="13"/>
    <d v="2022-10-16T00:00:00"/>
    <s v="FA"/>
    <s v="1052/2697"/>
    <s v="kpl"/>
    <n v="776"/>
    <n v="61"/>
    <n v="90"/>
    <x v="401"/>
    <n v="1262.7"/>
    <n v="6752.7"/>
    <x v="5"/>
  </r>
  <r>
    <n v="678"/>
    <x v="7"/>
    <n v="10"/>
    <d v="2022-06-14T00:00:00"/>
    <s v="FA"/>
    <s v="1052/2698"/>
    <s v="kpl"/>
    <n v="777"/>
    <n v="52"/>
    <n v="96"/>
    <x v="299"/>
    <n v="1148.1600000000001"/>
    <n v="6140.16"/>
    <x v="4"/>
  </r>
  <r>
    <n v="679"/>
    <x v="10"/>
    <n v="9"/>
    <d v="2022-07-15T00:00:00"/>
    <s v="FA"/>
    <s v="1052/2699"/>
    <s v="kpl"/>
    <n v="778"/>
    <n v="65"/>
    <n v="84"/>
    <x v="260"/>
    <n v="1255.8"/>
    <n v="6715.8"/>
    <x v="6"/>
  </r>
  <r>
    <n v="680"/>
    <x v="0"/>
    <n v="13"/>
    <d v="2022-07-16T00:00:00"/>
    <s v="FA"/>
    <s v="1052/2700"/>
    <s v="kpl"/>
    <n v="779"/>
    <n v="58"/>
    <n v="83"/>
    <x v="141"/>
    <n v="1107.22"/>
    <n v="5921.22"/>
    <x v="6"/>
  </r>
  <r>
    <n v="681"/>
    <x v="21"/>
    <n v="11"/>
    <d v="2022-04-09T00:00:00"/>
    <s v="FA"/>
    <s v="1052/2701"/>
    <s v="kpl"/>
    <n v="780"/>
    <n v="62"/>
    <n v="87"/>
    <x v="402"/>
    <n v="1240.6200000000001"/>
    <n v="6634.62"/>
    <x v="1"/>
  </r>
  <r>
    <n v="682"/>
    <x v="19"/>
    <n v="9"/>
    <d v="2022-08-01T00:00:00"/>
    <s v="FA"/>
    <s v="1052/2702"/>
    <s v="kpl"/>
    <n v="781"/>
    <n v="48"/>
    <n v="121"/>
    <x v="3"/>
    <n v="1335.8400000000001"/>
    <n v="7143.84"/>
    <x v="11"/>
  </r>
  <r>
    <n v="683"/>
    <x v="23"/>
    <n v="12"/>
    <d v="2022-10-16T00:00:00"/>
    <s v="FA"/>
    <s v="1052/2703"/>
    <s v="kpl"/>
    <n v="782"/>
    <n v="31"/>
    <n v="105"/>
    <x v="403"/>
    <n v="748.65"/>
    <n v="4003.65"/>
    <x v="5"/>
  </r>
  <r>
    <n v="684"/>
    <x v="0"/>
    <n v="8"/>
    <d v="2022-01-26T00:00:00"/>
    <s v="FA"/>
    <s v="1052/2704"/>
    <s v="kpl"/>
    <n v="783"/>
    <n v="35"/>
    <n v="83"/>
    <x v="404"/>
    <n v="668.15"/>
    <n v="3573.15"/>
    <x v="0"/>
  </r>
  <r>
    <n v="685"/>
    <x v="18"/>
    <n v="11"/>
    <d v="2022-01-25T00:00:00"/>
    <s v="FA"/>
    <s v="1052/2705"/>
    <s v="kpl"/>
    <n v="784"/>
    <n v="55"/>
    <n v="109"/>
    <x v="212"/>
    <n v="1378.8500000000001"/>
    <n v="7373.85"/>
    <x v="0"/>
  </r>
  <r>
    <n v="686"/>
    <x v="20"/>
    <n v="10"/>
    <d v="2022-02-07T00:00:00"/>
    <s v="FA"/>
    <s v="1052/2706"/>
    <s v="kpl"/>
    <n v="785"/>
    <n v="36"/>
    <n v="104"/>
    <x v="347"/>
    <n v="861.12"/>
    <n v="4605.12"/>
    <x v="9"/>
  </r>
  <r>
    <n v="687"/>
    <x v="6"/>
    <n v="8"/>
    <d v="2022-05-26T00:00:00"/>
    <s v="FA"/>
    <s v="1052/2707"/>
    <s v="kpl"/>
    <n v="786"/>
    <n v="59"/>
    <n v="84"/>
    <x v="46"/>
    <n v="1139.8800000000001"/>
    <n v="6095.88"/>
    <x v="10"/>
  </r>
  <r>
    <n v="688"/>
    <x v="19"/>
    <n v="13"/>
    <d v="2022-09-01T00:00:00"/>
    <s v="FA"/>
    <s v="1052/2708"/>
    <s v="kpl"/>
    <n v="787"/>
    <n v="43"/>
    <n v="121"/>
    <x v="405"/>
    <n v="1196.69"/>
    <n v="6399.6900000000005"/>
    <x v="7"/>
  </r>
  <r>
    <n v="689"/>
    <x v="1"/>
    <n v="12"/>
    <d v="2022-03-23T00:00:00"/>
    <s v="FA"/>
    <s v="1052/2709"/>
    <s v="kpl"/>
    <n v="788"/>
    <n v="57"/>
    <n v="99"/>
    <x v="193"/>
    <n v="1297.8900000000001"/>
    <n v="6940.89"/>
    <x v="3"/>
  </r>
  <r>
    <n v="690"/>
    <x v="3"/>
    <n v="11"/>
    <d v="2022-05-19T00:00:00"/>
    <s v="FA"/>
    <s v="1052/2710"/>
    <s v="kpl"/>
    <n v="789"/>
    <n v="68"/>
    <n v="88"/>
    <x v="135"/>
    <n v="1376.3200000000002"/>
    <n v="7360.32"/>
    <x v="10"/>
  </r>
  <r>
    <n v="691"/>
    <x v="0"/>
    <n v="13"/>
    <d v="2022-08-23T00:00:00"/>
    <s v="FA"/>
    <s v="1052/2711"/>
    <s v="kpl"/>
    <n v="790"/>
    <n v="43"/>
    <n v="83"/>
    <x v="0"/>
    <n v="820.87"/>
    <n v="4389.87"/>
    <x v="11"/>
  </r>
  <r>
    <n v="692"/>
    <x v="0"/>
    <n v="12"/>
    <d v="2022-04-26T00:00:00"/>
    <s v="FA"/>
    <s v="1052/2712"/>
    <s v="kpl"/>
    <n v="791"/>
    <n v="60"/>
    <n v="83"/>
    <x v="86"/>
    <n v="1145.4000000000001"/>
    <n v="6125.4"/>
    <x v="1"/>
  </r>
  <r>
    <n v="693"/>
    <x v="18"/>
    <n v="8"/>
    <d v="2022-08-26T00:00:00"/>
    <s v="FA"/>
    <s v="1052/2713"/>
    <s v="kpl"/>
    <n v="792"/>
    <n v="46"/>
    <n v="109"/>
    <x v="41"/>
    <n v="1153.22"/>
    <n v="6167.22"/>
    <x v="11"/>
  </r>
  <r>
    <n v="694"/>
    <x v="3"/>
    <n v="8"/>
    <d v="2022-12-19T00:00:00"/>
    <s v="FA"/>
    <s v="1052/2714"/>
    <s v="kpl"/>
    <n v="793"/>
    <n v="47"/>
    <n v="88"/>
    <x v="165"/>
    <n v="951.28000000000009"/>
    <n v="5087.28"/>
    <x v="2"/>
  </r>
  <r>
    <n v="695"/>
    <x v="20"/>
    <n v="12"/>
    <d v="2022-05-09T00:00:00"/>
    <s v="FA"/>
    <s v="1052/2715"/>
    <s v="kpl"/>
    <n v="794"/>
    <n v="53"/>
    <n v="104"/>
    <x v="406"/>
    <n v="1267.76"/>
    <n v="6779.76"/>
    <x v="10"/>
  </r>
  <r>
    <n v="696"/>
    <x v="4"/>
    <n v="6"/>
    <d v="2022-07-10T00:00:00"/>
    <s v="FA"/>
    <s v="1052/2716"/>
    <s v="kpl"/>
    <n v="795"/>
    <n v="45"/>
    <n v="85"/>
    <x v="151"/>
    <n v="879.75"/>
    <n v="4704.75"/>
    <x v="6"/>
  </r>
  <r>
    <n v="697"/>
    <x v="4"/>
    <n v="9"/>
    <d v="2022-02-23T00:00:00"/>
    <s v="FA"/>
    <s v="1052/2717"/>
    <s v="kpl"/>
    <n v="796"/>
    <n v="22"/>
    <n v="85"/>
    <x v="407"/>
    <n v="430.1"/>
    <n v="2300.1"/>
    <x v="9"/>
  </r>
  <r>
    <n v="698"/>
    <x v="10"/>
    <n v="13"/>
    <d v="2022-05-15T00:00:00"/>
    <s v="FA"/>
    <s v="1052/2718"/>
    <s v="kpl"/>
    <n v="797"/>
    <n v="52"/>
    <n v="84"/>
    <x v="109"/>
    <n v="1004.6400000000001"/>
    <n v="5372.64"/>
    <x v="10"/>
  </r>
  <r>
    <n v="699"/>
    <x v="23"/>
    <n v="10"/>
    <d v="2022-07-03T00:00:00"/>
    <s v="FA"/>
    <s v="1052/2719"/>
    <s v="kpl"/>
    <n v="798"/>
    <n v="34"/>
    <n v="105"/>
    <x v="306"/>
    <n v="821.1"/>
    <n v="4391.1000000000004"/>
    <x v="6"/>
  </r>
  <r>
    <n v="700"/>
    <x v="8"/>
    <n v="6"/>
    <d v="2022-03-11T00:00:00"/>
    <s v="FA"/>
    <s v="1052/2720"/>
    <s v="kpl"/>
    <n v="799"/>
    <n v="72"/>
    <n v="89"/>
    <x v="408"/>
    <n v="1473.8400000000001"/>
    <n v="7881.84"/>
    <x v="3"/>
  </r>
  <r>
    <n v="701"/>
    <x v="17"/>
    <n v="5"/>
    <d v="2022-06-08T00:00:00"/>
    <s v="FA"/>
    <s v="1052/2721"/>
    <s v="kpl"/>
    <n v="800"/>
    <n v="53"/>
    <n v="94"/>
    <x v="270"/>
    <n v="1145.8600000000001"/>
    <n v="6127.8600000000006"/>
    <x v="4"/>
  </r>
  <r>
    <n v="702"/>
    <x v="4"/>
    <n v="10"/>
    <d v="2022-06-18T00:00:00"/>
    <s v="FA"/>
    <s v="1052/2722"/>
    <s v="kpl"/>
    <n v="801"/>
    <n v="42"/>
    <n v="85"/>
    <x v="306"/>
    <n v="821.1"/>
    <n v="4391.1000000000004"/>
    <x v="4"/>
  </r>
  <r>
    <n v="703"/>
    <x v="9"/>
    <n v="9"/>
    <d v="2022-11-19T00:00:00"/>
    <s v="FA"/>
    <s v="1052/2723"/>
    <s v="kpl"/>
    <n v="802"/>
    <n v="49"/>
    <n v="108"/>
    <x v="88"/>
    <n v="1217.1600000000001"/>
    <n v="6509.16"/>
    <x v="8"/>
  </r>
  <r>
    <n v="704"/>
    <x v="10"/>
    <n v="9"/>
    <d v="2022-10-20T00:00:00"/>
    <s v="FA"/>
    <s v="1052/2724"/>
    <s v="kpl"/>
    <n v="803"/>
    <n v="66"/>
    <n v="84"/>
    <x v="65"/>
    <n v="1275.1200000000001"/>
    <n v="6819.12"/>
    <x v="5"/>
  </r>
  <r>
    <n v="705"/>
    <x v="22"/>
    <n v="10"/>
    <d v="2022-03-16T00:00:00"/>
    <s v="FA"/>
    <s v="1052/2725"/>
    <s v="kpl"/>
    <n v="804"/>
    <n v="47"/>
    <n v="125"/>
    <x v="409"/>
    <n v="1351.25"/>
    <n v="7226.25"/>
    <x v="3"/>
  </r>
  <r>
    <n v="706"/>
    <x v="0"/>
    <n v="10"/>
    <d v="2022-06-03T00:00:00"/>
    <s v="FA"/>
    <s v="1052/2726"/>
    <s v="kpl"/>
    <n v="805"/>
    <n v="52"/>
    <n v="83"/>
    <x v="58"/>
    <n v="992.68000000000006"/>
    <n v="5308.68"/>
    <x v="4"/>
  </r>
  <r>
    <n v="707"/>
    <x v="5"/>
    <n v="9"/>
    <d v="2022-07-27T00:00:00"/>
    <s v="FA"/>
    <s v="1052/2727"/>
    <s v="kpl"/>
    <n v="806"/>
    <n v="68"/>
    <n v="87"/>
    <x v="410"/>
    <n v="1360.68"/>
    <n v="7276.68"/>
    <x v="6"/>
  </r>
  <r>
    <n v="708"/>
    <x v="0"/>
    <n v="7"/>
    <d v="2022-12-11T00:00:00"/>
    <s v="FA"/>
    <s v="1052/2728"/>
    <s v="kpl"/>
    <n v="807"/>
    <n v="48"/>
    <n v="83"/>
    <x v="176"/>
    <n v="916.32"/>
    <n v="4900.32"/>
    <x v="2"/>
  </r>
  <r>
    <n v="709"/>
    <x v="12"/>
    <n v="10"/>
    <d v="2022-09-19T00:00:00"/>
    <s v="FA"/>
    <s v="1052/2729"/>
    <s v="kpl"/>
    <n v="808"/>
    <n v="41"/>
    <n v="91"/>
    <x v="411"/>
    <n v="858.13"/>
    <n v="4589.13"/>
    <x v="7"/>
  </r>
  <r>
    <n v="710"/>
    <x v="25"/>
    <n v="12"/>
    <d v="2022-01-27T00:00:00"/>
    <s v="FA"/>
    <s v="1052/2730"/>
    <s v="kpl"/>
    <n v="809"/>
    <n v="41"/>
    <n v="59"/>
    <x v="412"/>
    <n v="556.37"/>
    <n v="2975.37"/>
    <x v="0"/>
  </r>
  <r>
    <n v="711"/>
    <x v="0"/>
    <n v="7"/>
    <d v="2022-06-01T00:00:00"/>
    <s v="FA"/>
    <s v="1052/2731"/>
    <s v="kpl"/>
    <n v="810"/>
    <n v="47"/>
    <n v="83"/>
    <x v="282"/>
    <n v="897.23"/>
    <n v="4798.2299999999996"/>
    <x v="4"/>
  </r>
  <r>
    <n v="712"/>
    <x v="9"/>
    <n v="13"/>
    <d v="2022-01-05T00:00:00"/>
    <s v="FA"/>
    <s v="1052/2732"/>
    <s v="kpl"/>
    <n v="811"/>
    <n v="55"/>
    <n v="108"/>
    <x v="85"/>
    <n v="1366.2"/>
    <n v="7306.2"/>
    <x v="0"/>
  </r>
  <r>
    <n v="713"/>
    <x v="11"/>
    <n v="5"/>
    <d v="2022-07-12T00:00:00"/>
    <s v="FA"/>
    <s v="1052/2733"/>
    <s v="kpl"/>
    <n v="812"/>
    <n v="53"/>
    <n v="93"/>
    <x v="413"/>
    <n v="1133.67"/>
    <n v="6062.67"/>
    <x v="6"/>
  </r>
  <r>
    <n v="714"/>
    <x v="10"/>
    <n v="3"/>
    <d v="2022-03-21T00:00:00"/>
    <s v="FA"/>
    <s v="1052/2734"/>
    <s v="kpl"/>
    <n v="813"/>
    <n v="77"/>
    <n v="84"/>
    <x v="313"/>
    <n v="1487.64"/>
    <n v="7955.64"/>
    <x v="3"/>
  </r>
  <r>
    <n v="715"/>
    <x v="7"/>
    <n v="5"/>
    <d v="2022-12-01T00:00:00"/>
    <s v="FA"/>
    <s v="1052/2735"/>
    <s v="kpl"/>
    <n v="814"/>
    <n v="43"/>
    <n v="96"/>
    <x v="73"/>
    <n v="949.44"/>
    <n v="5077.4400000000005"/>
    <x v="2"/>
  </r>
  <r>
    <n v="716"/>
    <x v="23"/>
    <n v="3"/>
    <d v="2022-07-05T00:00:00"/>
    <s v="FA"/>
    <s v="1052/2736"/>
    <s v="kpl"/>
    <n v="815"/>
    <n v="30"/>
    <n v="105"/>
    <x v="414"/>
    <n v="724.5"/>
    <n v="3874.5"/>
    <x v="6"/>
  </r>
  <r>
    <n v="717"/>
    <x v="18"/>
    <n v="9"/>
    <d v="2022-05-23T00:00:00"/>
    <s v="FA"/>
    <s v="1052/2737"/>
    <s v="kpl"/>
    <n v="816"/>
    <n v="59"/>
    <n v="109"/>
    <x v="415"/>
    <n v="1479.13"/>
    <n v="7910.13"/>
    <x v="10"/>
  </r>
  <r>
    <n v="718"/>
    <x v="13"/>
    <n v="11"/>
    <d v="2022-08-04T00:00:00"/>
    <s v="FA"/>
    <s v="1052/2738"/>
    <s v="kpl"/>
    <n v="817"/>
    <n v="46"/>
    <n v="88"/>
    <x v="21"/>
    <n v="931.04000000000008"/>
    <n v="4979.04"/>
    <x v="11"/>
  </r>
  <r>
    <n v="719"/>
    <x v="13"/>
    <n v="10"/>
    <d v="2022-05-08T00:00:00"/>
    <s v="FA"/>
    <s v="1052/2739"/>
    <s v="kpl"/>
    <n v="818"/>
    <n v="52"/>
    <n v="88"/>
    <x v="14"/>
    <n v="1052.48"/>
    <n v="5628.48"/>
    <x v="10"/>
  </r>
  <r>
    <n v="720"/>
    <x v="18"/>
    <n v="10"/>
    <d v="2022-10-14T00:00:00"/>
    <s v="FA"/>
    <s v="1052/2740"/>
    <s v="kpl"/>
    <n v="819"/>
    <n v="52"/>
    <n v="109"/>
    <x v="112"/>
    <n v="1303.6400000000001"/>
    <n v="6971.64"/>
    <x v="5"/>
  </r>
  <r>
    <n v="721"/>
    <x v="14"/>
    <n v="8"/>
    <d v="2022-10-03T00:00:00"/>
    <s v="FA"/>
    <s v="1052/2741"/>
    <s v="kpl"/>
    <n v="820"/>
    <n v="57"/>
    <n v="86"/>
    <x v="247"/>
    <n v="1127.46"/>
    <n v="6029.46"/>
    <x v="5"/>
  </r>
  <r>
    <n v="722"/>
    <x v="17"/>
    <n v="8"/>
    <d v="2022-12-01T00:00:00"/>
    <s v="FA"/>
    <s v="1052/2742"/>
    <s v="kpl"/>
    <n v="821"/>
    <n v="54"/>
    <n v="94"/>
    <x v="24"/>
    <n v="1167.48"/>
    <n v="6243.48"/>
    <x v="2"/>
  </r>
  <r>
    <n v="723"/>
    <x v="1"/>
    <n v="15"/>
    <d v="2022-03-06T00:00:00"/>
    <s v="FA"/>
    <s v="1052/2743"/>
    <s v="kpl"/>
    <n v="822"/>
    <n v="64"/>
    <n v="99"/>
    <x v="56"/>
    <n v="1457.28"/>
    <n v="7793.28"/>
    <x v="3"/>
  </r>
  <r>
    <n v="724"/>
    <x v="20"/>
    <n v="11"/>
    <d v="2022-11-08T00:00:00"/>
    <s v="FA"/>
    <s v="1052/2744"/>
    <s v="kpl"/>
    <n v="823"/>
    <n v="48"/>
    <n v="104"/>
    <x v="299"/>
    <n v="1148.1600000000001"/>
    <n v="6140.16"/>
    <x v="8"/>
  </r>
  <r>
    <n v="725"/>
    <x v="18"/>
    <n v="6"/>
    <d v="2022-02-22T00:00:00"/>
    <s v="FA"/>
    <s v="1052/2745"/>
    <s v="kpl"/>
    <n v="824"/>
    <n v="40"/>
    <n v="109"/>
    <x v="359"/>
    <n v="1002.8000000000001"/>
    <n v="5362.8"/>
    <x v="9"/>
  </r>
  <r>
    <n v="726"/>
    <x v="5"/>
    <n v="3"/>
    <d v="2022-01-27T00:00:00"/>
    <s v="FA"/>
    <s v="1052/2746"/>
    <s v="kpl"/>
    <n v="825"/>
    <n v="48"/>
    <n v="87"/>
    <x v="195"/>
    <n v="960.48"/>
    <n v="5136.4799999999996"/>
    <x v="0"/>
  </r>
  <r>
    <n v="727"/>
    <x v="26"/>
    <n v="9"/>
    <d v="2022-03-15T00:00:00"/>
    <s v="FA"/>
    <s v="1052/2747"/>
    <s v="kpl"/>
    <n v="826"/>
    <n v="36"/>
    <n v="99"/>
    <x v="416"/>
    <n v="819.72"/>
    <n v="4383.72"/>
    <x v="3"/>
  </r>
  <r>
    <n v="728"/>
    <x v="11"/>
    <n v="6"/>
    <d v="2022-07-15T00:00:00"/>
    <s v="FA"/>
    <s v="1052/2748"/>
    <s v="kpl"/>
    <n v="827"/>
    <n v="47"/>
    <n v="93"/>
    <x v="179"/>
    <n v="1005.33"/>
    <n v="5376.33"/>
    <x v="6"/>
  </r>
  <r>
    <n v="729"/>
    <x v="24"/>
    <n v="4"/>
    <d v="2022-11-01T00:00:00"/>
    <s v="FA"/>
    <s v="1052/2749"/>
    <s v="kpl"/>
    <n v="828"/>
    <n v="63"/>
    <n v="129"/>
    <x v="228"/>
    <n v="1869.21"/>
    <n v="9996.2099999999991"/>
    <x v="8"/>
  </r>
  <r>
    <n v="730"/>
    <x v="18"/>
    <n v="10"/>
    <d v="2022-10-03T00:00:00"/>
    <s v="FA"/>
    <s v="1052/2750"/>
    <s v="kpl"/>
    <n v="829"/>
    <n v="48"/>
    <n v="109"/>
    <x v="417"/>
    <n v="1203.3600000000001"/>
    <n v="6435.3600000000006"/>
    <x v="5"/>
  </r>
  <r>
    <n v="731"/>
    <x v="4"/>
    <n v="6"/>
    <d v="2022-07-01T00:00:00"/>
    <s v="FA"/>
    <s v="1052/2751"/>
    <s v="kpl"/>
    <n v="830"/>
    <n v="58"/>
    <n v="85"/>
    <x v="418"/>
    <n v="1133.9000000000001"/>
    <n v="6063.9"/>
    <x v="6"/>
  </r>
  <r>
    <n v="732"/>
    <x v="8"/>
    <n v="4"/>
    <d v="2022-05-10T00:00:00"/>
    <s v="FA"/>
    <s v="1052/2752"/>
    <s v="kpl"/>
    <n v="831"/>
    <n v="32"/>
    <n v="89"/>
    <x v="419"/>
    <n v="655.04000000000008"/>
    <n v="3503.04"/>
    <x v="10"/>
  </r>
  <r>
    <n v="733"/>
    <x v="12"/>
    <n v="7"/>
    <d v="2022-04-19T00:00:00"/>
    <s v="FA"/>
    <s v="1052/2753"/>
    <s v="kpl"/>
    <n v="832"/>
    <n v="48"/>
    <n v="91"/>
    <x v="109"/>
    <n v="1004.6400000000001"/>
    <n v="5372.64"/>
    <x v="1"/>
  </r>
  <r>
    <n v="734"/>
    <x v="3"/>
    <n v="14"/>
    <d v="2022-07-17T00:00:00"/>
    <s v="FA"/>
    <s v="1052/2754"/>
    <s v="kpl"/>
    <n v="833"/>
    <n v="49"/>
    <n v="88"/>
    <x v="93"/>
    <n v="991.76"/>
    <n v="5303.76"/>
    <x v="6"/>
  </r>
  <r>
    <n v="735"/>
    <x v="26"/>
    <n v="9"/>
    <d v="2022-04-06T00:00:00"/>
    <s v="FA"/>
    <s v="1052/2755"/>
    <s v="kpl"/>
    <n v="834"/>
    <n v="42"/>
    <n v="99"/>
    <x v="1"/>
    <n v="956.34"/>
    <n v="5114.34"/>
    <x v="1"/>
  </r>
  <r>
    <n v="736"/>
    <x v="18"/>
    <n v="8"/>
    <d v="2022-02-25T00:00:00"/>
    <s v="FA"/>
    <s v="1052/2756"/>
    <s v="kpl"/>
    <n v="835"/>
    <n v="63"/>
    <n v="109"/>
    <x v="420"/>
    <n v="1579.41"/>
    <n v="8446.41"/>
    <x v="9"/>
  </r>
  <r>
    <n v="737"/>
    <x v="9"/>
    <n v="13"/>
    <d v="2022-06-01T00:00:00"/>
    <s v="FA"/>
    <s v="1052/2757"/>
    <s v="kpl"/>
    <n v="836"/>
    <n v="34"/>
    <n v="108"/>
    <x v="421"/>
    <n v="844.56000000000006"/>
    <n v="4516.5600000000004"/>
    <x v="4"/>
  </r>
  <r>
    <n v="738"/>
    <x v="21"/>
    <n v="10"/>
    <d v="2022-02-13T00:00:00"/>
    <s v="FA"/>
    <s v="1052/2758"/>
    <s v="kpl"/>
    <n v="837"/>
    <n v="57"/>
    <n v="87"/>
    <x v="52"/>
    <n v="1140.57"/>
    <n v="6099.57"/>
    <x v="9"/>
  </r>
  <r>
    <n v="739"/>
    <x v="11"/>
    <n v="9"/>
    <d v="2022-02-21T00:00:00"/>
    <s v="FA"/>
    <s v="1052/2759"/>
    <s v="kpl"/>
    <n v="838"/>
    <n v="56"/>
    <n v="93"/>
    <x v="67"/>
    <n v="1197.8400000000001"/>
    <n v="6405.84"/>
    <x v="9"/>
  </r>
  <r>
    <n v="740"/>
    <x v="20"/>
    <n v="2"/>
    <d v="2022-09-28T00:00:00"/>
    <s v="FA"/>
    <s v="1052/2760"/>
    <s v="kpl"/>
    <n v="839"/>
    <n v="45"/>
    <n v="104"/>
    <x v="422"/>
    <n v="1076.4000000000001"/>
    <n v="5756.4"/>
    <x v="7"/>
  </r>
  <r>
    <n v="741"/>
    <x v="23"/>
    <n v="7"/>
    <d v="2022-11-21T00:00:00"/>
    <s v="FA"/>
    <s v="1052/2761"/>
    <s v="kpl"/>
    <n v="840"/>
    <n v="45"/>
    <n v="105"/>
    <x v="267"/>
    <n v="1086.75"/>
    <n v="5811.75"/>
    <x v="8"/>
  </r>
  <r>
    <n v="742"/>
    <x v="5"/>
    <n v="9"/>
    <d v="2022-09-19T00:00:00"/>
    <s v="FA"/>
    <s v="1052/2762"/>
    <s v="kpl"/>
    <n v="841"/>
    <n v="48"/>
    <n v="87"/>
    <x v="195"/>
    <n v="960.48"/>
    <n v="5136.4799999999996"/>
    <x v="7"/>
  </r>
  <r>
    <n v="743"/>
    <x v="21"/>
    <n v="13"/>
    <d v="2022-05-11T00:00:00"/>
    <s v="FA"/>
    <s v="1052/2763"/>
    <s v="kpl"/>
    <n v="842"/>
    <n v="53"/>
    <n v="87"/>
    <x v="307"/>
    <n v="1060.53"/>
    <n v="5671.53"/>
    <x v="10"/>
  </r>
  <r>
    <n v="744"/>
    <x v="18"/>
    <n v="11"/>
    <d v="2022-10-02T00:00:00"/>
    <s v="FA"/>
    <s v="1052/2764"/>
    <s v="kpl"/>
    <n v="843"/>
    <n v="48"/>
    <n v="109"/>
    <x v="417"/>
    <n v="1203.3600000000001"/>
    <n v="6435.3600000000006"/>
    <x v="5"/>
  </r>
  <r>
    <n v="745"/>
    <x v="20"/>
    <n v="9"/>
    <d v="2022-01-28T00:00:00"/>
    <s v="FA"/>
    <s v="1052/2765"/>
    <s v="kpl"/>
    <n v="844"/>
    <n v="70"/>
    <n v="104"/>
    <x v="218"/>
    <n v="1674.4"/>
    <n v="8954.4"/>
    <x v="0"/>
  </r>
  <r>
    <n v="746"/>
    <x v="22"/>
    <n v="6"/>
    <d v="2022-07-25T00:00:00"/>
    <s v="FA"/>
    <s v="1052/2766"/>
    <s v="kpl"/>
    <n v="845"/>
    <n v="56"/>
    <n v="125"/>
    <x v="131"/>
    <n v="1610"/>
    <n v="8610"/>
    <x v="6"/>
  </r>
  <r>
    <n v="747"/>
    <x v="0"/>
    <n v="9"/>
    <d v="2022-11-12T00:00:00"/>
    <s v="FA"/>
    <s v="1052/2767"/>
    <s v="kpl"/>
    <n v="846"/>
    <n v="63"/>
    <n v="83"/>
    <x v="348"/>
    <n v="1202.67"/>
    <n v="6431.67"/>
    <x v="8"/>
  </r>
  <r>
    <n v="748"/>
    <x v="24"/>
    <n v="13"/>
    <d v="2022-01-19T00:00:00"/>
    <s v="FA"/>
    <s v="1052/2768"/>
    <s v="kpl"/>
    <n v="847"/>
    <n v="59"/>
    <n v="129"/>
    <x v="323"/>
    <n v="1750.53"/>
    <n v="9361.5300000000007"/>
    <x v="0"/>
  </r>
  <r>
    <n v="749"/>
    <x v="0"/>
    <n v="8"/>
    <d v="2022-12-20T00:00:00"/>
    <s v="FA"/>
    <s v="1052/2769"/>
    <s v="kpl"/>
    <n v="848"/>
    <n v="64"/>
    <n v="83"/>
    <x v="423"/>
    <n v="1221.76"/>
    <n v="6533.76"/>
    <x v="2"/>
  </r>
  <r>
    <n v="750"/>
    <x v="23"/>
    <n v="4"/>
    <d v="2022-06-23T00:00:00"/>
    <s v="FA"/>
    <s v="1052/2770"/>
    <s v="kpl"/>
    <n v="849"/>
    <n v="35"/>
    <n v="105"/>
    <x v="113"/>
    <n v="845.25"/>
    <n v="4520.25"/>
    <x v="4"/>
  </r>
  <r>
    <n v="751"/>
    <x v="5"/>
    <n v="9"/>
    <d v="2022-01-02T00:00:00"/>
    <s v="FA"/>
    <s v="1052/2771"/>
    <s v="kpl"/>
    <n v="850"/>
    <n v="61"/>
    <n v="87"/>
    <x v="424"/>
    <n v="1220.6100000000001"/>
    <n v="6527.6100000000006"/>
    <x v="0"/>
  </r>
  <r>
    <n v="752"/>
    <x v="16"/>
    <n v="7"/>
    <d v="2022-04-18T00:00:00"/>
    <s v="FA"/>
    <s v="1052/2772"/>
    <s v="kpl"/>
    <n v="851"/>
    <n v="44"/>
    <n v="132"/>
    <x v="3"/>
    <n v="1335.8400000000001"/>
    <n v="7143.84"/>
    <x v="1"/>
  </r>
  <r>
    <n v="753"/>
    <x v="4"/>
    <n v="7"/>
    <d v="2022-09-15T00:00:00"/>
    <s v="FA"/>
    <s v="1052/2773"/>
    <s v="kpl"/>
    <n v="852"/>
    <n v="44"/>
    <n v="85"/>
    <x v="18"/>
    <n v="860.2"/>
    <n v="4600.2"/>
    <x v="7"/>
  </r>
  <r>
    <n v="754"/>
    <x v="18"/>
    <n v="9"/>
    <d v="2022-01-11T00:00:00"/>
    <s v="FA"/>
    <s v="1052/2774"/>
    <s v="kpl"/>
    <n v="853"/>
    <n v="37"/>
    <n v="109"/>
    <x v="425"/>
    <n v="927.59"/>
    <n v="4960.59"/>
    <x v="0"/>
  </r>
  <r>
    <n v="755"/>
    <x v="17"/>
    <n v="13"/>
    <d v="2022-06-06T00:00:00"/>
    <s v="FA"/>
    <s v="1052/2775"/>
    <s v="kpl"/>
    <n v="854"/>
    <n v="45"/>
    <n v="94"/>
    <x v="26"/>
    <n v="972.90000000000009"/>
    <n v="5202.8999999999996"/>
    <x v="4"/>
  </r>
  <r>
    <n v="756"/>
    <x v="20"/>
    <n v="8"/>
    <d v="2022-07-08T00:00:00"/>
    <s v="FA"/>
    <s v="1052/2776"/>
    <s v="kpl"/>
    <n v="855"/>
    <n v="56"/>
    <n v="104"/>
    <x v="100"/>
    <n v="1339.52"/>
    <n v="7163.52"/>
    <x v="6"/>
  </r>
  <r>
    <n v="757"/>
    <x v="12"/>
    <n v="8"/>
    <d v="2022-06-17T00:00:00"/>
    <s v="FA"/>
    <s v="1052/2777"/>
    <s v="kpl"/>
    <n v="856"/>
    <n v="58"/>
    <n v="91"/>
    <x v="17"/>
    <n v="1213.94"/>
    <n v="6491.9400000000005"/>
    <x v="4"/>
  </r>
  <r>
    <n v="758"/>
    <x v="3"/>
    <n v="14"/>
    <d v="2022-12-06T00:00:00"/>
    <s v="FA"/>
    <s v="1052/2778"/>
    <s v="kpl"/>
    <n v="857"/>
    <n v="54"/>
    <n v="88"/>
    <x v="126"/>
    <n v="1092.96"/>
    <n v="5844.96"/>
    <x v="2"/>
  </r>
  <r>
    <n v="759"/>
    <x v="18"/>
    <n v="10"/>
    <d v="2022-11-10T00:00:00"/>
    <s v="FA"/>
    <s v="1052/2779"/>
    <s v="kpl"/>
    <n v="858"/>
    <n v="55"/>
    <n v="109"/>
    <x v="212"/>
    <n v="1378.8500000000001"/>
    <n v="7373.85"/>
    <x v="8"/>
  </r>
  <r>
    <n v="760"/>
    <x v="3"/>
    <n v="11"/>
    <d v="2022-06-05T00:00:00"/>
    <s v="FA"/>
    <s v="1052/2780"/>
    <s v="kpl"/>
    <n v="859"/>
    <n v="53"/>
    <n v="88"/>
    <x v="61"/>
    <n v="1072.72"/>
    <n v="5736.72"/>
    <x v="4"/>
  </r>
  <r>
    <n v="761"/>
    <x v="20"/>
    <n v="11"/>
    <d v="2022-07-06T00:00:00"/>
    <s v="FA"/>
    <s v="1052/2781"/>
    <s v="kpl"/>
    <n v="860"/>
    <n v="51"/>
    <n v="104"/>
    <x v="426"/>
    <n v="1219.92"/>
    <n v="6523.92"/>
    <x v="6"/>
  </r>
  <r>
    <n v="762"/>
    <x v="24"/>
    <n v="11"/>
    <d v="2022-08-03T00:00:00"/>
    <s v="FA"/>
    <s v="1052/2782"/>
    <s v="kpl"/>
    <n v="861"/>
    <n v="56"/>
    <n v="129"/>
    <x v="261"/>
    <n v="1661.52"/>
    <n v="8885.52"/>
    <x v="11"/>
  </r>
  <r>
    <n v="763"/>
    <x v="0"/>
    <n v="7"/>
    <d v="2022-04-27T00:00:00"/>
    <s v="FA"/>
    <s v="1052/2783"/>
    <s v="kpl"/>
    <n v="862"/>
    <n v="48"/>
    <n v="83"/>
    <x v="176"/>
    <n v="916.32"/>
    <n v="4900.32"/>
    <x v="1"/>
  </r>
  <r>
    <n v="764"/>
    <x v="23"/>
    <n v="9"/>
    <d v="2022-07-28T00:00:00"/>
    <s v="FA"/>
    <s v="1052/2784"/>
    <s v="kpl"/>
    <n v="863"/>
    <n v="43"/>
    <n v="105"/>
    <x v="427"/>
    <n v="1038.45"/>
    <n v="5553.45"/>
    <x v="6"/>
  </r>
  <r>
    <n v="765"/>
    <x v="13"/>
    <n v="10"/>
    <d v="2022-11-18T00:00:00"/>
    <s v="FA"/>
    <s v="1052/2785"/>
    <s v="kpl"/>
    <n v="864"/>
    <n v="47"/>
    <n v="88"/>
    <x v="165"/>
    <n v="951.28000000000009"/>
    <n v="5087.28"/>
    <x v="8"/>
  </r>
  <r>
    <n v="766"/>
    <x v="18"/>
    <n v="8"/>
    <d v="2022-05-07T00:00:00"/>
    <s v="FA"/>
    <s v="1052/2786"/>
    <s v="kpl"/>
    <n v="865"/>
    <n v="45"/>
    <n v="109"/>
    <x v="102"/>
    <n v="1128.1500000000001"/>
    <n v="6033.15"/>
    <x v="10"/>
  </r>
  <r>
    <n v="767"/>
    <x v="17"/>
    <n v="12"/>
    <d v="2022-11-01T00:00:00"/>
    <s v="FA"/>
    <s v="1052/2787"/>
    <s v="kpl"/>
    <n v="866"/>
    <n v="34"/>
    <n v="94"/>
    <x v="428"/>
    <n v="735.08"/>
    <n v="3931.08"/>
    <x v="8"/>
  </r>
  <r>
    <n v="768"/>
    <x v="12"/>
    <n v="7"/>
    <d v="2022-09-11T00:00:00"/>
    <s v="FA"/>
    <s v="1052/2788"/>
    <s v="kpl"/>
    <n v="867"/>
    <n v="34"/>
    <n v="91"/>
    <x v="429"/>
    <n v="711.62"/>
    <n v="3805.62"/>
    <x v="7"/>
  </r>
  <r>
    <n v="769"/>
    <x v="12"/>
    <n v="12"/>
    <d v="2022-02-01T00:00:00"/>
    <s v="FA"/>
    <s v="1052/2789"/>
    <s v="kpl"/>
    <n v="868"/>
    <n v="59"/>
    <n v="91"/>
    <x v="430"/>
    <n v="1234.8700000000001"/>
    <n v="6603.87"/>
    <x v="9"/>
  </r>
  <r>
    <n v="770"/>
    <x v="15"/>
    <n v="7"/>
    <d v="2022-04-20T00:00:00"/>
    <s v="FA"/>
    <s v="1052/2790"/>
    <s v="kpl"/>
    <n v="869"/>
    <n v="52"/>
    <n v="90"/>
    <x v="422"/>
    <n v="1076.4000000000001"/>
    <n v="5756.4"/>
    <x v="1"/>
  </r>
  <r>
    <n v="771"/>
    <x v="19"/>
    <n v="11"/>
    <d v="2022-04-10T00:00:00"/>
    <s v="FA"/>
    <s v="1052/2791"/>
    <s v="kpl"/>
    <n v="870"/>
    <n v="53"/>
    <n v="121"/>
    <x v="269"/>
    <n v="1474.99"/>
    <n v="7887.99"/>
    <x v="1"/>
  </r>
  <r>
    <n v="772"/>
    <x v="13"/>
    <n v="11"/>
    <d v="2022-03-28T00:00:00"/>
    <s v="FA"/>
    <s v="1052/2792"/>
    <s v="kpl"/>
    <n v="871"/>
    <n v="46"/>
    <n v="88"/>
    <x v="21"/>
    <n v="931.04000000000008"/>
    <n v="4979.04"/>
    <x v="3"/>
  </r>
  <r>
    <n v="773"/>
    <x v="19"/>
    <n v="9"/>
    <d v="2022-09-26T00:00:00"/>
    <s v="FA"/>
    <s v="1052/2793"/>
    <s v="kpl"/>
    <n v="872"/>
    <n v="42"/>
    <n v="121"/>
    <x v="431"/>
    <n v="1168.8600000000001"/>
    <n v="6250.8600000000006"/>
    <x v="7"/>
  </r>
  <r>
    <n v="774"/>
    <x v="3"/>
    <n v="15"/>
    <d v="2022-08-08T00:00:00"/>
    <s v="FA"/>
    <s v="1052/2794"/>
    <s v="kpl"/>
    <n v="873"/>
    <n v="58"/>
    <n v="88"/>
    <x v="97"/>
    <n v="1173.92"/>
    <n v="6277.92"/>
    <x v="11"/>
  </r>
  <r>
    <n v="775"/>
    <x v="18"/>
    <n v="16"/>
    <d v="2022-12-23T00:00:00"/>
    <s v="FA"/>
    <s v="1052/2795"/>
    <s v="kpl"/>
    <n v="874"/>
    <n v="47"/>
    <n v="109"/>
    <x v="77"/>
    <n v="1178.29"/>
    <n v="6301.29"/>
    <x v="2"/>
  </r>
  <r>
    <n v="776"/>
    <x v="4"/>
    <n v="10"/>
    <d v="2022-09-12T00:00:00"/>
    <s v="FA"/>
    <s v="1052/2796"/>
    <s v="kpl"/>
    <n v="875"/>
    <n v="57"/>
    <n v="85"/>
    <x v="384"/>
    <n v="1114.3500000000001"/>
    <n v="5959.35"/>
    <x v="7"/>
  </r>
  <r>
    <n v="777"/>
    <x v="1"/>
    <n v="9"/>
    <d v="2022-03-03T00:00:00"/>
    <s v="FA"/>
    <s v="1052/2797"/>
    <s v="kpl"/>
    <n v="876"/>
    <n v="55"/>
    <n v="99"/>
    <x v="50"/>
    <n v="1252.3500000000001"/>
    <n v="6697.35"/>
    <x v="3"/>
  </r>
  <r>
    <n v="778"/>
    <x v="26"/>
    <n v="11"/>
    <d v="2022-12-03T00:00:00"/>
    <s v="FA"/>
    <s v="1052/2798"/>
    <s v="kpl"/>
    <n v="877"/>
    <n v="51"/>
    <n v="99"/>
    <x v="222"/>
    <n v="1161.27"/>
    <n v="6210.27"/>
    <x v="2"/>
  </r>
  <r>
    <n v="779"/>
    <x v="9"/>
    <n v="8"/>
    <d v="2022-05-27T00:00:00"/>
    <s v="FA"/>
    <s v="1052/2799"/>
    <s v="kpl"/>
    <n v="878"/>
    <n v="48"/>
    <n v="108"/>
    <x v="432"/>
    <n v="1192.3200000000002"/>
    <n v="6376.32"/>
    <x v="10"/>
  </r>
  <r>
    <n v="780"/>
    <x v="3"/>
    <n v="11"/>
    <d v="2022-08-21T00:00:00"/>
    <s v="FA"/>
    <s v="1052/2800"/>
    <s v="kpl"/>
    <n v="879"/>
    <n v="47"/>
    <n v="88"/>
    <x v="165"/>
    <n v="951.28000000000009"/>
    <n v="5087.28"/>
    <x v="11"/>
  </r>
  <r>
    <n v="781"/>
    <x v="5"/>
    <n v="10"/>
    <d v="2022-12-10T00:00:00"/>
    <s v="FA"/>
    <s v="1052/2801"/>
    <s v="kpl"/>
    <n v="880"/>
    <n v="49"/>
    <n v="87"/>
    <x v="96"/>
    <n v="980.49"/>
    <n v="5243.49"/>
    <x v="2"/>
  </r>
  <r>
    <n v="782"/>
    <x v="23"/>
    <n v="8"/>
    <d v="2022-02-06T00:00:00"/>
    <s v="FA"/>
    <s v="1052/2802"/>
    <s v="kpl"/>
    <n v="881"/>
    <n v="39"/>
    <n v="105"/>
    <x v="433"/>
    <n v="941.85"/>
    <n v="5036.8500000000004"/>
    <x v="9"/>
  </r>
  <r>
    <n v="783"/>
    <x v="26"/>
    <n v="14"/>
    <d v="2022-05-19T00:00:00"/>
    <s v="FA"/>
    <s v="1052/2803"/>
    <s v="kpl"/>
    <n v="882"/>
    <n v="27"/>
    <n v="99"/>
    <x v="434"/>
    <n v="614.79000000000008"/>
    <n v="3287.79"/>
    <x v="10"/>
  </r>
  <r>
    <n v="784"/>
    <x v="18"/>
    <n v="11"/>
    <d v="2022-05-22T00:00:00"/>
    <s v="FA"/>
    <s v="1052/2804"/>
    <s v="kpl"/>
    <n v="883"/>
    <n v="48"/>
    <n v="109"/>
    <x v="417"/>
    <n v="1203.3600000000001"/>
    <n v="6435.3600000000006"/>
    <x v="10"/>
  </r>
  <r>
    <n v="785"/>
    <x v="11"/>
    <n v="9"/>
    <d v="2022-02-04T00:00:00"/>
    <s v="FA"/>
    <s v="1052/2805"/>
    <s v="kpl"/>
    <n v="884"/>
    <n v="42"/>
    <n v="93"/>
    <x v="435"/>
    <n v="898.38"/>
    <n v="4804.38"/>
    <x v="9"/>
  </r>
  <r>
    <n v="786"/>
    <x v="4"/>
    <n v="10"/>
    <d v="2022-05-25T00:00:00"/>
    <s v="FA"/>
    <s v="1052/2806"/>
    <s v="kpl"/>
    <n v="885"/>
    <n v="60"/>
    <n v="85"/>
    <x v="436"/>
    <n v="1173"/>
    <n v="6273"/>
    <x v="10"/>
  </r>
  <r>
    <n v="787"/>
    <x v="0"/>
    <n v="10"/>
    <d v="2022-04-28T00:00:00"/>
    <s v="FA"/>
    <s v="1052/2807"/>
    <s v="kpl"/>
    <n v="886"/>
    <n v="38"/>
    <n v="83"/>
    <x v="196"/>
    <n v="725.42000000000007"/>
    <n v="3879.42"/>
    <x v="1"/>
  </r>
  <r>
    <n v="788"/>
    <x v="11"/>
    <n v="6"/>
    <d v="2022-10-01T00:00:00"/>
    <s v="FA"/>
    <s v="1052/2808"/>
    <s v="kpl"/>
    <n v="887"/>
    <n v="40"/>
    <n v="93"/>
    <x v="191"/>
    <n v="855.6"/>
    <n v="4575.6000000000004"/>
    <x v="5"/>
  </r>
  <r>
    <n v="789"/>
    <x v="21"/>
    <n v="11"/>
    <d v="2022-11-21T00:00:00"/>
    <s v="FA"/>
    <s v="1052/2809"/>
    <s v="kpl"/>
    <n v="888"/>
    <n v="49"/>
    <n v="87"/>
    <x v="96"/>
    <n v="980.49"/>
    <n v="5243.49"/>
    <x v="8"/>
  </r>
  <r>
    <n v="790"/>
    <x v="9"/>
    <n v="8"/>
    <d v="2022-08-14T00:00:00"/>
    <s v="FA"/>
    <s v="1052/2810"/>
    <s v="kpl"/>
    <n v="889"/>
    <n v="59"/>
    <n v="108"/>
    <x v="286"/>
    <n v="1465.5600000000002"/>
    <n v="7837.56"/>
    <x v="11"/>
  </r>
  <r>
    <n v="791"/>
    <x v="18"/>
    <n v="9"/>
    <d v="2022-01-18T00:00:00"/>
    <s v="FA"/>
    <s v="1052/2811"/>
    <s v="kpl"/>
    <n v="890"/>
    <n v="55"/>
    <n v="109"/>
    <x v="212"/>
    <n v="1378.8500000000001"/>
    <n v="7373.85"/>
    <x v="0"/>
  </r>
  <r>
    <n v="792"/>
    <x v="23"/>
    <n v="7"/>
    <d v="2022-08-08T00:00:00"/>
    <s v="FA"/>
    <s v="1052/2812"/>
    <s v="kpl"/>
    <n v="891"/>
    <n v="53"/>
    <n v="105"/>
    <x v="437"/>
    <n v="1279.95"/>
    <n v="6844.95"/>
    <x v="11"/>
  </r>
  <r>
    <n v="793"/>
    <x v="1"/>
    <n v="11"/>
    <d v="2022-07-10T00:00:00"/>
    <s v="FA"/>
    <s v="1052/2813"/>
    <s v="kpl"/>
    <n v="892"/>
    <n v="43"/>
    <n v="99"/>
    <x v="438"/>
    <n v="979.11"/>
    <n v="5236.1099999999997"/>
    <x v="6"/>
  </r>
  <r>
    <n v="794"/>
    <x v="0"/>
    <n v="5"/>
    <d v="2022-09-23T00:00:00"/>
    <s v="FA"/>
    <s v="1052/2814"/>
    <s v="kpl"/>
    <n v="893"/>
    <n v="58"/>
    <n v="83"/>
    <x v="141"/>
    <n v="1107.22"/>
    <n v="5921.22"/>
    <x v="7"/>
  </r>
  <r>
    <n v="795"/>
    <x v="6"/>
    <n v="7"/>
    <d v="2022-07-12T00:00:00"/>
    <s v="FA"/>
    <s v="1052/2815"/>
    <s v="kpl"/>
    <n v="894"/>
    <n v="74"/>
    <n v="84"/>
    <x v="439"/>
    <n v="1429.68"/>
    <n v="7645.68"/>
    <x v="6"/>
  </r>
  <r>
    <n v="796"/>
    <x v="17"/>
    <n v="10"/>
    <d v="2022-12-07T00:00:00"/>
    <s v="FA"/>
    <s v="1052/2816"/>
    <s v="kpl"/>
    <n v="895"/>
    <n v="53"/>
    <n v="94"/>
    <x v="270"/>
    <n v="1145.8600000000001"/>
    <n v="6127.8600000000006"/>
    <x v="2"/>
  </r>
  <r>
    <n v="797"/>
    <x v="2"/>
    <n v="8"/>
    <d v="2022-05-12T00:00:00"/>
    <s v="FA"/>
    <s v="1052/2817"/>
    <s v="kpl"/>
    <n v="896"/>
    <n v="55"/>
    <n v="84"/>
    <x v="42"/>
    <n v="1062.6000000000001"/>
    <n v="5682.6"/>
    <x v="10"/>
  </r>
  <r>
    <n v="798"/>
    <x v="8"/>
    <n v="8"/>
    <d v="2022-02-08T00:00:00"/>
    <s v="FA"/>
    <s v="1052/2818"/>
    <s v="kpl"/>
    <n v="897"/>
    <n v="47"/>
    <n v="89"/>
    <x v="440"/>
    <n v="962.09"/>
    <n v="5145.09"/>
    <x v="9"/>
  </r>
  <r>
    <n v="799"/>
    <x v="8"/>
    <n v="13"/>
    <d v="2022-02-20T00:00:00"/>
    <s v="FA"/>
    <s v="1052/2819"/>
    <s v="kpl"/>
    <n v="898"/>
    <n v="42"/>
    <n v="89"/>
    <x v="80"/>
    <n v="859.74"/>
    <n v="4597.74"/>
    <x v="9"/>
  </r>
  <r>
    <n v="800"/>
    <x v="17"/>
    <n v="12"/>
    <d v="2022-02-08T00:00:00"/>
    <s v="FA"/>
    <s v="1052/2820"/>
    <s v="kpl"/>
    <n v="899"/>
    <n v="60"/>
    <n v="94"/>
    <x v="441"/>
    <n v="1297.2"/>
    <n v="6937.2"/>
    <x v="9"/>
  </r>
  <r>
    <n v="801"/>
    <x v="18"/>
    <n v="7"/>
    <d v="2022-04-07T00:00:00"/>
    <s v="FA"/>
    <s v="1052/2821"/>
    <s v="kpl"/>
    <n v="900"/>
    <n v="52"/>
    <n v="109"/>
    <x v="112"/>
    <n v="1303.6400000000001"/>
    <n v="6971.64"/>
    <x v="1"/>
  </r>
  <r>
    <n v="802"/>
    <x v="2"/>
    <n v="11"/>
    <d v="2022-08-10T00:00:00"/>
    <s v="FA"/>
    <s v="1052/2822"/>
    <s v="kpl"/>
    <n v="901"/>
    <n v="51"/>
    <n v="84"/>
    <x v="234"/>
    <n v="985.32"/>
    <n v="5269.32"/>
    <x v="11"/>
  </r>
  <r>
    <n v="803"/>
    <x v="7"/>
    <n v="10"/>
    <d v="2022-05-23T00:00:00"/>
    <s v="FA"/>
    <s v="1052/2823"/>
    <s v="kpl"/>
    <n v="902"/>
    <n v="49"/>
    <n v="96"/>
    <x v="185"/>
    <n v="1081.92"/>
    <n v="5785.92"/>
    <x v="10"/>
  </r>
  <r>
    <n v="804"/>
    <x v="13"/>
    <n v="3"/>
    <d v="2022-04-26T00:00:00"/>
    <s v="FA"/>
    <s v="1052/2824"/>
    <s v="kpl"/>
    <n v="903"/>
    <n v="49"/>
    <n v="88"/>
    <x v="93"/>
    <n v="991.76"/>
    <n v="5303.76"/>
    <x v="1"/>
  </r>
  <r>
    <n v="805"/>
    <x v="3"/>
    <n v="15"/>
    <d v="2022-01-13T00:00:00"/>
    <s v="FA"/>
    <s v="1052/2825"/>
    <s v="kpl"/>
    <n v="904"/>
    <n v="45"/>
    <n v="88"/>
    <x v="291"/>
    <n v="910.80000000000007"/>
    <n v="4870.8"/>
    <x v="0"/>
  </r>
  <r>
    <n v="806"/>
    <x v="21"/>
    <n v="6"/>
    <d v="2022-07-12T00:00:00"/>
    <s v="FA"/>
    <s v="1052/2826"/>
    <s v="kpl"/>
    <n v="905"/>
    <n v="40"/>
    <n v="87"/>
    <x v="180"/>
    <n v="800.40000000000009"/>
    <n v="4280.3999999999996"/>
    <x v="6"/>
  </r>
  <r>
    <n v="807"/>
    <x v="13"/>
    <n v="14"/>
    <d v="2022-04-12T00:00:00"/>
    <s v="FA"/>
    <s v="1052/2827"/>
    <s v="kpl"/>
    <n v="906"/>
    <n v="44"/>
    <n v="88"/>
    <x v="360"/>
    <n v="890.56000000000006"/>
    <n v="4762.5600000000004"/>
    <x v="1"/>
  </r>
  <r>
    <n v="808"/>
    <x v="13"/>
    <n v="14"/>
    <d v="2022-12-01T00:00:00"/>
    <s v="FA"/>
    <s v="1052/2828"/>
    <s v="kpl"/>
    <n v="907"/>
    <n v="41"/>
    <n v="88"/>
    <x v="265"/>
    <n v="829.84"/>
    <n v="4437.84"/>
    <x v="2"/>
  </r>
  <r>
    <n v="809"/>
    <x v="7"/>
    <n v="15"/>
    <d v="2022-08-24T00:00:00"/>
    <s v="FA"/>
    <s v="1052/2829"/>
    <s v="kpl"/>
    <n v="908"/>
    <n v="53"/>
    <n v="96"/>
    <x v="274"/>
    <n v="1170.24"/>
    <n v="6258.24"/>
    <x v="11"/>
  </r>
  <r>
    <n v="810"/>
    <x v="14"/>
    <n v="6"/>
    <d v="2022-10-22T00:00:00"/>
    <s v="FA"/>
    <s v="1052/2830"/>
    <s v="kpl"/>
    <n v="909"/>
    <n v="46"/>
    <n v="86"/>
    <x v="99"/>
    <n v="909.88"/>
    <n v="4865.88"/>
    <x v="5"/>
  </r>
  <r>
    <n v="811"/>
    <x v="13"/>
    <n v="6"/>
    <d v="2022-04-07T00:00:00"/>
    <s v="FA"/>
    <s v="1052/2831"/>
    <s v="kpl"/>
    <n v="910"/>
    <n v="51"/>
    <n v="88"/>
    <x v="19"/>
    <n v="1032.24"/>
    <n v="5520.24"/>
    <x v="1"/>
  </r>
  <r>
    <n v="812"/>
    <x v="1"/>
    <n v="10"/>
    <d v="2022-01-12T00:00:00"/>
    <s v="FA"/>
    <s v="1052/2832"/>
    <s v="kpl"/>
    <n v="911"/>
    <n v="60"/>
    <n v="99"/>
    <x v="85"/>
    <n v="1366.2"/>
    <n v="7306.2"/>
    <x v="0"/>
  </r>
  <r>
    <n v="813"/>
    <x v="3"/>
    <n v="9"/>
    <d v="2022-08-04T00:00:00"/>
    <s v="FA"/>
    <s v="1052/2833"/>
    <s v="kpl"/>
    <n v="912"/>
    <n v="47"/>
    <n v="88"/>
    <x v="165"/>
    <n v="951.28000000000009"/>
    <n v="5087.28"/>
    <x v="11"/>
  </r>
  <r>
    <n v="814"/>
    <x v="26"/>
    <n v="7"/>
    <d v="2022-04-19T00:00:00"/>
    <s v="FA"/>
    <s v="1052/2834"/>
    <s v="kpl"/>
    <n v="913"/>
    <n v="68"/>
    <n v="99"/>
    <x v="319"/>
    <n v="1548.3600000000001"/>
    <n v="8280.36"/>
    <x v="1"/>
  </r>
  <r>
    <n v="815"/>
    <x v="15"/>
    <n v="8"/>
    <d v="2022-12-06T00:00:00"/>
    <s v="FA"/>
    <s v="1052/2835"/>
    <s v="kpl"/>
    <n v="914"/>
    <n v="40"/>
    <n v="90"/>
    <x v="394"/>
    <n v="828"/>
    <n v="4428"/>
    <x v="2"/>
  </r>
  <r>
    <n v="816"/>
    <x v="7"/>
    <n v="12"/>
    <d v="2022-01-25T00:00:00"/>
    <s v="FA"/>
    <s v="1052/2836"/>
    <s v="kpl"/>
    <n v="915"/>
    <n v="59"/>
    <n v="96"/>
    <x v="442"/>
    <n v="1302.72"/>
    <n v="6966.72"/>
    <x v="0"/>
  </r>
  <r>
    <n v="817"/>
    <x v="4"/>
    <n v="7"/>
    <d v="2022-08-19T00:00:00"/>
    <s v="FA"/>
    <s v="1052/2837"/>
    <s v="kpl"/>
    <n v="916"/>
    <n v="50"/>
    <n v="85"/>
    <x v="443"/>
    <n v="977.5"/>
    <n v="5227.5"/>
    <x v="11"/>
  </r>
  <r>
    <n v="818"/>
    <x v="8"/>
    <n v="13"/>
    <d v="2022-11-14T00:00:00"/>
    <s v="FA"/>
    <s v="1052/2838"/>
    <s v="kpl"/>
    <n v="917"/>
    <n v="46"/>
    <n v="89"/>
    <x v="444"/>
    <n v="941.62"/>
    <n v="5035.62"/>
    <x v="8"/>
  </r>
  <r>
    <n v="819"/>
    <x v="5"/>
    <n v="10"/>
    <d v="2022-02-07T00:00:00"/>
    <s v="FA"/>
    <s v="1052/2839"/>
    <s v="kpl"/>
    <n v="918"/>
    <n v="42"/>
    <n v="87"/>
    <x v="272"/>
    <n v="840.42000000000007"/>
    <n v="4494.42"/>
    <x v="9"/>
  </r>
  <r>
    <n v="820"/>
    <x v="6"/>
    <n v="11"/>
    <d v="2022-11-09T00:00:00"/>
    <s v="FA"/>
    <s v="1052/2840"/>
    <s v="kpl"/>
    <n v="919"/>
    <n v="41"/>
    <n v="84"/>
    <x v="39"/>
    <n v="792.12"/>
    <n v="4236.12"/>
    <x v="8"/>
  </r>
  <r>
    <n v="821"/>
    <x v="18"/>
    <n v="12"/>
    <d v="2022-08-07T00:00:00"/>
    <s v="FA"/>
    <s v="1052/2841"/>
    <s v="kpl"/>
    <n v="920"/>
    <n v="64"/>
    <n v="109"/>
    <x v="445"/>
    <n v="1604.48"/>
    <n v="8580.48"/>
    <x v="11"/>
  </r>
  <r>
    <n v="822"/>
    <x v="4"/>
    <n v="11"/>
    <d v="2022-11-01T00:00:00"/>
    <s v="FA"/>
    <s v="1052/2842"/>
    <s v="kpl"/>
    <n v="921"/>
    <n v="65"/>
    <n v="85"/>
    <x v="446"/>
    <n v="1270.75"/>
    <n v="6795.75"/>
    <x v="8"/>
  </r>
  <r>
    <n v="823"/>
    <x v="24"/>
    <n v="14"/>
    <d v="2022-10-07T00:00:00"/>
    <s v="FA"/>
    <s v="1052/2843"/>
    <s v="kpl"/>
    <n v="922"/>
    <n v="30"/>
    <n v="129"/>
    <x v="340"/>
    <n v="890.1"/>
    <n v="4760.1000000000004"/>
    <x v="5"/>
  </r>
  <r>
    <n v="824"/>
    <x v="8"/>
    <n v="6"/>
    <d v="2022-03-22T00:00:00"/>
    <s v="FA"/>
    <s v="1052/2844"/>
    <s v="kpl"/>
    <n v="923"/>
    <n v="56"/>
    <n v="89"/>
    <x v="375"/>
    <n v="1146.32"/>
    <n v="6130.32"/>
    <x v="3"/>
  </r>
  <r>
    <n v="825"/>
    <x v="14"/>
    <n v="11"/>
    <d v="2022-07-05T00:00:00"/>
    <s v="FA"/>
    <s v="1052/2845"/>
    <s v="kpl"/>
    <n v="924"/>
    <n v="45"/>
    <n v="86"/>
    <x v="340"/>
    <n v="890.1"/>
    <n v="4760.1000000000004"/>
    <x v="6"/>
  </r>
  <r>
    <n v="826"/>
    <x v="0"/>
    <n v="9"/>
    <d v="2022-05-06T00:00:00"/>
    <s v="FA"/>
    <s v="1052/2846"/>
    <s v="kpl"/>
    <n v="925"/>
    <n v="65"/>
    <n v="83"/>
    <x v="447"/>
    <n v="1240.8500000000001"/>
    <n v="6635.85"/>
    <x v="10"/>
  </r>
  <r>
    <n v="827"/>
    <x v="8"/>
    <n v="8"/>
    <d v="2022-01-28T00:00:00"/>
    <s v="FA"/>
    <s v="1052/2847"/>
    <s v="kpl"/>
    <n v="926"/>
    <n v="61"/>
    <n v="89"/>
    <x v="448"/>
    <n v="1248.67"/>
    <n v="6677.67"/>
    <x v="0"/>
  </r>
  <r>
    <n v="828"/>
    <x v="21"/>
    <n v="12"/>
    <d v="2022-11-13T00:00:00"/>
    <s v="FA"/>
    <s v="1052/2848"/>
    <s v="kpl"/>
    <n v="927"/>
    <n v="47"/>
    <n v="87"/>
    <x v="159"/>
    <n v="940.47"/>
    <n v="5029.47"/>
    <x v="8"/>
  </r>
  <r>
    <n v="829"/>
    <x v="4"/>
    <n v="10"/>
    <d v="2022-08-14T00:00:00"/>
    <s v="FA"/>
    <s v="1052/2849"/>
    <s v="kpl"/>
    <n v="928"/>
    <n v="36"/>
    <n v="85"/>
    <x v="449"/>
    <n v="703.80000000000007"/>
    <n v="3763.8"/>
    <x v="11"/>
  </r>
  <r>
    <n v="830"/>
    <x v="8"/>
    <n v="10"/>
    <d v="2022-06-15T00:00:00"/>
    <s v="FA"/>
    <s v="1052/2850"/>
    <s v="kpl"/>
    <n v="929"/>
    <n v="59"/>
    <n v="89"/>
    <x v="450"/>
    <n v="1207.73"/>
    <n v="6458.73"/>
    <x v="4"/>
  </r>
  <r>
    <n v="831"/>
    <x v="19"/>
    <n v="14"/>
    <d v="2022-03-24T00:00:00"/>
    <s v="FA"/>
    <s v="1052/2851"/>
    <s v="kpl"/>
    <n v="930"/>
    <n v="58"/>
    <n v="121"/>
    <x v="451"/>
    <n v="1614.14"/>
    <n v="8632.14"/>
    <x v="3"/>
  </r>
  <r>
    <n v="832"/>
    <x v="1"/>
    <n v="6"/>
    <d v="2022-03-09T00:00:00"/>
    <s v="FA"/>
    <s v="1052/2852"/>
    <s v="kpl"/>
    <n v="931"/>
    <n v="46"/>
    <n v="99"/>
    <x v="346"/>
    <n v="1047.42"/>
    <n v="5601.42"/>
    <x v="3"/>
  </r>
  <r>
    <n v="833"/>
    <x v="10"/>
    <n v="9"/>
    <d v="2022-07-05T00:00:00"/>
    <s v="FA"/>
    <s v="1052/2853"/>
    <s v="kpl"/>
    <n v="932"/>
    <n v="46"/>
    <n v="84"/>
    <x v="380"/>
    <n v="888.72"/>
    <n v="4752.72"/>
    <x v="6"/>
  </r>
  <r>
    <n v="834"/>
    <x v="22"/>
    <n v="13"/>
    <d v="2022-09-21T00:00:00"/>
    <s v="FA"/>
    <s v="1052/2854"/>
    <s v="kpl"/>
    <n v="933"/>
    <n v="36"/>
    <n v="125"/>
    <x v="153"/>
    <n v="1035"/>
    <n v="5535"/>
    <x v="7"/>
  </r>
  <r>
    <n v="835"/>
    <x v="10"/>
    <n v="14"/>
    <d v="2022-05-23T00:00:00"/>
    <s v="FA"/>
    <s v="1052/2855"/>
    <s v="kpl"/>
    <n v="934"/>
    <n v="44"/>
    <n v="84"/>
    <x v="236"/>
    <n v="850.08"/>
    <n v="4546.08"/>
    <x v="10"/>
  </r>
  <r>
    <n v="836"/>
    <x v="16"/>
    <n v="13"/>
    <d v="2022-06-08T00:00:00"/>
    <s v="FA"/>
    <s v="1052/2856"/>
    <s v="kpl"/>
    <n v="935"/>
    <n v="57"/>
    <n v="132"/>
    <x v="452"/>
    <n v="1730.52"/>
    <n v="9254.52"/>
    <x v="4"/>
  </r>
  <r>
    <n v="837"/>
    <x v="21"/>
    <n v="8"/>
    <d v="2022-08-27T00:00:00"/>
    <s v="FA"/>
    <s v="1052/2857"/>
    <s v="kpl"/>
    <n v="936"/>
    <n v="52"/>
    <n v="87"/>
    <x v="453"/>
    <n v="1040.52"/>
    <n v="5564.52"/>
    <x v="11"/>
  </r>
  <r>
    <n v="838"/>
    <x v="9"/>
    <n v="8"/>
    <d v="2022-09-11T00:00:00"/>
    <s v="FA"/>
    <s v="1052/2858"/>
    <s v="kpl"/>
    <n v="937"/>
    <n v="60"/>
    <n v="108"/>
    <x v="454"/>
    <n v="1490.4"/>
    <n v="7970.4"/>
    <x v="7"/>
  </r>
  <r>
    <n v="839"/>
    <x v="25"/>
    <n v="11"/>
    <d v="2022-02-13T00:00:00"/>
    <s v="FA"/>
    <s v="1052/2859"/>
    <s v="kpl"/>
    <n v="938"/>
    <n v="54"/>
    <n v="59"/>
    <x v="157"/>
    <n v="732.78000000000009"/>
    <n v="3918.78"/>
    <x v="9"/>
  </r>
  <r>
    <n v="840"/>
    <x v="9"/>
    <n v="9"/>
    <d v="2022-01-13T00:00:00"/>
    <s v="FA"/>
    <s v="1052/2860"/>
    <s v="kpl"/>
    <n v="939"/>
    <n v="62"/>
    <n v="108"/>
    <x v="298"/>
    <n v="1540.0800000000002"/>
    <n v="8236.08"/>
    <x v="0"/>
  </r>
  <r>
    <n v="841"/>
    <x v="25"/>
    <n v="10"/>
    <d v="2022-05-27T00:00:00"/>
    <s v="FA"/>
    <s v="1052/2861"/>
    <s v="kpl"/>
    <n v="940"/>
    <n v="52"/>
    <n v="59"/>
    <x v="455"/>
    <n v="705.64"/>
    <n v="3773.64"/>
    <x v="10"/>
  </r>
  <r>
    <n v="842"/>
    <x v="7"/>
    <n v="5"/>
    <d v="2022-04-21T00:00:00"/>
    <s v="FA"/>
    <s v="1052/2862"/>
    <s v="kpl"/>
    <n v="941"/>
    <n v="61"/>
    <n v="96"/>
    <x v="456"/>
    <n v="1346.88"/>
    <n v="7202.88"/>
    <x v="1"/>
  </r>
  <r>
    <n v="843"/>
    <x v="9"/>
    <n v="14"/>
    <d v="2022-02-10T00:00:00"/>
    <s v="FA"/>
    <s v="1052/2863"/>
    <s v="kpl"/>
    <n v="942"/>
    <n v="44"/>
    <n v="108"/>
    <x v="126"/>
    <n v="1092.96"/>
    <n v="5844.96"/>
    <x v="9"/>
  </r>
  <r>
    <n v="844"/>
    <x v="11"/>
    <n v="11"/>
    <d v="2022-07-12T00:00:00"/>
    <s v="FA"/>
    <s v="1052/2864"/>
    <s v="kpl"/>
    <n v="943"/>
    <n v="48"/>
    <n v="93"/>
    <x v="273"/>
    <n v="1026.72"/>
    <n v="5490.72"/>
    <x v="6"/>
  </r>
  <r>
    <n v="845"/>
    <x v="21"/>
    <n v="8"/>
    <d v="2022-02-18T00:00:00"/>
    <s v="FA"/>
    <s v="1052/2865"/>
    <s v="kpl"/>
    <n v="944"/>
    <n v="42"/>
    <n v="87"/>
    <x v="272"/>
    <n v="840.42000000000007"/>
    <n v="4494.42"/>
    <x v="9"/>
  </r>
  <r>
    <n v="846"/>
    <x v="13"/>
    <n v="6"/>
    <d v="2022-12-27T00:00:00"/>
    <s v="FA"/>
    <s v="1052/2866"/>
    <s v="kpl"/>
    <n v="945"/>
    <n v="44"/>
    <n v="88"/>
    <x v="360"/>
    <n v="890.56000000000006"/>
    <n v="4762.5600000000004"/>
    <x v="2"/>
  </r>
  <r>
    <n v="847"/>
    <x v="10"/>
    <n v="7"/>
    <d v="2022-08-25T00:00:00"/>
    <s v="FA"/>
    <s v="1052/2867"/>
    <s v="kpl"/>
    <n v="946"/>
    <n v="44"/>
    <n v="84"/>
    <x v="236"/>
    <n v="850.08"/>
    <n v="4546.08"/>
    <x v="11"/>
  </r>
  <r>
    <n v="848"/>
    <x v="18"/>
    <n v="11"/>
    <d v="2022-12-23T00:00:00"/>
    <s v="FA"/>
    <s v="1052/2868"/>
    <s v="kpl"/>
    <n v="947"/>
    <n v="61"/>
    <n v="109"/>
    <x v="325"/>
    <n v="1529.27"/>
    <n v="8178.27"/>
    <x v="2"/>
  </r>
  <r>
    <n v="849"/>
    <x v="2"/>
    <n v="7"/>
    <d v="2022-04-05T00:00:00"/>
    <s v="FA"/>
    <s v="1052/2869"/>
    <s v="kpl"/>
    <n v="948"/>
    <n v="39"/>
    <n v="84"/>
    <x v="104"/>
    <n v="753.48"/>
    <n v="4029.48"/>
    <x v="1"/>
  </r>
  <r>
    <n v="850"/>
    <x v="1"/>
    <n v="10"/>
    <d v="2022-07-24T00:00:00"/>
    <s v="FA"/>
    <s v="1052/2870"/>
    <s v="kpl"/>
    <n v="949"/>
    <n v="64"/>
    <n v="99"/>
    <x v="56"/>
    <n v="1457.28"/>
    <n v="7793.28"/>
    <x v="6"/>
  </r>
  <r>
    <n v="851"/>
    <x v="4"/>
    <n v="8"/>
    <d v="2022-04-05T00:00:00"/>
    <s v="FA"/>
    <s v="1052/2871"/>
    <s v="kpl"/>
    <n v="950"/>
    <n v="57"/>
    <n v="85"/>
    <x v="384"/>
    <n v="1114.3500000000001"/>
    <n v="5959.35"/>
    <x v="1"/>
  </r>
  <r>
    <n v="852"/>
    <x v="4"/>
    <n v="6"/>
    <d v="2022-04-22T00:00:00"/>
    <s v="FA"/>
    <s v="1052/2872"/>
    <s v="kpl"/>
    <n v="951"/>
    <n v="50"/>
    <n v="85"/>
    <x v="443"/>
    <n v="977.5"/>
    <n v="5227.5"/>
    <x v="1"/>
  </r>
  <r>
    <n v="853"/>
    <x v="12"/>
    <n v="9"/>
    <d v="2022-08-20T00:00:00"/>
    <s v="FA"/>
    <s v="1052/2873"/>
    <s v="kpl"/>
    <n v="952"/>
    <n v="46"/>
    <n v="91"/>
    <x v="368"/>
    <n v="962.78000000000009"/>
    <n v="5148.78"/>
    <x v="11"/>
  </r>
  <r>
    <n v="854"/>
    <x v="15"/>
    <n v="10"/>
    <d v="2022-05-08T00:00:00"/>
    <s v="FA"/>
    <s v="1052/2874"/>
    <s v="kpl"/>
    <n v="953"/>
    <n v="50"/>
    <n v="90"/>
    <x v="153"/>
    <n v="1035"/>
    <n v="5535"/>
    <x v="10"/>
  </r>
  <r>
    <n v="855"/>
    <x v="0"/>
    <n v="13"/>
    <d v="2022-09-05T00:00:00"/>
    <s v="FA"/>
    <s v="1052/2875"/>
    <s v="kpl"/>
    <n v="954"/>
    <n v="49"/>
    <n v="83"/>
    <x v="457"/>
    <n v="935.41000000000008"/>
    <n v="5002.41"/>
    <x v="7"/>
  </r>
  <r>
    <n v="856"/>
    <x v="4"/>
    <n v="6"/>
    <d v="2022-01-23T00:00:00"/>
    <s v="FA"/>
    <s v="1052/2876"/>
    <s v="kpl"/>
    <n v="955"/>
    <n v="62"/>
    <n v="85"/>
    <x v="458"/>
    <n v="1212.1000000000001"/>
    <n v="6482.1"/>
    <x v="0"/>
  </r>
  <r>
    <n v="857"/>
    <x v="3"/>
    <n v="14"/>
    <d v="2022-02-02T00:00:00"/>
    <s v="FA"/>
    <s v="1052/2877"/>
    <s v="kpl"/>
    <n v="956"/>
    <n v="34"/>
    <n v="88"/>
    <x v="122"/>
    <n v="688.16000000000008"/>
    <n v="3680.16"/>
    <x v="9"/>
  </r>
  <r>
    <n v="858"/>
    <x v="22"/>
    <n v="9"/>
    <d v="2022-09-07T00:00:00"/>
    <s v="FA"/>
    <s v="1052/2878"/>
    <s v="kpl"/>
    <n v="957"/>
    <n v="47"/>
    <n v="125"/>
    <x v="409"/>
    <n v="1351.25"/>
    <n v="7226.25"/>
    <x v="7"/>
  </r>
  <r>
    <n v="859"/>
    <x v="16"/>
    <n v="10"/>
    <d v="2022-08-22T00:00:00"/>
    <s v="FA"/>
    <s v="1052/2879"/>
    <s v="kpl"/>
    <n v="958"/>
    <n v="55"/>
    <n v="132"/>
    <x v="344"/>
    <n v="1669.8000000000002"/>
    <n v="8929.7999999999993"/>
    <x v="11"/>
  </r>
  <r>
    <n v="860"/>
    <x v="0"/>
    <n v="10"/>
    <d v="2022-11-22T00:00:00"/>
    <s v="FA"/>
    <s v="1052/2880"/>
    <s v="kpl"/>
    <n v="959"/>
    <n v="60"/>
    <n v="83"/>
    <x v="86"/>
    <n v="1145.4000000000001"/>
    <n v="6125.4"/>
    <x v="8"/>
  </r>
  <r>
    <n v="861"/>
    <x v="13"/>
    <n v="12"/>
    <d v="2022-12-20T00:00:00"/>
    <s v="FA"/>
    <s v="1052/2881"/>
    <s v="kpl"/>
    <n v="960"/>
    <n v="58"/>
    <n v="88"/>
    <x v="97"/>
    <n v="1173.92"/>
    <n v="6277.92"/>
    <x v="2"/>
  </r>
  <r>
    <n v="862"/>
    <x v="25"/>
    <n v="10"/>
    <d v="2022-12-04T00:00:00"/>
    <s v="FA"/>
    <s v="1052/2882"/>
    <s v="kpl"/>
    <n v="961"/>
    <n v="29"/>
    <n v="59"/>
    <x v="459"/>
    <n v="393.53000000000003"/>
    <n v="2104.5300000000002"/>
    <x v="2"/>
  </r>
  <r>
    <n v="863"/>
    <x v="9"/>
    <n v="11"/>
    <d v="2022-02-15T00:00:00"/>
    <s v="FA"/>
    <s v="1052/2883"/>
    <s v="kpl"/>
    <n v="962"/>
    <n v="52"/>
    <n v="108"/>
    <x v="460"/>
    <n v="1291.68"/>
    <n v="6907.68"/>
    <x v="9"/>
  </r>
  <r>
    <n v="864"/>
    <x v="16"/>
    <n v="4"/>
    <d v="2022-04-15T00:00:00"/>
    <s v="FA"/>
    <s v="1052/2884"/>
    <s v="kpl"/>
    <n v="963"/>
    <n v="47"/>
    <n v="132"/>
    <x v="115"/>
    <n v="1426.92"/>
    <n v="7630.92"/>
    <x v="1"/>
  </r>
  <r>
    <n v="865"/>
    <x v="26"/>
    <n v="10"/>
    <d v="2022-08-05T00:00:00"/>
    <s v="FA"/>
    <s v="1052/2885"/>
    <s v="kpl"/>
    <n v="964"/>
    <n v="33"/>
    <n v="99"/>
    <x v="461"/>
    <n v="751.41000000000008"/>
    <n v="4018.41"/>
    <x v="11"/>
  </r>
  <r>
    <n v="866"/>
    <x v="5"/>
    <n v="13"/>
    <d v="2022-07-12T00:00:00"/>
    <s v="FA"/>
    <s v="1052/2886"/>
    <s v="kpl"/>
    <n v="965"/>
    <n v="49"/>
    <n v="87"/>
    <x v="96"/>
    <n v="980.49"/>
    <n v="5243.49"/>
    <x v="6"/>
  </r>
  <r>
    <n v="867"/>
    <x v="24"/>
    <n v="11"/>
    <d v="2022-06-25T00:00:00"/>
    <s v="FA"/>
    <s v="1052/2887"/>
    <s v="kpl"/>
    <n v="966"/>
    <n v="47"/>
    <n v="129"/>
    <x v="462"/>
    <n v="1394.49"/>
    <n v="7457.49"/>
    <x v="4"/>
  </r>
  <r>
    <n v="868"/>
    <x v="7"/>
    <n v="9"/>
    <d v="2022-10-05T00:00:00"/>
    <s v="FA"/>
    <s v="1052/2888"/>
    <s v="kpl"/>
    <n v="967"/>
    <n v="49"/>
    <n v="96"/>
    <x v="185"/>
    <n v="1081.92"/>
    <n v="5785.92"/>
    <x v="5"/>
  </r>
  <r>
    <n v="869"/>
    <x v="15"/>
    <n v="3"/>
    <d v="2022-12-15T00:00:00"/>
    <s v="FA"/>
    <s v="1052/2889"/>
    <s v="kpl"/>
    <n v="968"/>
    <n v="52"/>
    <n v="90"/>
    <x v="422"/>
    <n v="1076.4000000000001"/>
    <n v="5756.4"/>
    <x v="2"/>
  </r>
  <r>
    <n v="870"/>
    <x v="20"/>
    <n v="11"/>
    <d v="2022-08-25T00:00:00"/>
    <s v="FA"/>
    <s v="1052/2890"/>
    <s v="kpl"/>
    <n v="969"/>
    <n v="50"/>
    <n v="104"/>
    <x v="221"/>
    <n v="1196"/>
    <n v="6396"/>
    <x v="11"/>
  </r>
  <r>
    <n v="871"/>
    <x v="13"/>
    <n v="10"/>
    <d v="2022-07-13T00:00:00"/>
    <s v="FA"/>
    <s v="1052/2891"/>
    <s v="kpl"/>
    <n v="970"/>
    <n v="55"/>
    <n v="88"/>
    <x v="29"/>
    <n v="1113.2"/>
    <n v="5953.2"/>
    <x v="6"/>
  </r>
  <r>
    <n v="872"/>
    <x v="6"/>
    <n v="12"/>
    <d v="2022-10-09T00:00:00"/>
    <s v="FA"/>
    <s v="1052/2892"/>
    <s v="kpl"/>
    <n v="971"/>
    <n v="52"/>
    <n v="84"/>
    <x v="109"/>
    <n v="1004.6400000000001"/>
    <n v="5372.64"/>
    <x v="5"/>
  </r>
  <r>
    <n v="873"/>
    <x v="7"/>
    <n v="9"/>
    <d v="2022-10-09T00:00:00"/>
    <s v="FA"/>
    <s v="1052/2893"/>
    <s v="kpl"/>
    <n v="972"/>
    <n v="47"/>
    <n v="96"/>
    <x v="397"/>
    <n v="1037.76"/>
    <n v="5549.76"/>
    <x v="5"/>
  </r>
  <r>
    <n v="874"/>
    <x v="3"/>
    <n v="11"/>
    <d v="2022-02-08T00:00:00"/>
    <s v="FA"/>
    <s v="1052/2894"/>
    <s v="kpl"/>
    <n v="973"/>
    <n v="55"/>
    <n v="88"/>
    <x v="29"/>
    <n v="1113.2"/>
    <n v="5953.2"/>
    <x v="9"/>
  </r>
  <r>
    <n v="875"/>
    <x v="14"/>
    <n v="10"/>
    <d v="2022-07-26T00:00:00"/>
    <s v="FA"/>
    <s v="1052/2895"/>
    <s v="kpl"/>
    <n v="974"/>
    <n v="62"/>
    <n v="86"/>
    <x v="320"/>
    <n v="1226.3600000000001"/>
    <n v="6558.3600000000006"/>
    <x v="6"/>
  </r>
  <r>
    <n v="876"/>
    <x v="7"/>
    <n v="11"/>
    <d v="2022-09-06T00:00:00"/>
    <s v="FA"/>
    <s v="1052/2896"/>
    <s v="kpl"/>
    <n v="975"/>
    <n v="51"/>
    <n v="96"/>
    <x v="463"/>
    <n v="1126.0800000000002"/>
    <n v="6022.08"/>
    <x v="7"/>
  </r>
  <r>
    <n v="877"/>
    <x v="21"/>
    <n v="7"/>
    <d v="2022-09-24T00:00:00"/>
    <s v="FA"/>
    <s v="1052/2897"/>
    <s v="kpl"/>
    <n v="976"/>
    <n v="69"/>
    <n v="87"/>
    <x v="464"/>
    <n v="1380.69"/>
    <n v="7383.6900000000005"/>
    <x v="7"/>
  </r>
  <r>
    <n v="878"/>
    <x v="9"/>
    <n v="11"/>
    <d v="2022-07-13T00:00:00"/>
    <s v="FA"/>
    <s v="1052/2898"/>
    <s v="kpl"/>
    <n v="977"/>
    <n v="43"/>
    <n v="108"/>
    <x v="11"/>
    <n v="1068.1200000000001"/>
    <n v="5712.12"/>
    <x v="6"/>
  </r>
  <r>
    <n v="879"/>
    <x v="22"/>
    <n v="9"/>
    <d v="2022-11-09T00:00:00"/>
    <s v="FA"/>
    <s v="1052/2899"/>
    <s v="kpl"/>
    <n v="978"/>
    <n v="38"/>
    <n v="125"/>
    <x v="465"/>
    <n v="1092.5"/>
    <n v="5842.5"/>
    <x v="8"/>
  </r>
  <r>
    <n v="880"/>
    <x v="25"/>
    <n v="8"/>
    <d v="2022-01-04T00:00:00"/>
    <s v="FA"/>
    <s v="1052/2900"/>
    <s v="kpl"/>
    <n v="979"/>
    <n v="54"/>
    <n v="59"/>
    <x v="157"/>
    <n v="732.78000000000009"/>
    <n v="3918.78"/>
    <x v="0"/>
  </r>
  <r>
    <n v="881"/>
    <x v="26"/>
    <n v="11"/>
    <d v="2022-08-19T00:00:00"/>
    <s v="FA"/>
    <s v="1052/2901"/>
    <s v="kpl"/>
    <n v="980"/>
    <n v="36"/>
    <n v="99"/>
    <x v="416"/>
    <n v="819.72"/>
    <n v="4383.72"/>
    <x v="11"/>
  </r>
  <r>
    <n v="882"/>
    <x v="21"/>
    <n v="16"/>
    <d v="2022-03-22T00:00:00"/>
    <s v="FA"/>
    <s v="1052/2902"/>
    <s v="kpl"/>
    <n v="981"/>
    <n v="60"/>
    <n v="87"/>
    <x v="6"/>
    <n v="1200.6000000000001"/>
    <n v="6420.6"/>
    <x v="3"/>
  </r>
  <r>
    <n v="883"/>
    <x v="11"/>
    <n v="13"/>
    <d v="2022-02-18T00:00:00"/>
    <s v="FA"/>
    <s v="1052/2903"/>
    <s v="kpl"/>
    <n v="982"/>
    <n v="44"/>
    <n v="93"/>
    <x v="466"/>
    <n v="941.16000000000008"/>
    <n v="5033.16"/>
    <x v="9"/>
  </r>
  <r>
    <n v="884"/>
    <x v="8"/>
    <n v="4"/>
    <d v="2022-11-01T00:00:00"/>
    <s v="FA"/>
    <s v="1052/2904"/>
    <s v="kpl"/>
    <n v="983"/>
    <n v="63"/>
    <n v="89"/>
    <x v="467"/>
    <n v="1289.6100000000001"/>
    <n v="6896.6100000000006"/>
    <x v="8"/>
  </r>
  <r>
    <n v="885"/>
    <x v="18"/>
    <n v="12"/>
    <d v="2022-07-28T00:00:00"/>
    <s v="FA"/>
    <s v="1052/2905"/>
    <s v="kpl"/>
    <n v="984"/>
    <n v="52"/>
    <n v="109"/>
    <x v="112"/>
    <n v="1303.6400000000001"/>
    <n v="6971.64"/>
    <x v="6"/>
  </r>
  <r>
    <n v="886"/>
    <x v="1"/>
    <n v="8"/>
    <d v="2022-02-06T00:00:00"/>
    <s v="FA"/>
    <s v="1052/2906"/>
    <s v="kpl"/>
    <n v="985"/>
    <n v="50"/>
    <n v="99"/>
    <x v="53"/>
    <n v="1138.5"/>
    <n v="6088.5"/>
    <x v="9"/>
  </r>
  <r>
    <n v="887"/>
    <x v="1"/>
    <n v="5"/>
    <d v="2022-04-04T00:00:00"/>
    <s v="FA"/>
    <s v="1052/2907"/>
    <s v="kpl"/>
    <n v="986"/>
    <n v="51"/>
    <n v="99"/>
    <x v="222"/>
    <n v="1161.27"/>
    <n v="6210.27"/>
    <x v="1"/>
  </r>
  <r>
    <n v="888"/>
    <x v="24"/>
    <n v="13"/>
    <d v="2022-04-08T00:00:00"/>
    <s v="FA"/>
    <s v="1052/2908"/>
    <s v="kpl"/>
    <n v="987"/>
    <n v="55"/>
    <n v="129"/>
    <x v="468"/>
    <n v="1631.8500000000001"/>
    <n v="8726.85"/>
    <x v="1"/>
  </r>
  <r>
    <n v="889"/>
    <x v="23"/>
    <n v="8"/>
    <d v="2022-06-18T00:00:00"/>
    <s v="FA"/>
    <s v="1052/2909"/>
    <s v="kpl"/>
    <n v="988"/>
    <n v="62"/>
    <n v="105"/>
    <x v="469"/>
    <n v="1497.3"/>
    <n v="8007.3"/>
    <x v="4"/>
  </r>
  <r>
    <n v="890"/>
    <x v="10"/>
    <n v="11"/>
    <d v="2022-08-08T00:00:00"/>
    <s v="FA"/>
    <s v="1052/2910"/>
    <s v="kpl"/>
    <n v="989"/>
    <n v="42"/>
    <n v="84"/>
    <x v="7"/>
    <n v="811.44"/>
    <n v="4339.4400000000005"/>
    <x v="11"/>
  </r>
  <r>
    <n v="891"/>
    <x v="0"/>
    <n v="10"/>
    <d v="2022-04-10T00:00:00"/>
    <s v="FA"/>
    <s v="1052/2911"/>
    <s v="kpl"/>
    <n v="990"/>
    <n v="47"/>
    <n v="83"/>
    <x v="282"/>
    <n v="897.23"/>
    <n v="4798.2299999999996"/>
    <x v="1"/>
  </r>
  <r>
    <n v="892"/>
    <x v="3"/>
    <n v="5"/>
    <d v="2022-09-13T00:00:00"/>
    <s v="FA"/>
    <s v="1052/2912"/>
    <s v="kpl"/>
    <n v="991"/>
    <n v="49"/>
    <n v="88"/>
    <x v="93"/>
    <n v="991.76"/>
    <n v="5303.76"/>
    <x v="7"/>
  </r>
  <r>
    <n v="893"/>
    <x v="3"/>
    <n v="7"/>
    <d v="2022-09-28T00:00:00"/>
    <s v="FA"/>
    <s v="1052/2913"/>
    <s v="kpl"/>
    <n v="992"/>
    <n v="53"/>
    <n v="88"/>
    <x v="61"/>
    <n v="1072.72"/>
    <n v="5736.72"/>
    <x v="7"/>
  </r>
  <r>
    <n v="894"/>
    <x v="9"/>
    <n v="11"/>
    <d v="2022-11-23T00:00:00"/>
    <s v="FA"/>
    <s v="1052/2914"/>
    <s v="kpl"/>
    <n v="993"/>
    <n v="62"/>
    <n v="108"/>
    <x v="298"/>
    <n v="1540.0800000000002"/>
    <n v="8236.08"/>
    <x v="8"/>
  </r>
  <r>
    <n v="895"/>
    <x v="11"/>
    <n v="9"/>
    <d v="2022-09-18T00:00:00"/>
    <s v="FA"/>
    <s v="1052/2915"/>
    <s v="kpl"/>
    <n v="994"/>
    <n v="43"/>
    <n v="93"/>
    <x v="326"/>
    <n v="919.7700000000001"/>
    <n v="4918.7700000000004"/>
    <x v="7"/>
  </r>
  <r>
    <n v="896"/>
    <x v="23"/>
    <n v="13"/>
    <d v="2022-03-23T00:00:00"/>
    <s v="FA"/>
    <s v="1052/2916"/>
    <s v="kpl"/>
    <n v="995"/>
    <n v="45"/>
    <n v="105"/>
    <x v="267"/>
    <n v="1086.75"/>
    <n v="5811.75"/>
    <x v="3"/>
  </r>
  <r>
    <n v="897"/>
    <x v="3"/>
    <n v="9"/>
    <d v="2022-06-10T00:00:00"/>
    <s v="FA"/>
    <s v="1052/2917"/>
    <s v="kpl"/>
    <n v="996"/>
    <n v="55"/>
    <n v="88"/>
    <x v="29"/>
    <n v="1113.2"/>
    <n v="5953.2"/>
    <x v="4"/>
  </r>
  <r>
    <n v="898"/>
    <x v="21"/>
    <n v="8"/>
    <d v="2022-12-24T00:00:00"/>
    <s v="FA"/>
    <s v="1052/2918"/>
    <s v="kpl"/>
    <n v="997"/>
    <n v="64"/>
    <n v="87"/>
    <x v="470"/>
    <n v="1280.6400000000001"/>
    <n v="6848.64"/>
    <x v="2"/>
  </r>
  <r>
    <n v="899"/>
    <x v="3"/>
    <n v="9"/>
    <d v="2022-09-10T00:00:00"/>
    <s v="FA"/>
    <s v="1052/2919"/>
    <s v="kpl"/>
    <n v="998"/>
    <n v="48"/>
    <n v="88"/>
    <x v="40"/>
    <n v="971.5200000000001"/>
    <n v="5195.5200000000004"/>
    <x v="7"/>
  </r>
  <r>
    <n v="900"/>
    <x v="24"/>
    <n v="4"/>
    <d v="2022-05-17T00:00:00"/>
    <s v="FA"/>
    <s v="1052/2920"/>
    <s v="kpl"/>
    <n v="999"/>
    <n v="32"/>
    <n v="129"/>
    <x v="73"/>
    <n v="949.44"/>
    <n v="5077.4400000000005"/>
    <x v="10"/>
  </r>
  <r>
    <n v="901"/>
    <x v="15"/>
    <n v="12"/>
    <d v="2022-11-07T00:00:00"/>
    <s v="FA"/>
    <s v="1052/2921"/>
    <s v="kpl"/>
    <n v="1000"/>
    <n v="45"/>
    <n v="90"/>
    <x v="471"/>
    <n v="931.5"/>
    <n v="4981.5"/>
    <x v="8"/>
  </r>
  <r>
    <n v="902"/>
    <x v="10"/>
    <n v="12"/>
    <d v="2022-09-22T00:00:00"/>
    <s v="FA"/>
    <s v="1052/2922"/>
    <s v="kpl"/>
    <n v="1001"/>
    <n v="45"/>
    <n v="84"/>
    <x v="12"/>
    <n v="869.40000000000009"/>
    <n v="4649.3999999999996"/>
    <x v="7"/>
  </r>
  <r>
    <n v="903"/>
    <x v="17"/>
    <n v="11"/>
    <d v="2022-11-02T00:00:00"/>
    <s v="FA"/>
    <s v="1052/2923"/>
    <s v="kpl"/>
    <n v="1002"/>
    <n v="46"/>
    <n v="94"/>
    <x v="472"/>
    <n v="994.5200000000001"/>
    <n v="5318.52"/>
    <x v="8"/>
  </r>
  <r>
    <n v="904"/>
    <x v="2"/>
    <n v="13"/>
    <d v="2022-10-11T00:00:00"/>
    <s v="FA"/>
    <s v="1052/2924"/>
    <s v="kpl"/>
    <n v="1003"/>
    <n v="58"/>
    <n v="84"/>
    <x v="78"/>
    <n v="1120.56"/>
    <n v="5992.5599999999995"/>
    <x v="5"/>
  </r>
  <r>
    <n v="905"/>
    <x v="0"/>
    <n v="13"/>
    <d v="2022-07-15T00:00:00"/>
    <s v="FA"/>
    <s v="1052/2925"/>
    <s v="kpl"/>
    <n v="1004"/>
    <n v="30"/>
    <n v="83"/>
    <x v="473"/>
    <n v="572.70000000000005"/>
    <n v="3062.7"/>
    <x v="6"/>
  </r>
  <r>
    <n v="906"/>
    <x v="15"/>
    <n v="9"/>
    <d v="2022-11-05T00:00:00"/>
    <s v="FA"/>
    <s v="1052/2926"/>
    <s v="kpl"/>
    <n v="1005"/>
    <n v="49"/>
    <n v="90"/>
    <x v="474"/>
    <n v="1014.3000000000001"/>
    <n v="5424.3"/>
    <x v="8"/>
  </r>
  <r>
    <n v="907"/>
    <x v="7"/>
    <n v="12"/>
    <d v="2022-08-26T00:00:00"/>
    <s v="FA"/>
    <s v="1052/2927"/>
    <s v="kpl"/>
    <n v="1006"/>
    <n v="64"/>
    <n v="96"/>
    <x v="475"/>
    <n v="1413.1200000000001"/>
    <n v="7557.12"/>
    <x v="11"/>
  </r>
  <r>
    <n v="908"/>
    <x v="21"/>
    <n v="12"/>
    <d v="2022-03-06T00:00:00"/>
    <s v="FA"/>
    <s v="1052/2928"/>
    <s v="kpl"/>
    <n v="1007"/>
    <n v="57"/>
    <n v="87"/>
    <x v="52"/>
    <n v="1140.57"/>
    <n v="6099.57"/>
    <x v="3"/>
  </r>
  <r>
    <n v="909"/>
    <x v="13"/>
    <n v="9"/>
    <d v="2022-02-11T00:00:00"/>
    <s v="FA"/>
    <s v="1052/2929"/>
    <s v="kpl"/>
    <n v="1008"/>
    <n v="41"/>
    <n v="88"/>
    <x v="265"/>
    <n v="829.84"/>
    <n v="4437.84"/>
    <x v="9"/>
  </r>
  <r>
    <n v="910"/>
    <x v="22"/>
    <n v="7"/>
    <d v="2022-02-10T00:00:00"/>
    <s v="FA"/>
    <s v="1052/2930"/>
    <s v="kpl"/>
    <n v="1009"/>
    <n v="50"/>
    <n v="125"/>
    <x v="219"/>
    <n v="1437.5"/>
    <n v="7687.5"/>
    <x v="9"/>
  </r>
  <r>
    <n v="911"/>
    <x v="18"/>
    <n v="7"/>
    <d v="2022-08-24T00:00:00"/>
    <s v="FA"/>
    <s v="1052/2931"/>
    <s v="kpl"/>
    <n v="1010"/>
    <n v="39"/>
    <n v="109"/>
    <x v="205"/>
    <n v="977.73"/>
    <n v="5228.7299999999996"/>
    <x v="11"/>
  </r>
  <r>
    <n v="912"/>
    <x v="0"/>
    <n v="5"/>
    <d v="2022-01-15T00:00:00"/>
    <s v="FA"/>
    <s v="1052/2932"/>
    <s v="kpl"/>
    <n v="1011"/>
    <n v="66"/>
    <n v="83"/>
    <x v="120"/>
    <n v="1259.94"/>
    <n v="6737.9400000000005"/>
    <x v="0"/>
  </r>
  <r>
    <n v="913"/>
    <x v="3"/>
    <n v="11"/>
    <d v="2022-02-27T00:00:00"/>
    <s v="FA"/>
    <s v="1052/2933"/>
    <s v="kpl"/>
    <n v="1012"/>
    <n v="47"/>
    <n v="88"/>
    <x v="165"/>
    <n v="951.28000000000009"/>
    <n v="5087.28"/>
    <x v="9"/>
  </r>
  <r>
    <n v="914"/>
    <x v="7"/>
    <n v="12"/>
    <d v="2022-07-05T00:00:00"/>
    <s v="FA"/>
    <s v="1052/2934"/>
    <s v="kpl"/>
    <n v="1013"/>
    <n v="44"/>
    <n v="96"/>
    <x v="40"/>
    <n v="971.5200000000001"/>
    <n v="5195.5200000000004"/>
    <x v="6"/>
  </r>
  <r>
    <n v="915"/>
    <x v="21"/>
    <n v="9"/>
    <d v="2022-08-21T00:00:00"/>
    <s v="FA"/>
    <s v="1052/2935"/>
    <s v="kpl"/>
    <n v="1014"/>
    <n v="50"/>
    <n v="87"/>
    <x v="476"/>
    <n v="1000.5"/>
    <n v="5350.5"/>
    <x v="11"/>
  </r>
  <r>
    <n v="916"/>
    <x v="16"/>
    <n v="11"/>
    <d v="2022-12-21T00:00:00"/>
    <s v="FA"/>
    <s v="1052/2936"/>
    <s v="kpl"/>
    <n v="1015"/>
    <n v="47"/>
    <n v="132"/>
    <x v="115"/>
    <n v="1426.92"/>
    <n v="7630.92"/>
    <x v="2"/>
  </r>
  <r>
    <n v="917"/>
    <x v="18"/>
    <n v="7"/>
    <d v="2022-10-28T00:00:00"/>
    <s v="FA"/>
    <s v="1052/2937"/>
    <s v="kpl"/>
    <n v="1016"/>
    <n v="63"/>
    <n v="109"/>
    <x v="420"/>
    <n v="1579.41"/>
    <n v="8446.41"/>
    <x v="5"/>
  </r>
  <r>
    <n v="918"/>
    <x v="25"/>
    <n v="11"/>
    <d v="2022-06-16T00:00:00"/>
    <s v="FA"/>
    <s v="1052/2938"/>
    <s v="kpl"/>
    <n v="1017"/>
    <n v="40"/>
    <n v="59"/>
    <x v="182"/>
    <n v="542.80000000000007"/>
    <n v="2902.8"/>
    <x v="4"/>
  </r>
  <r>
    <n v="919"/>
    <x v="1"/>
    <n v="9"/>
    <d v="2022-08-15T00:00:00"/>
    <s v="FA"/>
    <s v="1052/2939"/>
    <s v="kpl"/>
    <n v="1018"/>
    <n v="52"/>
    <n v="99"/>
    <x v="145"/>
    <n v="1184.04"/>
    <n v="6332.04"/>
    <x v="11"/>
  </r>
  <r>
    <n v="920"/>
    <x v="6"/>
    <n v="11"/>
    <d v="2022-06-05T00:00:00"/>
    <s v="FA"/>
    <s v="1052/2940"/>
    <s v="kpl"/>
    <n v="1019"/>
    <n v="50"/>
    <n v="84"/>
    <x v="194"/>
    <n v="966"/>
    <n v="5166"/>
    <x v="4"/>
  </r>
  <r>
    <n v="921"/>
    <x v="18"/>
    <n v="7"/>
    <d v="2022-08-22T00:00:00"/>
    <s v="FA"/>
    <s v="1052/2941"/>
    <s v="kpl"/>
    <n v="1020"/>
    <n v="41"/>
    <n v="109"/>
    <x v="217"/>
    <n v="1027.8700000000001"/>
    <n v="5496.87"/>
    <x v="11"/>
  </r>
  <r>
    <n v="922"/>
    <x v="18"/>
    <n v="11"/>
    <d v="2022-07-14T00:00:00"/>
    <s v="FA"/>
    <s v="1052/2942"/>
    <s v="kpl"/>
    <n v="1021"/>
    <n v="49"/>
    <n v="109"/>
    <x v="294"/>
    <n v="1228.43"/>
    <n v="6569.43"/>
    <x v="6"/>
  </r>
  <r>
    <n v="923"/>
    <x v="22"/>
    <n v="15"/>
    <d v="2022-03-17T00:00:00"/>
    <s v="FA"/>
    <s v="1052/2943"/>
    <s v="kpl"/>
    <n v="1022"/>
    <n v="40"/>
    <n v="125"/>
    <x v="477"/>
    <n v="1150"/>
    <n v="6150"/>
    <x v="3"/>
  </r>
  <r>
    <n v="924"/>
    <x v="5"/>
    <n v="10"/>
    <d v="2022-06-05T00:00:00"/>
    <s v="FA"/>
    <s v="1052/2944"/>
    <s v="kpl"/>
    <n v="1023"/>
    <n v="63"/>
    <n v="87"/>
    <x v="117"/>
    <n v="1260.6300000000001"/>
    <n v="6741.63"/>
    <x v="4"/>
  </r>
  <r>
    <n v="925"/>
    <x v="26"/>
    <n v="13"/>
    <d v="2022-10-13T00:00:00"/>
    <s v="FA"/>
    <s v="1052/2945"/>
    <s v="kpl"/>
    <n v="1024"/>
    <n v="65"/>
    <n v="99"/>
    <x v="202"/>
    <n v="1480.05"/>
    <n v="7915.05"/>
    <x v="5"/>
  </r>
  <r>
    <n v="926"/>
    <x v="19"/>
    <n v="9"/>
    <d v="2022-11-21T00:00:00"/>
    <s v="FA"/>
    <s v="1052/2946"/>
    <s v="kpl"/>
    <n v="1025"/>
    <n v="55"/>
    <n v="121"/>
    <x v="478"/>
    <n v="1530.65"/>
    <n v="8185.65"/>
    <x v="8"/>
  </r>
  <r>
    <n v="927"/>
    <x v="2"/>
    <n v="16"/>
    <d v="2022-06-17T00:00:00"/>
    <s v="FA"/>
    <s v="1052/2947"/>
    <s v="kpl"/>
    <n v="1026"/>
    <n v="39"/>
    <n v="84"/>
    <x v="104"/>
    <n v="753.48"/>
    <n v="4029.48"/>
    <x v="4"/>
  </r>
  <r>
    <n v="928"/>
    <x v="15"/>
    <n v="6"/>
    <d v="2022-02-15T00:00:00"/>
    <s v="FA"/>
    <s v="1052/2948"/>
    <s v="kpl"/>
    <n v="1027"/>
    <n v="42"/>
    <n v="90"/>
    <x v="12"/>
    <n v="869.40000000000009"/>
    <n v="4649.3999999999996"/>
    <x v="9"/>
  </r>
  <r>
    <n v="929"/>
    <x v="18"/>
    <n v="12"/>
    <d v="2022-08-05T00:00:00"/>
    <s v="FA"/>
    <s v="1052/2949"/>
    <s v="kpl"/>
    <n v="1028"/>
    <n v="46"/>
    <n v="109"/>
    <x v="41"/>
    <n v="1153.22"/>
    <n v="6167.22"/>
    <x v="11"/>
  </r>
  <r>
    <n v="930"/>
    <x v="0"/>
    <n v="4"/>
    <d v="2022-01-22T00:00:00"/>
    <s v="FA"/>
    <s v="1052/2950"/>
    <s v="kpl"/>
    <n v="1029"/>
    <n v="51"/>
    <n v="83"/>
    <x v="362"/>
    <n v="973.59"/>
    <n v="5206.59"/>
    <x v="0"/>
  </r>
  <r>
    <n v="931"/>
    <x v="0"/>
    <n v="9"/>
    <d v="2022-02-10T00:00:00"/>
    <s v="FA"/>
    <s v="1052/2951"/>
    <s v="kpl"/>
    <n v="1030"/>
    <n v="45"/>
    <n v="83"/>
    <x v="251"/>
    <n v="859.05000000000007"/>
    <n v="4594.05"/>
    <x v="9"/>
  </r>
  <r>
    <n v="932"/>
    <x v="10"/>
    <n v="13"/>
    <d v="2022-07-13T00:00:00"/>
    <s v="FA"/>
    <s v="1052/2952"/>
    <s v="kpl"/>
    <n v="1031"/>
    <n v="66"/>
    <n v="84"/>
    <x v="65"/>
    <n v="1275.1200000000001"/>
    <n v="6819.12"/>
    <x v="6"/>
  </r>
  <r>
    <n v="933"/>
    <x v="26"/>
    <n v="9"/>
    <d v="2022-09-05T00:00:00"/>
    <s v="FA"/>
    <s v="1052/2953"/>
    <s v="kpl"/>
    <n v="1032"/>
    <n v="46"/>
    <n v="99"/>
    <x v="346"/>
    <n v="1047.42"/>
    <n v="5601.42"/>
    <x v="7"/>
  </r>
  <r>
    <n v="934"/>
    <x v="22"/>
    <n v="11"/>
    <d v="2022-03-02T00:00:00"/>
    <s v="FA"/>
    <s v="1052/2954"/>
    <s v="kpl"/>
    <n v="1033"/>
    <n v="56"/>
    <n v="125"/>
    <x v="131"/>
    <n v="1610"/>
    <n v="8610"/>
    <x v="3"/>
  </r>
  <r>
    <n v="935"/>
    <x v="14"/>
    <n v="6"/>
    <d v="2022-12-01T00:00:00"/>
    <s v="FA"/>
    <s v="1052/2955"/>
    <s v="kpl"/>
    <n v="1034"/>
    <n v="44"/>
    <n v="86"/>
    <x v="214"/>
    <n v="870.32"/>
    <n v="4654.32"/>
    <x v="2"/>
  </r>
  <r>
    <n v="936"/>
    <x v="20"/>
    <n v="11"/>
    <d v="2022-11-09T00:00:00"/>
    <s v="FA"/>
    <s v="1052/2956"/>
    <s v="kpl"/>
    <n v="1035"/>
    <n v="52"/>
    <n v="104"/>
    <x v="192"/>
    <n v="1243.8400000000001"/>
    <n v="6651.84"/>
    <x v="8"/>
  </r>
  <r>
    <n v="937"/>
    <x v="7"/>
    <n v="8"/>
    <d v="2022-01-05T00:00:00"/>
    <s v="FA"/>
    <s v="1052/2957"/>
    <s v="kpl"/>
    <n v="1036"/>
    <n v="46"/>
    <n v="96"/>
    <x v="355"/>
    <n v="1015.6800000000001"/>
    <n v="5431.68"/>
    <x v="0"/>
  </r>
  <r>
    <n v="938"/>
    <x v="9"/>
    <n v="9"/>
    <d v="2022-06-06T00:00:00"/>
    <s v="FA"/>
    <s v="1052/2958"/>
    <s v="kpl"/>
    <n v="1037"/>
    <n v="54"/>
    <n v="108"/>
    <x v="204"/>
    <n v="1341.3600000000001"/>
    <n v="7173.3600000000006"/>
    <x v="4"/>
  </r>
  <r>
    <n v="939"/>
    <x v="19"/>
    <n v="15"/>
    <d v="2022-11-11T00:00:00"/>
    <s v="FA"/>
    <s v="1052/2959"/>
    <s v="kpl"/>
    <n v="1038"/>
    <n v="43"/>
    <n v="121"/>
    <x v="405"/>
    <n v="1196.69"/>
    <n v="6399.6900000000005"/>
    <x v="8"/>
  </r>
  <r>
    <n v="940"/>
    <x v="18"/>
    <n v="7"/>
    <d v="2022-07-27T00:00:00"/>
    <s v="FA"/>
    <s v="1052/2960"/>
    <s v="kpl"/>
    <n v="1039"/>
    <n v="59"/>
    <n v="109"/>
    <x v="415"/>
    <n v="1479.13"/>
    <n v="7910.13"/>
    <x v="6"/>
  </r>
  <r>
    <n v="941"/>
    <x v="15"/>
    <n v="9"/>
    <d v="2022-11-14T00:00:00"/>
    <s v="FA"/>
    <s v="1052/2961"/>
    <s v="kpl"/>
    <n v="1040"/>
    <n v="67"/>
    <n v="90"/>
    <x v="254"/>
    <n v="1386.9"/>
    <n v="7416.9"/>
    <x v="8"/>
  </r>
  <r>
    <n v="942"/>
    <x v="7"/>
    <n v="14"/>
    <d v="2022-05-23T00:00:00"/>
    <s v="FA"/>
    <s v="1052/2962"/>
    <s v="kpl"/>
    <n v="1041"/>
    <n v="30"/>
    <n v="96"/>
    <x v="287"/>
    <n v="662.4"/>
    <n v="3542.4"/>
    <x v="10"/>
  </r>
  <r>
    <n v="943"/>
    <x v="2"/>
    <n v="11"/>
    <d v="2022-06-08T00:00:00"/>
    <s v="FA"/>
    <s v="1052/2963"/>
    <s v="kpl"/>
    <n v="1042"/>
    <n v="53"/>
    <n v="84"/>
    <x v="188"/>
    <n v="1023.96"/>
    <n v="5475.96"/>
    <x v="4"/>
  </r>
  <r>
    <n v="944"/>
    <x v="4"/>
    <n v="7"/>
    <d v="2022-01-23T00:00:00"/>
    <s v="FA"/>
    <s v="1052/2964"/>
    <s v="kpl"/>
    <n v="1043"/>
    <n v="37"/>
    <n v="85"/>
    <x v="285"/>
    <n v="723.35"/>
    <n v="3868.35"/>
    <x v="0"/>
  </r>
  <r>
    <n v="945"/>
    <x v="6"/>
    <n v="9"/>
    <d v="2022-09-24T00:00:00"/>
    <s v="FA"/>
    <s v="1052/2965"/>
    <s v="kpl"/>
    <n v="1044"/>
    <n v="38"/>
    <n v="84"/>
    <x v="479"/>
    <n v="734.16000000000008"/>
    <n v="3926.16"/>
    <x v="7"/>
  </r>
  <r>
    <n v="946"/>
    <x v="8"/>
    <n v="7"/>
    <d v="2022-04-14T00:00:00"/>
    <s v="FA"/>
    <s v="1052/2966"/>
    <s v="kpl"/>
    <n v="1045"/>
    <n v="45"/>
    <n v="89"/>
    <x v="152"/>
    <n v="921.15000000000009"/>
    <n v="4926.1499999999996"/>
    <x v="1"/>
  </r>
  <r>
    <n v="947"/>
    <x v="14"/>
    <n v="10"/>
    <d v="2022-02-16T00:00:00"/>
    <s v="FA"/>
    <s v="1052/2967"/>
    <s v="kpl"/>
    <n v="1046"/>
    <n v="49"/>
    <n v="86"/>
    <x v="262"/>
    <n v="969.22"/>
    <n v="5183.22"/>
    <x v="9"/>
  </r>
  <r>
    <n v="948"/>
    <x v="14"/>
    <n v="9"/>
    <d v="2022-11-18T00:00:00"/>
    <s v="FA"/>
    <s v="1052/2968"/>
    <s v="kpl"/>
    <n v="1047"/>
    <n v="37"/>
    <n v="86"/>
    <x v="480"/>
    <n v="731.86"/>
    <n v="3913.86"/>
    <x v="8"/>
  </r>
  <r>
    <n v="949"/>
    <x v="11"/>
    <n v="10"/>
    <d v="2022-04-25T00:00:00"/>
    <s v="FA"/>
    <s v="1052/2969"/>
    <s v="kpl"/>
    <n v="1048"/>
    <n v="40"/>
    <n v="93"/>
    <x v="191"/>
    <n v="855.6"/>
    <n v="4575.6000000000004"/>
    <x v="1"/>
  </r>
  <r>
    <n v="950"/>
    <x v="18"/>
    <n v="10"/>
    <d v="2022-07-03T00:00:00"/>
    <s v="FA"/>
    <s v="1052/2970"/>
    <s v="kpl"/>
    <n v="1049"/>
    <n v="43"/>
    <n v="109"/>
    <x v="383"/>
    <n v="1078.01"/>
    <n v="5765.01"/>
    <x v="6"/>
  </r>
  <r>
    <n v="951"/>
    <x v="6"/>
    <n v="9"/>
    <d v="2022-08-14T00:00:00"/>
    <s v="FA"/>
    <s v="1052/2971"/>
    <s v="kpl"/>
    <n v="1050"/>
    <n v="56"/>
    <n v="84"/>
    <x v="185"/>
    <n v="1081.92"/>
    <n v="5785.92"/>
    <x v="11"/>
  </r>
  <r>
    <n v="952"/>
    <x v="3"/>
    <n v="9"/>
    <d v="2022-09-24T00:00:00"/>
    <s v="FA"/>
    <s v="1052/2972"/>
    <s v="kpl"/>
    <n v="1051"/>
    <n v="41"/>
    <n v="88"/>
    <x v="265"/>
    <n v="829.84"/>
    <n v="4437.84"/>
    <x v="7"/>
  </r>
  <r>
    <n v="953"/>
    <x v="3"/>
    <n v="8"/>
    <d v="2022-04-23T00:00:00"/>
    <s v="FA"/>
    <s v="1052/2973"/>
    <s v="kpl"/>
    <n v="1052"/>
    <n v="49"/>
    <n v="88"/>
    <x v="93"/>
    <n v="991.76"/>
    <n v="5303.76"/>
    <x v="1"/>
  </r>
  <r>
    <n v="954"/>
    <x v="15"/>
    <n v="13"/>
    <d v="2022-06-27T00:00:00"/>
    <s v="FA"/>
    <s v="1052/2974"/>
    <s v="kpl"/>
    <n v="1053"/>
    <n v="36"/>
    <n v="90"/>
    <x v="481"/>
    <n v="745.2"/>
    <n v="3985.2"/>
    <x v="4"/>
  </r>
  <r>
    <n v="955"/>
    <x v="2"/>
    <n v="6"/>
    <d v="2022-07-20T00:00:00"/>
    <s v="FA"/>
    <s v="1052/2975"/>
    <s v="kpl"/>
    <n v="1054"/>
    <n v="49"/>
    <n v="84"/>
    <x v="74"/>
    <n v="946.68000000000006"/>
    <n v="5062.68"/>
    <x v="6"/>
  </r>
  <r>
    <n v="956"/>
    <x v="22"/>
    <n v="11"/>
    <d v="2022-04-11T00:00:00"/>
    <s v="FA"/>
    <s v="1052/2976"/>
    <s v="kpl"/>
    <n v="1055"/>
    <n v="69"/>
    <n v="125"/>
    <x v="482"/>
    <n v="1983.75"/>
    <n v="10608.75"/>
    <x v="1"/>
  </r>
  <r>
    <n v="957"/>
    <x v="19"/>
    <n v="10"/>
    <d v="2022-11-16T00:00:00"/>
    <s v="FA"/>
    <s v="1052/2977"/>
    <s v="kpl"/>
    <n v="1056"/>
    <n v="50"/>
    <n v="121"/>
    <x v="197"/>
    <n v="1391.5"/>
    <n v="7441.5"/>
    <x v="8"/>
  </r>
  <r>
    <n v="958"/>
    <x v="5"/>
    <n v="11"/>
    <d v="2022-08-01T00:00:00"/>
    <s v="FA"/>
    <s v="1052/2978"/>
    <s v="kpl"/>
    <n v="1057"/>
    <n v="40"/>
    <n v="87"/>
    <x v="180"/>
    <n v="800.40000000000009"/>
    <n v="4280.3999999999996"/>
    <x v="11"/>
  </r>
  <r>
    <n v="959"/>
    <x v="11"/>
    <n v="8"/>
    <d v="2022-10-07T00:00:00"/>
    <s v="FA"/>
    <s v="1052/2979"/>
    <s v="kpl"/>
    <n v="1058"/>
    <n v="48"/>
    <n v="93"/>
    <x v="273"/>
    <n v="1026.72"/>
    <n v="5490.72"/>
    <x v="5"/>
  </r>
  <r>
    <n v="960"/>
    <x v="14"/>
    <n v="7"/>
    <d v="2022-04-13T00:00:00"/>
    <s v="FA"/>
    <s v="1052/2980"/>
    <s v="kpl"/>
    <n v="1059"/>
    <n v="59"/>
    <n v="86"/>
    <x v="483"/>
    <n v="1167.02"/>
    <n v="6241.02"/>
    <x v="1"/>
  </r>
  <r>
    <n v="961"/>
    <x v="10"/>
    <n v="9"/>
    <d v="2022-06-11T00:00:00"/>
    <s v="FA"/>
    <s v="1052/2981"/>
    <s v="kpl"/>
    <n v="1060"/>
    <n v="38"/>
    <n v="84"/>
    <x v="479"/>
    <n v="734.16000000000008"/>
    <n v="3926.16"/>
    <x v="4"/>
  </r>
  <r>
    <n v="962"/>
    <x v="11"/>
    <n v="9"/>
    <d v="2022-01-20T00:00:00"/>
    <s v="FA"/>
    <s v="1052/2982"/>
    <s v="kpl"/>
    <n v="1061"/>
    <n v="48"/>
    <n v="93"/>
    <x v="273"/>
    <n v="1026.72"/>
    <n v="5490.72"/>
    <x v="0"/>
  </r>
  <r>
    <n v="963"/>
    <x v="25"/>
    <n v="12"/>
    <d v="2022-05-23T00:00:00"/>
    <s v="FA"/>
    <s v="1052/2983"/>
    <s v="kpl"/>
    <n v="1062"/>
    <n v="40"/>
    <n v="59"/>
    <x v="182"/>
    <n v="542.80000000000007"/>
    <n v="2902.8"/>
    <x v="10"/>
  </r>
  <r>
    <n v="964"/>
    <x v="14"/>
    <n v="12"/>
    <d v="2022-02-13T00:00:00"/>
    <s v="FA"/>
    <s v="1052/2984"/>
    <s v="kpl"/>
    <n v="1063"/>
    <n v="67"/>
    <n v="86"/>
    <x v="349"/>
    <n v="1325.26"/>
    <n v="7087.26"/>
    <x v="9"/>
  </r>
  <r>
    <n v="965"/>
    <x v="20"/>
    <n v="9"/>
    <d v="2022-10-20T00:00:00"/>
    <s v="FA"/>
    <s v="1052/2985"/>
    <s v="kpl"/>
    <n v="1064"/>
    <n v="61"/>
    <n v="104"/>
    <x v="484"/>
    <n v="1459.1200000000001"/>
    <n v="7803.12"/>
    <x v="5"/>
  </r>
  <r>
    <n v="966"/>
    <x v="21"/>
    <n v="10"/>
    <d v="2022-08-25T00:00:00"/>
    <s v="FA"/>
    <s v="1052/2986"/>
    <s v="kpl"/>
    <n v="1065"/>
    <n v="54"/>
    <n v="87"/>
    <x v="114"/>
    <n v="1080.54"/>
    <n v="5778.54"/>
    <x v="11"/>
  </r>
  <r>
    <n v="967"/>
    <x v="7"/>
    <n v="11"/>
    <d v="2022-05-16T00:00:00"/>
    <s v="FA"/>
    <s v="1052/2987"/>
    <s v="kpl"/>
    <n v="1066"/>
    <n v="33"/>
    <n v="96"/>
    <x v="187"/>
    <n v="728.64"/>
    <n v="3896.64"/>
    <x v="10"/>
  </r>
  <r>
    <n v="968"/>
    <x v="26"/>
    <n v="10"/>
    <d v="2022-03-11T00:00:00"/>
    <s v="FA"/>
    <s v="1052/2988"/>
    <s v="kpl"/>
    <n v="1067"/>
    <n v="56"/>
    <n v="99"/>
    <x v="65"/>
    <n v="1275.1200000000001"/>
    <n v="6819.12"/>
    <x v="3"/>
  </r>
  <r>
    <n v="969"/>
    <x v="7"/>
    <n v="14"/>
    <d v="2022-04-16T00:00:00"/>
    <s v="FA"/>
    <s v="1052/2989"/>
    <s v="kpl"/>
    <n v="1068"/>
    <n v="45"/>
    <n v="96"/>
    <x v="312"/>
    <n v="993.6"/>
    <n v="5313.6"/>
    <x v="1"/>
  </r>
  <r>
    <n v="970"/>
    <x v="11"/>
    <n v="12"/>
    <d v="2022-09-19T00:00:00"/>
    <s v="FA"/>
    <s v="1052/2990"/>
    <s v="kpl"/>
    <n v="1069"/>
    <n v="52"/>
    <n v="93"/>
    <x v="190"/>
    <n v="1112.28"/>
    <n v="5948.28"/>
    <x v="7"/>
  </r>
  <r>
    <n v="971"/>
    <x v="18"/>
    <n v="8"/>
    <d v="2022-10-17T00:00:00"/>
    <s v="FA"/>
    <s v="1052/2991"/>
    <s v="kpl"/>
    <n v="1070"/>
    <n v="67"/>
    <n v="109"/>
    <x v="142"/>
    <n v="1679.69"/>
    <n v="8982.69"/>
    <x v="5"/>
  </r>
  <r>
    <n v="972"/>
    <x v="1"/>
    <n v="8"/>
    <d v="2022-03-26T00:00:00"/>
    <s v="FA"/>
    <s v="1052/2992"/>
    <s v="kpl"/>
    <n v="1071"/>
    <n v="51"/>
    <n v="99"/>
    <x v="222"/>
    <n v="1161.27"/>
    <n v="6210.27"/>
    <x v="3"/>
  </r>
  <r>
    <n v="973"/>
    <x v="14"/>
    <n v="10"/>
    <d v="2022-12-05T00:00:00"/>
    <s v="FA"/>
    <s v="1052/2993"/>
    <s v="kpl"/>
    <n v="1072"/>
    <n v="63"/>
    <n v="86"/>
    <x v="485"/>
    <n v="1246.1400000000001"/>
    <n v="6664.14"/>
    <x v="2"/>
  </r>
  <r>
    <n v="974"/>
    <x v="5"/>
    <n v="7"/>
    <d v="2022-11-18T00:00:00"/>
    <s v="FA"/>
    <s v="1052/2994"/>
    <s v="kpl"/>
    <n v="1073"/>
    <n v="40"/>
    <n v="87"/>
    <x v="180"/>
    <n v="800.40000000000009"/>
    <n v="4280.3999999999996"/>
    <x v="8"/>
  </r>
  <r>
    <n v="975"/>
    <x v="10"/>
    <n v="5"/>
    <d v="2022-05-10T00:00:00"/>
    <s v="FA"/>
    <s v="1052/2995"/>
    <s v="kpl"/>
    <n v="1074"/>
    <n v="54"/>
    <n v="84"/>
    <x v="309"/>
    <n v="1043.28"/>
    <n v="5579.28"/>
    <x v="10"/>
  </r>
  <r>
    <n v="976"/>
    <x v="3"/>
    <n v="11"/>
    <d v="2022-07-03T00:00:00"/>
    <s v="FA"/>
    <s v="1052/2996"/>
    <s v="kpl"/>
    <n v="1075"/>
    <n v="41"/>
    <n v="88"/>
    <x v="265"/>
    <n v="829.84"/>
    <n v="4437.84"/>
    <x v="6"/>
  </r>
  <r>
    <n v="977"/>
    <x v="17"/>
    <n v="11"/>
    <d v="2022-09-07T00:00:00"/>
    <s v="FA"/>
    <s v="1052/2997"/>
    <s v="kpl"/>
    <n v="1076"/>
    <n v="46"/>
    <n v="94"/>
    <x v="472"/>
    <n v="994.5200000000001"/>
    <n v="5318.52"/>
    <x v="7"/>
  </r>
  <r>
    <n v="978"/>
    <x v="23"/>
    <n v="11"/>
    <d v="2022-02-28T00:00:00"/>
    <s v="FA"/>
    <s v="1052/2998"/>
    <s v="kpl"/>
    <n v="1077"/>
    <n v="65"/>
    <n v="105"/>
    <x v="486"/>
    <n v="1569.75"/>
    <n v="8394.75"/>
    <x v="9"/>
  </r>
  <r>
    <n v="979"/>
    <x v="3"/>
    <n v="13"/>
    <d v="2022-09-23T00:00:00"/>
    <s v="FA"/>
    <s v="1052/2999"/>
    <s v="kpl"/>
    <n v="1078"/>
    <n v="51"/>
    <n v="88"/>
    <x v="19"/>
    <n v="1032.24"/>
    <n v="5520.24"/>
    <x v="7"/>
  </r>
  <r>
    <n v="980"/>
    <x v="16"/>
    <n v="10"/>
    <d v="2022-04-14T00:00:00"/>
    <s v="FA"/>
    <s v="1052/3000"/>
    <s v="kpl"/>
    <n v="1079"/>
    <n v="45"/>
    <n v="132"/>
    <x v="85"/>
    <n v="1366.2"/>
    <n v="7306.2"/>
    <x v="1"/>
  </r>
  <r>
    <n v="981"/>
    <x v="8"/>
    <n v="9"/>
    <d v="2022-01-25T00:00:00"/>
    <s v="FA"/>
    <s v="1052/3001"/>
    <s v="kpl"/>
    <n v="1080"/>
    <n v="57"/>
    <n v="89"/>
    <x v="487"/>
    <n v="1166.79"/>
    <n v="6239.79"/>
    <x v="0"/>
  </r>
  <r>
    <n v="982"/>
    <x v="6"/>
    <n v="8"/>
    <d v="2022-12-05T00:00:00"/>
    <s v="FA"/>
    <s v="1052/3002"/>
    <s v="kpl"/>
    <n v="1081"/>
    <n v="60"/>
    <n v="84"/>
    <x v="378"/>
    <n v="1159.2"/>
    <n v="6199.2"/>
    <x v="2"/>
  </r>
  <r>
    <n v="983"/>
    <x v="22"/>
    <n v="12"/>
    <d v="2022-09-08T00:00:00"/>
    <s v="FA"/>
    <s v="1052/3003"/>
    <s v="kpl"/>
    <n v="1082"/>
    <n v="60"/>
    <n v="125"/>
    <x v="488"/>
    <n v="1725"/>
    <n v="9225"/>
    <x v="7"/>
  </r>
  <r>
    <n v="984"/>
    <x v="22"/>
    <n v="9"/>
    <d v="2022-09-03T00:00:00"/>
    <s v="FA"/>
    <s v="1052/3004"/>
    <s v="kpl"/>
    <n v="1083"/>
    <n v="46"/>
    <n v="125"/>
    <x v="263"/>
    <n v="1322.5"/>
    <n v="7072.5"/>
    <x v="7"/>
  </r>
  <r>
    <n v="985"/>
    <x v="24"/>
    <n v="6"/>
    <d v="2022-03-02T00:00:00"/>
    <s v="FA"/>
    <s v="1052/3005"/>
    <s v="kpl"/>
    <n v="1084"/>
    <n v="38"/>
    <n v="129"/>
    <x v="247"/>
    <n v="1127.46"/>
    <n v="6029.46"/>
    <x v="3"/>
  </r>
  <r>
    <n v="986"/>
    <x v="6"/>
    <n v="9"/>
    <d v="2022-06-01T00:00:00"/>
    <s v="FA"/>
    <s v="1052/3006"/>
    <s v="kpl"/>
    <n v="1085"/>
    <n v="60"/>
    <n v="84"/>
    <x v="378"/>
    <n v="1159.2"/>
    <n v="6199.2"/>
    <x v="4"/>
  </r>
  <r>
    <n v="987"/>
    <x v="8"/>
    <n v="14"/>
    <d v="2022-08-09T00:00:00"/>
    <s v="FA"/>
    <s v="1052/3007"/>
    <s v="kpl"/>
    <n v="1086"/>
    <n v="38"/>
    <n v="89"/>
    <x v="489"/>
    <n v="777.86"/>
    <n v="4159.8599999999997"/>
    <x v="11"/>
  </r>
  <r>
    <n v="988"/>
    <x v="10"/>
    <n v="8"/>
    <d v="2022-02-03T00:00:00"/>
    <s v="FA"/>
    <s v="1052/3008"/>
    <s v="kpl"/>
    <n v="1087"/>
    <n v="52"/>
    <n v="84"/>
    <x v="109"/>
    <n v="1004.6400000000001"/>
    <n v="5372.64"/>
    <x v="9"/>
  </r>
  <r>
    <n v="989"/>
    <x v="13"/>
    <n v="8"/>
    <d v="2022-12-07T00:00:00"/>
    <s v="FA"/>
    <s v="1052/3009"/>
    <s v="kpl"/>
    <n v="1088"/>
    <n v="58"/>
    <n v="88"/>
    <x v="97"/>
    <n v="1173.92"/>
    <n v="6277.92"/>
    <x v="2"/>
  </r>
  <r>
    <n v="990"/>
    <x v="24"/>
    <n v="16"/>
    <d v="2022-12-04T00:00:00"/>
    <s v="FA"/>
    <s v="1052/3010"/>
    <s v="kpl"/>
    <n v="1089"/>
    <n v="47"/>
    <n v="129"/>
    <x v="462"/>
    <n v="1394.49"/>
    <n v="7457.49"/>
    <x v="2"/>
  </r>
  <r>
    <n v="991"/>
    <x v="12"/>
    <n v="14"/>
    <d v="2022-09-23T00:00:00"/>
    <s v="FA"/>
    <s v="1052/3011"/>
    <s v="kpl"/>
    <n v="1090"/>
    <n v="38"/>
    <n v="91"/>
    <x v="15"/>
    <n v="795.34"/>
    <n v="4253.34"/>
    <x v="7"/>
  </r>
  <r>
    <n v="992"/>
    <x v="14"/>
    <n v="12"/>
    <d v="2022-02-09T00:00:00"/>
    <s v="FA"/>
    <s v="1052/3012"/>
    <s v="kpl"/>
    <n v="1091"/>
    <n v="50"/>
    <n v="86"/>
    <x v="239"/>
    <n v="989"/>
    <n v="5289"/>
    <x v="9"/>
  </r>
  <r>
    <n v="993"/>
    <x v="12"/>
    <n v="10"/>
    <d v="2022-06-09T00:00:00"/>
    <s v="FA"/>
    <s v="1052/3013"/>
    <s v="kpl"/>
    <n v="1092"/>
    <n v="33"/>
    <n v="91"/>
    <x v="490"/>
    <n v="690.69"/>
    <n v="3693.69"/>
    <x v="4"/>
  </r>
  <r>
    <n v="994"/>
    <x v="3"/>
    <n v="8"/>
    <d v="2022-03-09T00:00:00"/>
    <s v="FA"/>
    <s v="1052/3014"/>
    <s v="kpl"/>
    <n v="1093"/>
    <n v="47"/>
    <n v="88"/>
    <x v="165"/>
    <n v="951.28000000000009"/>
    <n v="5087.28"/>
    <x v="3"/>
  </r>
  <r>
    <n v="995"/>
    <x v="7"/>
    <n v="10"/>
    <d v="2022-07-28T00:00:00"/>
    <s v="FA"/>
    <s v="1052/3015"/>
    <s v="kpl"/>
    <n v="1094"/>
    <n v="50"/>
    <n v="96"/>
    <x v="31"/>
    <n v="1104"/>
    <n v="5904"/>
    <x v="6"/>
  </r>
  <r>
    <n v="996"/>
    <x v="22"/>
    <n v="9"/>
    <d v="2022-08-07T00:00:00"/>
    <s v="FA"/>
    <s v="1052/3016"/>
    <s v="kpl"/>
    <n v="1095"/>
    <n v="64"/>
    <n v="125"/>
    <x v="491"/>
    <n v="1840"/>
    <n v="9840"/>
    <x v="11"/>
  </r>
  <r>
    <n v="997"/>
    <x v="4"/>
    <n v="12"/>
    <d v="2022-01-16T00:00:00"/>
    <s v="FA"/>
    <s v="1052/3017"/>
    <s v="kpl"/>
    <n v="1096"/>
    <n v="49"/>
    <n v="85"/>
    <x v="48"/>
    <n v="957.95"/>
    <n v="5122.95"/>
    <x v="0"/>
  </r>
  <r>
    <n v="998"/>
    <x v="24"/>
    <n v="8"/>
    <d v="2022-10-20T00:00:00"/>
    <s v="FA"/>
    <s v="1052/3018"/>
    <s v="kpl"/>
    <n v="1097"/>
    <n v="49"/>
    <n v="129"/>
    <x v="492"/>
    <n v="1453.8300000000002"/>
    <n v="7774.83"/>
    <x v="5"/>
  </r>
  <r>
    <n v="999"/>
    <x v="11"/>
    <n v="11"/>
    <d v="2022-05-24T00:00:00"/>
    <s v="FA"/>
    <s v="1052/3019"/>
    <s v="kpl"/>
    <n v="1098"/>
    <n v="60"/>
    <n v="93"/>
    <x v="493"/>
    <n v="1283.4000000000001"/>
    <n v="6863.4"/>
    <x v="10"/>
  </r>
  <r>
    <n v="1000"/>
    <x v="3"/>
    <n v="12"/>
    <d v="2022-10-18T00:00:00"/>
    <s v="FA"/>
    <s v="1052/3020"/>
    <s v="kpl"/>
    <n v="1099"/>
    <n v="54"/>
    <n v="88"/>
    <x v="126"/>
    <n v="1092.96"/>
    <n v="5844.96"/>
    <x v="5"/>
  </r>
  <r>
    <n v="1001"/>
    <x v="13"/>
    <n v="8"/>
    <d v="2022-05-03T00:00:00"/>
    <s v="FA"/>
    <s v="1052/3021"/>
    <s v="kpl"/>
    <n v="1100"/>
    <n v="71"/>
    <n v="88"/>
    <x v="494"/>
    <n v="1437.04"/>
    <n v="7685.04"/>
    <x v="10"/>
  </r>
  <r>
    <n v="1002"/>
    <x v="15"/>
    <n v="10"/>
    <d v="2022-08-26T00:00:00"/>
    <s v="FA"/>
    <s v="1052/3022"/>
    <s v="kpl"/>
    <n v="1101"/>
    <n v="51"/>
    <n v="90"/>
    <x v="495"/>
    <n v="1055.7"/>
    <n v="5645.7"/>
    <x v="11"/>
  </r>
  <r>
    <n v="1003"/>
    <x v="15"/>
    <n v="11"/>
    <d v="2022-11-15T00:00:00"/>
    <s v="FA"/>
    <s v="1052/3023"/>
    <s v="kpl"/>
    <n v="1102"/>
    <n v="49"/>
    <n v="90"/>
    <x v="474"/>
    <n v="1014.3000000000001"/>
    <n v="5424.3"/>
    <x v="8"/>
  </r>
  <r>
    <n v="1004"/>
    <x v="16"/>
    <n v="9"/>
    <d v="2022-06-15T00:00:00"/>
    <s v="FA"/>
    <s v="1052/3024"/>
    <s v="kpl"/>
    <n v="1103"/>
    <n v="32"/>
    <n v="132"/>
    <x v="40"/>
    <n v="971.5200000000001"/>
    <n v="5195.5200000000004"/>
    <x v="4"/>
  </r>
  <r>
    <n v="1005"/>
    <x v="23"/>
    <n v="8"/>
    <d v="2022-11-25T00:00:00"/>
    <s v="FA"/>
    <s v="1052/3025"/>
    <s v="kpl"/>
    <n v="1104"/>
    <n v="40"/>
    <n v="105"/>
    <x v="194"/>
    <n v="966"/>
    <n v="5166"/>
    <x v="8"/>
  </r>
  <r>
    <n v="1006"/>
    <x v="17"/>
    <n v="12"/>
    <d v="2022-02-08T00:00:00"/>
    <s v="FA"/>
    <s v="1052/3026"/>
    <s v="kpl"/>
    <n v="1105"/>
    <n v="57"/>
    <n v="94"/>
    <x v="496"/>
    <n v="1232.3400000000001"/>
    <n v="6590.34"/>
    <x v="9"/>
  </r>
  <r>
    <n v="1007"/>
    <x v="19"/>
    <n v="13"/>
    <d v="2022-05-17T00:00:00"/>
    <s v="FA"/>
    <s v="1052/3027"/>
    <s v="kpl"/>
    <n v="1106"/>
    <n v="36"/>
    <n v="121"/>
    <x v="90"/>
    <n v="1001.88"/>
    <n v="5357.88"/>
    <x v="10"/>
  </r>
  <r>
    <n v="1008"/>
    <x v="10"/>
    <n v="6"/>
    <d v="2022-02-13T00:00:00"/>
    <s v="FA"/>
    <s v="1052/3028"/>
    <s v="kpl"/>
    <n v="1107"/>
    <n v="63"/>
    <n v="84"/>
    <x v="88"/>
    <n v="1217.1600000000001"/>
    <n v="6509.16"/>
    <x v="9"/>
  </r>
  <r>
    <n v="1009"/>
    <x v="22"/>
    <n v="7"/>
    <d v="2022-04-20T00:00:00"/>
    <s v="FA"/>
    <s v="1052/3029"/>
    <s v="kpl"/>
    <n v="1108"/>
    <n v="42"/>
    <n v="125"/>
    <x v="60"/>
    <n v="1207.5"/>
    <n v="6457.5"/>
    <x v="1"/>
  </r>
  <r>
    <n v="1010"/>
    <x v="7"/>
    <n v="9"/>
    <d v="2022-03-21T00:00:00"/>
    <s v="FA"/>
    <s v="1052/3030"/>
    <s v="kpl"/>
    <n v="1109"/>
    <n v="70"/>
    <n v="96"/>
    <x v="497"/>
    <n v="1545.6000000000001"/>
    <n v="8265.6"/>
    <x v="3"/>
  </r>
  <r>
    <n v="1011"/>
    <x v="15"/>
    <n v="11"/>
    <d v="2022-11-26T00:00:00"/>
    <s v="FA"/>
    <s v="1052/3031"/>
    <s v="kpl"/>
    <n v="1110"/>
    <n v="43"/>
    <n v="90"/>
    <x v="340"/>
    <n v="890.1"/>
    <n v="4760.1000000000004"/>
    <x v="8"/>
  </r>
  <r>
    <n v="1012"/>
    <x v="6"/>
    <n v="10"/>
    <d v="2022-07-01T00:00:00"/>
    <s v="FA"/>
    <s v="1052/3032"/>
    <s v="kpl"/>
    <n v="1111"/>
    <n v="49"/>
    <n v="84"/>
    <x v="74"/>
    <n v="946.68000000000006"/>
    <n v="5062.68"/>
    <x v="6"/>
  </r>
  <r>
    <n v="1013"/>
    <x v="20"/>
    <n v="15"/>
    <d v="2022-06-27T00:00:00"/>
    <s v="FA"/>
    <s v="1052/3033"/>
    <s v="kpl"/>
    <n v="1112"/>
    <n v="51"/>
    <n v="104"/>
    <x v="426"/>
    <n v="1219.92"/>
    <n v="6523.92"/>
    <x v="4"/>
  </r>
  <r>
    <n v="1014"/>
    <x v="18"/>
    <n v="8"/>
    <d v="2022-08-06T00:00:00"/>
    <s v="FA"/>
    <s v="1052/3034"/>
    <s v="kpl"/>
    <n v="1113"/>
    <n v="49"/>
    <n v="109"/>
    <x v="294"/>
    <n v="1228.43"/>
    <n v="6569.43"/>
    <x v="11"/>
  </r>
  <r>
    <n v="1015"/>
    <x v="1"/>
    <n v="9"/>
    <d v="2022-01-22T00:00:00"/>
    <s v="FA"/>
    <s v="1052/3035"/>
    <s v="kpl"/>
    <n v="1114"/>
    <n v="51"/>
    <n v="99"/>
    <x v="222"/>
    <n v="1161.27"/>
    <n v="6210.27"/>
    <x v="0"/>
  </r>
  <r>
    <n v="1016"/>
    <x v="26"/>
    <n v="7"/>
    <d v="2022-04-27T00:00:00"/>
    <s v="FA"/>
    <s v="1052/3036"/>
    <s v="kpl"/>
    <n v="1115"/>
    <n v="43"/>
    <n v="99"/>
    <x v="438"/>
    <n v="979.11"/>
    <n v="5236.1099999999997"/>
    <x v="1"/>
  </r>
  <r>
    <n v="1017"/>
    <x v="24"/>
    <n v="10"/>
    <d v="2022-09-09T00:00:00"/>
    <s v="FA"/>
    <s v="1052/3037"/>
    <s v="kpl"/>
    <n v="1116"/>
    <n v="55"/>
    <n v="129"/>
    <x v="468"/>
    <n v="1631.8500000000001"/>
    <n v="8726.85"/>
    <x v="7"/>
  </r>
  <r>
    <n v="1018"/>
    <x v="9"/>
    <n v="11"/>
    <d v="2022-06-05T00:00:00"/>
    <s v="FA"/>
    <s v="1052/3038"/>
    <s v="kpl"/>
    <n v="1117"/>
    <n v="50"/>
    <n v="108"/>
    <x v="385"/>
    <n v="1242"/>
    <n v="6642"/>
    <x v="4"/>
  </r>
  <r>
    <n v="1019"/>
    <x v="8"/>
    <n v="10"/>
    <d v="2022-01-08T00:00:00"/>
    <s v="FA"/>
    <s v="1052/3039"/>
    <s v="kpl"/>
    <n v="1118"/>
    <n v="39"/>
    <n v="89"/>
    <x v="498"/>
    <n v="798.33"/>
    <n v="4269.33"/>
    <x v="0"/>
  </r>
  <r>
    <n v="1020"/>
    <x v="18"/>
    <n v="13"/>
    <d v="2022-09-28T00:00:00"/>
    <s v="FA"/>
    <s v="1052/3040"/>
    <s v="kpl"/>
    <n v="1119"/>
    <n v="63"/>
    <n v="109"/>
    <x v="420"/>
    <n v="1579.41"/>
    <n v="8446.41"/>
    <x v="7"/>
  </r>
  <r>
    <n v="1021"/>
    <x v="24"/>
    <n v="10"/>
    <d v="2022-01-04T00:00:00"/>
    <s v="FA"/>
    <s v="1052/3041"/>
    <s v="kpl"/>
    <n v="1120"/>
    <n v="54"/>
    <n v="129"/>
    <x v="169"/>
    <n v="1602.18"/>
    <n v="8568.18"/>
    <x v="0"/>
  </r>
  <r>
    <n v="1022"/>
    <x v="19"/>
    <n v="6"/>
    <d v="2022-09-17T00:00:00"/>
    <s v="FA"/>
    <s v="1052/3042"/>
    <s v="kpl"/>
    <n v="1121"/>
    <n v="60"/>
    <n v="121"/>
    <x v="344"/>
    <n v="1669.8000000000002"/>
    <n v="8929.7999999999993"/>
    <x v="7"/>
  </r>
  <r>
    <n v="1023"/>
    <x v="1"/>
    <n v="8"/>
    <d v="2022-03-17T00:00:00"/>
    <s v="FA"/>
    <s v="1052/3043"/>
    <s v="kpl"/>
    <n v="1122"/>
    <n v="62"/>
    <n v="99"/>
    <x v="171"/>
    <n v="1411.74"/>
    <n v="7549.74"/>
    <x v="3"/>
  </r>
  <r>
    <n v="1024"/>
    <x v="21"/>
    <n v="12"/>
    <d v="2022-03-18T00:00:00"/>
    <s v="FA"/>
    <s v="1052/3044"/>
    <s v="kpl"/>
    <n v="1123"/>
    <n v="45"/>
    <n v="87"/>
    <x v="139"/>
    <n v="900.45"/>
    <n v="4815.45"/>
    <x v="3"/>
  </r>
  <r>
    <n v="1025"/>
    <x v="23"/>
    <n v="11"/>
    <d v="2022-04-17T00:00:00"/>
    <s v="FA"/>
    <s v="1052/3045"/>
    <s v="kpl"/>
    <n v="1124"/>
    <n v="45"/>
    <n v="105"/>
    <x v="267"/>
    <n v="1086.75"/>
    <n v="5811.75"/>
    <x v="1"/>
  </r>
  <r>
    <n v="1026"/>
    <x v="7"/>
    <n v="13"/>
    <d v="2022-01-17T00:00:00"/>
    <s v="FA"/>
    <s v="1052/3046"/>
    <s v="kpl"/>
    <n v="1125"/>
    <n v="47"/>
    <n v="96"/>
    <x v="397"/>
    <n v="1037.76"/>
    <n v="5549.76"/>
    <x v="0"/>
  </r>
  <r>
    <n v="1027"/>
    <x v="22"/>
    <n v="8"/>
    <d v="2022-10-18T00:00:00"/>
    <s v="FA"/>
    <s v="1052/3047"/>
    <s v="kpl"/>
    <n v="1126"/>
    <n v="32"/>
    <n v="125"/>
    <x v="499"/>
    <n v="920"/>
    <n v="4920"/>
    <x v="5"/>
  </r>
  <r>
    <n v="1028"/>
    <x v="9"/>
    <n v="12"/>
    <d v="2022-05-15T00:00:00"/>
    <s v="FA"/>
    <s v="1052/3048"/>
    <s v="kpl"/>
    <n v="1127"/>
    <n v="61"/>
    <n v="108"/>
    <x v="500"/>
    <n v="1515.24"/>
    <n v="8103.24"/>
    <x v="10"/>
  </r>
  <r>
    <n v="1029"/>
    <x v="21"/>
    <n v="8"/>
    <d v="2022-12-01T00:00:00"/>
    <s v="FA"/>
    <s v="1052/3049"/>
    <s v="kpl"/>
    <n v="1128"/>
    <n v="44"/>
    <n v="87"/>
    <x v="30"/>
    <n v="880.44"/>
    <n v="4708.4400000000005"/>
    <x v="2"/>
  </r>
  <r>
    <n v="1030"/>
    <x v="17"/>
    <n v="11"/>
    <d v="2022-11-01T00:00:00"/>
    <s v="FA"/>
    <s v="1052/3050"/>
    <s v="kpl"/>
    <n v="1129"/>
    <n v="62"/>
    <n v="94"/>
    <x v="170"/>
    <n v="1340.44"/>
    <n v="7168.4400000000005"/>
    <x v="8"/>
  </r>
  <r>
    <n v="1031"/>
    <x v="18"/>
    <n v="11"/>
    <d v="2022-03-25T00:00:00"/>
    <s v="FA"/>
    <s v="1052/3051"/>
    <s v="kpl"/>
    <n v="1130"/>
    <n v="58"/>
    <n v="109"/>
    <x v="501"/>
    <n v="1454.0600000000002"/>
    <n v="7776.06"/>
    <x v="3"/>
  </r>
  <r>
    <n v="1032"/>
    <x v="21"/>
    <n v="13"/>
    <d v="2022-03-06T00:00:00"/>
    <s v="FA"/>
    <s v="1052/3052"/>
    <s v="kpl"/>
    <n v="1131"/>
    <n v="49"/>
    <n v="87"/>
    <x v="96"/>
    <n v="980.49"/>
    <n v="5243.49"/>
    <x v="3"/>
  </r>
  <r>
    <n v="1033"/>
    <x v="20"/>
    <n v="13"/>
    <d v="2022-11-02T00:00:00"/>
    <s v="FA"/>
    <s v="1052/3053"/>
    <s v="kpl"/>
    <n v="1132"/>
    <n v="45"/>
    <n v="104"/>
    <x v="422"/>
    <n v="1076.4000000000001"/>
    <n v="5756.4"/>
    <x v="8"/>
  </r>
  <r>
    <n v="1034"/>
    <x v="1"/>
    <n v="10"/>
    <d v="2022-08-14T00:00:00"/>
    <s v="FA"/>
    <s v="1052/3054"/>
    <s v="kpl"/>
    <n v="1133"/>
    <n v="57"/>
    <n v="99"/>
    <x v="193"/>
    <n v="1297.8900000000001"/>
    <n v="6940.89"/>
    <x v="11"/>
  </r>
  <r>
    <n v="1035"/>
    <x v="0"/>
    <n v="14"/>
    <d v="2022-10-12T00:00:00"/>
    <s v="FA"/>
    <s v="1052/3055"/>
    <s v="kpl"/>
    <n v="1134"/>
    <n v="49"/>
    <n v="83"/>
    <x v="457"/>
    <n v="935.41000000000008"/>
    <n v="5002.41"/>
    <x v="5"/>
  </r>
  <r>
    <n v="1036"/>
    <x v="3"/>
    <n v="10"/>
    <d v="2022-02-02T00:00:00"/>
    <s v="FA"/>
    <s v="1052/3056"/>
    <s v="kpl"/>
    <n v="1135"/>
    <n v="48"/>
    <n v="88"/>
    <x v="40"/>
    <n v="971.5200000000001"/>
    <n v="5195.5200000000004"/>
    <x v="9"/>
  </r>
  <r>
    <n v="1037"/>
    <x v="20"/>
    <n v="12"/>
    <d v="2022-09-17T00:00:00"/>
    <s v="FA"/>
    <s v="1052/3057"/>
    <s v="kpl"/>
    <n v="1136"/>
    <n v="48"/>
    <n v="104"/>
    <x v="299"/>
    <n v="1148.1600000000001"/>
    <n v="6140.16"/>
    <x v="7"/>
  </r>
  <r>
    <n v="1038"/>
    <x v="16"/>
    <n v="5"/>
    <d v="2022-11-08T00:00:00"/>
    <s v="FA"/>
    <s v="1052/3058"/>
    <s v="kpl"/>
    <n v="1137"/>
    <n v="28"/>
    <n v="132"/>
    <x v="236"/>
    <n v="850.08"/>
    <n v="4546.08"/>
    <x v="8"/>
  </r>
  <r>
    <n v="1039"/>
    <x v="6"/>
    <n v="11"/>
    <d v="2022-01-13T00:00:00"/>
    <s v="FA"/>
    <s v="1052/3059"/>
    <s v="kpl"/>
    <n v="1138"/>
    <n v="50"/>
    <n v="84"/>
    <x v="194"/>
    <n v="966"/>
    <n v="5166"/>
    <x v="0"/>
  </r>
  <r>
    <n v="1040"/>
    <x v="26"/>
    <n v="10"/>
    <d v="2022-01-10T00:00:00"/>
    <s v="FA"/>
    <s v="1052/3060"/>
    <s v="kpl"/>
    <n v="1139"/>
    <n v="54"/>
    <n v="99"/>
    <x v="502"/>
    <n v="1229.5800000000002"/>
    <n v="6575.58"/>
    <x v="0"/>
  </r>
  <r>
    <n v="1041"/>
    <x v="24"/>
    <n v="10"/>
    <d v="2022-09-19T00:00:00"/>
    <s v="FA"/>
    <s v="1052/3061"/>
    <s v="kpl"/>
    <n v="1140"/>
    <n v="60"/>
    <n v="129"/>
    <x v="503"/>
    <n v="1780.2"/>
    <n v="9520.2000000000007"/>
    <x v="7"/>
  </r>
  <r>
    <n v="1042"/>
    <x v="15"/>
    <n v="11"/>
    <d v="2022-09-11T00:00:00"/>
    <s v="FA"/>
    <s v="1052/3062"/>
    <s v="kpl"/>
    <n v="1141"/>
    <n v="43"/>
    <n v="90"/>
    <x v="340"/>
    <n v="890.1"/>
    <n v="4760.1000000000004"/>
    <x v="7"/>
  </r>
  <r>
    <n v="1043"/>
    <x v="8"/>
    <n v="15"/>
    <d v="2022-09-12T00:00:00"/>
    <s v="FA"/>
    <s v="1052/3063"/>
    <s v="kpl"/>
    <n v="1142"/>
    <n v="51"/>
    <n v="89"/>
    <x v="504"/>
    <n v="1043.97"/>
    <n v="5582.97"/>
    <x v="7"/>
  </r>
  <r>
    <n v="1044"/>
    <x v="17"/>
    <n v="9"/>
    <d v="2022-04-23T00:00:00"/>
    <s v="FA"/>
    <s v="1052/3064"/>
    <s v="kpl"/>
    <n v="1143"/>
    <n v="41"/>
    <n v="94"/>
    <x v="505"/>
    <n v="886.42000000000007"/>
    <n v="4740.42"/>
    <x v="1"/>
  </r>
  <r>
    <n v="1045"/>
    <x v="16"/>
    <n v="9"/>
    <d v="2022-03-18T00:00:00"/>
    <s v="FA"/>
    <s v="1052/3065"/>
    <s v="kpl"/>
    <n v="1144"/>
    <n v="34"/>
    <n v="132"/>
    <x v="19"/>
    <n v="1032.24"/>
    <n v="5520.24"/>
    <x v="3"/>
  </r>
  <r>
    <n v="1046"/>
    <x v="16"/>
    <n v="3"/>
    <d v="2022-08-01T00:00:00"/>
    <s v="FA"/>
    <s v="1052/3066"/>
    <s v="kpl"/>
    <n v="1145"/>
    <n v="38"/>
    <n v="132"/>
    <x v="156"/>
    <n v="1153.68"/>
    <n v="6169.68"/>
    <x v="11"/>
  </r>
  <r>
    <n v="1047"/>
    <x v="2"/>
    <n v="9"/>
    <d v="2022-05-15T00:00:00"/>
    <s v="FA"/>
    <s v="1052/3067"/>
    <s v="kpl"/>
    <n v="1146"/>
    <n v="47"/>
    <n v="84"/>
    <x v="55"/>
    <n v="908.04000000000008"/>
    <n v="4856.04"/>
    <x v="10"/>
  </r>
  <r>
    <n v="1048"/>
    <x v="3"/>
    <n v="7"/>
    <d v="2022-06-13T00:00:00"/>
    <s v="FA"/>
    <s v="1052/3068"/>
    <s v="kpl"/>
    <n v="1147"/>
    <n v="58"/>
    <n v="88"/>
    <x v="97"/>
    <n v="1173.92"/>
    <n v="6277.92"/>
    <x v="4"/>
  </r>
  <r>
    <n v="1049"/>
    <x v="20"/>
    <n v="6"/>
    <d v="2022-10-06T00:00:00"/>
    <s v="FA"/>
    <s v="1052/3069"/>
    <s v="kpl"/>
    <n v="1148"/>
    <n v="56"/>
    <n v="104"/>
    <x v="100"/>
    <n v="1339.52"/>
    <n v="7163.52"/>
    <x v="5"/>
  </r>
  <r>
    <n v="1050"/>
    <x v="18"/>
    <n v="11"/>
    <d v="2022-01-07T00:00:00"/>
    <s v="FA"/>
    <s v="1052/3070"/>
    <s v="kpl"/>
    <n v="1149"/>
    <n v="56"/>
    <n v="109"/>
    <x v="311"/>
    <n v="1403.92"/>
    <n v="7507.92"/>
    <x v="0"/>
  </r>
  <r>
    <n v="1051"/>
    <x v="23"/>
    <n v="9"/>
    <d v="2022-10-24T00:00:00"/>
    <s v="FA"/>
    <s v="1052/3071"/>
    <s v="kpl"/>
    <n v="1150"/>
    <n v="60"/>
    <n v="105"/>
    <x v="310"/>
    <n v="1449"/>
    <n v="7749"/>
    <x v="5"/>
  </r>
  <r>
    <n v="1052"/>
    <x v="21"/>
    <n v="13"/>
    <d v="2022-10-08T00:00:00"/>
    <s v="FA"/>
    <s v="1052/3072"/>
    <s v="kpl"/>
    <n v="1151"/>
    <n v="40"/>
    <n v="87"/>
    <x v="180"/>
    <n v="800.40000000000009"/>
    <n v="4280.3999999999996"/>
    <x v="5"/>
  </r>
  <r>
    <n v="1053"/>
    <x v="16"/>
    <n v="12"/>
    <d v="2022-09-23T00:00:00"/>
    <s v="FA"/>
    <s v="1052/3073"/>
    <s v="kpl"/>
    <n v="1152"/>
    <n v="52"/>
    <n v="132"/>
    <x v="506"/>
    <n v="1578.72"/>
    <n v="8442.7199999999993"/>
    <x v="7"/>
  </r>
  <r>
    <n v="1054"/>
    <x v="17"/>
    <n v="4"/>
    <d v="2022-05-23T00:00:00"/>
    <s v="FA"/>
    <s v="1052/3074"/>
    <s v="kpl"/>
    <n v="1153"/>
    <n v="49"/>
    <n v="94"/>
    <x v="148"/>
    <n v="1059.3800000000001"/>
    <n v="5665.38"/>
    <x v="10"/>
  </r>
  <r>
    <n v="1055"/>
    <x v="15"/>
    <n v="10"/>
    <d v="2022-04-08T00:00:00"/>
    <s v="FA"/>
    <s v="1052/3075"/>
    <s v="kpl"/>
    <n v="1154"/>
    <n v="44"/>
    <n v="90"/>
    <x v="291"/>
    <n v="910.80000000000007"/>
    <n v="4870.8"/>
    <x v="1"/>
  </r>
  <r>
    <n v="1056"/>
    <x v="21"/>
    <n v="8"/>
    <d v="2022-07-09T00:00:00"/>
    <s v="FA"/>
    <s v="1052/3076"/>
    <s v="kpl"/>
    <n v="1155"/>
    <n v="65"/>
    <n v="87"/>
    <x v="89"/>
    <n v="1300.6500000000001"/>
    <n v="6955.65"/>
    <x v="6"/>
  </r>
  <r>
    <n v="1057"/>
    <x v="17"/>
    <n v="8"/>
    <d v="2022-01-19T00:00:00"/>
    <s v="FA"/>
    <s v="1052/3077"/>
    <s v="kpl"/>
    <n v="1156"/>
    <n v="35"/>
    <n v="94"/>
    <x v="507"/>
    <n v="756.7"/>
    <n v="4046.7"/>
    <x v="0"/>
  </r>
  <r>
    <n v="1058"/>
    <x v="17"/>
    <n v="11"/>
    <d v="2022-09-21T00:00:00"/>
    <s v="FA"/>
    <s v="1052/3078"/>
    <s v="kpl"/>
    <n v="1157"/>
    <n v="36"/>
    <n v="94"/>
    <x v="508"/>
    <n v="778.32"/>
    <n v="4162.32"/>
    <x v="7"/>
  </r>
  <r>
    <n v="1059"/>
    <x v="26"/>
    <n v="10"/>
    <d v="2022-08-15T00:00:00"/>
    <s v="FA"/>
    <s v="1052/3079"/>
    <s v="kpl"/>
    <n v="1158"/>
    <n v="58"/>
    <n v="99"/>
    <x v="509"/>
    <n v="1320.66"/>
    <n v="7062.66"/>
    <x v="11"/>
  </r>
  <r>
    <n v="1060"/>
    <x v="0"/>
    <n v="12"/>
    <d v="2022-11-09T00:00:00"/>
    <s v="FA"/>
    <s v="1052/3080"/>
    <s v="kpl"/>
    <n v="1159"/>
    <n v="77"/>
    <n v="83"/>
    <x v="510"/>
    <n v="1469.93"/>
    <n v="7860.93"/>
    <x v="8"/>
  </r>
  <r>
    <n v="1061"/>
    <x v="23"/>
    <n v="10"/>
    <d v="2022-12-05T00:00:00"/>
    <s v="FA"/>
    <s v="1052/3081"/>
    <s v="kpl"/>
    <n v="1160"/>
    <n v="37"/>
    <n v="105"/>
    <x v="511"/>
    <n v="893.55000000000007"/>
    <n v="4778.55"/>
    <x v="2"/>
  </r>
  <r>
    <n v="1062"/>
    <x v="5"/>
    <n v="10"/>
    <d v="2022-06-21T00:00:00"/>
    <s v="FA"/>
    <s v="1052/3082"/>
    <s v="kpl"/>
    <n v="1161"/>
    <n v="32"/>
    <n v="87"/>
    <x v="370"/>
    <n v="640.32000000000005"/>
    <n v="3424.32"/>
    <x v="4"/>
  </r>
  <r>
    <n v="1063"/>
    <x v="7"/>
    <n v="11"/>
    <d v="2022-11-26T00:00:00"/>
    <s v="FA"/>
    <s v="1052/3083"/>
    <s v="kpl"/>
    <n v="1162"/>
    <n v="55"/>
    <n v="96"/>
    <x v="9"/>
    <n v="1214.4000000000001"/>
    <n v="6494.4"/>
    <x v="8"/>
  </r>
  <r>
    <n v="1064"/>
    <x v="16"/>
    <n v="10"/>
    <d v="2022-04-25T00:00:00"/>
    <s v="FA"/>
    <s v="1052/3084"/>
    <s v="kpl"/>
    <n v="1163"/>
    <n v="60"/>
    <n v="132"/>
    <x v="229"/>
    <n v="1821.6000000000001"/>
    <n v="9741.6"/>
    <x v="1"/>
  </r>
  <r>
    <n v="1065"/>
    <x v="21"/>
    <n v="6"/>
    <d v="2022-10-20T00:00:00"/>
    <s v="FA"/>
    <s v="1052/3085"/>
    <s v="kpl"/>
    <n v="1164"/>
    <n v="46"/>
    <n v="87"/>
    <x v="281"/>
    <n v="920.46"/>
    <n v="4922.46"/>
    <x v="5"/>
  </r>
  <r>
    <n v="1066"/>
    <x v="1"/>
    <n v="11"/>
    <d v="2022-11-13T00:00:00"/>
    <s v="FA"/>
    <s v="1052/3086"/>
    <s v="kpl"/>
    <n v="1165"/>
    <n v="45"/>
    <n v="99"/>
    <x v="121"/>
    <n v="1024.6500000000001"/>
    <n v="5479.65"/>
    <x v="8"/>
  </r>
  <r>
    <n v="1067"/>
    <x v="3"/>
    <n v="11"/>
    <d v="2022-12-17T00:00:00"/>
    <s v="FA"/>
    <s v="1052/3087"/>
    <s v="kpl"/>
    <n v="1166"/>
    <n v="69"/>
    <n v="88"/>
    <x v="300"/>
    <n v="1396.5600000000002"/>
    <n v="7468.56"/>
    <x v="2"/>
  </r>
  <r>
    <n v="1068"/>
    <x v="25"/>
    <n v="8"/>
    <d v="2022-07-23T00:00:00"/>
    <s v="FA"/>
    <s v="1052/3088"/>
    <s v="kpl"/>
    <n v="1167"/>
    <n v="37"/>
    <n v="59"/>
    <x v="512"/>
    <n v="502.09000000000003"/>
    <n v="2685.09"/>
    <x v="6"/>
  </r>
  <r>
    <n v="1069"/>
    <x v="17"/>
    <n v="11"/>
    <d v="2022-09-02T00:00:00"/>
    <s v="FA"/>
    <s v="1052/3089"/>
    <s v="kpl"/>
    <n v="1168"/>
    <n v="67"/>
    <n v="94"/>
    <x v="513"/>
    <n v="1448.54"/>
    <n v="7746.54"/>
    <x v="7"/>
  </r>
  <r>
    <n v="1070"/>
    <x v="9"/>
    <n v="10"/>
    <d v="2022-03-18T00:00:00"/>
    <s v="FA"/>
    <s v="1052/3090"/>
    <s v="kpl"/>
    <n v="1169"/>
    <n v="50"/>
    <n v="108"/>
    <x v="385"/>
    <n v="1242"/>
    <n v="6642"/>
    <x v="3"/>
  </r>
  <r>
    <n v="1071"/>
    <x v="7"/>
    <n v="14"/>
    <d v="2022-01-14T00:00:00"/>
    <s v="FA"/>
    <s v="1052/3091"/>
    <s v="kpl"/>
    <n v="1170"/>
    <n v="47"/>
    <n v="96"/>
    <x v="397"/>
    <n v="1037.76"/>
    <n v="5549.76"/>
    <x v="0"/>
  </r>
  <r>
    <n v="1072"/>
    <x v="3"/>
    <n v="11"/>
    <d v="2022-03-13T00:00:00"/>
    <s v="FA"/>
    <s v="1052/3092"/>
    <s v="kpl"/>
    <n v="1171"/>
    <n v="48"/>
    <n v="88"/>
    <x v="40"/>
    <n v="971.5200000000001"/>
    <n v="5195.5200000000004"/>
    <x v="3"/>
  </r>
  <r>
    <n v="1073"/>
    <x v="11"/>
    <n v="10"/>
    <d v="2022-06-04T00:00:00"/>
    <s v="FA"/>
    <s v="1052/3093"/>
    <s v="kpl"/>
    <n v="1172"/>
    <n v="49"/>
    <n v="93"/>
    <x v="381"/>
    <n v="1048.1100000000001"/>
    <n v="5605.1100000000006"/>
    <x v="4"/>
  </r>
  <r>
    <n v="1074"/>
    <x v="24"/>
    <n v="9"/>
    <d v="2022-06-01T00:00:00"/>
    <s v="FA"/>
    <s v="1052/3094"/>
    <s v="kpl"/>
    <n v="1173"/>
    <n v="49"/>
    <n v="129"/>
    <x v="492"/>
    <n v="1453.8300000000002"/>
    <n v="7774.83"/>
    <x v="4"/>
  </r>
  <r>
    <n v="1075"/>
    <x v="21"/>
    <n v="11"/>
    <d v="2022-02-05T00:00:00"/>
    <s v="FA"/>
    <s v="1052/3095"/>
    <s v="kpl"/>
    <n v="1174"/>
    <n v="51"/>
    <n v="87"/>
    <x v="173"/>
    <n v="1020.51"/>
    <n v="5457.51"/>
    <x v="9"/>
  </r>
  <r>
    <n v="1076"/>
    <x v="3"/>
    <n v="12"/>
    <d v="2022-12-11T00:00:00"/>
    <s v="FA"/>
    <s v="1052/3096"/>
    <s v="kpl"/>
    <n v="1175"/>
    <n v="43"/>
    <n v="88"/>
    <x v="214"/>
    <n v="870.32"/>
    <n v="4654.32"/>
    <x v="2"/>
  </r>
  <r>
    <n v="1077"/>
    <x v="8"/>
    <n v="7"/>
    <d v="2022-12-27T00:00:00"/>
    <s v="FA"/>
    <s v="1052/3097"/>
    <s v="kpl"/>
    <n v="1176"/>
    <n v="40"/>
    <n v="89"/>
    <x v="514"/>
    <n v="818.80000000000007"/>
    <n v="4378.8"/>
    <x v="2"/>
  </r>
  <r>
    <n v="1078"/>
    <x v="4"/>
    <n v="10"/>
    <d v="2022-06-01T00:00:00"/>
    <s v="FA"/>
    <s v="1052/3098"/>
    <s v="kpl"/>
    <n v="1177"/>
    <n v="36"/>
    <n v="85"/>
    <x v="449"/>
    <n v="703.80000000000007"/>
    <n v="3763.8"/>
    <x v="4"/>
  </r>
  <r>
    <n v="1079"/>
    <x v="0"/>
    <n v="8"/>
    <d v="2022-10-27T00:00:00"/>
    <s v="FA"/>
    <s v="1052/3099"/>
    <s v="kpl"/>
    <n v="1178"/>
    <n v="50"/>
    <n v="83"/>
    <x v="515"/>
    <n v="954.5"/>
    <n v="5104.5"/>
    <x v="5"/>
  </r>
  <r>
    <n v="1080"/>
    <x v="19"/>
    <n v="8"/>
    <d v="2022-12-06T00:00:00"/>
    <s v="FA"/>
    <s v="1052/3100"/>
    <s v="kpl"/>
    <n v="1179"/>
    <n v="51"/>
    <n v="121"/>
    <x v="516"/>
    <n v="1419.3300000000002"/>
    <n v="7590.33"/>
    <x v="2"/>
  </r>
  <r>
    <n v="1081"/>
    <x v="1"/>
    <n v="11"/>
    <d v="2022-11-10T00:00:00"/>
    <s v="FA"/>
    <s v="1052/3101"/>
    <s v="kpl"/>
    <n v="1180"/>
    <n v="57"/>
    <n v="99"/>
    <x v="193"/>
    <n v="1297.8900000000001"/>
    <n v="6940.89"/>
    <x v="8"/>
  </r>
  <r>
    <n v="1082"/>
    <x v="9"/>
    <n v="10"/>
    <d v="2022-04-26T00:00:00"/>
    <s v="FA"/>
    <s v="1052/3102"/>
    <s v="kpl"/>
    <n v="1181"/>
    <n v="32"/>
    <n v="108"/>
    <x v="517"/>
    <n v="794.88"/>
    <n v="4250.88"/>
    <x v="1"/>
  </r>
  <r>
    <n v="1083"/>
    <x v="7"/>
    <n v="17"/>
    <d v="2022-09-13T00:00:00"/>
    <s v="FA"/>
    <s v="1052/3103"/>
    <s v="kpl"/>
    <n v="1182"/>
    <n v="60"/>
    <n v="96"/>
    <x v="518"/>
    <n v="1324.8"/>
    <n v="7084.8"/>
    <x v="7"/>
  </r>
  <r>
    <n v="1084"/>
    <x v="19"/>
    <n v="8"/>
    <d v="2022-02-19T00:00:00"/>
    <s v="FA"/>
    <s v="1052/3104"/>
    <s v="kpl"/>
    <n v="1183"/>
    <n v="58"/>
    <n v="121"/>
    <x v="451"/>
    <n v="1614.14"/>
    <n v="8632.14"/>
    <x v="9"/>
  </r>
  <r>
    <n v="1085"/>
    <x v="18"/>
    <n v="10"/>
    <d v="2022-04-23T00:00:00"/>
    <s v="FA"/>
    <s v="1052/3105"/>
    <s v="kpl"/>
    <n v="1184"/>
    <n v="51"/>
    <n v="109"/>
    <x v="106"/>
    <n v="1278.5700000000002"/>
    <n v="6837.57"/>
    <x v="1"/>
  </r>
  <r>
    <n v="1086"/>
    <x v="15"/>
    <n v="10"/>
    <d v="2022-08-25T00:00:00"/>
    <s v="FA"/>
    <s v="1052/3106"/>
    <s v="kpl"/>
    <n v="1185"/>
    <n v="52"/>
    <n v="90"/>
    <x v="422"/>
    <n v="1076.4000000000001"/>
    <n v="5756.4"/>
    <x v="11"/>
  </r>
  <r>
    <n v="1087"/>
    <x v="1"/>
    <n v="11"/>
    <d v="2022-03-24T00:00:00"/>
    <s v="FA"/>
    <s v="1052/3107"/>
    <s v="kpl"/>
    <n v="1186"/>
    <n v="53"/>
    <n v="99"/>
    <x v="357"/>
    <n v="1206.81"/>
    <n v="6453.8099999999995"/>
    <x v="3"/>
  </r>
  <r>
    <n v="1088"/>
    <x v="18"/>
    <n v="8"/>
    <d v="2022-10-02T00:00:00"/>
    <s v="FA"/>
    <s v="1052/3108"/>
    <s v="kpl"/>
    <n v="1187"/>
    <n v="55"/>
    <n v="109"/>
    <x v="212"/>
    <n v="1378.8500000000001"/>
    <n v="7373.85"/>
    <x v="5"/>
  </r>
  <r>
    <n v="1089"/>
    <x v="17"/>
    <n v="13"/>
    <d v="2022-11-12T00:00:00"/>
    <s v="FA"/>
    <s v="1052/3109"/>
    <s v="kpl"/>
    <n v="1188"/>
    <n v="50"/>
    <n v="94"/>
    <x v="295"/>
    <n v="1081"/>
    <n v="5781"/>
    <x v="8"/>
  </r>
  <r>
    <n v="1090"/>
    <x v="16"/>
    <n v="12"/>
    <d v="2022-02-21T00:00:00"/>
    <s v="FA"/>
    <s v="1052/3110"/>
    <s v="kpl"/>
    <n v="1189"/>
    <n v="39"/>
    <n v="132"/>
    <x v="145"/>
    <n v="1184.04"/>
    <n v="6332.04"/>
    <x v="9"/>
  </r>
  <r>
    <n v="1091"/>
    <x v="17"/>
    <n v="10"/>
    <d v="2022-07-17T00:00:00"/>
    <s v="FA"/>
    <s v="1052/3111"/>
    <s v="kpl"/>
    <n v="1190"/>
    <n v="35"/>
    <n v="94"/>
    <x v="507"/>
    <n v="756.7"/>
    <n v="4046.7"/>
    <x v="6"/>
  </r>
  <r>
    <n v="1092"/>
    <x v="18"/>
    <n v="12"/>
    <d v="2022-06-21T00:00:00"/>
    <s v="FA"/>
    <s v="1052/3112"/>
    <s v="kpl"/>
    <n v="1191"/>
    <n v="53"/>
    <n v="109"/>
    <x v="225"/>
    <n v="1328.71"/>
    <n v="7105.71"/>
    <x v="4"/>
  </r>
  <r>
    <n v="1093"/>
    <x v="2"/>
    <n v="9"/>
    <d v="2022-02-23T00:00:00"/>
    <s v="FA"/>
    <s v="1052/3113"/>
    <s v="kpl"/>
    <n v="1192"/>
    <n v="37"/>
    <n v="84"/>
    <x v="366"/>
    <n v="714.84"/>
    <n v="3822.84"/>
    <x v="9"/>
  </r>
  <r>
    <n v="1094"/>
    <x v="15"/>
    <n v="12"/>
    <d v="2022-05-08T00:00:00"/>
    <s v="FA"/>
    <s v="1052/3114"/>
    <s v="kpl"/>
    <n v="1193"/>
    <n v="48"/>
    <n v="90"/>
    <x v="312"/>
    <n v="993.6"/>
    <n v="5313.6"/>
    <x v="10"/>
  </r>
  <r>
    <n v="1095"/>
    <x v="7"/>
    <n v="12"/>
    <d v="2022-01-25T00:00:00"/>
    <s v="FA"/>
    <s v="1052/3115"/>
    <s v="kpl"/>
    <n v="1194"/>
    <n v="42"/>
    <n v="96"/>
    <x v="66"/>
    <n v="927.36"/>
    <n v="4959.3599999999997"/>
    <x v="0"/>
  </r>
  <r>
    <n v="1096"/>
    <x v="3"/>
    <n v="10"/>
    <d v="2022-08-04T00:00:00"/>
    <s v="FA"/>
    <s v="1052/3116"/>
    <s v="kpl"/>
    <n v="1195"/>
    <n v="41"/>
    <n v="88"/>
    <x v="265"/>
    <n v="829.84"/>
    <n v="4437.84"/>
    <x v="11"/>
  </r>
  <r>
    <n v="1097"/>
    <x v="18"/>
    <n v="10"/>
    <d v="2022-05-26T00:00:00"/>
    <s v="FA"/>
    <s v="1052/3117"/>
    <s v="kpl"/>
    <n v="1196"/>
    <n v="42"/>
    <n v="109"/>
    <x v="519"/>
    <n v="1052.94"/>
    <n v="5630.9400000000005"/>
    <x v="10"/>
  </r>
  <r>
    <n v="1098"/>
    <x v="14"/>
    <n v="11"/>
    <d v="2022-07-19T00:00:00"/>
    <s v="FA"/>
    <s v="1052/3118"/>
    <s v="kpl"/>
    <n v="1197"/>
    <n v="40"/>
    <n v="86"/>
    <x v="520"/>
    <n v="791.2"/>
    <n v="4231.2"/>
    <x v="6"/>
  </r>
  <r>
    <n v="1099"/>
    <x v="14"/>
    <n v="7"/>
    <d v="2022-08-18T00:00:00"/>
    <s v="FA"/>
    <s v="1052/3119"/>
    <s v="kpl"/>
    <n v="1198"/>
    <n v="40"/>
    <n v="86"/>
    <x v="520"/>
    <n v="791.2"/>
    <n v="4231.2"/>
    <x v="11"/>
  </r>
  <r>
    <n v="1100"/>
    <x v="24"/>
    <n v="13"/>
    <d v="2022-12-13T00:00:00"/>
    <s v="FA"/>
    <s v="1052/3120"/>
    <s v="kpl"/>
    <n v="1199"/>
    <n v="51"/>
    <n v="129"/>
    <x v="335"/>
    <n v="1513.17"/>
    <n v="8092.17"/>
    <x v="2"/>
  </r>
  <r>
    <n v="1101"/>
    <x v="18"/>
    <n v="9"/>
    <d v="2022-01-24T00:00:00"/>
    <s v="FA"/>
    <s v="1052/3121"/>
    <s v="kpl"/>
    <n v="1200"/>
    <n v="47"/>
    <n v="109"/>
    <x v="77"/>
    <n v="1178.29"/>
    <n v="6301.29"/>
    <x v="0"/>
  </r>
  <r>
    <n v="1102"/>
    <x v="14"/>
    <n v="9"/>
    <d v="2022-08-06T00:00:00"/>
    <s v="FA"/>
    <s v="1052/3122"/>
    <s v="kpl"/>
    <n v="1201"/>
    <n v="45"/>
    <n v="86"/>
    <x v="340"/>
    <n v="890.1"/>
    <n v="4760.1000000000004"/>
    <x v="11"/>
  </r>
  <r>
    <n v="1103"/>
    <x v="22"/>
    <n v="10"/>
    <d v="2022-01-23T00:00:00"/>
    <s v="FA"/>
    <s v="1052/3123"/>
    <s v="kpl"/>
    <n v="1202"/>
    <n v="63"/>
    <n v="125"/>
    <x v="332"/>
    <n v="1811.25"/>
    <n v="9686.25"/>
    <x v="0"/>
  </r>
  <r>
    <n v="1104"/>
    <x v="23"/>
    <n v="9"/>
    <d v="2022-01-24T00:00:00"/>
    <s v="FA"/>
    <s v="1052/3124"/>
    <s v="kpl"/>
    <n v="1203"/>
    <n v="62"/>
    <n v="105"/>
    <x v="469"/>
    <n v="1497.3"/>
    <n v="8007.3"/>
    <x v="0"/>
  </r>
  <r>
    <n v="1105"/>
    <x v="13"/>
    <n v="6"/>
    <d v="2022-03-10T00:00:00"/>
    <s v="FA"/>
    <s v="1052/3125"/>
    <s v="kpl"/>
    <n v="1204"/>
    <n v="43"/>
    <n v="88"/>
    <x v="214"/>
    <n v="870.32"/>
    <n v="4654.32"/>
    <x v="3"/>
  </r>
  <r>
    <n v="1106"/>
    <x v="10"/>
    <n v="9"/>
    <d v="2022-01-02T00:00:00"/>
    <s v="FA"/>
    <s v="1052/3126"/>
    <s v="kpl"/>
    <n v="1205"/>
    <n v="41"/>
    <n v="84"/>
    <x v="39"/>
    <n v="792.12"/>
    <n v="4236.12"/>
    <x v="0"/>
  </r>
  <r>
    <n v="1107"/>
    <x v="5"/>
    <n v="10"/>
    <d v="2022-09-10T00:00:00"/>
    <s v="FA"/>
    <s v="1052/3127"/>
    <s v="kpl"/>
    <n v="1206"/>
    <n v="55"/>
    <n v="87"/>
    <x v="521"/>
    <n v="1100.55"/>
    <n v="5885.55"/>
    <x v="7"/>
  </r>
  <r>
    <n v="1108"/>
    <x v="7"/>
    <n v="15"/>
    <d v="2022-10-04T00:00:00"/>
    <s v="FA"/>
    <s v="1052/3128"/>
    <s v="kpl"/>
    <n v="1207"/>
    <n v="50"/>
    <n v="96"/>
    <x v="31"/>
    <n v="1104"/>
    <n v="5904"/>
    <x v="5"/>
  </r>
  <r>
    <n v="1109"/>
    <x v="14"/>
    <n v="10"/>
    <d v="2022-01-28T00:00:00"/>
    <s v="FA"/>
    <s v="1052/3129"/>
    <s v="kpl"/>
    <n v="1208"/>
    <n v="48"/>
    <n v="86"/>
    <x v="73"/>
    <n v="949.44"/>
    <n v="5077.4400000000005"/>
    <x v="0"/>
  </r>
  <r>
    <n v="1110"/>
    <x v="6"/>
    <n v="8"/>
    <d v="2022-10-24T00:00:00"/>
    <s v="FA"/>
    <s v="1052/3130"/>
    <s v="kpl"/>
    <n v="1209"/>
    <n v="38"/>
    <n v="84"/>
    <x v="479"/>
    <n v="734.16000000000008"/>
    <n v="3926.16"/>
    <x v="5"/>
  </r>
  <r>
    <n v="1111"/>
    <x v="14"/>
    <n v="4"/>
    <d v="2022-11-25T00:00:00"/>
    <s v="FA"/>
    <s v="1052/3131"/>
    <s v="kpl"/>
    <n v="1210"/>
    <n v="65"/>
    <n v="86"/>
    <x v="522"/>
    <n v="1285.7"/>
    <n v="6875.7"/>
    <x v="8"/>
  </r>
  <r>
    <n v="1112"/>
    <x v="3"/>
    <n v="8"/>
    <d v="2022-05-23T00:00:00"/>
    <s v="FA"/>
    <s v="1052/3132"/>
    <s v="kpl"/>
    <n v="1211"/>
    <n v="55"/>
    <n v="88"/>
    <x v="29"/>
    <n v="1113.2"/>
    <n v="5953.2"/>
    <x v="10"/>
  </r>
  <r>
    <n v="1113"/>
    <x v="13"/>
    <n v="15"/>
    <d v="2022-08-26T00:00:00"/>
    <s v="FA"/>
    <s v="1052/3133"/>
    <s v="kpl"/>
    <n v="1212"/>
    <n v="48"/>
    <n v="88"/>
    <x v="40"/>
    <n v="971.5200000000001"/>
    <n v="5195.5200000000004"/>
    <x v="11"/>
  </r>
  <r>
    <n v="1114"/>
    <x v="15"/>
    <n v="14"/>
    <d v="2022-02-07T00:00:00"/>
    <s v="FA"/>
    <s v="1052/3134"/>
    <s v="kpl"/>
    <n v="1213"/>
    <n v="62"/>
    <n v="90"/>
    <x v="493"/>
    <n v="1283.4000000000001"/>
    <n v="6863.4"/>
    <x v="9"/>
  </r>
  <r>
    <n v="1115"/>
    <x v="16"/>
    <n v="10"/>
    <d v="2022-07-19T00:00:00"/>
    <s v="FA"/>
    <s v="1052/3135"/>
    <s v="kpl"/>
    <n v="1214"/>
    <n v="33"/>
    <n v="132"/>
    <x v="90"/>
    <n v="1001.88"/>
    <n v="5357.88"/>
    <x v="6"/>
  </r>
  <r>
    <n v="1116"/>
    <x v="7"/>
    <n v="9"/>
    <d v="2022-10-14T00:00:00"/>
    <s v="FA"/>
    <s v="1052/3136"/>
    <s v="kpl"/>
    <n v="1215"/>
    <n v="47"/>
    <n v="96"/>
    <x v="397"/>
    <n v="1037.76"/>
    <n v="5549.76"/>
    <x v="5"/>
  </r>
  <r>
    <n v="1117"/>
    <x v="3"/>
    <n v="9"/>
    <d v="2022-12-24T00:00:00"/>
    <s v="FA"/>
    <s v="1052/3137"/>
    <s v="kpl"/>
    <n v="1216"/>
    <n v="32"/>
    <n v="88"/>
    <x v="523"/>
    <n v="647.68000000000006"/>
    <n v="3463.6800000000003"/>
    <x v="2"/>
  </r>
  <r>
    <n v="1118"/>
    <x v="0"/>
    <n v="11"/>
    <d v="2022-03-16T00:00:00"/>
    <s v="FA"/>
    <s v="1052/3138"/>
    <s v="kpl"/>
    <n v="1217"/>
    <n v="61"/>
    <n v="83"/>
    <x v="87"/>
    <n v="1164.49"/>
    <n v="6227.49"/>
    <x v="3"/>
  </r>
  <r>
    <n v="1119"/>
    <x v="19"/>
    <n v="9"/>
    <d v="2022-09-16T00:00:00"/>
    <s v="FA"/>
    <s v="1052/3139"/>
    <s v="kpl"/>
    <n v="1218"/>
    <n v="68"/>
    <n v="121"/>
    <x v="524"/>
    <n v="1892.44"/>
    <n v="10120.44"/>
    <x v="7"/>
  </r>
  <r>
    <n v="1120"/>
    <x v="12"/>
    <n v="8"/>
    <d v="2022-08-04T00:00:00"/>
    <s v="FA"/>
    <s v="1052/3140"/>
    <s v="kpl"/>
    <n v="1219"/>
    <n v="54"/>
    <n v="91"/>
    <x v="525"/>
    <n v="1130.22"/>
    <n v="6044.22"/>
    <x v="11"/>
  </r>
  <r>
    <n v="1121"/>
    <x v="12"/>
    <n v="12"/>
    <d v="2022-07-14T00:00:00"/>
    <s v="FA"/>
    <s v="1052/3141"/>
    <s v="kpl"/>
    <n v="1220"/>
    <n v="62"/>
    <n v="91"/>
    <x v="526"/>
    <n v="1297.6600000000001"/>
    <n v="6939.66"/>
    <x v="6"/>
  </r>
  <r>
    <n v="1122"/>
    <x v="22"/>
    <n v="10"/>
    <d v="2022-06-24T00:00:00"/>
    <s v="FA"/>
    <s v="1052/3142"/>
    <s v="kpl"/>
    <n v="1221"/>
    <n v="38"/>
    <n v="125"/>
    <x v="465"/>
    <n v="1092.5"/>
    <n v="5842.5"/>
    <x v="4"/>
  </r>
  <r>
    <n v="1123"/>
    <x v="10"/>
    <n v="9"/>
    <d v="2022-10-15T00:00:00"/>
    <s v="FA"/>
    <s v="1052/3143"/>
    <s v="kpl"/>
    <n v="1222"/>
    <n v="49"/>
    <n v="84"/>
    <x v="74"/>
    <n v="946.68000000000006"/>
    <n v="5062.68"/>
    <x v="5"/>
  </r>
  <r>
    <n v="1124"/>
    <x v="19"/>
    <n v="6"/>
    <d v="2022-05-17T00:00:00"/>
    <s v="FA"/>
    <s v="1052/3144"/>
    <s v="kpl"/>
    <n v="1223"/>
    <n v="43"/>
    <n v="121"/>
    <x v="405"/>
    <n v="1196.69"/>
    <n v="6399.6900000000005"/>
    <x v="10"/>
  </r>
  <r>
    <n v="1125"/>
    <x v="24"/>
    <n v="5"/>
    <d v="2022-11-10T00:00:00"/>
    <s v="FA"/>
    <s v="1052/3145"/>
    <s v="kpl"/>
    <n v="1224"/>
    <n v="34"/>
    <n v="129"/>
    <x v="527"/>
    <n v="1008.7800000000001"/>
    <n v="5394.78"/>
    <x v="8"/>
  </r>
  <r>
    <n v="1126"/>
    <x v="7"/>
    <n v="14"/>
    <d v="2022-06-26T00:00:00"/>
    <s v="FA"/>
    <s v="1052/3146"/>
    <s v="kpl"/>
    <n v="1225"/>
    <n v="36"/>
    <n v="96"/>
    <x v="517"/>
    <n v="794.88"/>
    <n v="4250.88"/>
    <x v="4"/>
  </r>
  <r>
    <n v="1127"/>
    <x v="7"/>
    <n v="9"/>
    <d v="2022-01-22T00:00:00"/>
    <s v="FA"/>
    <s v="1052/3147"/>
    <s v="kpl"/>
    <n v="1226"/>
    <n v="56"/>
    <n v="96"/>
    <x v="249"/>
    <n v="1236.48"/>
    <n v="6612.48"/>
    <x v="0"/>
  </r>
  <r>
    <n v="1128"/>
    <x v="20"/>
    <n v="12"/>
    <d v="2022-01-22T00:00:00"/>
    <s v="FA"/>
    <s v="1052/3148"/>
    <s v="kpl"/>
    <n v="1227"/>
    <n v="52"/>
    <n v="104"/>
    <x v="192"/>
    <n v="1243.8400000000001"/>
    <n v="6651.84"/>
    <x v="0"/>
  </r>
  <r>
    <n v="1129"/>
    <x v="0"/>
    <n v="10"/>
    <d v="2022-05-05T00:00:00"/>
    <s v="FA"/>
    <s v="1052/3149"/>
    <s v="kpl"/>
    <n v="1228"/>
    <n v="31"/>
    <n v="83"/>
    <x v="528"/>
    <n v="591.79000000000008"/>
    <n v="3164.79"/>
    <x v="10"/>
  </r>
  <r>
    <n v="1130"/>
    <x v="12"/>
    <n v="14"/>
    <d v="2022-09-18T00:00:00"/>
    <s v="FA"/>
    <s v="1052/3150"/>
    <s v="kpl"/>
    <n v="1229"/>
    <n v="44"/>
    <n v="91"/>
    <x v="107"/>
    <n v="920.92000000000007"/>
    <n v="4924.92"/>
    <x v="7"/>
  </r>
  <r>
    <n v="1131"/>
    <x v="11"/>
    <n v="10"/>
    <d v="2022-04-11T00:00:00"/>
    <s v="FA"/>
    <s v="1052/3151"/>
    <s v="kpl"/>
    <n v="1230"/>
    <n v="52"/>
    <n v="93"/>
    <x v="190"/>
    <n v="1112.28"/>
    <n v="5948.28"/>
    <x v="1"/>
  </r>
  <r>
    <n v="1132"/>
    <x v="25"/>
    <n v="8"/>
    <d v="2022-11-05T00:00:00"/>
    <s v="FA"/>
    <s v="1052/3152"/>
    <s v="kpl"/>
    <n v="1231"/>
    <n v="47"/>
    <n v="59"/>
    <x v="529"/>
    <n v="637.79000000000008"/>
    <n v="3410.79"/>
    <x v="8"/>
  </r>
  <r>
    <n v="1133"/>
    <x v="19"/>
    <n v="9"/>
    <d v="2022-10-03T00:00:00"/>
    <s v="FA"/>
    <s v="1052/3153"/>
    <s v="kpl"/>
    <n v="1232"/>
    <n v="38"/>
    <n v="121"/>
    <x v="530"/>
    <n v="1057.54"/>
    <n v="5655.54"/>
    <x v="5"/>
  </r>
  <r>
    <n v="1134"/>
    <x v="6"/>
    <n v="6"/>
    <d v="2022-08-17T00:00:00"/>
    <s v="FA"/>
    <s v="1052/3154"/>
    <s v="kpl"/>
    <n v="1233"/>
    <n v="60"/>
    <n v="84"/>
    <x v="378"/>
    <n v="1159.2"/>
    <n v="6199.2"/>
    <x v="11"/>
  </r>
  <r>
    <n v="1135"/>
    <x v="3"/>
    <n v="9"/>
    <d v="2022-06-14T00:00:00"/>
    <s v="FA"/>
    <s v="1052/3155"/>
    <s v="kpl"/>
    <n v="1234"/>
    <n v="72"/>
    <n v="88"/>
    <x v="56"/>
    <n v="1457.28"/>
    <n v="7793.28"/>
    <x v="4"/>
  </r>
  <r>
    <n v="1136"/>
    <x v="8"/>
    <n v="9"/>
    <d v="2022-04-23T00:00:00"/>
    <s v="FA"/>
    <s v="1052/3156"/>
    <s v="kpl"/>
    <n v="1235"/>
    <n v="48"/>
    <n v="89"/>
    <x v="304"/>
    <n v="982.56000000000006"/>
    <n v="5254.56"/>
    <x v="1"/>
  </r>
  <r>
    <n v="1137"/>
    <x v="21"/>
    <n v="10"/>
    <d v="2022-08-17T00:00:00"/>
    <s v="FA"/>
    <s v="1052/3157"/>
    <s v="kpl"/>
    <n v="1236"/>
    <n v="49"/>
    <n v="87"/>
    <x v="96"/>
    <n v="980.49"/>
    <n v="5243.49"/>
    <x v="11"/>
  </r>
  <r>
    <n v="1138"/>
    <x v="2"/>
    <n v="11"/>
    <d v="2022-07-18T00:00:00"/>
    <s v="FA"/>
    <s v="1052/3158"/>
    <s v="kpl"/>
    <n v="1237"/>
    <n v="71"/>
    <n v="84"/>
    <x v="531"/>
    <n v="1371.72"/>
    <n v="7335.72"/>
    <x v="6"/>
  </r>
  <r>
    <n v="1139"/>
    <x v="27"/>
    <n v="12"/>
    <d v="2022-10-01T00:00:00"/>
    <s v="FA"/>
    <s v="1052/3159"/>
    <s v="kpl"/>
    <n v="1238"/>
    <n v="57"/>
    <n v="111"/>
    <x v="532"/>
    <n v="1455.21"/>
    <n v="7782.21"/>
    <x v="5"/>
  </r>
  <r>
    <n v="1140"/>
    <x v="0"/>
    <n v="12"/>
    <d v="2022-06-15T00:00:00"/>
    <s v="FA"/>
    <s v="1052/3160"/>
    <s v="kpl"/>
    <n v="1239"/>
    <n v="37"/>
    <n v="83"/>
    <x v="533"/>
    <n v="706.33"/>
    <n v="3777.33"/>
    <x v="4"/>
  </r>
  <r>
    <n v="1141"/>
    <x v="2"/>
    <n v="14"/>
    <d v="2022-10-24T00:00:00"/>
    <s v="FA"/>
    <s v="1052/3161"/>
    <s v="kpl"/>
    <n v="1240"/>
    <n v="60"/>
    <n v="84"/>
    <x v="378"/>
    <n v="1159.2"/>
    <n v="6199.2"/>
    <x v="5"/>
  </r>
  <r>
    <n v="1142"/>
    <x v="9"/>
    <n v="7"/>
    <d v="2022-10-20T00:00:00"/>
    <s v="FA"/>
    <s v="1052/3162"/>
    <s v="kpl"/>
    <n v="1241"/>
    <n v="47"/>
    <n v="108"/>
    <x v="24"/>
    <n v="1167.48"/>
    <n v="6243.48"/>
    <x v="5"/>
  </r>
  <r>
    <n v="1143"/>
    <x v="26"/>
    <n v="9"/>
    <d v="2022-08-24T00:00:00"/>
    <s v="FA"/>
    <s v="1052/3163"/>
    <s v="kpl"/>
    <n v="1242"/>
    <n v="49"/>
    <n v="99"/>
    <x v="374"/>
    <n v="1115.73"/>
    <n v="5966.73"/>
    <x v="11"/>
  </r>
  <r>
    <n v="1144"/>
    <x v="18"/>
    <n v="9"/>
    <d v="2022-07-16T00:00:00"/>
    <s v="FA"/>
    <s v="1052/3164"/>
    <s v="kpl"/>
    <n v="1243"/>
    <n v="40"/>
    <n v="109"/>
    <x v="359"/>
    <n v="1002.8000000000001"/>
    <n v="5362.8"/>
    <x v="6"/>
  </r>
  <r>
    <n v="1145"/>
    <x v="13"/>
    <n v="13"/>
    <d v="2022-09-26T00:00:00"/>
    <s v="FA"/>
    <s v="1052/3165"/>
    <s v="kpl"/>
    <n v="1244"/>
    <n v="45"/>
    <n v="88"/>
    <x v="291"/>
    <n v="910.80000000000007"/>
    <n v="4870.8"/>
    <x v="7"/>
  </r>
  <r>
    <n v="1146"/>
    <x v="9"/>
    <n v="5"/>
    <d v="2022-08-27T00:00:00"/>
    <s v="FA"/>
    <s v="1052/3166"/>
    <s v="kpl"/>
    <n v="1245"/>
    <n v="53"/>
    <n v="108"/>
    <x v="365"/>
    <n v="1316.52"/>
    <n v="7040.52"/>
    <x v="11"/>
  </r>
  <r>
    <n v="1147"/>
    <x v="18"/>
    <n v="7"/>
    <d v="2022-12-27T00:00:00"/>
    <s v="FA"/>
    <s v="1052/3167"/>
    <s v="kpl"/>
    <n v="1246"/>
    <n v="52"/>
    <n v="109"/>
    <x v="112"/>
    <n v="1303.6400000000001"/>
    <n v="6971.64"/>
    <x v="2"/>
  </r>
  <r>
    <n v="1148"/>
    <x v="14"/>
    <n v="10"/>
    <d v="2022-10-09T00:00:00"/>
    <s v="FA"/>
    <s v="1052/3168"/>
    <s v="kpl"/>
    <n v="1247"/>
    <n v="54"/>
    <n v="86"/>
    <x v="11"/>
    <n v="1068.1200000000001"/>
    <n v="5712.12"/>
    <x v="5"/>
  </r>
  <r>
    <n v="1149"/>
    <x v="21"/>
    <n v="10"/>
    <d v="2022-03-23T00:00:00"/>
    <s v="FA"/>
    <s v="1052/3169"/>
    <s v="kpl"/>
    <n v="1248"/>
    <n v="37"/>
    <n v="87"/>
    <x v="534"/>
    <n v="740.37"/>
    <n v="3959.37"/>
    <x v="3"/>
  </r>
  <r>
    <n v="1150"/>
    <x v="13"/>
    <n v="12"/>
    <d v="2022-02-07T00:00:00"/>
    <s v="FA"/>
    <s v="1052/3170"/>
    <s v="kpl"/>
    <n v="1249"/>
    <n v="50"/>
    <n v="88"/>
    <x v="98"/>
    <n v="1012"/>
    <n v="5412"/>
    <x v="9"/>
  </r>
  <r>
    <n v="1151"/>
    <x v="15"/>
    <n v="7"/>
    <d v="2022-12-11T00:00:00"/>
    <s v="FA"/>
    <s v="1052/3171"/>
    <s v="kpl"/>
    <n v="1250"/>
    <n v="40"/>
    <n v="90"/>
    <x v="394"/>
    <n v="828"/>
    <n v="4428"/>
    <x v="2"/>
  </r>
  <r>
    <n v="1152"/>
    <x v="2"/>
    <n v="10"/>
    <d v="2022-12-23T00:00:00"/>
    <s v="FA"/>
    <s v="1052/3172"/>
    <s v="kpl"/>
    <n v="1251"/>
    <n v="48"/>
    <n v="84"/>
    <x v="66"/>
    <n v="927.36"/>
    <n v="4959.3599999999997"/>
    <x v="2"/>
  </r>
  <r>
    <n v="1153"/>
    <x v="14"/>
    <n v="15"/>
    <d v="2022-05-11T00:00:00"/>
    <s v="FA"/>
    <s v="1052/3173"/>
    <s v="kpl"/>
    <n v="1252"/>
    <n v="49"/>
    <n v="86"/>
    <x v="262"/>
    <n v="969.22"/>
    <n v="5183.22"/>
    <x v="10"/>
  </r>
  <r>
    <n v="1154"/>
    <x v="18"/>
    <n v="12"/>
    <d v="2022-04-26T00:00:00"/>
    <s v="FA"/>
    <s v="1052/3174"/>
    <s v="kpl"/>
    <n v="1253"/>
    <n v="49"/>
    <n v="109"/>
    <x v="294"/>
    <n v="1228.43"/>
    <n v="6569.43"/>
    <x v="1"/>
  </r>
  <r>
    <n v="1155"/>
    <x v="6"/>
    <n v="3"/>
    <d v="2022-12-25T00:00:00"/>
    <s v="FA"/>
    <s v="1052/3175"/>
    <s v="kpl"/>
    <n v="1254"/>
    <n v="61"/>
    <n v="84"/>
    <x v="535"/>
    <n v="1178.52"/>
    <n v="6302.52"/>
    <x v="2"/>
  </r>
  <r>
    <n v="1156"/>
    <x v="21"/>
    <n v="7"/>
    <d v="2022-01-28T00:00:00"/>
    <s v="FA"/>
    <s v="1052/3176"/>
    <s v="kpl"/>
    <n v="1255"/>
    <n v="50"/>
    <n v="87"/>
    <x v="476"/>
    <n v="1000.5"/>
    <n v="5350.5"/>
    <x v="0"/>
  </r>
  <r>
    <n v="1157"/>
    <x v="11"/>
    <n v="6"/>
    <d v="2022-03-03T00:00:00"/>
    <s v="FA"/>
    <s v="1052/3177"/>
    <s v="kpl"/>
    <n v="1256"/>
    <n v="43"/>
    <n v="93"/>
    <x v="326"/>
    <n v="919.7700000000001"/>
    <n v="4918.7700000000004"/>
    <x v="3"/>
  </r>
  <r>
    <n v="1158"/>
    <x v="11"/>
    <n v="9"/>
    <d v="2022-04-15T00:00:00"/>
    <s v="FA"/>
    <s v="1052/3178"/>
    <s v="kpl"/>
    <n v="1257"/>
    <n v="45"/>
    <n v="93"/>
    <x v="305"/>
    <n v="962.55000000000007"/>
    <n v="5147.55"/>
    <x v="1"/>
  </r>
  <r>
    <n v="1159"/>
    <x v="0"/>
    <n v="5"/>
    <d v="2022-02-22T00:00:00"/>
    <s v="FA"/>
    <s v="1052/3179"/>
    <s v="kpl"/>
    <n v="1258"/>
    <n v="47"/>
    <n v="83"/>
    <x v="282"/>
    <n v="897.23"/>
    <n v="4798.2299999999996"/>
    <x v="9"/>
  </r>
  <r>
    <n v="1160"/>
    <x v="27"/>
    <n v="11"/>
    <d v="2022-01-20T00:00:00"/>
    <s v="FA"/>
    <s v="1052/3180"/>
    <s v="kpl"/>
    <n v="1259"/>
    <n v="54"/>
    <n v="111"/>
    <x v="536"/>
    <n v="1378.6200000000001"/>
    <n v="7372.62"/>
    <x v="0"/>
  </r>
  <r>
    <n v="1161"/>
    <x v="22"/>
    <n v="13"/>
    <d v="2022-03-19T00:00:00"/>
    <s v="FA"/>
    <s v="1052/3181"/>
    <s v="kpl"/>
    <n v="1260"/>
    <n v="62"/>
    <n v="125"/>
    <x v="537"/>
    <n v="1782.5"/>
    <n v="9532.5"/>
    <x v="3"/>
  </r>
  <r>
    <n v="1162"/>
    <x v="3"/>
    <n v="9"/>
    <d v="2022-10-13T00:00:00"/>
    <s v="FA"/>
    <s v="1052/3182"/>
    <s v="kpl"/>
    <n v="1261"/>
    <n v="48"/>
    <n v="88"/>
    <x v="40"/>
    <n v="971.5200000000001"/>
    <n v="5195.5200000000004"/>
    <x v="5"/>
  </r>
  <r>
    <n v="1163"/>
    <x v="8"/>
    <n v="11"/>
    <d v="2022-01-09T00:00:00"/>
    <s v="FA"/>
    <s v="1052/3183"/>
    <s v="kpl"/>
    <n v="1262"/>
    <n v="36"/>
    <n v="89"/>
    <x v="143"/>
    <n v="736.92000000000007"/>
    <n v="3940.92"/>
    <x v="0"/>
  </r>
  <r>
    <n v="1164"/>
    <x v="12"/>
    <n v="6"/>
    <d v="2022-03-20T00:00:00"/>
    <s v="FA"/>
    <s v="1052/3184"/>
    <s v="kpl"/>
    <n v="1263"/>
    <n v="50"/>
    <n v="91"/>
    <x v="538"/>
    <n v="1046.5"/>
    <n v="5596.5"/>
    <x v="3"/>
  </r>
  <r>
    <n v="1165"/>
    <x v="17"/>
    <n v="9"/>
    <d v="2022-03-21T00:00:00"/>
    <s v="FA"/>
    <s v="1052/3185"/>
    <s v="kpl"/>
    <n v="1264"/>
    <n v="60"/>
    <n v="94"/>
    <x v="441"/>
    <n v="1297.2"/>
    <n v="6937.2"/>
    <x v="3"/>
  </r>
  <r>
    <n v="1166"/>
    <x v="17"/>
    <n v="8"/>
    <d v="2022-07-28T00:00:00"/>
    <s v="FA"/>
    <s v="1052/3186"/>
    <s v="kpl"/>
    <n v="1265"/>
    <n v="63"/>
    <n v="94"/>
    <x v="539"/>
    <n v="1362.06"/>
    <n v="7284.0599999999995"/>
    <x v="6"/>
  </r>
  <r>
    <n v="1167"/>
    <x v="9"/>
    <n v="7"/>
    <d v="2022-10-20T00:00:00"/>
    <s v="FA"/>
    <s v="1052/3187"/>
    <s v="kpl"/>
    <n v="1266"/>
    <n v="47"/>
    <n v="108"/>
    <x v="24"/>
    <n v="1167.48"/>
    <n v="6243.48"/>
    <x v="5"/>
  </r>
  <r>
    <n v="1168"/>
    <x v="4"/>
    <n v="13"/>
    <d v="2022-12-26T00:00:00"/>
    <s v="FA"/>
    <s v="1052/3188"/>
    <s v="kpl"/>
    <n v="1267"/>
    <n v="69"/>
    <n v="85"/>
    <x v="540"/>
    <n v="1348.95"/>
    <n v="7213.95"/>
    <x v="2"/>
  </r>
  <r>
    <n v="1169"/>
    <x v="2"/>
    <n v="8"/>
    <d v="2022-06-19T00:00:00"/>
    <s v="FA"/>
    <s v="1052/3189"/>
    <s v="kpl"/>
    <n v="1268"/>
    <n v="47"/>
    <n v="84"/>
    <x v="55"/>
    <n v="908.04000000000008"/>
    <n v="4856.04"/>
    <x v="4"/>
  </r>
  <r>
    <n v="1170"/>
    <x v="26"/>
    <n v="7"/>
    <d v="2022-08-25T00:00:00"/>
    <s v="FA"/>
    <s v="1052/3190"/>
    <s v="kpl"/>
    <n v="1269"/>
    <n v="42"/>
    <n v="99"/>
    <x v="1"/>
    <n v="956.34"/>
    <n v="5114.34"/>
    <x v="11"/>
  </r>
  <r>
    <n v="1171"/>
    <x v="7"/>
    <n v="13"/>
    <d v="2022-07-20T00:00:00"/>
    <s v="FA"/>
    <s v="1052/3191"/>
    <s v="kpl"/>
    <n v="1270"/>
    <n v="55"/>
    <n v="96"/>
    <x v="9"/>
    <n v="1214.4000000000001"/>
    <n v="6494.4"/>
    <x v="6"/>
  </r>
  <r>
    <n v="1172"/>
    <x v="26"/>
    <n v="6"/>
    <d v="2022-03-26T00:00:00"/>
    <s v="FA"/>
    <s v="1052/3192"/>
    <s v="kpl"/>
    <n v="1271"/>
    <n v="42"/>
    <n v="99"/>
    <x v="1"/>
    <n v="956.34"/>
    <n v="5114.34"/>
    <x v="3"/>
  </r>
  <r>
    <n v="1173"/>
    <x v="4"/>
    <n v="12"/>
    <d v="2022-02-08T00:00:00"/>
    <s v="FA"/>
    <s v="1052/3193"/>
    <s v="kpl"/>
    <n v="1272"/>
    <n v="25"/>
    <n v="85"/>
    <x v="184"/>
    <n v="488.75"/>
    <n v="2613.75"/>
    <x v="9"/>
  </r>
  <r>
    <n v="1174"/>
    <x v="23"/>
    <n v="6"/>
    <d v="2022-12-13T00:00:00"/>
    <s v="FA"/>
    <s v="1052/3194"/>
    <s v="kpl"/>
    <n v="1273"/>
    <n v="48"/>
    <n v="105"/>
    <x v="378"/>
    <n v="1159.2"/>
    <n v="6199.2"/>
    <x v="2"/>
  </r>
  <r>
    <n v="1175"/>
    <x v="9"/>
    <n v="6"/>
    <d v="2022-05-19T00:00:00"/>
    <s v="FA"/>
    <s v="1052/3195"/>
    <s v="kpl"/>
    <n v="1274"/>
    <n v="55"/>
    <n v="108"/>
    <x v="85"/>
    <n v="1366.2"/>
    <n v="7306.2"/>
    <x v="10"/>
  </r>
  <r>
    <n v="1176"/>
    <x v="0"/>
    <n v="11"/>
    <d v="2022-08-07T00:00:00"/>
    <s v="FA"/>
    <s v="1052/3196"/>
    <s v="kpl"/>
    <n v="1275"/>
    <n v="48"/>
    <n v="83"/>
    <x v="176"/>
    <n v="916.32"/>
    <n v="4900.32"/>
    <x v="11"/>
  </r>
  <r>
    <n v="1177"/>
    <x v="4"/>
    <n v="6"/>
    <d v="2022-12-20T00:00:00"/>
    <s v="FA"/>
    <s v="1052/3197"/>
    <s v="kpl"/>
    <n v="1276"/>
    <n v="39"/>
    <n v="85"/>
    <x v="541"/>
    <n v="762.45"/>
    <n v="4077.45"/>
    <x v="2"/>
  </r>
  <r>
    <n v="1178"/>
    <x v="3"/>
    <n v="8"/>
    <d v="2022-09-09T00:00:00"/>
    <s v="FA"/>
    <s v="1052/3198"/>
    <s v="kpl"/>
    <n v="1277"/>
    <n v="51"/>
    <n v="88"/>
    <x v="19"/>
    <n v="1032.24"/>
    <n v="5520.24"/>
    <x v="7"/>
  </r>
  <r>
    <n v="1179"/>
    <x v="8"/>
    <n v="10"/>
    <d v="2022-05-03T00:00:00"/>
    <s v="FA"/>
    <s v="1052/3199"/>
    <s v="kpl"/>
    <n v="1278"/>
    <n v="72"/>
    <n v="89"/>
    <x v="408"/>
    <n v="1473.8400000000001"/>
    <n v="7881.84"/>
    <x v="10"/>
  </r>
  <r>
    <n v="1180"/>
    <x v="0"/>
    <n v="12"/>
    <d v="2022-10-25T00:00:00"/>
    <s v="FA"/>
    <s v="1052/3200"/>
    <s v="kpl"/>
    <n v="1279"/>
    <n v="51"/>
    <n v="83"/>
    <x v="362"/>
    <n v="973.59"/>
    <n v="5206.59"/>
    <x v="5"/>
  </r>
  <r>
    <n v="1181"/>
    <x v="0"/>
    <n v="13"/>
    <d v="2022-08-13T00:00:00"/>
    <s v="FA"/>
    <s v="1052/3201"/>
    <s v="kpl"/>
    <n v="1280"/>
    <n v="44"/>
    <n v="83"/>
    <x v="200"/>
    <n v="839.96"/>
    <n v="4491.96"/>
    <x v="11"/>
  </r>
  <r>
    <n v="1182"/>
    <x v="14"/>
    <n v="11"/>
    <d v="2022-02-03T00:00:00"/>
    <s v="FA"/>
    <s v="1052/3202"/>
    <s v="kpl"/>
    <n v="1281"/>
    <n v="75"/>
    <n v="86"/>
    <x v="181"/>
    <n v="1483.5"/>
    <n v="7933.5"/>
    <x v="9"/>
  </r>
  <r>
    <n v="1183"/>
    <x v="17"/>
    <n v="8"/>
    <d v="2022-03-08T00:00:00"/>
    <s v="FA"/>
    <s v="1052/3203"/>
    <s v="kpl"/>
    <n v="1282"/>
    <n v="62"/>
    <n v="94"/>
    <x v="170"/>
    <n v="1340.44"/>
    <n v="7168.4400000000005"/>
    <x v="3"/>
  </r>
  <r>
    <n v="1184"/>
    <x v="0"/>
    <n v="14"/>
    <d v="2022-10-26T00:00:00"/>
    <s v="FA"/>
    <s v="1052/3204"/>
    <s v="kpl"/>
    <n v="1283"/>
    <n v="46"/>
    <n v="83"/>
    <x v="542"/>
    <n v="878.14"/>
    <n v="4696.1400000000003"/>
    <x v="5"/>
  </r>
  <r>
    <n v="1185"/>
    <x v="25"/>
    <n v="10"/>
    <d v="2022-05-12T00:00:00"/>
    <s v="FA"/>
    <s v="1052/3205"/>
    <s v="kpl"/>
    <n v="1284"/>
    <n v="50"/>
    <n v="59"/>
    <x v="293"/>
    <n v="678.5"/>
    <n v="3628.5"/>
    <x v="10"/>
  </r>
  <r>
    <n v="1186"/>
    <x v="16"/>
    <n v="11"/>
    <d v="2022-09-26T00:00:00"/>
    <s v="FA"/>
    <s v="1052/3206"/>
    <s v="kpl"/>
    <n v="1285"/>
    <n v="53"/>
    <n v="132"/>
    <x v="213"/>
    <n v="1609.0800000000002"/>
    <n v="8605.08"/>
    <x v="7"/>
  </r>
  <r>
    <n v="1187"/>
    <x v="0"/>
    <n v="11"/>
    <d v="2022-09-11T00:00:00"/>
    <s v="FA"/>
    <s v="1052/3207"/>
    <s v="kpl"/>
    <n v="1286"/>
    <n v="46"/>
    <n v="83"/>
    <x v="542"/>
    <n v="878.14"/>
    <n v="4696.1400000000003"/>
    <x v="7"/>
  </r>
  <r>
    <n v="1188"/>
    <x v="0"/>
    <n v="11"/>
    <d v="2022-10-09T00:00:00"/>
    <s v="FA"/>
    <s v="1052/3208"/>
    <s v="kpl"/>
    <n v="1287"/>
    <n v="43"/>
    <n v="83"/>
    <x v="0"/>
    <n v="820.87"/>
    <n v="4389.87"/>
    <x v="5"/>
  </r>
  <r>
    <n v="1189"/>
    <x v="4"/>
    <n v="10"/>
    <d v="2022-07-18T00:00:00"/>
    <s v="FA"/>
    <s v="1052/3209"/>
    <s v="kpl"/>
    <n v="1288"/>
    <n v="52"/>
    <n v="85"/>
    <x v="278"/>
    <n v="1016.6"/>
    <n v="5436.6"/>
    <x v="6"/>
  </r>
  <r>
    <n v="1190"/>
    <x v="20"/>
    <n v="11"/>
    <d v="2022-11-26T00:00:00"/>
    <s v="FA"/>
    <s v="1052/3210"/>
    <s v="kpl"/>
    <n v="1289"/>
    <n v="61"/>
    <n v="104"/>
    <x v="484"/>
    <n v="1459.1200000000001"/>
    <n v="7803.12"/>
    <x v="8"/>
  </r>
  <r>
    <n v="1191"/>
    <x v="20"/>
    <n v="13"/>
    <d v="2022-01-22T00:00:00"/>
    <s v="FA"/>
    <s v="1052/3211"/>
    <s v="kpl"/>
    <n v="1290"/>
    <n v="42"/>
    <n v="104"/>
    <x v="109"/>
    <n v="1004.6400000000001"/>
    <n v="5372.64"/>
    <x v="0"/>
  </r>
  <r>
    <n v="1192"/>
    <x v="27"/>
    <n v="9"/>
    <d v="2022-09-10T00:00:00"/>
    <s v="FA"/>
    <s v="1052/3212"/>
    <s v="kpl"/>
    <n v="1291"/>
    <n v="61"/>
    <n v="111"/>
    <x v="543"/>
    <n v="1557.3300000000002"/>
    <n v="8328.33"/>
    <x v="7"/>
  </r>
  <r>
    <n v="1193"/>
    <x v="6"/>
    <n v="6"/>
    <d v="2022-10-22T00:00:00"/>
    <s v="FA"/>
    <s v="1052/3213"/>
    <s v="kpl"/>
    <n v="1292"/>
    <n v="29"/>
    <n v="84"/>
    <x v="544"/>
    <n v="560.28"/>
    <n v="2996.2799999999997"/>
    <x v="5"/>
  </r>
  <r>
    <n v="1194"/>
    <x v="3"/>
    <n v="7"/>
    <d v="2022-01-01T00:00:00"/>
    <s v="FA"/>
    <s v="1052/3214"/>
    <s v="kpl"/>
    <n v="1293"/>
    <n v="46"/>
    <n v="88"/>
    <x v="21"/>
    <n v="931.04000000000008"/>
    <n v="4979.04"/>
    <x v="0"/>
  </r>
  <r>
    <n v="1195"/>
    <x v="19"/>
    <n v="9"/>
    <d v="2022-06-06T00:00:00"/>
    <s v="FA"/>
    <s v="1052/3215"/>
    <s v="kpl"/>
    <n v="1294"/>
    <n v="56"/>
    <n v="121"/>
    <x v="253"/>
    <n v="1558.48"/>
    <n v="8334.48"/>
    <x v="4"/>
  </r>
  <r>
    <n v="1196"/>
    <x v="9"/>
    <n v="9"/>
    <d v="2022-10-06T00:00:00"/>
    <s v="FA"/>
    <s v="1052/3216"/>
    <s v="kpl"/>
    <n v="1295"/>
    <n v="60"/>
    <n v="108"/>
    <x v="454"/>
    <n v="1490.4"/>
    <n v="7970.4"/>
    <x v="5"/>
  </r>
  <r>
    <n v="1197"/>
    <x v="19"/>
    <n v="12"/>
    <d v="2022-04-03T00:00:00"/>
    <s v="FA"/>
    <s v="1052/3217"/>
    <s v="kpl"/>
    <n v="1296"/>
    <n v="70"/>
    <n v="121"/>
    <x v="545"/>
    <n v="1948.1000000000001"/>
    <n v="10418.1"/>
    <x v="1"/>
  </r>
  <r>
    <n v="1198"/>
    <x v="22"/>
    <n v="10"/>
    <d v="2022-12-13T00:00:00"/>
    <s v="FA"/>
    <s v="1052/3218"/>
    <s v="kpl"/>
    <n v="1297"/>
    <n v="56"/>
    <n v="125"/>
    <x v="131"/>
    <n v="1610"/>
    <n v="8610"/>
    <x v="2"/>
  </r>
  <r>
    <n v="1199"/>
    <x v="17"/>
    <n v="9"/>
    <d v="2022-03-17T00:00:00"/>
    <s v="FA"/>
    <s v="1052/3219"/>
    <s v="kpl"/>
    <n v="1298"/>
    <n v="55"/>
    <n v="94"/>
    <x v="163"/>
    <n v="1189.1000000000001"/>
    <n v="6359.1"/>
    <x v="3"/>
  </r>
  <r>
    <n v="1200"/>
    <x v="20"/>
    <n v="5"/>
    <d v="2022-08-10T00:00:00"/>
    <s v="FA"/>
    <s v="1052/3220"/>
    <s v="kpl"/>
    <n v="1299"/>
    <n v="41"/>
    <n v="104"/>
    <x v="308"/>
    <n v="980.72"/>
    <n v="5244.72"/>
    <x v="11"/>
  </r>
  <r>
    <n v="1201"/>
    <x v="1"/>
    <n v="12"/>
    <d v="2022-02-17T00:00:00"/>
    <s v="FA"/>
    <s v="1052/3221"/>
    <s v="kpl"/>
    <n v="1300"/>
    <n v="46"/>
    <n v="99"/>
    <x v="346"/>
    <n v="1047.42"/>
    <n v="5601.42"/>
    <x v="9"/>
  </r>
  <r>
    <n v="1202"/>
    <x v="16"/>
    <n v="7"/>
    <d v="2022-11-27T00:00:00"/>
    <s v="FA"/>
    <s v="1052/3222"/>
    <s v="kpl"/>
    <n v="1301"/>
    <n v="42"/>
    <n v="132"/>
    <x v="65"/>
    <n v="1275.1200000000001"/>
    <n v="6819.12"/>
    <x v="8"/>
  </r>
  <r>
    <n v="1203"/>
    <x v="20"/>
    <n v="11"/>
    <d v="2022-09-09T00:00:00"/>
    <s v="FA"/>
    <s v="1052/3223"/>
    <s v="kpl"/>
    <n v="1302"/>
    <n v="59"/>
    <n v="104"/>
    <x v="392"/>
    <n v="1411.28"/>
    <n v="7547.28"/>
    <x v="7"/>
  </r>
  <r>
    <n v="1204"/>
    <x v="10"/>
    <n v="13"/>
    <d v="2022-06-22T00:00:00"/>
    <s v="FA"/>
    <s v="1052/3224"/>
    <s v="kpl"/>
    <n v="1303"/>
    <n v="43"/>
    <n v="84"/>
    <x v="25"/>
    <n v="830.76"/>
    <n v="4442.76"/>
    <x v="4"/>
  </r>
  <r>
    <n v="1205"/>
    <x v="0"/>
    <n v="11"/>
    <d v="2022-10-14T00:00:00"/>
    <s v="FA"/>
    <s v="1052/3225"/>
    <s v="kpl"/>
    <n v="1304"/>
    <n v="74"/>
    <n v="83"/>
    <x v="546"/>
    <n v="1412.66"/>
    <n v="7554.66"/>
    <x v="5"/>
  </r>
  <r>
    <n v="1206"/>
    <x v="3"/>
    <n v="14"/>
    <d v="2022-05-14T00:00:00"/>
    <s v="FA"/>
    <s v="1052/3226"/>
    <s v="kpl"/>
    <n v="1305"/>
    <n v="43"/>
    <n v="88"/>
    <x v="214"/>
    <n v="870.32"/>
    <n v="4654.32"/>
    <x v="10"/>
  </r>
  <r>
    <n v="1207"/>
    <x v="0"/>
    <n v="9"/>
    <d v="2022-05-25T00:00:00"/>
    <s v="FA"/>
    <s v="1052/3227"/>
    <s v="kpl"/>
    <n v="1306"/>
    <n v="16"/>
    <n v="83"/>
    <x v="547"/>
    <n v="305.44"/>
    <n v="1633.44"/>
    <x v="10"/>
  </r>
  <r>
    <n v="1208"/>
    <x v="14"/>
    <n v="11"/>
    <d v="2022-06-16T00:00:00"/>
    <s v="FA"/>
    <s v="1052/3228"/>
    <s v="kpl"/>
    <n v="1307"/>
    <n v="55"/>
    <n v="86"/>
    <x v="396"/>
    <n v="1087.9000000000001"/>
    <n v="5817.9"/>
    <x v="4"/>
  </r>
  <r>
    <n v="1209"/>
    <x v="7"/>
    <n v="10"/>
    <d v="2022-03-07T00:00:00"/>
    <s v="FA"/>
    <s v="1052/3229"/>
    <s v="kpl"/>
    <n v="1308"/>
    <n v="51"/>
    <n v="96"/>
    <x v="463"/>
    <n v="1126.0800000000002"/>
    <n v="6022.08"/>
    <x v="3"/>
  </r>
  <r>
    <n v="1210"/>
    <x v="8"/>
    <n v="10"/>
    <d v="2022-07-24T00:00:00"/>
    <s v="FA"/>
    <s v="1052/3230"/>
    <s v="kpl"/>
    <n v="1309"/>
    <n v="58"/>
    <n v="89"/>
    <x v="327"/>
    <n v="1187.26"/>
    <n v="6349.26"/>
    <x v="6"/>
  </r>
  <r>
    <n v="1211"/>
    <x v="4"/>
    <n v="8"/>
    <d v="2022-05-24T00:00:00"/>
    <s v="FA"/>
    <s v="1052/3231"/>
    <s v="kpl"/>
    <n v="1310"/>
    <n v="63"/>
    <n v="85"/>
    <x v="316"/>
    <n v="1231.6500000000001"/>
    <n v="6586.65"/>
    <x v="10"/>
  </r>
  <r>
    <n v="1212"/>
    <x v="17"/>
    <n v="11"/>
    <d v="2022-10-26T00:00:00"/>
    <s v="FA"/>
    <s v="1052/3232"/>
    <s v="kpl"/>
    <n v="1311"/>
    <n v="34"/>
    <n v="94"/>
    <x v="428"/>
    <n v="735.08"/>
    <n v="3931.08"/>
    <x v="5"/>
  </r>
  <r>
    <n v="1213"/>
    <x v="8"/>
    <n v="12"/>
    <d v="2022-07-16T00:00:00"/>
    <s v="FA"/>
    <s v="1052/3233"/>
    <s v="kpl"/>
    <n v="1312"/>
    <n v="56"/>
    <n v="89"/>
    <x v="375"/>
    <n v="1146.32"/>
    <n v="6130.32"/>
    <x v="6"/>
  </r>
  <r>
    <n v="1214"/>
    <x v="24"/>
    <n v="11"/>
    <d v="2022-06-04T00:00:00"/>
    <s v="FA"/>
    <s v="1052/3234"/>
    <s v="kpl"/>
    <n v="1313"/>
    <n v="44"/>
    <n v="129"/>
    <x v="266"/>
    <n v="1305.48"/>
    <n v="6981.48"/>
    <x v="4"/>
  </r>
  <r>
    <n v="1215"/>
    <x v="5"/>
    <n v="11"/>
    <d v="2022-09-24T00:00:00"/>
    <s v="FA"/>
    <s v="1052/3235"/>
    <s v="kpl"/>
    <n v="1314"/>
    <n v="51"/>
    <n v="87"/>
    <x v="173"/>
    <n v="1020.51"/>
    <n v="5457.51"/>
    <x v="7"/>
  </r>
  <r>
    <n v="1216"/>
    <x v="0"/>
    <n v="7"/>
    <d v="2022-09-09T00:00:00"/>
    <s v="FA"/>
    <s v="1052/3236"/>
    <s v="kpl"/>
    <n v="1315"/>
    <n v="47"/>
    <n v="83"/>
    <x v="282"/>
    <n v="897.23"/>
    <n v="4798.2299999999996"/>
    <x v="7"/>
  </r>
  <r>
    <n v="1217"/>
    <x v="20"/>
    <n v="11"/>
    <d v="2022-02-18T00:00:00"/>
    <s v="FA"/>
    <s v="1052/3237"/>
    <s v="kpl"/>
    <n v="1316"/>
    <n v="46"/>
    <n v="104"/>
    <x v="81"/>
    <n v="1100.32"/>
    <n v="5884.32"/>
    <x v="9"/>
  </r>
  <r>
    <n v="1218"/>
    <x v="24"/>
    <n v="13"/>
    <d v="2022-03-12T00:00:00"/>
    <s v="FA"/>
    <s v="1052/3238"/>
    <s v="kpl"/>
    <n v="1317"/>
    <n v="57"/>
    <n v="129"/>
    <x v="548"/>
    <n v="1691.19"/>
    <n v="9044.19"/>
    <x v="3"/>
  </r>
  <r>
    <n v="1219"/>
    <x v="0"/>
    <n v="7"/>
    <d v="2022-04-03T00:00:00"/>
    <s v="FA"/>
    <s v="1052/3239"/>
    <s v="kpl"/>
    <n v="1318"/>
    <n v="48"/>
    <n v="83"/>
    <x v="176"/>
    <n v="916.32"/>
    <n v="4900.32"/>
    <x v="1"/>
  </r>
  <r>
    <n v="1220"/>
    <x v="14"/>
    <n v="11"/>
    <d v="2022-01-06T00:00:00"/>
    <s v="FA"/>
    <s v="1052/3240"/>
    <s v="kpl"/>
    <n v="1319"/>
    <n v="47"/>
    <n v="86"/>
    <x v="211"/>
    <n v="929.66000000000008"/>
    <n v="4971.66"/>
    <x v="0"/>
  </r>
  <r>
    <n v="1221"/>
    <x v="8"/>
    <n v="10"/>
    <d v="2022-08-14T00:00:00"/>
    <s v="FA"/>
    <s v="1052/3241"/>
    <s v="kpl"/>
    <n v="1320"/>
    <n v="45"/>
    <n v="89"/>
    <x v="152"/>
    <n v="921.15000000000009"/>
    <n v="4926.1499999999996"/>
    <x v="11"/>
  </r>
  <r>
    <n v="1222"/>
    <x v="10"/>
    <n v="7"/>
    <d v="2022-06-24T00:00:00"/>
    <s v="FA"/>
    <s v="1052/3242"/>
    <s v="kpl"/>
    <n v="1321"/>
    <n v="66"/>
    <n v="84"/>
    <x v="65"/>
    <n v="1275.1200000000001"/>
    <n v="6819.12"/>
    <x v="4"/>
  </r>
  <r>
    <n v="1223"/>
    <x v="19"/>
    <n v="7"/>
    <d v="2022-11-27T00:00:00"/>
    <s v="FA"/>
    <s v="1052/3243"/>
    <s v="kpl"/>
    <n v="1322"/>
    <n v="65"/>
    <n v="121"/>
    <x v="549"/>
    <n v="1808.95"/>
    <n v="9673.9500000000007"/>
    <x v="8"/>
  </r>
  <r>
    <n v="1224"/>
    <x v="27"/>
    <n v="8"/>
    <d v="2022-12-15T00:00:00"/>
    <s v="FA"/>
    <s v="1052/3244"/>
    <s v="kpl"/>
    <n v="1323"/>
    <n v="39"/>
    <n v="111"/>
    <x v="550"/>
    <n v="995.67000000000007"/>
    <n v="5324.67"/>
    <x v="2"/>
  </r>
  <r>
    <n v="1225"/>
    <x v="15"/>
    <n v="13"/>
    <d v="2022-06-11T00:00:00"/>
    <s v="FA"/>
    <s v="1052/3245"/>
    <s v="kpl"/>
    <n v="1324"/>
    <n v="52"/>
    <n v="90"/>
    <x v="422"/>
    <n v="1076.4000000000001"/>
    <n v="5756.4"/>
    <x v="4"/>
  </r>
  <r>
    <n v="1226"/>
    <x v="12"/>
    <n v="11"/>
    <d v="2022-05-28T00:00:00"/>
    <s v="FA"/>
    <s v="1052/3246"/>
    <s v="kpl"/>
    <n v="1325"/>
    <n v="53"/>
    <n v="91"/>
    <x v="201"/>
    <n v="1109.29"/>
    <n v="5932.29"/>
    <x v="10"/>
  </r>
  <r>
    <n v="1227"/>
    <x v="6"/>
    <n v="14"/>
    <d v="2022-09-11T00:00:00"/>
    <s v="FA"/>
    <s v="1052/3247"/>
    <s v="kpl"/>
    <n v="1326"/>
    <n v="62"/>
    <n v="84"/>
    <x v="67"/>
    <n v="1197.8400000000001"/>
    <n v="6405.84"/>
    <x v="7"/>
  </r>
  <r>
    <n v="1228"/>
    <x v="7"/>
    <n v="7"/>
    <d v="2022-01-22T00:00:00"/>
    <s v="FA"/>
    <s v="1052/3248"/>
    <s v="kpl"/>
    <n v="1327"/>
    <n v="50"/>
    <n v="96"/>
    <x v="31"/>
    <n v="1104"/>
    <n v="5904"/>
    <x v="0"/>
  </r>
  <r>
    <n v="1229"/>
    <x v="22"/>
    <n v="9"/>
    <d v="2022-12-08T00:00:00"/>
    <s v="FA"/>
    <s v="1052/3249"/>
    <s v="kpl"/>
    <n v="1328"/>
    <n v="46"/>
    <n v="125"/>
    <x v="263"/>
    <n v="1322.5"/>
    <n v="7072.5"/>
    <x v="2"/>
  </r>
  <r>
    <n v="1230"/>
    <x v="15"/>
    <n v="8"/>
    <d v="2022-10-02T00:00:00"/>
    <s v="FA"/>
    <s v="1052/3250"/>
    <s v="kpl"/>
    <n v="1329"/>
    <n v="28"/>
    <n v="90"/>
    <x v="199"/>
    <n v="579.6"/>
    <n v="3099.6"/>
    <x v="5"/>
  </r>
  <r>
    <n v="1231"/>
    <x v="0"/>
    <n v="7"/>
    <d v="2022-09-23T00:00:00"/>
    <s v="FA"/>
    <s v="1052/3251"/>
    <s v="kpl"/>
    <n v="1330"/>
    <n v="42"/>
    <n v="83"/>
    <x v="164"/>
    <n v="801.78000000000009"/>
    <n v="4287.78"/>
    <x v="7"/>
  </r>
  <r>
    <n v="1232"/>
    <x v="13"/>
    <n v="7"/>
    <d v="2022-09-04T00:00:00"/>
    <s v="FA"/>
    <s v="1052/3252"/>
    <s v="kpl"/>
    <n v="1331"/>
    <n v="47"/>
    <n v="88"/>
    <x v="165"/>
    <n v="951.28000000000009"/>
    <n v="5087.28"/>
    <x v="7"/>
  </r>
  <r>
    <n v="1233"/>
    <x v="20"/>
    <n v="8"/>
    <d v="2022-04-18T00:00:00"/>
    <s v="FA"/>
    <s v="1052/3253"/>
    <s v="kpl"/>
    <n v="1332"/>
    <n v="53"/>
    <n v="104"/>
    <x v="406"/>
    <n v="1267.76"/>
    <n v="6779.76"/>
    <x v="1"/>
  </r>
  <r>
    <n v="1234"/>
    <x v="4"/>
    <n v="9"/>
    <d v="2022-09-27T00:00:00"/>
    <s v="FA"/>
    <s v="1052/3254"/>
    <s v="kpl"/>
    <n v="1333"/>
    <n v="42"/>
    <n v="85"/>
    <x v="306"/>
    <n v="821.1"/>
    <n v="4391.1000000000004"/>
    <x v="7"/>
  </r>
  <r>
    <n v="1235"/>
    <x v="27"/>
    <n v="13"/>
    <d v="2022-01-06T00:00:00"/>
    <s v="FA"/>
    <s v="1052/3255"/>
    <s v="kpl"/>
    <n v="1334"/>
    <n v="55"/>
    <n v="111"/>
    <x v="551"/>
    <n v="1404.15"/>
    <n v="7509.15"/>
    <x v="0"/>
  </r>
  <r>
    <n v="1236"/>
    <x v="17"/>
    <n v="8"/>
    <d v="2022-06-12T00:00:00"/>
    <s v="FA"/>
    <s v="1052/3256"/>
    <s v="kpl"/>
    <n v="1335"/>
    <n v="56"/>
    <n v="94"/>
    <x v="552"/>
    <n v="1210.72"/>
    <n v="6474.72"/>
    <x v="4"/>
  </r>
  <r>
    <n v="1237"/>
    <x v="26"/>
    <n v="13"/>
    <d v="2022-07-19T00:00:00"/>
    <s v="FA"/>
    <s v="1052/3257"/>
    <s v="kpl"/>
    <n v="1336"/>
    <n v="48"/>
    <n v="99"/>
    <x v="126"/>
    <n v="1092.96"/>
    <n v="5844.96"/>
    <x v="6"/>
  </r>
  <r>
    <n v="1238"/>
    <x v="26"/>
    <n v="10"/>
    <d v="2022-08-27T00:00:00"/>
    <s v="FA"/>
    <s v="1052/3258"/>
    <s v="kpl"/>
    <n v="1337"/>
    <n v="40"/>
    <n v="99"/>
    <x v="291"/>
    <n v="910.80000000000007"/>
    <n v="4870.8"/>
    <x v="11"/>
  </r>
  <r>
    <n v="1239"/>
    <x v="24"/>
    <n v="10"/>
    <d v="2022-01-03T00:00:00"/>
    <s v="FA"/>
    <s v="1052/3259"/>
    <s v="kpl"/>
    <n v="1338"/>
    <n v="48"/>
    <n v="129"/>
    <x v="553"/>
    <n v="1424.16"/>
    <n v="7616.16"/>
    <x v="0"/>
  </r>
  <r>
    <n v="1240"/>
    <x v="3"/>
    <n v="13"/>
    <d v="2022-01-04T00:00:00"/>
    <s v="FA"/>
    <s v="1052/3260"/>
    <s v="kpl"/>
    <n v="1339"/>
    <n v="60"/>
    <n v="88"/>
    <x v="9"/>
    <n v="1214.4000000000001"/>
    <n v="6494.4"/>
    <x v="0"/>
  </r>
  <r>
    <n v="1241"/>
    <x v="14"/>
    <n v="8"/>
    <d v="2022-12-25T00:00:00"/>
    <s v="FA"/>
    <s v="1052/3261"/>
    <s v="kpl"/>
    <n v="1340"/>
    <n v="44"/>
    <n v="86"/>
    <x v="214"/>
    <n v="870.32"/>
    <n v="4654.32"/>
    <x v="2"/>
  </r>
  <r>
    <n v="1242"/>
    <x v="22"/>
    <n v="8"/>
    <d v="2022-01-05T00:00:00"/>
    <s v="FA"/>
    <s v="1052/3262"/>
    <s v="kpl"/>
    <n v="1341"/>
    <n v="49"/>
    <n v="125"/>
    <x v="207"/>
    <n v="1408.75"/>
    <n v="7533.75"/>
    <x v="0"/>
  </r>
  <r>
    <n v="1243"/>
    <x v="3"/>
    <n v="11"/>
    <d v="2022-08-24T00:00:00"/>
    <s v="FA"/>
    <s v="1052/3263"/>
    <s v="kpl"/>
    <n v="1342"/>
    <n v="47"/>
    <n v="88"/>
    <x v="165"/>
    <n v="951.28000000000009"/>
    <n v="5087.28"/>
    <x v="11"/>
  </r>
  <r>
    <n v="1244"/>
    <x v="21"/>
    <n v="8"/>
    <d v="2022-03-12T00:00:00"/>
    <s v="FA"/>
    <s v="1052/3264"/>
    <s v="kpl"/>
    <n v="1343"/>
    <n v="47"/>
    <n v="87"/>
    <x v="159"/>
    <n v="940.47"/>
    <n v="5029.47"/>
    <x v="3"/>
  </r>
  <r>
    <n v="1245"/>
    <x v="2"/>
    <n v="3"/>
    <d v="2022-02-26T00:00:00"/>
    <s v="FA"/>
    <s v="1052/3265"/>
    <s v="kpl"/>
    <n v="1344"/>
    <n v="35"/>
    <n v="84"/>
    <x v="132"/>
    <n v="676.2"/>
    <n v="3616.2"/>
    <x v="9"/>
  </r>
  <r>
    <n v="1246"/>
    <x v="18"/>
    <n v="7"/>
    <d v="2022-02-16T00:00:00"/>
    <s v="FA"/>
    <s v="1052/3266"/>
    <s v="kpl"/>
    <n v="1345"/>
    <n v="56"/>
    <n v="109"/>
    <x v="311"/>
    <n v="1403.92"/>
    <n v="7507.92"/>
    <x v="9"/>
  </r>
  <r>
    <n v="1247"/>
    <x v="12"/>
    <n v="10"/>
    <d v="2022-08-02T00:00:00"/>
    <s v="FA"/>
    <s v="1052/3267"/>
    <s v="kpl"/>
    <n v="1346"/>
    <n v="46"/>
    <n v="91"/>
    <x v="368"/>
    <n v="962.78000000000009"/>
    <n v="5148.78"/>
    <x v="11"/>
  </r>
  <r>
    <n v="1248"/>
    <x v="4"/>
    <n v="6"/>
    <d v="2022-11-13T00:00:00"/>
    <s v="FA"/>
    <s v="1052/3268"/>
    <s v="kpl"/>
    <n v="1347"/>
    <n v="42"/>
    <n v="85"/>
    <x v="306"/>
    <n v="821.1"/>
    <n v="4391.1000000000004"/>
    <x v="8"/>
  </r>
  <r>
    <n v="1249"/>
    <x v="25"/>
    <n v="10"/>
    <d v="2022-08-05T00:00:00"/>
    <s v="FA"/>
    <s v="1052/3269"/>
    <s v="kpl"/>
    <n v="1348"/>
    <n v="47"/>
    <n v="59"/>
    <x v="529"/>
    <n v="637.79000000000008"/>
    <n v="3410.79"/>
    <x v="11"/>
  </r>
  <r>
    <n v="1250"/>
    <x v="2"/>
    <n v="9"/>
    <d v="2022-09-09T00:00:00"/>
    <s v="FA"/>
    <s v="1052/3270"/>
    <s v="kpl"/>
    <n v="1349"/>
    <n v="37"/>
    <n v="84"/>
    <x v="366"/>
    <n v="714.84"/>
    <n v="3822.84"/>
    <x v="7"/>
  </r>
  <r>
    <n v="1251"/>
    <x v="17"/>
    <n v="8"/>
    <d v="2022-10-26T00:00:00"/>
    <s v="FA"/>
    <s v="1052/3271"/>
    <s v="kpl"/>
    <n v="1350"/>
    <n v="58"/>
    <n v="94"/>
    <x v="82"/>
    <n v="1253.96"/>
    <n v="6705.96"/>
    <x v="5"/>
  </r>
  <r>
    <n v="1252"/>
    <x v="1"/>
    <n v="5"/>
    <d v="2022-03-05T00:00:00"/>
    <s v="FA"/>
    <s v="1052/3272"/>
    <s v="kpl"/>
    <n v="1351"/>
    <n v="37"/>
    <n v="99"/>
    <x v="554"/>
    <n v="842.49"/>
    <n v="4505.49"/>
    <x v="3"/>
  </r>
  <r>
    <n v="1253"/>
    <x v="21"/>
    <n v="13"/>
    <d v="2022-07-09T00:00:00"/>
    <s v="FA"/>
    <s v="1052/3273"/>
    <s v="kpl"/>
    <n v="1352"/>
    <n v="48"/>
    <n v="87"/>
    <x v="195"/>
    <n v="960.48"/>
    <n v="5136.4799999999996"/>
    <x v="6"/>
  </r>
  <r>
    <n v="1254"/>
    <x v="9"/>
    <n v="13"/>
    <d v="2022-08-24T00:00:00"/>
    <s v="FA"/>
    <s v="1052/3274"/>
    <s v="kpl"/>
    <n v="1353"/>
    <n v="37"/>
    <n v="108"/>
    <x v="555"/>
    <n v="919.08"/>
    <n v="4915.08"/>
    <x v="11"/>
  </r>
  <r>
    <n v="1255"/>
    <x v="6"/>
    <n v="9"/>
    <d v="2022-10-13T00:00:00"/>
    <s v="FA"/>
    <s v="1052/3275"/>
    <s v="kpl"/>
    <n v="1354"/>
    <n v="34"/>
    <n v="84"/>
    <x v="44"/>
    <n v="656.88"/>
    <n v="3512.88"/>
    <x v="5"/>
  </r>
  <r>
    <n v="1256"/>
    <x v="17"/>
    <n v="4"/>
    <d v="2022-04-03T00:00:00"/>
    <s v="FA"/>
    <s v="1052/3276"/>
    <s v="kpl"/>
    <n v="1355"/>
    <n v="41"/>
    <n v="94"/>
    <x v="505"/>
    <n v="886.42000000000007"/>
    <n v="4740.42"/>
    <x v="1"/>
  </r>
  <r>
    <n v="1257"/>
    <x v="20"/>
    <n v="11"/>
    <d v="2022-02-20T00:00:00"/>
    <s v="FA"/>
    <s v="1052/3277"/>
    <s v="kpl"/>
    <n v="1356"/>
    <n v="61"/>
    <n v="104"/>
    <x v="484"/>
    <n v="1459.1200000000001"/>
    <n v="7803.12"/>
    <x v="9"/>
  </r>
  <r>
    <n v="1258"/>
    <x v="0"/>
    <n v="8"/>
    <d v="2022-07-08T00:00:00"/>
    <s v="FA"/>
    <s v="1052/3278"/>
    <s v="kpl"/>
    <n v="1357"/>
    <n v="61"/>
    <n v="83"/>
    <x v="87"/>
    <n v="1164.49"/>
    <n v="6227.49"/>
    <x v="6"/>
  </r>
  <r>
    <n v="1259"/>
    <x v="12"/>
    <n v="10"/>
    <d v="2022-07-01T00:00:00"/>
    <s v="FA"/>
    <s v="1052/3279"/>
    <s v="kpl"/>
    <n v="1358"/>
    <n v="42"/>
    <n v="91"/>
    <x v="556"/>
    <n v="879.06000000000006"/>
    <n v="4701.0600000000004"/>
    <x v="6"/>
  </r>
  <r>
    <n v="1260"/>
    <x v="11"/>
    <n v="13"/>
    <d v="2022-06-25T00:00:00"/>
    <s v="FA"/>
    <s v="1052/3280"/>
    <s v="kpl"/>
    <n v="1359"/>
    <n v="58"/>
    <n v="93"/>
    <x v="402"/>
    <n v="1240.6200000000001"/>
    <n v="6634.62"/>
    <x v="4"/>
  </r>
  <r>
    <n v="1261"/>
    <x v="21"/>
    <n v="10"/>
    <d v="2022-04-15T00:00:00"/>
    <s v="FA"/>
    <s v="1052/3281"/>
    <s v="kpl"/>
    <n v="1360"/>
    <n v="46"/>
    <n v="87"/>
    <x v="281"/>
    <n v="920.46"/>
    <n v="4922.46"/>
    <x v="1"/>
  </r>
  <r>
    <n v="1262"/>
    <x v="12"/>
    <n v="12"/>
    <d v="2022-06-16T00:00:00"/>
    <s v="FA"/>
    <s v="1052/3282"/>
    <s v="kpl"/>
    <n v="1361"/>
    <n v="57"/>
    <n v="91"/>
    <x v="72"/>
    <n v="1193.01"/>
    <n v="6380.01"/>
    <x v="4"/>
  </r>
  <r>
    <n v="1263"/>
    <x v="10"/>
    <n v="9"/>
    <d v="2022-05-28T00:00:00"/>
    <s v="FA"/>
    <s v="1052/3283"/>
    <s v="kpl"/>
    <n v="1362"/>
    <n v="26"/>
    <n v="84"/>
    <x v="557"/>
    <n v="502.32000000000005"/>
    <n v="2686.32"/>
    <x v="10"/>
  </r>
  <r>
    <n v="1264"/>
    <x v="14"/>
    <n v="12"/>
    <d v="2022-12-06T00:00:00"/>
    <s v="FA"/>
    <s v="1052/3284"/>
    <s v="kpl"/>
    <n v="1363"/>
    <n v="51"/>
    <n v="86"/>
    <x v="527"/>
    <n v="1008.7800000000001"/>
    <n v="5394.78"/>
    <x v="2"/>
  </r>
  <r>
    <n v="1265"/>
    <x v="2"/>
    <n v="7"/>
    <d v="2022-06-17T00:00:00"/>
    <s v="FA"/>
    <s v="1052/3285"/>
    <s v="kpl"/>
    <n v="1364"/>
    <n v="54"/>
    <n v="84"/>
    <x v="309"/>
    <n v="1043.28"/>
    <n v="5579.28"/>
    <x v="4"/>
  </r>
  <r>
    <n v="1266"/>
    <x v="18"/>
    <n v="9"/>
    <d v="2022-05-01T00:00:00"/>
    <s v="FA"/>
    <s v="1052/3286"/>
    <s v="kpl"/>
    <n v="1365"/>
    <n v="47"/>
    <n v="109"/>
    <x v="77"/>
    <n v="1178.29"/>
    <n v="6301.29"/>
    <x v="10"/>
  </r>
  <r>
    <n v="1267"/>
    <x v="24"/>
    <n v="7"/>
    <d v="2022-09-23T00:00:00"/>
    <s v="FA"/>
    <s v="1052/3287"/>
    <s v="kpl"/>
    <n v="1366"/>
    <n v="41"/>
    <n v="129"/>
    <x v="69"/>
    <n v="1216.47"/>
    <n v="6505.47"/>
    <x v="7"/>
  </r>
  <r>
    <n v="1268"/>
    <x v="10"/>
    <n v="11"/>
    <d v="2022-01-13T00:00:00"/>
    <s v="FA"/>
    <s v="1052/3288"/>
    <s v="kpl"/>
    <n v="1367"/>
    <n v="47"/>
    <n v="84"/>
    <x v="55"/>
    <n v="908.04000000000008"/>
    <n v="4856.04"/>
    <x v="0"/>
  </r>
  <r>
    <n v="1269"/>
    <x v="4"/>
    <n v="6"/>
    <d v="2022-08-04T00:00:00"/>
    <s v="FA"/>
    <s v="1052/3289"/>
    <s v="kpl"/>
    <n v="1368"/>
    <n v="49"/>
    <n v="85"/>
    <x v="48"/>
    <n v="957.95"/>
    <n v="5122.95"/>
    <x v="11"/>
  </r>
  <r>
    <n v="1270"/>
    <x v="5"/>
    <n v="11"/>
    <d v="2022-10-13T00:00:00"/>
    <s v="FA"/>
    <s v="1052/3290"/>
    <s v="kpl"/>
    <n v="1369"/>
    <n v="74"/>
    <n v="87"/>
    <x v="558"/>
    <n v="1480.74"/>
    <n v="7918.74"/>
    <x v="5"/>
  </r>
  <r>
    <n v="1271"/>
    <x v="16"/>
    <n v="9"/>
    <d v="2022-05-19T00:00:00"/>
    <s v="FA"/>
    <s v="1052/3291"/>
    <s v="kpl"/>
    <n v="1370"/>
    <n v="79"/>
    <n v="132"/>
    <x v="559"/>
    <n v="2398.44"/>
    <n v="12826.44"/>
    <x v="10"/>
  </r>
  <r>
    <n v="1272"/>
    <x v="2"/>
    <n v="13"/>
    <d v="2022-01-21T00:00:00"/>
    <s v="FA"/>
    <s v="1052/3292"/>
    <s v="kpl"/>
    <n v="1371"/>
    <n v="45"/>
    <n v="84"/>
    <x v="12"/>
    <n v="869.40000000000009"/>
    <n v="4649.3999999999996"/>
    <x v="0"/>
  </r>
  <r>
    <n v="1273"/>
    <x v="0"/>
    <n v="4"/>
    <d v="2022-10-01T00:00:00"/>
    <s v="FA"/>
    <s v="1052/3293"/>
    <s v="kpl"/>
    <n v="1372"/>
    <n v="38"/>
    <n v="83"/>
    <x v="196"/>
    <n v="725.42000000000007"/>
    <n v="3879.42"/>
    <x v="5"/>
  </r>
  <r>
    <n v="1274"/>
    <x v="10"/>
    <n v="13"/>
    <d v="2022-03-03T00:00:00"/>
    <s v="FA"/>
    <s v="1052/3294"/>
    <s v="kpl"/>
    <n v="1373"/>
    <n v="51"/>
    <n v="84"/>
    <x v="234"/>
    <n v="985.32"/>
    <n v="5269.32"/>
    <x v="3"/>
  </r>
  <r>
    <n v="1275"/>
    <x v="11"/>
    <n v="12"/>
    <d v="2022-02-28T00:00:00"/>
    <s v="FA"/>
    <s v="1052/3295"/>
    <s v="kpl"/>
    <n v="1374"/>
    <n v="57"/>
    <n v="93"/>
    <x v="13"/>
    <n v="1219.23"/>
    <n v="6520.23"/>
    <x v="9"/>
  </r>
  <r>
    <n v="1276"/>
    <x v="25"/>
    <n v="9"/>
    <d v="2022-05-12T00:00:00"/>
    <s v="FA"/>
    <s v="1052/3296"/>
    <s v="kpl"/>
    <n v="1375"/>
    <n v="65"/>
    <n v="59"/>
    <x v="560"/>
    <n v="882.05000000000007"/>
    <n v="4717.05"/>
    <x v="10"/>
  </r>
  <r>
    <n v="1277"/>
    <x v="4"/>
    <n v="6"/>
    <d v="2022-04-04T00:00:00"/>
    <s v="FA"/>
    <s v="1052/3297"/>
    <s v="kpl"/>
    <n v="1376"/>
    <n v="48"/>
    <n v="85"/>
    <x v="290"/>
    <n v="938.40000000000009"/>
    <n v="5018.3999999999996"/>
    <x v="1"/>
  </r>
  <r>
    <n v="1278"/>
    <x v="26"/>
    <n v="10"/>
    <d v="2022-12-27T00:00:00"/>
    <s v="FA"/>
    <s v="1052/3298"/>
    <s v="kpl"/>
    <n v="1377"/>
    <n v="36"/>
    <n v="99"/>
    <x v="416"/>
    <n v="819.72"/>
    <n v="4383.72"/>
    <x v="2"/>
  </r>
  <r>
    <n v="1279"/>
    <x v="0"/>
    <n v="8"/>
    <d v="2022-09-23T00:00:00"/>
    <s v="FA"/>
    <s v="1052/3299"/>
    <s v="kpl"/>
    <n v="1378"/>
    <n v="44"/>
    <n v="83"/>
    <x v="200"/>
    <n v="839.96"/>
    <n v="4491.96"/>
    <x v="7"/>
  </r>
  <r>
    <n v="1280"/>
    <x v="27"/>
    <n v="12"/>
    <d v="2022-10-05T00:00:00"/>
    <s v="FA"/>
    <s v="1052/3300"/>
    <s v="kpl"/>
    <n v="1379"/>
    <n v="35"/>
    <n v="111"/>
    <x v="511"/>
    <n v="893.55000000000007"/>
    <n v="4778.55"/>
    <x v="5"/>
  </r>
  <r>
    <n v="1281"/>
    <x v="10"/>
    <n v="6"/>
    <d v="2022-01-21T00:00:00"/>
    <s v="FA"/>
    <s v="1052/3301"/>
    <s v="kpl"/>
    <n v="1380"/>
    <n v="73"/>
    <n v="84"/>
    <x v="561"/>
    <n v="1410.3600000000001"/>
    <n v="7542.3600000000006"/>
    <x v="0"/>
  </r>
  <r>
    <n v="1282"/>
    <x v="24"/>
    <n v="11"/>
    <d v="2022-06-19T00:00:00"/>
    <s v="FA"/>
    <s v="1052/3302"/>
    <s v="kpl"/>
    <n v="1381"/>
    <n v="56"/>
    <n v="129"/>
    <x v="261"/>
    <n v="1661.52"/>
    <n v="8885.52"/>
    <x v="4"/>
  </r>
  <r>
    <n v="1283"/>
    <x v="5"/>
    <n v="8"/>
    <d v="2022-02-22T00:00:00"/>
    <s v="FA"/>
    <s v="1052/3303"/>
    <s v="kpl"/>
    <n v="1382"/>
    <n v="47"/>
    <n v="87"/>
    <x v="159"/>
    <n v="940.47"/>
    <n v="5029.47"/>
    <x v="9"/>
  </r>
  <r>
    <n v="1284"/>
    <x v="21"/>
    <n v="13"/>
    <d v="2022-04-10T00:00:00"/>
    <s v="FA"/>
    <s v="1052/3304"/>
    <s v="kpl"/>
    <n v="1383"/>
    <n v="53"/>
    <n v="87"/>
    <x v="307"/>
    <n v="1060.53"/>
    <n v="5671.53"/>
    <x v="1"/>
  </r>
  <r>
    <n v="1285"/>
    <x v="3"/>
    <n v="11"/>
    <d v="2022-11-16T00:00:00"/>
    <s v="FA"/>
    <s v="1052/3305"/>
    <s v="kpl"/>
    <n v="1384"/>
    <n v="44"/>
    <n v="88"/>
    <x v="360"/>
    <n v="890.56000000000006"/>
    <n v="4762.5600000000004"/>
    <x v="8"/>
  </r>
  <r>
    <n v="1286"/>
    <x v="23"/>
    <n v="8"/>
    <d v="2022-05-01T00:00:00"/>
    <s v="FA"/>
    <s v="1052/3306"/>
    <s v="kpl"/>
    <n v="1385"/>
    <n v="45"/>
    <n v="105"/>
    <x v="267"/>
    <n v="1086.75"/>
    <n v="5811.75"/>
    <x v="10"/>
  </r>
  <r>
    <n v="1287"/>
    <x v="16"/>
    <n v="10"/>
    <d v="2022-01-21T00:00:00"/>
    <s v="FA"/>
    <s v="1052/3307"/>
    <s v="kpl"/>
    <n v="1386"/>
    <n v="62"/>
    <n v="132"/>
    <x v="350"/>
    <n v="1882.3200000000002"/>
    <n v="10066.32"/>
    <x v="0"/>
  </r>
  <r>
    <n v="1288"/>
    <x v="8"/>
    <n v="9"/>
    <d v="2022-12-24T00:00:00"/>
    <s v="FA"/>
    <s v="1052/3308"/>
    <s v="kpl"/>
    <n v="1387"/>
    <n v="45"/>
    <n v="89"/>
    <x v="152"/>
    <n v="921.15000000000009"/>
    <n v="4926.1499999999996"/>
    <x v="2"/>
  </r>
  <r>
    <n v="1289"/>
    <x v="18"/>
    <n v="10"/>
    <d v="2022-06-25T00:00:00"/>
    <s v="FA"/>
    <s v="1052/3309"/>
    <s v="kpl"/>
    <n v="1388"/>
    <n v="38"/>
    <n v="109"/>
    <x v="158"/>
    <n v="952.66000000000008"/>
    <n v="5094.66"/>
    <x v="4"/>
  </r>
  <r>
    <n v="1290"/>
    <x v="21"/>
    <n v="6"/>
    <d v="2022-12-15T00:00:00"/>
    <s v="FA"/>
    <s v="1052/3310"/>
    <s v="kpl"/>
    <n v="1389"/>
    <n v="49"/>
    <n v="87"/>
    <x v="96"/>
    <n v="980.49"/>
    <n v="5243.49"/>
    <x v="2"/>
  </r>
  <r>
    <n v="1291"/>
    <x v="20"/>
    <n v="10"/>
    <d v="2022-08-13T00:00:00"/>
    <s v="FA"/>
    <s v="1052/3311"/>
    <s v="kpl"/>
    <n v="1390"/>
    <n v="54"/>
    <n v="104"/>
    <x v="460"/>
    <n v="1291.68"/>
    <n v="6907.68"/>
    <x v="11"/>
  </r>
  <r>
    <n v="1292"/>
    <x v="0"/>
    <n v="13"/>
    <d v="2022-10-09T00:00:00"/>
    <s v="FA"/>
    <s v="1052/3312"/>
    <s v="kpl"/>
    <n v="1391"/>
    <n v="40"/>
    <n v="83"/>
    <x v="372"/>
    <n v="763.6"/>
    <n v="4083.6"/>
    <x v="5"/>
  </r>
  <r>
    <n v="1293"/>
    <x v="17"/>
    <n v="7"/>
    <d v="2022-06-17T00:00:00"/>
    <s v="FA"/>
    <s v="1052/3313"/>
    <s v="kpl"/>
    <n v="1392"/>
    <n v="68"/>
    <n v="94"/>
    <x v="562"/>
    <n v="1470.16"/>
    <n v="7862.16"/>
    <x v="4"/>
  </r>
  <r>
    <n v="1294"/>
    <x v="18"/>
    <n v="9"/>
    <d v="2022-01-09T00:00:00"/>
    <s v="FA"/>
    <s v="1052/3314"/>
    <s v="kpl"/>
    <n v="1393"/>
    <n v="48"/>
    <n v="109"/>
    <x v="417"/>
    <n v="1203.3600000000001"/>
    <n v="6435.3600000000006"/>
    <x v="0"/>
  </r>
  <r>
    <n v="1295"/>
    <x v="12"/>
    <n v="5"/>
    <d v="2022-01-05T00:00:00"/>
    <s v="FA"/>
    <s v="1052/3315"/>
    <s v="kpl"/>
    <n v="1394"/>
    <n v="68"/>
    <n v="91"/>
    <x v="563"/>
    <n v="1423.24"/>
    <n v="7611.24"/>
    <x v="0"/>
  </r>
  <r>
    <n v="1296"/>
    <x v="13"/>
    <n v="11"/>
    <d v="2022-10-03T00:00:00"/>
    <s v="FA"/>
    <s v="1052/3316"/>
    <s v="kpl"/>
    <n v="1395"/>
    <n v="44"/>
    <n v="88"/>
    <x v="360"/>
    <n v="890.56000000000006"/>
    <n v="4762.5600000000004"/>
    <x v="5"/>
  </r>
  <r>
    <n v="1297"/>
    <x v="0"/>
    <n v="13"/>
    <d v="2022-11-09T00:00:00"/>
    <s v="FA"/>
    <s v="1052/3317"/>
    <s v="kpl"/>
    <n v="1396"/>
    <n v="60"/>
    <n v="83"/>
    <x v="86"/>
    <n v="1145.4000000000001"/>
    <n v="6125.4"/>
    <x v="8"/>
  </r>
  <r>
    <n v="1298"/>
    <x v="22"/>
    <n v="11"/>
    <d v="2022-09-22T00:00:00"/>
    <s v="FA"/>
    <s v="1052/3318"/>
    <s v="kpl"/>
    <n v="1397"/>
    <n v="55"/>
    <n v="125"/>
    <x v="387"/>
    <n v="1581.25"/>
    <n v="8456.25"/>
    <x v="7"/>
  </r>
  <r>
    <n v="1299"/>
    <x v="25"/>
    <n v="13"/>
    <d v="2022-05-05T00:00:00"/>
    <s v="FA"/>
    <s v="1052/3319"/>
    <s v="kpl"/>
    <n v="1398"/>
    <n v="47"/>
    <n v="59"/>
    <x v="529"/>
    <n v="637.79000000000008"/>
    <n v="3410.79"/>
    <x v="10"/>
  </r>
  <r>
    <n v="1300"/>
    <x v="16"/>
    <n v="10"/>
    <d v="2022-12-16T00:00:00"/>
    <s v="FA"/>
    <s v="1052/3320"/>
    <s v="kpl"/>
    <n v="1399"/>
    <n v="34"/>
    <n v="132"/>
    <x v="19"/>
    <n v="1032.24"/>
    <n v="5520.24"/>
    <x v="2"/>
  </r>
  <r>
    <n v="1301"/>
    <x v="0"/>
    <n v="11"/>
    <d v="2022-08-24T00:00:00"/>
    <s v="FA"/>
    <s v="1052/3321"/>
    <s v="kpl"/>
    <n v="1400"/>
    <n v="60"/>
    <n v="83"/>
    <x v="86"/>
    <n v="1145.4000000000001"/>
    <n v="6125.4"/>
    <x v="11"/>
  </r>
  <r>
    <n v="1302"/>
    <x v="23"/>
    <n v="13"/>
    <d v="2022-03-11T00:00:00"/>
    <s v="FA"/>
    <s v="1052/3322"/>
    <s v="kpl"/>
    <n v="1401"/>
    <n v="62"/>
    <n v="105"/>
    <x v="469"/>
    <n v="1497.3"/>
    <n v="8007.3"/>
    <x v="3"/>
  </r>
  <r>
    <n v="1303"/>
    <x v="17"/>
    <n v="10"/>
    <d v="2022-05-12T00:00:00"/>
    <s v="FA"/>
    <s v="1052/3323"/>
    <s v="kpl"/>
    <n v="1402"/>
    <n v="45"/>
    <n v="94"/>
    <x v="26"/>
    <n v="972.90000000000009"/>
    <n v="5202.8999999999996"/>
    <x v="10"/>
  </r>
  <r>
    <n v="1304"/>
    <x v="17"/>
    <n v="10"/>
    <d v="2022-07-24T00:00:00"/>
    <s v="FA"/>
    <s v="1052/3324"/>
    <s v="kpl"/>
    <n v="1403"/>
    <n v="44"/>
    <n v="94"/>
    <x v="165"/>
    <n v="951.28000000000009"/>
    <n v="5087.28"/>
    <x v="6"/>
  </r>
  <r>
    <n v="1305"/>
    <x v="7"/>
    <n v="11"/>
    <d v="2022-01-04T00:00:00"/>
    <s v="FA"/>
    <s v="1052/3325"/>
    <s v="kpl"/>
    <n v="1404"/>
    <n v="58"/>
    <n v="96"/>
    <x v="470"/>
    <n v="1280.6400000000001"/>
    <n v="6848.64"/>
    <x v="0"/>
  </r>
  <r>
    <n v="1306"/>
    <x v="18"/>
    <n v="11"/>
    <d v="2022-05-23T00:00:00"/>
    <s v="FA"/>
    <s v="1052/3326"/>
    <s v="kpl"/>
    <n v="1405"/>
    <n v="65"/>
    <n v="109"/>
    <x v="398"/>
    <n v="1629.5500000000002"/>
    <n v="8714.5499999999993"/>
    <x v="10"/>
  </r>
  <r>
    <n v="1307"/>
    <x v="7"/>
    <n v="11"/>
    <d v="2022-03-22T00:00:00"/>
    <s v="FA"/>
    <s v="1052/3327"/>
    <s v="kpl"/>
    <n v="1406"/>
    <n v="51"/>
    <n v="96"/>
    <x v="463"/>
    <n v="1126.0800000000002"/>
    <n v="6022.08"/>
    <x v="3"/>
  </r>
  <r>
    <n v="1308"/>
    <x v="20"/>
    <n v="11"/>
    <d v="2022-05-15T00:00:00"/>
    <s v="FA"/>
    <s v="1052/3328"/>
    <s v="kpl"/>
    <n v="1407"/>
    <n v="41"/>
    <n v="104"/>
    <x v="308"/>
    <n v="980.72"/>
    <n v="5244.72"/>
    <x v="10"/>
  </r>
  <r>
    <n v="1309"/>
    <x v="14"/>
    <n v="12"/>
    <d v="2022-02-04T00:00:00"/>
    <s v="FA"/>
    <s v="1052/3329"/>
    <s v="kpl"/>
    <n v="1408"/>
    <n v="51"/>
    <n v="86"/>
    <x v="527"/>
    <n v="1008.7800000000001"/>
    <n v="5394.78"/>
    <x v="9"/>
  </r>
  <r>
    <n v="1310"/>
    <x v="15"/>
    <n v="13"/>
    <d v="2022-04-16T00:00:00"/>
    <s v="FA"/>
    <s v="1052/3330"/>
    <s v="kpl"/>
    <n v="1409"/>
    <n v="50"/>
    <n v="90"/>
    <x v="153"/>
    <n v="1035"/>
    <n v="5535"/>
    <x v="1"/>
  </r>
  <r>
    <n v="1311"/>
    <x v="7"/>
    <n v="9"/>
    <d v="2022-11-25T00:00:00"/>
    <s v="FA"/>
    <s v="1052/3331"/>
    <s v="kpl"/>
    <n v="1410"/>
    <n v="38"/>
    <n v="96"/>
    <x v="564"/>
    <n v="839.04000000000008"/>
    <n v="4487.04"/>
    <x v="8"/>
  </r>
  <r>
    <n v="1312"/>
    <x v="13"/>
    <n v="12"/>
    <d v="2022-06-05T00:00:00"/>
    <s v="FA"/>
    <s v="1052/3332"/>
    <s v="kpl"/>
    <n v="1411"/>
    <n v="62"/>
    <n v="88"/>
    <x v="565"/>
    <n v="1254.8800000000001"/>
    <n v="6710.88"/>
    <x v="4"/>
  </r>
  <r>
    <n v="1313"/>
    <x v="22"/>
    <n v="13"/>
    <d v="2022-06-23T00:00:00"/>
    <s v="FA"/>
    <s v="1052/3333"/>
    <s v="kpl"/>
    <n v="1412"/>
    <n v="51"/>
    <n v="125"/>
    <x v="209"/>
    <n v="1466.25"/>
    <n v="7841.25"/>
    <x v="4"/>
  </r>
  <r>
    <n v="1314"/>
    <x v="18"/>
    <n v="10"/>
    <d v="2022-11-24T00:00:00"/>
    <s v="FA"/>
    <s v="1052/3334"/>
    <s v="kpl"/>
    <n v="1413"/>
    <n v="54"/>
    <n v="109"/>
    <x v="111"/>
    <n v="1353.78"/>
    <n v="7239.78"/>
    <x v="8"/>
  </r>
  <r>
    <n v="1315"/>
    <x v="9"/>
    <n v="11"/>
    <d v="2022-06-15T00:00:00"/>
    <s v="FA"/>
    <s v="1052/3335"/>
    <s v="kpl"/>
    <n v="1414"/>
    <n v="50"/>
    <n v="108"/>
    <x v="385"/>
    <n v="1242"/>
    <n v="6642"/>
    <x v="4"/>
  </r>
  <r>
    <n v="1316"/>
    <x v="8"/>
    <n v="10"/>
    <d v="2022-01-08T00:00:00"/>
    <s v="FA"/>
    <s v="1052/3336"/>
    <s v="kpl"/>
    <n v="1415"/>
    <n v="46"/>
    <n v="89"/>
    <x v="444"/>
    <n v="941.62"/>
    <n v="5035.62"/>
    <x v="0"/>
  </r>
  <r>
    <n v="1317"/>
    <x v="25"/>
    <n v="6"/>
    <d v="2022-01-12T00:00:00"/>
    <s v="FA"/>
    <s v="1052/3337"/>
    <s v="kpl"/>
    <n v="1416"/>
    <n v="62"/>
    <n v="59"/>
    <x v="566"/>
    <n v="841.34"/>
    <n v="4499.34"/>
    <x v="0"/>
  </r>
  <r>
    <n v="1318"/>
    <x v="16"/>
    <n v="6"/>
    <d v="2022-04-02T00:00:00"/>
    <s v="FA"/>
    <s v="1052/3338"/>
    <s v="kpl"/>
    <n v="1417"/>
    <n v="75"/>
    <n v="132"/>
    <x v="567"/>
    <n v="2277"/>
    <n v="12177"/>
    <x v="1"/>
  </r>
  <r>
    <n v="1319"/>
    <x v="27"/>
    <n v="10"/>
    <d v="2022-04-24T00:00:00"/>
    <s v="FA"/>
    <s v="1052/3339"/>
    <s v="kpl"/>
    <n v="1418"/>
    <n v="50"/>
    <n v="111"/>
    <x v="568"/>
    <n v="1276.5"/>
    <n v="6826.5"/>
    <x v="1"/>
  </r>
  <r>
    <n v="1320"/>
    <x v="13"/>
    <n v="9"/>
    <d v="2022-08-27T00:00:00"/>
    <s v="FA"/>
    <s v="1052/3340"/>
    <s v="kpl"/>
    <n v="1419"/>
    <n v="50"/>
    <n v="88"/>
    <x v="98"/>
    <n v="1012"/>
    <n v="5412"/>
    <x v="11"/>
  </r>
  <r>
    <n v="1321"/>
    <x v="11"/>
    <n v="13"/>
    <d v="2022-03-27T00:00:00"/>
    <s v="FA"/>
    <s v="1052/3341"/>
    <s v="kpl"/>
    <n v="1420"/>
    <n v="53"/>
    <n v="93"/>
    <x v="413"/>
    <n v="1133.67"/>
    <n v="6062.67"/>
    <x v="3"/>
  </r>
  <r>
    <n v="1322"/>
    <x v="0"/>
    <n v="6"/>
    <d v="2022-12-05T00:00:00"/>
    <s v="FA"/>
    <s v="1052/3342"/>
    <s v="kpl"/>
    <n v="1421"/>
    <n v="57"/>
    <n v="83"/>
    <x v="569"/>
    <n v="1088.1300000000001"/>
    <n v="5819.13"/>
    <x v="2"/>
  </r>
  <r>
    <n v="1323"/>
    <x v="27"/>
    <n v="9"/>
    <d v="2022-01-07T00:00:00"/>
    <s v="FA"/>
    <s v="1052/3343"/>
    <s v="kpl"/>
    <n v="1422"/>
    <n v="49"/>
    <n v="111"/>
    <x v="570"/>
    <n v="1250.97"/>
    <n v="6689.97"/>
    <x v="0"/>
  </r>
  <r>
    <n v="1324"/>
    <x v="6"/>
    <n v="12"/>
    <d v="2022-11-23T00:00:00"/>
    <s v="FA"/>
    <s v="1052/3344"/>
    <s v="kpl"/>
    <n v="1423"/>
    <n v="41"/>
    <n v="84"/>
    <x v="39"/>
    <n v="792.12"/>
    <n v="4236.12"/>
    <x v="8"/>
  </r>
  <r>
    <n v="1325"/>
    <x v="25"/>
    <n v="12"/>
    <d v="2022-02-27T00:00:00"/>
    <s v="FA"/>
    <s v="1052/3345"/>
    <s v="kpl"/>
    <n v="1424"/>
    <n v="52"/>
    <n v="59"/>
    <x v="455"/>
    <n v="705.64"/>
    <n v="3773.64"/>
    <x v="9"/>
  </r>
  <r>
    <n v="1326"/>
    <x v="4"/>
    <n v="8"/>
    <d v="2022-02-08T00:00:00"/>
    <s v="FA"/>
    <s v="1052/3346"/>
    <s v="kpl"/>
    <n v="1425"/>
    <n v="65"/>
    <n v="85"/>
    <x v="446"/>
    <n v="1270.75"/>
    <n v="6795.75"/>
    <x v="9"/>
  </r>
  <r>
    <n v="1327"/>
    <x v="9"/>
    <n v="10"/>
    <d v="2022-06-10T00:00:00"/>
    <s v="FA"/>
    <s v="1052/3347"/>
    <s v="kpl"/>
    <n v="1426"/>
    <n v="56"/>
    <n v="108"/>
    <x v="20"/>
    <n v="1391.04"/>
    <n v="7439.04"/>
    <x v="4"/>
  </r>
  <r>
    <n v="1328"/>
    <x v="26"/>
    <n v="11"/>
    <d v="2022-09-10T00:00:00"/>
    <s v="FA"/>
    <s v="1052/3348"/>
    <s v="kpl"/>
    <n v="1427"/>
    <n v="59"/>
    <n v="99"/>
    <x v="318"/>
    <n v="1343.43"/>
    <n v="7184.43"/>
    <x v="7"/>
  </r>
  <r>
    <n v="1329"/>
    <x v="23"/>
    <n v="7"/>
    <d v="2022-05-18T00:00:00"/>
    <s v="FA"/>
    <s v="1052/3349"/>
    <s v="kpl"/>
    <n v="1428"/>
    <n v="52"/>
    <n v="105"/>
    <x v="260"/>
    <n v="1255.8"/>
    <n v="6715.8"/>
    <x v="10"/>
  </r>
  <r>
    <n v="1330"/>
    <x v="19"/>
    <n v="8"/>
    <d v="2022-01-19T00:00:00"/>
    <s v="FA"/>
    <s v="1052/3350"/>
    <s v="kpl"/>
    <n v="1429"/>
    <n v="39"/>
    <n v="121"/>
    <x v="322"/>
    <n v="1085.3700000000001"/>
    <n v="5804.37"/>
    <x v="0"/>
  </r>
  <r>
    <n v="1331"/>
    <x v="9"/>
    <n v="6"/>
    <d v="2022-07-07T00:00:00"/>
    <s v="FA"/>
    <s v="1052/3351"/>
    <s v="kpl"/>
    <n v="1430"/>
    <n v="57"/>
    <n v="108"/>
    <x v="571"/>
    <n v="1415.88"/>
    <n v="7571.88"/>
    <x v="6"/>
  </r>
  <r>
    <n v="1332"/>
    <x v="3"/>
    <n v="10"/>
    <d v="2022-12-26T00:00:00"/>
    <s v="FA"/>
    <s v="1052/3352"/>
    <s v="kpl"/>
    <n v="1431"/>
    <n v="56"/>
    <n v="88"/>
    <x v="71"/>
    <n v="1133.44"/>
    <n v="6061.4400000000005"/>
    <x v="2"/>
  </r>
  <r>
    <n v="1333"/>
    <x v="24"/>
    <n v="10"/>
    <d v="2022-02-10T00:00:00"/>
    <s v="FA"/>
    <s v="1052/3353"/>
    <s v="kpl"/>
    <n v="1432"/>
    <n v="55"/>
    <n v="129"/>
    <x v="468"/>
    <n v="1631.8500000000001"/>
    <n v="8726.85"/>
    <x v="9"/>
  </r>
  <r>
    <n v="1334"/>
    <x v="19"/>
    <n v="10"/>
    <d v="2022-12-04T00:00:00"/>
    <s v="FA"/>
    <s v="1052/3354"/>
    <s v="kpl"/>
    <n v="1433"/>
    <n v="49"/>
    <n v="121"/>
    <x v="572"/>
    <n v="1363.67"/>
    <n v="7292.67"/>
    <x v="2"/>
  </r>
  <r>
    <n v="1335"/>
    <x v="6"/>
    <n v="12"/>
    <d v="2022-04-08T00:00:00"/>
    <s v="FA"/>
    <s v="1052/3355"/>
    <s v="kpl"/>
    <n v="1434"/>
    <n v="65"/>
    <n v="84"/>
    <x v="260"/>
    <n v="1255.8"/>
    <n v="6715.8"/>
    <x v="1"/>
  </r>
  <r>
    <n v="1336"/>
    <x v="3"/>
    <n v="6"/>
    <d v="2022-12-22T00:00:00"/>
    <s v="FA"/>
    <s v="1052/3356"/>
    <s v="kpl"/>
    <n v="1435"/>
    <n v="52"/>
    <n v="88"/>
    <x v="14"/>
    <n v="1052.48"/>
    <n v="5628.48"/>
    <x v="2"/>
  </r>
  <r>
    <n v="1337"/>
    <x v="26"/>
    <n v="10"/>
    <d v="2022-01-17T00:00:00"/>
    <s v="FA"/>
    <s v="1052/3357"/>
    <s v="kpl"/>
    <n v="1436"/>
    <n v="40"/>
    <n v="99"/>
    <x v="291"/>
    <n v="910.80000000000007"/>
    <n v="4870.8"/>
    <x v="0"/>
  </r>
  <r>
    <n v="1338"/>
    <x v="14"/>
    <n v="8"/>
    <d v="2022-10-25T00:00:00"/>
    <s v="FA"/>
    <s v="1052/3358"/>
    <s v="kpl"/>
    <n v="1437"/>
    <n v="47"/>
    <n v="86"/>
    <x v="211"/>
    <n v="929.66000000000008"/>
    <n v="4971.66"/>
    <x v="5"/>
  </r>
  <r>
    <n v="1339"/>
    <x v="1"/>
    <n v="6"/>
    <d v="2022-11-24T00:00:00"/>
    <s v="FA"/>
    <s v="1052/3359"/>
    <s v="kpl"/>
    <n v="1438"/>
    <n v="53"/>
    <n v="99"/>
    <x v="357"/>
    <n v="1206.81"/>
    <n v="6453.8099999999995"/>
    <x v="8"/>
  </r>
  <r>
    <n v="1340"/>
    <x v="20"/>
    <n v="9"/>
    <d v="2022-11-21T00:00:00"/>
    <s v="FA"/>
    <s v="1052/3360"/>
    <s v="kpl"/>
    <n v="1439"/>
    <n v="60"/>
    <n v="104"/>
    <x v="573"/>
    <n v="1435.2"/>
    <n v="7675.2"/>
    <x v="8"/>
  </r>
  <r>
    <n v="1341"/>
    <x v="0"/>
    <n v="12"/>
    <d v="2022-06-20T00:00:00"/>
    <s v="FA"/>
    <s v="1052/3361"/>
    <s v="kpl"/>
    <n v="1440"/>
    <n v="54"/>
    <n v="83"/>
    <x v="79"/>
    <n v="1030.8600000000001"/>
    <n v="5512.8600000000006"/>
    <x v="4"/>
  </r>
  <r>
    <n v="1342"/>
    <x v="10"/>
    <n v="9"/>
    <d v="2022-12-15T00:00:00"/>
    <s v="FA"/>
    <s v="1052/3362"/>
    <s v="kpl"/>
    <n v="1441"/>
    <n v="51"/>
    <n v="84"/>
    <x v="234"/>
    <n v="985.32"/>
    <n v="5269.32"/>
    <x v="2"/>
  </r>
  <r>
    <n v="1343"/>
    <x v="6"/>
    <n v="13"/>
    <d v="2022-03-15T00:00:00"/>
    <s v="FA"/>
    <s v="1052/3363"/>
    <s v="kpl"/>
    <n v="1442"/>
    <n v="47"/>
    <n v="84"/>
    <x v="55"/>
    <n v="908.04000000000008"/>
    <n v="4856.04"/>
    <x v="3"/>
  </r>
  <r>
    <n v="1344"/>
    <x v="19"/>
    <n v="8"/>
    <d v="2022-07-06T00:00:00"/>
    <s v="FA"/>
    <s v="1052/3364"/>
    <s v="kpl"/>
    <n v="1443"/>
    <n v="45"/>
    <n v="121"/>
    <x v="50"/>
    <n v="1252.3500000000001"/>
    <n v="6697.35"/>
    <x v="6"/>
  </r>
  <r>
    <n v="1345"/>
    <x v="3"/>
    <n v="13"/>
    <d v="2022-03-19T00:00:00"/>
    <s v="FA"/>
    <s v="1052/3365"/>
    <s v="kpl"/>
    <n v="1444"/>
    <n v="50"/>
    <n v="88"/>
    <x v="98"/>
    <n v="1012"/>
    <n v="5412"/>
    <x v="3"/>
  </r>
  <r>
    <n v="1346"/>
    <x v="17"/>
    <n v="9"/>
    <d v="2022-02-17T00:00:00"/>
    <s v="FA"/>
    <s v="1052/3366"/>
    <s v="kpl"/>
    <n v="1445"/>
    <n v="58"/>
    <n v="94"/>
    <x v="82"/>
    <n v="1253.96"/>
    <n v="6705.96"/>
    <x v="9"/>
  </r>
  <r>
    <n v="1347"/>
    <x v="26"/>
    <n v="6"/>
    <d v="2022-06-14T00:00:00"/>
    <s v="FA"/>
    <s v="1052/3367"/>
    <s v="kpl"/>
    <n v="1446"/>
    <n v="56"/>
    <n v="99"/>
    <x v="65"/>
    <n v="1275.1200000000001"/>
    <n v="6819.12"/>
    <x v="4"/>
  </r>
  <r>
    <n v="1348"/>
    <x v="2"/>
    <n v="10"/>
    <d v="2022-05-06T00:00:00"/>
    <s v="FA"/>
    <s v="1052/3368"/>
    <s v="kpl"/>
    <n v="1447"/>
    <n v="69"/>
    <n v="84"/>
    <x v="574"/>
    <n v="1333.0800000000002"/>
    <n v="7129.08"/>
    <x v="10"/>
  </r>
  <r>
    <n v="1349"/>
    <x v="4"/>
    <n v="6"/>
    <d v="2022-05-03T00:00:00"/>
    <s v="FA"/>
    <s v="1052/3369"/>
    <s v="kpl"/>
    <n v="1448"/>
    <n v="54"/>
    <n v="85"/>
    <x v="495"/>
    <n v="1055.7"/>
    <n v="5645.7"/>
    <x v="10"/>
  </r>
  <r>
    <n v="1350"/>
    <x v="24"/>
    <n v="9"/>
    <d v="2022-09-22T00:00:00"/>
    <s v="FA"/>
    <s v="1052/3370"/>
    <s v="kpl"/>
    <n v="1449"/>
    <n v="63"/>
    <n v="129"/>
    <x v="228"/>
    <n v="1869.21"/>
    <n v="9996.2099999999991"/>
    <x v="7"/>
  </r>
  <r>
    <n v="1351"/>
    <x v="0"/>
    <n v="11"/>
    <d v="2022-04-22T00:00:00"/>
    <s v="FA"/>
    <s v="1052/3371"/>
    <s v="kpl"/>
    <n v="1450"/>
    <n v="60"/>
    <n v="83"/>
    <x v="86"/>
    <n v="1145.4000000000001"/>
    <n v="6125.4"/>
    <x v="1"/>
  </r>
  <r>
    <n v="1352"/>
    <x v="3"/>
    <n v="15"/>
    <d v="2022-05-17T00:00:00"/>
    <s v="FA"/>
    <s v="1052/3372"/>
    <s v="kpl"/>
    <n v="1451"/>
    <n v="48"/>
    <n v="88"/>
    <x v="40"/>
    <n v="971.5200000000001"/>
    <n v="5195.5200000000004"/>
    <x v="10"/>
  </r>
  <r>
    <n v="1353"/>
    <x v="23"/>
    <n v="11"/>
    <d v="2022-10-24T00:00:00"/>
    <s v="FA"/>
    <s v="1052/3373"/>
    <s v="kpl"/>
    <n v="1452"/>
    <n v="56"/>
    <n v="105"/>
    <x v="288"/>
    <n v="1352.4"/>
    <n v="7232.4"/>
    <x v="5"/>
  </r>
  <r>
    <n v="1354"/>
    <x v="11"/>
    <n v="9"/>
    <d v="2022-01-04T00:00:00"/>
    <s v="FA"/>
    <s v="1052/3374"/>
    <s v="kpl"/>
    <n v="1453"/>
    <n v="29"/>
    <n v="93"/>
    <x v="575"/>
    <n v="620.31000000000006"/>
    <n v="3317.31"/>
    <x v="0"/>
  </r>
  <r>
    <n v="1355"/>
    <x v="1"/>
    <n v="11"/>
    <d v="2022-06-23T00:00:00"/>
    <s v="FA"/>
    <s v="1052/3375"/>
    <s v="kpl"/>
    <n v="1454"/>
    <n v="36"/>
    <n v="99"/>
    <x v="416"/>
    <n v="819.72"/>
    <n v="4383.72"/>
    <x v="4"/>
  </r>
  <r>
    <n v="1356"/>
    <x v="23"/>
    <n v="9"/>
    <d v="2022-10-23T00:00:00"/>
    <s v="FA"/>
    <s v="1052/3376"/>
    <s v="kpl"/>
    <n v="1455"/>
    <n v="53"/>
    <n v="105"/>
    <x v="437"/>
    <n v="1279.95"/>
    <n v="6844.95"/>
    <x v="5"/>
  </r>
  <r>
    <n v="1357"/>
    <x v="14"/>
    <n v="9"/>
    <d v="2022-04-19T00:00:00"/>
    <s v="FA"/>
    <s v="1052/3377"/>
    <s v="kpl"/>
    <n v="1456"/>
    <n v="44"/>
    <n v="86"/>
    <x v="214"/>
    <n v="870.32"/>
    <n v="4654.32"/>
    <x v="1"/>
  </r>
  <r>
    <n v="1358"/>
    <x v="1"/>
    <n v="9"/>
    <d v="2022-08-07T00:00:00"/>
    <s v="FA"/>
    <s v="1052/3378"/>
    <s v="kpl"/>
    <n v="1457"/>
    <n v="49"/>
    <n v="99"/>
    <x v="374"/>
    <n v="1115.73"/>
    <n v="5966.73"/>
    <x v="11"/>
  </r>
  <r>
    <n v="1359"/>
    <x v="27"/>
    <n v="8"/>
    <d v="2022-05-19T00:00:00"/>
    <s v="FA"/>
    <s v="1052/3379"/>
    <s v="kpl"/>
    <n v="1458"/>
    <n v="58"/>
    <n v="111"/>
    <x v="558"/>
    <n v="1480.74"/>
    <n v="7918.74"/>
    <x v="10"/>
  </r>
  <r>
    <n v="1360"/>
    <x v="18"/>
    <n v="12"/>
    <d v="2022-01-24T00:00:00"/>
    <s v="FA"/>
    <s v="1052/3380"/>
    <s v="kpl"/>
    <n v="1459"/>
    <n v="38"/>
    <n v="109"/>
    <x v="158"/>
    <n v="952.66000000000008"/>
    <n v="5094.66"/>
    <x v="0"/>
  </r>
  <r>
    <n v="1361"/>
    <x v="21"/>
    <n v="8"/>
    <d v="2022-08-17T00:00:00"/>
    <s v="FA"/>
    <s v="1052/3381"/>
    <s v="kpl"/>
    <n v="1460"/>
    <n v="47"/>
    <n v="87"/>
    <x v="159"/>
    <n v="940.47"/>
    <n v="5029.47"/>
    <x v="11"/>
  </r>
  <r>
    <n v="1362"/>
    <x v="15"/>
    <n v="10"/>
    <d v="2022-04-08T00:00:00"/>
    <s v="FA"/>
    <s v="1052/3382"/>
    <s v="kpl"/>
    <n v="1461"/>
    <n v="51"/>
    <n v="90"/>
    <x v="495"/>
    <n v="1055.7"/>
    <n v="5645.7"/>
    <x v="1"/>
  </r>
  <r>
    <n v="1363"/>
    <x v="4"/>
    <n v="11"/>
    <d v="2022-04-28T00:00:00"/>
    <s v="FA"/>
    <s v="1052/3383"/>
    <s v="kpl"/>
    <n v="1462"/>
    <n v="78"/>
    <n v="85"/>
    <x v="576"/>
    <n v="1524.9"/>
    <n v="8154.9"/>
    <x v="1"/>
  </r>
  <r>
    <n v="1364"/>
    <x v="16"/>
    <n v="8"/>
    <d v="2022-09-23T00:00:00"/>
    <s v="FA"/>
    <s v="1052/3384"/>
    <s v="kpl"/>
    <n v="1463"/>
    <n v="53"/>
    <n v="132"/>
    <x v="213"/>
    <n v="1609.0800000000002"/>
    <n v="8605.08"/>
    <x v="7"/>
  </r>
  <r>
    <n v="1365"/>
    <x v="3"/>
    <n v="13"/>
    <d v="2022-03-15T00:00:00"/>
    <s v="FA"/>
    <s v="1052/3385"/>
    <s v="kpl"/>
    <n v="1464"/>
    <n v="61"/>
    <n v="88"/>
    <x v="577"/>
    <n v="1234.6400000000001"/>
    <n v="6602.64"/>
    <x v="3"/>
  </r>
  <r>
    <n v="1366"/>
    <x v="3"/>
    <n v="8"/>
    <d v="2022-05-22T00:00:00"/>
    <s v="FA"/>
    <s v="1052/3386"/>
    <s v="kpl"/>
    <n v="1465"/>
    <n v="55"/>
    <n v="88"/>
    <x v="29"/>
    <n v="1113.2"/>
    <n v="5953.2"/>
    <x v="10"/>
  </r>
  <r>
    <n v="1367"/>
    <x v="8"/>
    <n v="8"/>
    <d v="2022-03-15T00:00:00"/>
    <s v="FA"/>
    <s v="1052/3387"/>
    <s v="kpl"/>
    <n v="1466"/>
    <n v="36"/>
    <n v="89"/>
    <x v="143"/>
    <n v="736.92000000000007"/>
    <n v="3940.92"/>
    <x v="3"/>
  </r>
  <r>
    <n v="1368"/>
    <x v="27"/>
    <n v="9"/>
    <d v="2022-04-17T00:00:00"/>
    <s v="FA"/>
    <s v="1052/3388"/>
    <s v="kpl"/>
    <n v="1467"/>
    <n v="53"/>
    <n v="111"/>
    <x v="578"/>
    <n v="1353.0900000000001"/>
    <n v="7236.09"/>
    <x v="1"/>
  </r>
  <r>
    <n v="1369"/>
    <x v="25"/>
    <n v="9"/>
    <d v="2022-10-16T00:00:00"/>
    <s v="FA"/>
    <s v="1052/3389"/>
    <s v="kpl"/>
    <n v="1468"/>
    <n v="35"/>
    <n v="59"/>
    <x v="579"/>
    <n v="474.95000000000005"/>
    <n v="2539.9499999999998"/>
    <x v="5"/>
  </r>
  <r>
    <n v="1370"/>
    <x v="13"/>
    <n v="9"/>
    <d v="2022-01-03T00:00:00"/>
    <s v="FA"/>
    <s v="1052/3390"/>
    <s v="kpl"/>
    <n v="1469"/>
    <n v="54"/>
    <n v="88"/>
    <x v="126"/>
    <n v="1092.96"/>
    <n v="5844.96"/>
    <x v="0"/>
  </r>
  <r>
    <n v="1371"/>
    <x v="26"/>
    <n v="8"/>
    <d v="2022-07-23T00:00:00"/>
    <s v="FA"/>
    <s v="1052/3391"/>
    <s v="kpl"/>
    <n v="1470"/>
    <n v="40"/>
    <n v="99"/>
    <x v="291"/>
    <n v="910.80000000000007"/>
    <n v="4870.8"/>
    <x v="6"/>
  </r>
  <r>
    <n v="1372"/>
    <x v="25"/>
    <n v="8"/>
    <d v="2022-07-12T00:00:00"/>
    <s v="FA"/>
    <s v="1052/3392"/>
    <s v="kpl"/>
    <n v="1471"/>
    <n v="56"/>
    <n v="59"/>
    <x v="353"/>
    <n v="759.92000000000007"/>
    <n v="4063.92"/>
    <x v="6"/>
  </r>
  <r>
    <n v="1373"/>
    <x v="16"/>
    <n v="14"/>
    <d v="2022-08-21T00:00:00"/>
    <s v="FA"/>
    <s v="1052/3393"/>
    <s v="kpl"/>
    <n v="1472"/>
    <n v="49"/>
    <n v="132"/>
    <x v="313"/>
    <n v="1487.64"/>
    <n v="7955.64"/>
    <x v="11"/>
  </r>
  <r>
    <n v="1374"/>
    <x v="0"/>
    <n v="5"/>
    <d v="2022-09-10T00:00:00"/>
    <s v="FA"/>
    <s v="1052/3394"/>
    <s v="kpl"/>
    <n v="1473"/>
    <n v="42"/>
    <n v="83"/>
    <x v="164"/>
    <n v="801.78000000000009"/>
    <n v="4287.78"/>
    <x v="7"/>
  </r>
  <r>
    <n v="1375"/>
    <x v="20"/>
    <n v="5"/>
    <d v="2022-12-13T00:00:00"/>
    <s v="FA"/>
    <s v="1052/3395"/>
    <s v="kpl"/>
    <n v="1474"/>
    <n v="49"/>
    <n v="104"/>
    <x v="189"/>
    <n v="1172.0800000000002"/>
    <n v="6268.08"/>
    <x v="2"/>
  </r>
  <r>
    <n v="1376"/>
    <x v="1"/>
    <n v="12"/>
    <d v="2022-05-15T00:00:00"/>
    <s v="FA"/>
    <s v="1052/3396"/>
    <s v="kpl"/>
    <n v="1475"/>
    <n v="52"/>
    <n v="99"/>
    <x v="145"/>
    <n v="1184.04"/>
    <n v="6332.04"/>
    <x v="10"/>
  </r>
  <r>
    <n v="1377"/>
    <x v="6"/>
    <n v="10"/>
    <d v="2022-05-08T00:00:00"/>
    <s v="FA"/>
    <s v="1052/3397"/>
    <s v="kpl"/>
    <n v="1476"/>
    <n v="47"/>
    <n v="84"/>
    <x v="55"/>
    <n v="908.04000000000008"/>
    <n v="4856.04"/>
    <x v="10"/>
  </r>
  <r>
    <n v="1378"/>
    <x v="24"/>
    <n v="10"/>
    <d v="2022-07-12T00:00:00"/>
    <s v="FA"/>
    <s v="1052/3398"/>
    <s v="kpl"/>
    <n v="1477"/>
    <n v="62"/>
    <n v="129"/>
    <x v="580"/>
    <n v="1839.5400000000002"/>
    <n v="9837.5400000000009"/>
    <x v="6"/>
  </r>
  <r>
    <n v="1379"/>
    <x v="20"/>
    <n v="11"/>
    <d v="2022-09-03T00:00:00"/>
    <s v="FA"/>
    <s v="1052/3399"/>
    <s v="kpl"/>
    <n v="1478"/>
    <n v="61"/>
    <n v="104"/>
    <x v="484"/>
    <n v="1459.1200000000001"/>
    <n v="7803.12"/>
    <x v="7"/>
  </r>
  <r>
    <n v="1380"/>
    <x v="6"/>
    <n v="8"/>
    <d v="2022-03-21T00:00:00"/>
    <s v="FA"/>
    <s v="1052/3400"/>
    <s v="kpl"/>
    <n v="1479"/>
    <n v="39"/>
    <n v="84"/>
    <x v="104"/>
    <n v="753.48"/>
    <n v="4029.48"/>
    <x v="3"/>
  </r>
  <r>
    <n v="1381"/>
    <x v="19"/>
    <n v="12"/>
    <d v="2022-12-14T00:00:00"/>
    <s v="FA"/>
    <s v="1052/3401"/>
    <s v="kpl"/>
    <n v="1480"/>
    <n v="55"/>
    <n v="121"/>
    <x v="478"/>
    <n v="1530.65"/>
    <n v="8185.65"/>
    <x v="2"/>
  </r>
  <r>
    <n v="1382"/>
    <x v="0"/>
    <n v="7"/>
    <d v="2022-11-12T00:00:00"/>
    <s v="FA"/>
    <s v="1052/3402"/>
    <s v="kpl"/>
    <n v="1481"/>
    <n v="44"/>
    <n v="83"/>
    <x v="200"/>
    <n v="839.96"/>
    <n v="4491.96"/>
    <x v="8"/>
  </r>
  <r>
    <n v="1383"/>
    <x v="25"/>
    <n v="4"/>
    <d v="2022-04-10T00:00:00"/>
    <s v="FA"/>
    <s v="1052/3403"/>
    <s v="kpl"/>
    <n v="1482"/>
    <n v="50"/>
    <n v="59"/>
    <x v="293"/>
    <n v="678.5"/>
    <n v="3628.5"/>
    <x v="1"/>
  </r>
  <r>
    <n v="1384"/>
    <x v="16"/>
    <n v="9"/>
    <d v="2022-01-17T00:00:00"/>
    <s v="FA"/>
    <s v="1052/3404"/>
    <s v="kpl"/>
    <n v="1483"/>
    <n v="46"/>
    <n v="132"/>
    <x v="300"/>
    <n v="1396.5600000000002"/>
    <n v="7468.56"/>
    <x v="0"/>
  </r>
  <r>
    <n v="1385"/>
    <x v="26"/>
    <n v="10"/>
    <d v="2022-11-13T00:00:00"/>
    <s v="FA"/>
    <s v="1052/3405"/>
    <s v="kpl"/>
    <n v="1484"/>
    <n v="60"/>
    <n v="99"/>
    <x v="85"/>
    <n v="1366.2"/>
    <n v="7306.2"/>
    <x v="8"/>
  </r>
  <r>
    <n v="1386"/>
    <x v="14"/>
    <n v="11"/>
    <d v="2022-11-14T00:00:00"/>
    <s v="FA"/>
    <s v="1052/3406"/>
    <s v="kpl"/>
    <n v="1485"/>
    <n v="47"/>
    <n v="86"/>
    <x v="211"/>
    <n v="929.66000000000008"/>
    <n v="4971.66"/>
    <x v="8"/>
  </r>
  <r>
    <n v="1387"/>
    <x v="3"/>
    <n v="5"/>
    <d v="2022-08-18T00:00:00"/>
    <s v="FA"/>
    <s v="1052/3407"/>
    <s v="kpl"/>
    <n v="1486"/>
    <n v="45"/>
    <n v="88"/>
    <x v="291"/>
    <n v="910.80000000000007"/>
    <n v="4870.8"/>
    <x v="11"/>
  </r>
  <r>
    <n v="1388"/>
    <x v="22"/>
    <n v="10"/>
    <d v="2022-06-23T00:00:00"/>
    <s v="FA"/>
    <s v="1052/3408"/>
    <s v="kpl"/>
    <n v="1487"/>
    <n v="47"/>
    <n v="125"/>
    <x v="409"/>
    <n v="1351.25"/>
    <n v="7226.25"/>
    <x v="4"/>
  </r>
  <r>
    <n v="1389"/>
    <x v="13"/>
    <n v="9"/>
    <d v="2022-04-26T00:00:00"/>
    <s v="FA"/>
    <s v="1052/3409"/>
    <s v="kpl"/>
    <n v="1488"/>
    <n v="50"/>
    <n v="88"/>
    <x v="98"/>
    <n v="1012"/>
    <n v="5412"/>
    <x v="1"/>
  </r>
  <r>
    <n v="1390"/>
    <x v="13"/>
    <n v="11"/>
    <d v="2022-12-24T00:00:00"/>
    <s v="FA"/>
    <s v="1052/3410"/>
    <s v="kpl"/>
    <n v="1489"/>
    <n v="58"/>
    <n v="88"/>
    <x v="97"/>
    <n v="1173.92"/>
    <n v="6277.92"/>
    <x v="2"/>
  </r>
  <r>
    <n v="1391"/>
    <x v="6"/>
    <n v="9"/>
    <d v="2022-09-24T00:00:00"/>
    <s v="FA"/>
    <s v="1052/3411"/>
    <s v="kpl"/>
    <n v="1490"/>
    <n v="46"/>
    <n v="84"/>
    <x v="380"/>
    <n v="888.72"/>
    <n v="4752.72"/>
    <x v="7"/>
  </r>
  <r>
    <n v="1392"/>
    <x v="12"/>
    <n v="5"/>
    <d v="2022-10-19T00:00:00"/>
    <s v="FA"/>
    <s v="1052/3412"/>
    <s v="kpl"/>
    <n v="1491"/>
    <n v="57"/>
    <n v="91"/>
    <x v="72"/>
    <n v="1193.01"/>
    <n v="6380.01"/>
    <x v="5"/>
  </r>
  <r>
    <n v="1393"/>
    <x v="20"/>
    <n v="13"/>
    <d v="2022-06-27T00:00:00"/>
    <s v="FA"/>
    <s v="1052/3413"/>
    <s v="kpl"/>
    <n v="1492"/>
    <n v="55"/>
    <n v="104"/>
    <x v="138"/>
    <n v="1315.6000000000001"/>
    <n v="7035.6"/>
    <x v="4"/>
  </r>
  <r>
    <n v="1394"/>
    <x v="19"/>
    <n v="9"/>
    <d v="2022-07-17T00:00:00"/>
    <s v="FA"/>
    <s v="1052/3414"/>
    <s v="kpl"/>
    <n v="1493"/>
    <n v="55"/>
    <n v="121"/>
    <x v="478"/>
    <n v="1530.65"/>
    <n v="8185.65"/>
    <x v="6"/>
  </r>
  <r>
    <n v="1395"/>
    <x v="17"/>
    <n v="9"/>
    <d v="2022-12-26T00:00:00"/>
    <s v="FA"/>
    <s v="1052/3415"/>
    <s v="kpl"/>
    <n v="1494"/>
    <n v="31"/>
    <n v="94"/>
    <x v="581"/>
    <n v="670.22"/>
    <n v="3584.2200000000003"/>
    <x v="2"/>
  </r>
  <r>
    <n v="1396"/>
    <x v="22"/>
    <n v="5"/>
    <d v="2022-12-27T00:00:00"/>
    <s v="FA"/>
    <s v="1052/3416"/>
    <s v="kpl"/>
    <n v="1495"/>
    <n v="27"/>
    <n v="125"/>
    <x v="582"/>
    <n v="776.25"/>
    <n v="4151.25"/>
    <x v="2"/>
  </r>
  <r>
    <n v="1397"/>
    <x v="17"/>
    <n v="11"/>
    <d v="2022-02-23T00:00:00"/>
    <s v="FA"/>
    <s v="1052/3417"/>
    <s v="kpl"/>
    <n v="1496"/>
    <n v="51"/>
    <n v="94"/>
    <x v="364"/>
    <n v="1102.6200000000001"/>
    <n v="5896.62"/>
    <x v="9"/>
  </r>
  <r>
    <n v="1398"/>
    <x v="0"/>
    <n v="7"/>
    <d v="2022-11-03T00:00:00"/>
    <s v="FA"/>
    <s v="1052/3418"/>
    <s v="kpl"/>
    <n v="1497"/>
    <n v="32"/>
    <n v="83"/>
    <x v="583"/>
    <n v="610.88"/>
    <n v="3266.88"/>
    <x v="8"/>
  </r>
  <r>
    <n v="1399"/>
    <x v="16"/>
    <n v="5"/>
    <d v="2022-12-16T00:00:00"/>
    <s v="FA"/>
    <s v="1052/3419"/>
    <s v="kpl"/>
    <n v="1498"/>
    <n v="58"/>
    <n v="132"/>
    <x v="584"/>
    <n v="1760.88"/>
    <n v="9416.880000000001"/>
    <x v="2"/>
  </r>
  <r>
    <n v="1400"/>
    <x v="4"/>
    <n v="12"/>
    <d v="2022-05-09T00:00:00"/>
    <s v="FA"/>
    <s v="1052/3420"/>
    <s v="kpl"/>
    <n v="1499"/>
    <n v="53"/>
    <n v="85"/>
    <x v="216"/>
    <n v="1036.1500000000001"/>
    <n v="5541.15"/>
    <x v="10"/>
  </r>
  <r>
    <n v="1401"/>
    <x v="3"/>
    <n v="9"/>
    <d v="2022-09-24T00:00:00"/>
    <s v="FA"/>
    <s v="1052/3421"/>
    <s v="kpl"/>
    <n v="1500"/>
    <n v="47"/>
    <n v="88"/>
    <x v="165"/>
    <n v="951.28000000000009"/>
    <n v="5087.28"/>
    <x v="7"/>
  </r>
  <r>
    <n v="1402"/>
    <x v="8"/>
    <n v="10"/>
    <d v="2022-02-01T00:00:00"/>
    <s v="FA"/>
    <s v="1052/3422"/>
    <s v="kpl"/>
    <n v="1501"/>
    <n v="45"/>
    <n v="89"/>
    <x v="152"/>
    <n v="921.15000000000009"/>
    <n v="4926.1499999999996"/>
    <x v="9"/>
  </r>
  <r>
    <n v="1403"/>
    <x v="7"/>
    <n v="11"/>
    <d v="2022-03-08T00:00:00"/>
    <s v="FA"/>
    <s v="1052/3423"/>
    <s v="kpl"/>
    <n v="1502"/>
    <n v="51"/>
    <n v="96"/>
    <x v="463"/>
    <n v="1126.0800000000002"/>
    <n v="6022.08"/>
    <x v="3"/>
  </r>
  <r>
    <n v="1404"/>
    <x v="3"/>
    <n v="12"/>
    <d v="2022-09-11T00:00:00"/>
    <s v="FA"/>
    <s v="1052/3424"/>
    <s v="kpl"/>
    <n v="1503"/>
    <n v="59"/>
    <n v="88"/>
    <x v="36"/>
    <n v="1194.1600000000001"/>
    <n v="6386.16"/>
    <x v="7"/>
  </r>
  <r>
    <n v="1405"/>
    <x v="12"/>
    <n v="13"/>
    <d v="2022-11-06T00:00:00"/>
    <s v="FA"/>
    <s v="1052/3425"/>
    <s v="kpl"/>
    <n v="1504"/>
    <n v="45"/>
    <n v="91"/>
    <x v="433"/>
    <n v="941.85"/>
    <n v="5036.8500000000004"/>
    <x v="8"/>
  </r>
  <r>
    <n v="1406"/>
    <x v="14"/>
    <n v="11"/>
    <d v="2022-01-11T00:00:00"/>
    <s v="FA"/>
    <s v="1052/3426"/>
    <s v="kpl"/>
    <n v="1505"/>
    <n v="61"/>
    <n v="86"/>
    <x v="585"/>
    <n v="1206.5800000000002"/>
    <n v="6452.58"/>
    <x v="0"/>
  </r>
  <r>
    <n v="1407"/>
    <x v="23"/>
    <n v="8"/>
    <d v="2022-08-24T00:00:00"/>
    <s v="FA"/>
    <s v="1052/3427"/>
    <s v="kpl"/>
    <n v="1506"/>
    <n v="48"/>
    <n v="105"/>
    <x v="378"/>
    <n v="1159.2"/>
    <n v="6199.2"/>
    <x v="11"/>
  </r>
  <r>
    <n v="1408"/>
    <x v="17"/>
    <n v="8"/>
    <d v="2022-06-28T00:00:00"/>
    <s v="FA"/>
    <s v="1052/3428"/>
    <s v="kpl"/>
    <n v="1507"/>
    <n v="52"/>
    <n v="94"/>
    <x v="51"/>
    <n v="1124.24"/>
    <n v="6012.24"/>
    <x v="4"/>
  </r>
  <r>
    <n v="1409"/>
    <x v="9"/>
    <n v="7"/>
    <d v="2022-01-21T00:00:00"/>
    <s v="FA"/>
    <s v="1052/3429"/>
    <s v="kpl"/>
    <n v="1508"/>
    <n v="55"/>
    <n v="108"/>
    <x v="85"/>
    <n v="1366.2"/>
    <n v="7306.2"/>
    <x v="0"/>
  </r>
  <r>
    <n v="1410"/>
    <x v="9"/>
    <n v="9"/>
    <d v="2022-10-22T00:00:00"/>
    <s v="FA"/>
    <s v="1052/3430"/>
    <s v="kpl"/>
    <n v="1509"/>
    <n v="54"/>
    <n v="108"/>
    <x v="204"/>
    <n v="1341.3600000000001"/>
    <n v="7173.3600000000006"/>
    <x v="5"/>
  </r>
  <r>
    <n v="1411"/>
    <x v="0"/>
    <n v="11"/>
    <d v="2022-02-06T00:00:00"/>
    <s v="FA"/>
    <s v="1052/3431"/>
    <s v="kpl"/>
    <n v="1510"/>
    <n v="34"/>
    <n v="83"/>
    <x v="586"/>
    <n v="649.06000000000006"/>
    <n v="3471.06"/>
    <x v="9"/>
  </r>
  <r>
    <n v="1412"/>
    <x v="16"/>
    <n v="13"/>
    <d v="2022-07-15T00:00:00"/>
    <s v="FA"/>
    <s v="1052/3432"/>
    <s v="kpl"/>
    <n v="1511"/>
    <n v="58"/>
    <n v="132"/>
    <x v="584"/>
    <n v="1760.88"/>
    <n v="9416.880000000001"/>
    <x v="6"/>
  </r>
  <r>
    <n v="1413"/>
    <x v="9"/>
    <n v="9"/>
    <d v="2022-11-01T00:00:00"/>
    <s v="FA"/>
    <s v="1052/3433"/>
    <s v="kpl"/>
    <n v="1512"/>
    <n v="49"/>
    <n v="108"/>
    <x v="88"/>
    <n v="1217.1600000000001"/>
    <n v="6509.16"/>
    <x v="8"/>
  </r>
  <r>
    <n v="1414"/>
    <x v="0"/>
    <n v="15"/>
    <d v="2022-08-08T00:00:00"/>
    <s v="FA"/>
    <s v="1052/3434"/>
    <s v="kpl"/>
    <n v="1513"/>
    <n v="54"/>
    <n v="83"/>
    <x v="79"/>
    <n v="1030.8600000000001"/>
    <n v="5512.8600000000006"/>
    <x v="11"/>
  </r>
  <r>
    <n v="1415"/>
    <x v="7"/>
    <n v="7"/>
    <d v="2022-12-17T00:00:00"/>
    <s v="FA"/>
    <s v="1052/3435"/>
    <s v="kpl"/>
    <n v="1514"/>
    <n v="65"/>
    <n v="96"/>
    <x v="573"/>
    <n v="1435.2"/>
    <n v="7675.2"/>
    <x v="2"/>
  </r>
  <r>
    <n v="1416"/>
    <x v="4"/>
    <n v="7"/>
    <d v="2022-08-28T00:00:00"/>
    <s v="FA"/>
    <s v="1052/3436"/>
    <s v="kpl"/>
    <n v="1515"/>
    <n v="43"/>
    <n v="85"/>
    <x v="587"/>
    <n v="840.65000000000009"/>
    <n v="4495.6499999999996"/>
    <x v="11"/>
  </r>
  <r>
    <n v="1417"/>
    <x v="14"/>
    <n v="9"/>
    <d v="2022-08-11T00:00:00"/>
    <s v="FA"/>
    <s v="1052/3437"/>
    <s v="kpl"/>
    <n v="1516"/>
    <n v="44"/>
    <n v="86"/>
    <x v="214"/>
    <n v="870.32"/>
    <n v="4654.32"/>
    <x v="11"/>
  </r>
  <r>
    <n v="1418"/>
    <x v="9"/>
    <n v="14"/>
    <d v="2022-01-20T00:00:00"/>
    <s v="FA"/>
    <s v="1052/3438"/>
    <s v="kpl"/>
    <n v="1517"/>
    <n v="64"/>
    <n v="108"/>
    <x v="174"/>
    <n v="1589.76"/>
    <n v="8501.76"/>
    <x v="0"/>
  </r>
  <r>
    <n v="1419"/>
    <x v="10"/>
    <n v="9"/>
    <d v="2022-01-24T00:00:00"/>
    <s v="FA"/>
    <s v="1052/3439"/>
    <s v="kpl"/>
    <n v="1518"/>
    <n v="42"/>
    <n v="84"/>
    <x v="7"/>
    <n v="811.44"/>
    <n v="4339.4400000000005"/>
    <x v="0"/>
  </r>
  <r>
    <n v="1420"/>
    <x v="7"/>
    <n v="9"/>
    <d v="2022-10-14T00:00:00"/>
    <s v="FA"/>
    <s v="1052/3440"/>
    <s v="kpl"/>
    <n v="1519"/>
    <n v="50"/>
    <n v="96"/>
    <x v="31"/>
    <n v="1104"/>
    <n v="5904"/>
    <x v="5"/>
  </r>
  <r>
    <n v="1421"/>
    <x v="20"/>
    <n v="13"/>
    <d v="2022-03-26T00:00:00"/>
    <s v="FA"/>
    <s v="1052/3441"/>
    <s v="kpl"/>
    <n v="1520"/>
    <n v="46"/>
    <n v="104"/>
    <x v="81"/>
    <n v="1100.32"/>
    <n v="5884.32"/>
    <x v="3"/>
  </r>
  <r>
    <n v="1422"/>
    <x v="12"/>
    <n v="7"/>
    <d v="2022-10-05T00:00:00"/>
    <s v="FA"/>
    <s v="1052/3442"/>
    <s v="kpl"/>
    <n v="1521"/>
    <n v="64"/>
    <n v="91"/>
    <x v="100"/>
    <n v="1339.52"/>
    <n v="7163.52"/>
    <x v="5"/>
  </r>
  <r>
    <n v="1423"/>
    <x v="7"/>
    <n v="11"/>
    <d v="2022-09-09T00:00:00"/>
    <s v="FA"/>
    <s v="1052/3443"/>
    <s v="kpl"/>
    <n v="1522"/>
    <n v="47"/>
    <n v="96"/>
    <x v="397"/>
    <n v="1037.76"/>
    <n v="5549.76"/>
    <x v="7"/>
  </r>
  <r>
    <n v="1424"/>
    <x v="16"/>
    <n v="12"/>
    <d v="2022-08-13T00:00:00"/>
    <s v="FA"/>
    <s v="1052/3444"/>
    <s v="kpl"/>
    <n v="1523"/>
    <n v="71"/>
    <n v="132"/>
    <x v="588"/>
    <n v="2155.56"/>
    <n v="11527.56"/>
    <x v="11"/>
  </r>
  <r>
    <n v="1425"/>
    <x v="13"/>
    <n v="9"/>
    <d v="2022-10-28T00:00:00"/>
    <s v="FA"/>
    <s v="1052/3445"/>
    <s v="kpl"/>
    <n v="1524"/>
    <n v="34"/>
    <n v="88"/>
    <x v="122"/>
    <n v="688.16000000000008"/>
    <n v="3680.16"/>
    <x v="5"/>
  </r>
  <r>
    <n v="1426"/>
    <x v="24"/>
    <n v="8"/>
    <d v="2022-11-11T00:00:00"/>
    <s v="FA"/>
    <s v="1052/3446"/>
    <s v="kpl"/>
    <n v="1525"/>
    <n v="43"/>
    <n v="129"/>
    <x v="589"/>
    <n v="1275.81"/>
    <n v="6822.8099999999995"/>
    <x v="8"/>
  </r>
  <r>
    <n v="1427"/>
    <x v="25"/>
    <n v="11"/>
    <d v="2022-02-15T00:00:00"/>
    <s v="FA"/>
    <s v="1052/3447"/>
    <s v="kpl"/>
    <n v="1526"/>
    <n v="39"/>
    <n v="59"/>
    <x v="590"/>
    <n v="529.23"/>
    <n v="2830.23"/>
    <x v="9"/>
  </r>
  <r>
    <n v="1428"/>
    <x v="15"/>
    <n v="10"/>
    <d v="2022-11-13T00:00:00"/>
    <s v="FA"/>
    <s v="1052/3448"/>
    <s v="kpl"/>
    <n v="1527"/>
    <n v="47"/>
    <n v="90"/>
    <x v="26"/>
    <n v="972.90000000000009"/>
    <n v="5202.8999999999996"/>
    <x v="8"/>
  </r>
  <r>
    <n v="1429"/>
    <x v="8"/>
    <n v="9"/>
    <d v="2022-04-08T00:00:00"/>
    <s v="FA"/>
    <s v="1052/3449"/>
    <s v="kpl"/>
    <n v="1528"/>
    <n v="53"/>
    <n v="89"/>
    <x v="63"/>
    <n v="1084.9100000000001"/>
    <n v="5801.91"/>
    <x v="1"/>
  </r>
  <r>
    <n v="1430"/>
    <x v="3"/>
    <n v="10"/>
    <d v="2022-05-17T00:00:00"/>
    <s v="FA"/>
    <s v="1052/3450"/>
    <s v="kpl"/>
    <n v="1529"/>
    <n v="42"/>
    <n v="88"/>
    <x v="236"/>
    <n v="850.08"/>
    <n v="4546.08"/>
    <x v="10"/>
  </r>
  <r>
    <n v="1431"/>
    <x v="9"/>
    <n v="12"/>
    <d v="2022-12-20T00:00:00"/>
    <s v="FA"/>
    <s v="1052/3451"/>
    <s v="kpl"/>
    <n v="1530"/>
    <n v="63"/>
    <n v="108"/>
    <x v="591"/>
    <n v="1564.92"/>
    <n v="8368.92"/>
    <x v="2"/>
  </r>
  <r>
    <n v="1432"/>
    <x v="17"/>
    <n v="13"/>
    <d v="2022-04-08T00:00:00"/>
    <s v="FA"/>
    <s v="1052/3452"/>
    <s v="kpl"/>
    <n v="1531"/>
    <n v="43"/>
    <n v="94"/>
    <x v="211"/>
    <n v="929.66000000000008"/>
    <n v="4971.66"/>
    <x v="1"/>
  </r>
  <r>
    <n v="1433"/>
    <x v="17"/>
    <n v="10"/>
    <d v="2022-07-25T00:00:00"/>
    <s v="FA"/>
    <s v="1052/3453"/>
    <s v="kpl"/>
    <n v="1532"/>
    <n v="30"/>
    <n v="94"/>
    <x v="592"/>
    <n v="648.6"/>
    <n v="3468.6"/>
    <x v="6"/>
  </r>
  <r>
    <n v="1434"/>
    <x v="5"/>
    <n v="9"/>
    <d v="2022-10-16T00:00:00"/>
    <s v="FA"/>
    <s v="1052/3454"/>
    <s v="kpl"/>
    <n v="1533"/>
    <n v="64"/>
    <n v="87"/>
    <x v="470"/>
    <n v="1280.6400000000001"/>
    <n v="6848.64"/>
    <x v="5"/>
  </r>
  <r>
    <n v="1435"/>
    <x v="12"/>
    <n v="7"/>
    <d v="2022-12-25T00:00:00"/>
    <s v="FA"/>
    <s v="1052/3455"/>
    <s v="kpl"/>
    <n v="1534"/>
    <n v="49"/>
    <n v="91"/>
    <x v="593"/>
    <n v="1025.57"/>
    <n v="5484.57"/>
    <x v="2"/>
  </r>
  <r>
    <n v="1436"/>
    <x v="0"/>
    <n v="6"/>
    <d v="2022-03-23T00:00:00"/>
    <s v="FA"/>
    <s v="1052/3456"/>
    <s v="kpl"/>
    <n v="1535"/>
    <n v="43"/>
    <n v="83"/>
    <x v="0"/>
    <n v="820.87"/>
    <n v="4389.87"/>
    <x v="3"/>
  </r>
  <r>
    <n v="1437"/>
    <x v="22"/>
    <n v="9"/>
    <d v="2022-07-17T00:00:00"/>
    <s v="FA"/>
    <s v="1052/3457"/>
    <s v="kpl"/>
    <n v="1536"/>
    <n v="29"/>
    <n v="125"/>
    <x v="594"/>
    <n v="833.75"/>
    <n v="4458.75"/>
    <x v="6"/>
  </r>
  <r>
    <n v="1438"/>
    <x v="18"/>
    <n v="8"/>
    <d v="2022-09-14T00:00:00"/>
    <s v="FA"/>
    <s v="1052/3458"/>
    <s v="kpl"/>
    <n v="1537"/>
    <n v="44"/>
    <n v="109"/>
    <x v="220"/>
    <n v="1103.0800000000002"/>
    <n v="5899.08"/>
    <x v="7"/>
  </r>
  <r>
    <n v="1439"/>
    <x v="3"/>
    <n v="9"/>
    <d v="2022-07-08T00:00:00"/>
    <s v="FA"/>
    <s v="1052/3459"/>
    <s v="kpl"/>
    <n v="1538"/>
    <n v="41"/>
    <n v="88"/>
    <x v="265"/>
    <n v="829.84"/>
    <n v="4437.84"/>
    <x v="6"/>
  </r>
  <r>
    <n v="1440"/>
    <x v="19"/>
    <n v="9"/>
    <d v="2022-05-09T00:00:00"/>
    <s v="FA"/>
    <s v="1052/3460"/>
    <s v="kpl"/>
    <n v="1539"/>
    <n v="65"/>
    <n v="121"/>
    <x v="549"/>
    <n v="1808.95"/>
    <n v="9673.9500000000007"/>
    <x v="10"/>
  </r>
  <r>
    <n v="1441"/>
    <x v="0"/>
    <n v="7"/>
    <d v="2022-07-25T00:00:00"/>
    <s v="FA"/>
    <s v="1052/3461"/>
    <s v="kpl"/>
    <n v="1540"/>
    <n v="73"/>
    <n v="83"/>
    <x v="595"/>
    <n v="1393.5700000000002"/>
    <n v="7452.57"/>
    <x v="6"/>
  </r>
  <r>
    <n v="1442"/>
    <x v="9"/>
    <n v="8"/>
    <d v="2022-12-04T00:00:00"/>
    <s v="FA"/>
    <s v="1052/3462"/>
    <s v="kpl"/>
    <n v="1541"/>
    <n v="58"/>
    <n v="108"/>
    <x v="206"/>
    <n v="1440.72"/>
    <n v="7704.72"/>
    <x v="2"/>
  </r>
  <r>
    <n v="1443"/>
    <x v="9"/>
    <n v="4"/>
    <d v="2022-12-25T00:00:00"/>
    <s v="FA"/>
    <s v="1052/3463"/>
    <s v="kpl"/>
    <n v="1542"/>
    <n v="54"/>
    <n v="108"/>
    <x v="204"/>
    <n v="1341.3600000000001"/>
    <n v="7173.3600000000006"/>
    <x v="2"/>
  </r>
  <r>
    <n v="1444"/>
    <x v="26"/>
    <n v="5"/>
    <d v="2022-03-25T00:00:00"/>
    <s v="FA"/>
    <s v="1052/3464"/>
    <s v="kpl"/>
    <n v="1543"/>
    <n v="80"/>
    <n v="99"/>
    <x v="229"/>
    <n v="1821.6000000000001"/>
    <n v="9741.6"/>
    <x v="3"/>
  </r>
  <r>
    <n v="1445"/>
    <x v="13"/>
    <n v="8"/>
    <d v="2022-10-03T00:00:00"/>
    <s v="FA"/>
    <s v="1052/3465"/>
    <s v="kpl"/>
    <n v="1544"/>
    <n v="37"/>
    <n v="88"/>
    <x v="367"/>
    <n v="748.88"/>
    <n v="4004.88"/>
    <x v="5"/>
  </r>
  <r>
    <n v="1446"/>
    <x v="16"/>
    <n v="10"/>
    <d v="2022-10-01T00:00:00"/>
    <s v="FA"/>
    <s v="1052/3466"/>
    <s v="kpl"/>
    <n v="1545"/>
    <n v="40"/>
    <n v="132"/>
    <x v="9"/>
    <n v="1214.4000000000001"/>
    <n v="6494.4"/>
    <x v="5"/>
  </r>
  <r>
    <n v="1447"/>
    <x v="20"/>
    <n v="9"/>
    <d v="2022-07-01T00:00:00"/>
    <s v="FA"/>
    <s v="1052/3467"/>
    <s v="kpl"/>
    <n v="1546"/>
    <n v="45"/>
    <n v="104"/>
    <x v="422"/>
    <n v="1076.4000000000001"/>
    <n v="5756.4"/>
    <x v="6"/>
  </r>
  <r>
    <n v="1448"/>
    <x v="11"/>
    <n v="11"/>
    <d v="2022-09-27T00:00:00"/>
    <s v="FA"/>
    <s v="1052/3468"/>
    <s v="kpl"/>
    <n v="1547"/>
    <n v="56"/>
    <n v="93"/>
    <x v="67"/>
    <n v="1197.8400000000001"/>
    <n v="6405.84"/>
    <x v="7"/>
  </r>
  <r>
    <n v="1449"/>
    <x v="25"/>
    <n v="6"/>
    <d v="2022-12-26T00:00:00"/>
    <s v="FA"/>
    <s v="1052/3469"/>
    <s v="kpl"/>
    <n v="1548"/>
    <n v="50"/>
    <n v="59"/>
    <x v="293"/>
    <n v="678.5"/>
    <n v="3628.5"/>
    <x v="2"/>
  </r>
  <r>
    <n v="1450"/>
    <x v="7"/>
    <n v="11"/>
    <d v="2022-10-18T00:00:00"/>
    <s v="FA"/>
    <s v="1052/3470"/>
    <s v="kpl"/>
    <n v="1549"/>
    <n v="52"/>
    <n v="96"/>
    <x v="299"/>
    <n v="1148.1600000000001"/>
    <n v="6140.16"/>
    <x v="5"/>
  </r>
  <r>
    <n v="1451"/>
    <x v="27"/>
    <n v="11"/>
    <d v="2022-02-12T00:00:00"/>
    <s v="FA"/>
    <s v="1052/3471"/>
    <s v="kpl"/>
    <n v="1550"/>
    <n v="38"/>
    <n v="111"/>
    <x v="596"/>
    <n v="970.14"/>
    <n v="5188.1400000000003"/>
    <x v="9"/>
  </r>
  <r>
    <n v="1452"/>
    <x v="13"/>
    <n v="6"/>
    <d v="2022-04-11T00:00:00"/>
    <s v="FA"/>
    <s v="1052/3472"/>
    <s v="kpl"/>
    <n v="1551"/>
    <n v="44"/>
    <n v="88"/>
    <x v="360"/>
    <n v="890.56000000000006"/>
    <n v="4762.5600000000004"/>
    <x v="1"/>
  </r>
  <r>
    <n v="1453"/>
    <x v="27"/>
    <n v="10"/>
    <d v="2022-05-09T00:00:00"/>
    <s v="FA"/>
    <s v="1052/3473"/>
    <s v="kpl"/>
    <n v="1552"/>
    <n v="47"/>
    <n v="111"/>
    <x v="597"/>
    <n v="1199.9100000000001"/>
    <n v="6416.91"/>
    <x v="10"/>
  </r>
  <r>
    <n v="1454"/>
    <x v="11"/>
    <n v="9"/>
    <d v="2022-01-12T00:00:00"/>
    <s v="FA"/>
    <s v="1052/3474"/>
    <s v="kpl"/>
    <n v="1553"/>
    <n v="46"/>
    <n v="93"/>
    <x v="324"/>
    <n v="983.94"/>
    <n v="5261.9400000000005"/>
    <x v="0"/>
  </r>
  <r>
    <n v="1455"/>
    <x v="25"/>
    <n v="13"/>
    <d v="2022-04-07T00:00:00"/>
    <s v="FA"/>
    <s v="1052/3475"/>
    <s v="kpl"/>
    <n v="1554"/>
    <n v="55"/>
    <n v="59"/>
    <x v="259"/>
    <n v="746.35"/>
    <n v="3991.35"/>
    <x v="1"/>
  </r>
  <r>
    <n v="1456"/>
    <x v="7"/>
    <n v="10"/>
    <d v="2022-12-21T00:00:00"/>
    <s v="FA"/>
    <s v="1052/3476"/>
    <s v="kpl"/>
    <n v="1555"/>
    <n v="54"/>
    <n v="96"/>
    <x v="432"/>
    <n v="1192.3200000000002"/>
    <n v="6376.32"/>
    <x v="2"/>
  </r>
  <r>
    <n v="1457"/>
    <x v="12"/>
    <n v="12"/>
    <d v="2022-10-14T00:00:00"/>
    <s v="FA"/>
    <s v="1052/3477"/>
    <s v="kpl"/>
    <n v="1556"/>
    <n v="34"/>
    <n v="91"/>
    <x v="429"/>
    <n v="711.62"/>
    <n v="3805.62"/>
    <x v="5"/>
  </r>
  <r>
    <n v="1458"/>
    <x v="17"/>
    <n v="10"/>
    <d v="2022-05-11T00:00:00"/>
    <s v="FA"/>
    <s v="1052/3478"/>
    <s v="kpl"/>
    <n v="1557"/>
    <n v="56"/>
    <n v="94"/>
    <x v="552"/>
    <n v="1210.72"/>
    <n v="6474.72"/>
    <x v="10"/>
  </r>
  <r>
    <n v="1459"/>
    <x v="22"/>
    <n v="11"/>
    <d v="2022-02-08T00:00:00"/>
    <s v="FA"/>
    <s v="1052/3479"/>
    <s v="kpl"/>
    <n v="1558"/>
    <n v="61"/>
    <n v="125"/>
    <x v="250"/>
    <n v="1753.75"/>
    <n v="9378.75"/>
    <x v="9"/>
  </r>
  <r>
    <n v="1460"/>
    <x v="24"/>
    <n v="10"/>
    <d v="2022-02-14T00:00:00"/>
    <s v="FA"/>
    <s v="1052/3480"/>
    <s v="kpl"/>
    <n v="1559"/>
    <n v="47"/>
    <n v="129"/>
    <x v="462"/>
    <n v="1394.49"/>
    <n v="7457.49"/>
    <x v="9"/>
  </r>
  <r>
    <n v="1461"/>
    <x v="13"/>
    <n v="15"/>
    <d v="2022-02-14T00:00:00"/>
    <s v="FA"/>
    <s v="1052/3481"/>
    <s v="kpl"/>
    <n v="1560"/>
    <n v="48"/>
    <n v="88"/>
    <x v="40"/>
    <n v="971.5200000000001"/>
    <n v="5195.5200000000004"/>
    <x v="9"/>
  </r>
  <r>
    <n v="1462"/>
    <x v="3"/>
    <n v="10"/>
    <d v="2022-11-09T00:00:00"/>
    <s v="FA"/>
    <s v="1052/3482"/>
    <s v="kpl"/>
    <n v="1561"/>
    <n v="50"/>
    <n v="88"/>
    <x v="98"/>
    <n v="1012"/>
    <n v="5412"/>
    <x v="8"/>
  </r>
  <r>
    <n v="1463"/>
    <x v="17"/>
    <n v="9"/>
    <d v="2022-07-07T00:00:00"/>
    <s v="FA"/>
    <s v="1052/3483"/>
    <s v="kpl"/>
    <n v="1562"/>
    <n v="32"/>
    <n v="94"/>
    <x v="598"/>
    <n v="691.84"/>
    <n v="3699.84"/>
    <x v="6"/>
  </r>
  <r>
    <n v="1464"/>
    <x v="3"/>
    <n v="8"/>
    <d v="2022-04-16T00:00:00"/>
    <s v="FA"/>
    <s v="1052/3484"/>
    <s v="kpl"/>
    <n v="1563"/>
    <n v="32"/>
    <n v="88"/>
    <x v="523"/>
    <n v="647.68000000000006"/>
    <n v="3463.6800000000003"/>
    <x v="1"/>
  </r>
  <r>
    <n v="1465"/>
    <x v="1"/>
    <n v="7"/>
    <d v="2022-02-25T00:00:00"/>
    <s v="FA"/>
    <s v="1052/3485"/>
    <s v="kpl"/>
    <n v="1564"/>
    <n v="64"/>
    <n v="99"/>
    <x v="56"/>
    <n v="1457.28"/>
    <n v="7793.28"/>
    <x v="9"/>
  </r>
  <r>
    <n v="1466"/>
    <x v="21"/>
    <n v="5"/>
    <d v="2022-11-08T00:00:00"/>
    <s v="FA"/>
    <s v="1052/3486"/>
    <s v="kpl"/>
    <n v="1565"/>
    <n v="60"/>
    <n v="87"/>
    <x v="6"/>
    <n v="1200.6000000000001"/>
    <n v="6420.6"/>
    <x v="8"/>
  </r>
  <r>
    <n v="1467"/>
    <x v="19"/>
    <n v="11"/>
    <d v="2022-08-23T00:00:00"/>
    <s v="FA"/>
    <s v="1052/3487"/>
    <s v="kpl"/>
    <n v="1566"/>
    <n v="71"/>
    <n v="121"/>
    <x v="599"/>
    <n v="1975.93"/>
    <n v="10566.93"/>
    <x v="11"/>
  </r>
  <r>
    <n v="1468"/>
    <x v="13"/>
    <n v="15"/>
    <d v="2022-12-07T00:00:00"/>
    <s v="FA"/>
    <s v="1052/3488"/>
    <s v="kpl"/>
    <n v="1567"/>
    <n v="46"/>
    <n v="88"/>
    <x v="21"/>
    <n v="931.04000000000008"/>
    <n v="4979.04"/>
    <x v="2"/>
  </r>
  <r>
    <n v="1469"/>
    <x v="20"/>
    <n v="10"/>
    <d v="2022-02-08T00:00:00"/>
    <s v="FA"/>
    <s v="1052/3489"/>
    <s v="kpl"/>
    <n v="1568"/>
    <n v="62"/>
    <n v="104"/>
    <x v="600"/>
    <n v="1483.04"/>
    <n v="7931.04"/>
    <x v="9"/>
  </r>
  <r>
    <n v="1470"/>
    <x v="23"/>
    <n v="8"/>
    <d v="2022-11-01T00:00:00"/>
    <s v="FA"/>
    <s v="1052/3490"/>
    <s v="kpl"/>
    <n v="1569"/>
    <n v="54"/>
    <n v="105"/>
    <x v="601"/>
    <n v="1304.1000000000001"/>
    <n v="6974.1"/>
    <x v="8"/>
  </r>
  <r>
    <n v="1471"/>
    <x v="15"/>
    <n v="10"/>
    <d v="2022-05-16T00:00:00"/>
    <s v="FA"/>
    <s v="1052/3491"/>
    <s v="kpl"/>
    <n v="1570"/>
    <n v="47"/>
    <n v="90"/>
    <x v="26"/>
    <n v="972.90000000000009"/>
    <n v="5202.8999999999996"/>
    <x v="10"/>
  </r>
  <r>
    <n v="1472"/>
    <x v="26"/>
    <n v="9"/>
    <d v="2022-03-05T00:00:00"/>
    <s v="FA"/>
    <s v="1052/3492"/>
    <s v="kpl"/>
    <n v="1571"/>
    <n v="59"/>
    <n v="99"/>
    <x v="318"/>
    <n v="1343.43"/>
    <n v="7184.43"/>
    <x v="3"/>
  </r>
  <r>
    <n v="1473"/>
    <x v="18"/>
    <n v="10"/>
    <d v="2022-08-15T00:00:00"/>
    <s v="FA"/>
    <s v="1052/3493"/>
    <s v="kpl"/>
    <n v="1572"/>
    <n v="58"/>
    <n v="109"/>
    <x v="501"/>
    <n v="1454.0600000000002"/>
    <n v="7776.06"/>
    <x v="11"/>
  </r>
  <r>
    <n v="1474"/>
    <x v="13"/>
    <n v="5"/>
    <d v="2022-03-23T00:00:00"/>
    <s v="FA"/>
    <s v="1052/3494"/>
    <s v="kpl"/>
    <n v="1573"/>
    <n v="56"/>
    <n v="88"/>
    <x v="71"/>
    <n v="1133.44"/>
    <n v="6061.4400000000005"/>
    <x v="3"/>
  </r>
  <r>
    <n v="1475"/>
    <x v="17"/>
    <n v="6"/>
    <d v="2022-04-28T00:00:00"/>
    <s v="FA"/>
    <s v="1052/3495"/>
    <s v="kpl"/>
    <n v="1574"/>
    <n v="47"/>
    <n v="94"/>
    <x v="83"/>
    <n v="1016.1400000000001"/>
    <n v="5434.14"/>
    <x v="1"/>
  </r>
  <r>
    <n v="1476"/>
    <x v="15"/>
    <n v="15"/>
    <d v="2022-05-25T00:00:00"/>
    <s v="FA"/>
    <s v="1052/3496"/>
    <s v="kpl"/>
    <n v="1575"/>
    <n v="65"/>
    <n v="90"/>
    <x v="602"/>
    <n v="1345.5"/>
    <n v="7195.5"/>
    <x v="10"/>
  </r>
  <r>
    <n v="1477"/>
    <x v="20"/>
    <n v="9"/>
    <d v="2022-04-01T00:00:00"/>
    <s v="FA"/>
    <s v="1052/3497"/>
    <s v="kpl"/>
    <n v="1576"/>
    <n v="41"/>
    <n v="104"/>
    <x v="308"/>
    <n v="980.72"/>
    <n v="5244.72"/>
    <x v="1"/>
  </r>
  <r>
    <n v="1478"/>
    <x v="0"/>
    <n v="11"/>
    <d v="2022-01-06T00:00:00"/>
    <s v="FA"/>
    <s v="1052/3498"/>
    <s v="kpl"/>
    <n v="1577"/>
    <n v="38"/>
    <n v="83"/>
    <x v="196"/>
    <n v="725.42000000000007"/>
    <n v="3879.42"/>
    <x v="0"/>
  </r>
  <r>
    <n v="1479"/>
    <x v="3"/>
    <n v="9"/>
    <d v="2022-04-27T00:00:00"/>
    <s v="FA"/>
    <s v="1052/3499"/>
    <s v="kpl"/>
    <n v="1578"/>
    <n v="55"/>
    <n v="88"/>
    <x v="29"/>
    <n v="1113.2"/>
    <n v="5953.2"/>
    <x v="1"/>
  </r>
  <r>
    <n v="1480"/>
    <x v="25"/>
    <n v="12"/>
    <d v="2022-06-25T00:00:00"/>
    <s v="FA"/>
    <s v="1052/3500"/>
    <s v="kpl"/>
    <n v="1579"/>
    <n v="29"/>
    <n v="59"/>
    <x v="459"/>
    <n v="393.53000000000003"/>
    <n v="2104.5300000000002"/>
    <x v="4"/>
  </r>
  <r>
    <n v="1481"/>
    <x v="15"/>
    <n v="10"/>
    <d v="2022-07-21T00:00:00"/>
    <s v="FA"/>
    <s v="1052/3501"/>
    <s v="kpl"/>
    <n v="1580"/>
    <n v="31"/>
    <n v="90"/>
    <x v="603"/>
    <n v="641.70000000000005"/>
    <n v="3431.7"/>
    <x v="6"/>
  </r>
  <r>
    <n v="1482"/>
    <x v="23"/>
    <n v="12"/>
    <d v="2022-04-07T00:00:00"/>
    <s v="FA"/>
    <s v="1052/3502"/>
    <s v="kpl"/>
    <n v="1581"/>
    <n v="44"/>
    <n v="105"/>
    <x v="42"/>
    <n v="1062.6000000000001"/>
    <n v="5682.6"/>
    <x v="1"/>
  </r>
  <r>
    <n v="1483"/>
    <x v="22"/>
    <n v="11"/>
    <d v="2022-02-21T00:00:00"/>
    <s v="FA"/>
    <s v="1052/3503"/>
    <s v="kpl"/>
    <n v="1582"/>
    <n v="55"/>
    <n v="125"/>
    <x v="387"/>
    <n v="1581.25"/>
    <n v="8456.25"/>
    <x v="9"/>
  </r>
  <r>
    <n v="1484"/>
    <x v="17"/>
    <n v="14"/>
    <d v="2022-09-23T00:00:00"/>
    <s v="FA"/>
    <s v="1052/3504"/>
    <s v="kpl"/>
    <n v="1583"/>
    <n v="29"/>
    <n v="94"/>
    <x v="604"/>
    <n v="626.98"/>
    <n v="3352.98"/>
    <x v="7"/>
  </r>
  <r>
    <n v="1485"/>
    <x v="19"/>
    <n v="8"/>
    <d v="2022-12-20T00:00:00"/>
    <s v="FA"/>
    <s v="1052/3505"/>
    <s v="kpl"/>
    <n v="1584"/>
    <n v="57"/>
    <n v="121"/>
    <x v="256"/>
    <n v="1586.3100000000002"/>
    <n v="8483.31"/>
    <x v="2"/>
  </r>
  <r>
    <n v="1486"/>
    <x v="7"/>
    <n v="8"/>
    <d v="2022-02-24T00:00:00"/>
    <s v="FA"/>
    <s v="1052/3506"/>
    <s v="kpl"/>
    <n v="1585"/>
    <n v="31"/>
    <n v="96"/>
    <x v="342"/>
    <n v="684.48"/>
    <n v="3660.48"/>
    <x v="9"/>
  </r>
  <r>
    <n v="1487"/>
    <x v="9"/>
    <n v="9"/>
    <d v="2022-04-02T00:00:00"/>
    <s v="FA"/>
    <s v="1052/3507"/>
    <s v="kpl"/>
    <n v="1586"/>
    <n v="62"/>
    <n v="108"/>
    <x v="298"/>
    <n v="1540.0800000000002"/>
    <n v="8236.08"/>
    <x v="1"/>
  </r>
  <r>
    <n v="1488"/>
    <x v="20"/>
    <n v="13"/>
    <d v="2022-01-17T00:00:00"/>
    <s v="FA"/>
    <s v="1052/3508"/>
    <s v="kpl"/>
    <n v="1587"/>
    <n v="47"/>
    <n v="104"/>
    <x v="51"/>
    <n v="1124.24"/>
    <n v="6012.24"/>
    <x v="0"/>
  </r>
  <r>
    <n v="1489"/>
    <x v="13"/>
    <n v="8"/>
    <d v="2022-12-22T00:00:00"/>
    <s v="FA"/>
    <s v="1052/3509"/>
    <s v="kpl"/>
    <n v="1588"/>
    <n v="43"/>
    <n v="88"/>
    <x v="214"/>
    <n v="870.32"/>
    <n v="4654.32"/>
    <x v="2"/>
  </r>
  <r>
    <n v="1490"/>
    <x v="16"/>
    <n v="10"/>
    <d v="2022-09-25T00:00:00"/>
    <s v="FA"/>
    <s v="1052/3510"/>
    <s v="kpl"/>
    <n v="1589"/>
    <n v="55"/>
    <n v="132"/>
    <x v="344"/>
    <n v="1669.8000000000002"/>
    <n v="8929.7999999999993"/>
    <x v="7"/>
  </r>
  <r>
    <n v="1491"/>
    <x v="2"/>
    <n v="10"/>
    <d v="2022-06-12T00:00:00"/>
    <s v="FA"/>
    <s v="1052/3511"/>
    <s v="kpl"/>
    <n v="1590"/>
    <n v="31"/>
    <n v="84"/>
    <x v="2"/>
    <n v="598.92000000000007"/>
    <n v="3202.92"/>
    <x v="4"/>
  </r>
  <r>
    <n v="1492"/>
    <x v="5"/>
    <n v="14"/>
    <d v="2022-05-19T00:00:00"/>
    <s v="FA"/>
    <s v="1052/3512"/>
    <s v="kpl"/>
    <n v="1591"/>
    <n v="58"/>
    <n v="87"/>
    <x v="108"/>
    <n v="1160.5800000000002"/>
    <n v="6206.58"/>
    <x v="10"/>
  </r>
  <r>
    <n v="1493"/>
    <x v="16"/>
    <n v="14"/>
    <d v="2022-01-06T00:00:00"/>
    <s v="FA"/>
    <s v="1052/3513"/>
    <s v="kpl"/>
    <n v="1592"/>
    <n v="58"/>
    <n v="132"/>
    <x v="584"/>
    <n v="1760.88"/>
    <n v="9416.880000000001"/>
    <x v="0"/>
  </r>
  <r>
    <n v="1494"/>
    <x v="10"/>
    <n v="8"/>
    <d v="2022-03-06T00:00:00"/>
    <s v="FA"/>
    <s v="1052/3514"/>
    <s v="kpl"/>
    <n v="1593"/>
    <n v="51"/>
    <n v="84"/>
    <x v="234"/>
    <n v="985.32"/>
    <n v="5269.32"/>
    <x v="3"/>
  </r>
  <r>
    <n v="1495"/>
    <x v="23"/>
    <n v="7"/>
    <d v="2022-08-26T00:00:00"/>
    <s v="FA"/>
    <s v="1052/3515"/>
    <s v="kpl"/>
    <n v="1594"/>
    <n v="51"/>
    <n v="105"/>
    <x v="316"/>
    <n v="1231.6500000000001"/>
    <n v="6586.65"/>
    <x v="11"/>
  </r>
  <r>
    <n v="1496"/>
    <x v="25"/>
    <n v="11"/>
    <d v="2022-04-03T00:00:00"/>
    <s v="FA"/>
    <s v="1052/3516"/>
    <s v="kpl"/>
    <n v="1595"/>
    <n v="28"/>
    <n v="59"/>
    <x v="605"/>
    <n v="379.96000000000004"/>
    <n v="2031.96"/>
    <x v="1"/>
  </r>
  <r>
    <n v="1497"/>
    <x v="6"/>
    <n v="6"/>
    <d v="2022-04-15T00:00:00"/>
    <s v="FA"/>
    <s v="1052/3517"/>
    <s v="kpl"/>
    <n v="1596"/>
    <n v="35"/>
    <n v="84"/>
    <x v="132"/>
    <n v="676.2"/>
    <n v="3616.2"/>
    <x v="1"/>
  </r>
  <r>
    <n v="1498"/>
    <x v="28"/>
    <n v="6"/>
    <d v="2022-11-09T00:00:00"/>
    <s v="FA"/>
    <s v="1052/3518"/>
    <s v="kpl"/>
    <n v="1597"/>
    <n v="48"/>
    <n v="105"/>
    <x v="378"/>
    <n v="1159.2"/>
    <n v="6199.2"/>
    <x v="8"/>
  </r>
  <r>
    <n v="1499"/>
    <x v="9"/>
    <n v="12"/>
    <d v="2022-10-24T00:00:00"/>
    <s v="FA"/>
    <s v="1052/3519"/>
    <s v="kpl"/>
    <n v="1598"/>
    <n v="44"/>
    <n v="108"/>
    <x v="126"/>
    <n v="1092.96"/>
    <n v="5844.96"/>
    <x v="5"/>
  </r>
  <r>
    <n v="1500"/>
    <x v="3"/>
    <n v="14"/>
    <d v="2022-12-15T00:00:00"/>
    <s v="FA"/>
    <s v="1052/3520"/>
    <s v="kpl"/>
    <n v="1599"/>
    <n v="51"/>
    <n v="88"/>
    <x v="19"/>
    <n v="1032.24"/>
    <n v="5520.24"/>
    <x v="2"/>
  </r>
  <r>
    <n v="1501"/>
    <x v="14"/>
    <n v="5"/>
    <d v="2022-04-13T00:00:00"/>
    <s v="FA"/>
    <s v="1052/3521"/>
    <s v="kpl"/>
    <n v="1600"/>
    <n v="60"/>
    <n v="86"/>
    <x v="279"/>
    <n v="1186.8"/>
    <n v="6346.8"/>
    <x v="1"/>
  </r>
  <r>
    <n v="1502"/>
    <x v="19"/>
    <n v="11"/>
    <d v="2022-10-28T00:00:00"/>
    <s v="FA"/>
    <s v="1052/3522"/>
    <s v="kpl"/>
    <n v="1601"/>
    <n v="53"/>
    <n v="121"/>
    <x v="269"/>
    <n v="1474.99"/>
    <n v="7887.99"/>
    <x v="5"/>
  </r>
  <r>
    <n v="1503"/>
    <x v="16"/>
    <n v="5"/>
    <d v="2022-08-07T00:00:00"/>
    <s v="FA"/>
    <s v="1052/3523"/>
    <s v="kpl"/>
    <n v="1602"/>
    <n v="51"/>
    <n v="132"/>
    <x v="319"/>
    <n v="1548.3600000000001"/>
    <n v="8280.36"/>
    <x v="11"/>
  </r>
  <r>
    <n v="1504"/>
    <x v="14"/>
    <n v="8"/>
    <d v="2022-09-13T00:00:00"/>
    <s v="FA"/>
    <s v="1052/3524"/>
    <s v="kpl"/>
    <n v="1603"/>
    <n v="38"/>
    <n v="86"/>
    <x v="33"/>
    <n v="751.64"/>
    <n v="4019.64"/>
    <x v="7"/>
  </r>
  <r>
    <n v="1505"/>
    <x v="24"/>
    <n v="8"/>
    <d v="2022-05-13T00:00:00"/>
    <s v="FA"/>
    <s v="1052/3525"/>
    <s v="kpl"/>
    <n v="1604"/>
    <n v="56"/>
    <n v="129"/>
    <x v="261"/>
    <n v="1661.52"/>
    <n v="8885.52"/>
    <x v="10"/>
  </r>
  <r>
    <n v="1506"/>
    <x v="17"/>
    <n v="14"/>
    <d v="2022-02-25T00:00:00"/>
    <s v="FA"/>
    <s v="1052/3526"/>
    <s v="kpl"/>
    <n v="1605"/>
    <n v="68"/>
    <n v="94"/>
    <x v="562"/>
    <n v="1470.16"/>
    <n v="7862.16"/>
    <x v="9"/>
  </r>
  <r>
    <n v="1507"/>
    <x v="25"/>
    <n v="9"/>
    <d v="2022-05-07T00:00:00"/>
    <s v="FA"/>
    <s v="1052/3527"/>
    <s v="kpl"/>
    <n v="1606"/>
    <n v="41"/>
    <n v="59"/>
    <x v="412"/>
    <n v="556.37"/>
    <n v="2975.37"/>
    <x v="10"/>
  </r>
  <r>
    <n v="1508"/>
    <x v="17"/>
    <n v="11"/>
    <d v="2022-05-24T00:00:00"/>
    <s v="FA"/>
    <s v="1052/3528"/>
    <s v="kpl"/>
    <n v="1607"/>
    <n v="26"/>
    <n v="94"/>
    <x v="606"/>
    <n v="562.12"/>
    <n v="3006.12"/>
    <x v="10"/>
  </r>
  <r>
    <n v="1509"/>
    <x v="21"/>
    <n v="5"/>
    <d v="2022-10-19T00:00:00"/>
    <s v="FA"/>
    <s v="1052/3529"/>
    <s v="kpl"/>
    <n v="1608"/>
    <n v="62"/>
    <n v="87"/>
    <x v="402"/>
    <n v="1240.6200000000001"/>
    <n v="6634.62"/>
    <x v="5"/>
  </r>
  <r>
    <n v="1510"/>
    <x v="4"/>
    <n v="10"/>
    <d v="2022-03-02T00:00:00"/>
    <s v="FA"/>
    <s v="1052/3530"/>
    <s v="kpl"/>
    <n v="1609"/>
    <n v="47"/>
    <n v="85"/>
    <x v="137"/>
    <n v="918.85"/>
    <n v="4913.8500000000004"/>
    <x v="3"/>
  </r>
  <r>
    <n v="1511"/>
    <x v="17"/>
    <n v="13"/>
    <d v="2022-11-17T00:00:00"/>
    <s v="FA"/>
    <s v="1052/3531"/>
    <s v="kpl"/>
    <n v="1610"/>
    <n v="59"/>
    <n v="94"/>
    <x v="237"/>
    <n v="1275.5800000000002"/>
    <n v="6821.58"/>
    <x v="8"/>
  </r>
  <r>
    <n v="1512"/>
    <x v="2"/>
    <n v="8"/>
    <d v="2022-04-19T00:00:00"/>
    <s v="FA"/>
    <s v="1052/3532"/>
    <s v="kpl"/>
    <n v="1611"/>
    <n v="34"/>
    <n v="84"/>
    <x v="44"/>
    <n v="656.88"/>
    <n v="3512.88"/>
    <x v="1"/>
  </r>
  <r>
    <n v="1513"/>
    <x v="9"/>
    <n v="9"/>
    <d v="2022-05-09T00:00:00"/>
    <s v="FA"/>
    <s v="1052/3533"/>
    <s v="kpl"/>
    <n v="1612"/>
    <n v="43"/>
    <n v="108"/>
    <x v="11"/>
    <n v="1068.1200000000001"/>
    <n v="5712.12"/>
    <x v="10"/>
  </r>
  <r>
    <n v="1514"/>
    <x v="9"/>
    <n v="9"/>
    <d v="2022-06-26T00:00:00"/>
    <s v="FA"/>
    <s v="1052/3534"/>
    <s v="kpl"/>
    <n v="1613"/>
    <n v="58"/>
    <n v="108"/>
    <x v="206"/>
    <n v="1440.72"/>
    <n v="7704.72"/>
    <x v="4"/>
  </r>
  <r>
    <n v="1515"/>
    <x v="14"/>
    <n v="13"/>
    <d v="2022-04-01T00:00:00"/>
    <s v="FA"/>
    <s v="1052/3535"/>
    <s v="kpl"/>
    <n v="1614"/>
    <n v="58"/>
    <n v="86"/>
    <x v="607"/>
    <n v="1147.24"/>
    <n v="6135.24"/>
    <x v="1"/>
  </r>
  <r>
    <n v="1516"/>
    <x v="3"/>
    <n v="11"/>
    <d v="2022-08-02T00:00:00"/>
    <s v="FA"/>
    <s v="1052/3536"/>
    <s v="kpl"/>
    <n v="1615"/>
    <n v="44"/>
    <n v="88"/>
    <x v="360"/>
    <n v="890.56000000000006"/>
    <n v="4762.5600000000004"/>
    <x v="11"/>
  </r>
  <r>
    <n v="1517"/>
    <x v="22"/>
    <n v="12"/>
    <d v="2022-04-16T00:00:00"/>
    <s v="FA"/>
    <s v="1052/3537"/>
    <s v="kpl"/>
    <n v="1616"/>
    <n v="38"/>
    <n v="125"/>
    <x v="465"/>
    <n v="1092.5"/>
    <n v="5842.5"/>
    <x v="1"/>
  </r>
  <r>
    <n v="1518"/>
    <x v="3"/>
    <n v="7"/>
    <d v="2022-04-09T00:00:00"/>
    <s v="FA"/>
    <s v="1052/3538"/>
    <s v="kpl"/>
    <n v="1617"/>
    <n v="41"/>
    <n v="88"/>
    <x v="265"/>
    <n v="829.84"/>
    <n v="4437.84"/>
    <x v="1"/>
  </r>
  <r>
    <n v="1519"/>
    <x v="22"/>
    <n v="11"/>
    <d v="2022-10-16T00:00:00"/>
    <s v="FA"/>
    <s v="1052/3539"/>
    <s v="kpl"/>
    <n v="1618"/>
    <n v="43"/>
    <n v="125"/>
    <x v="92"/>
    <n v="1236.25"/>
    <n v="6611.25"/>
    <x v="5"/>
  </r>
  <r>
    <n v="1520"/>
    <x v="27"/>
    <n v="10"/>
    <d v="2022-04-21T00:00:00"/>
    <s v="FA"/>
    <s v="1052/3540"/>
    <s v="kpl"/>
    <n v="1619"/>
    <n v="47"/>
    <n v="111"/>
    <x v="597"/>
    <n v="1199.9100000000001"/>
    <n v="6416.91"/>
    <x v="1"/>
  </r>
  <r>
    <n v="1521"/>
    <x v="14"/>
    <n v="13"/>
    <d v="2022-12-23T00:00:00"/>
    <s v="FA"/>
    <s v="1052/3541"/>
    <s v="kpl"/>
    <n v="1620"/>
    <n v="45"/>
    <n v="86"/>
    <x v="340"/>
    <n v="890.1"/>
    <n v="4760.1000000000004"/>
    <x v="2"/>
  </r>
  <r>
    <n v="1522"/>
    <x v="1"/>
    <n v="10"/>
    <d v="2022-06-03T00:00:00"/>
    <s v="FA"/>
    <s v="1052/3542"/>
    <s v="kpl"/>
    <n v="1621"/>
    <n v="49"/>
    <n v="99"/>
    <x v="374"/>
    <n v="1115.73"/>
    <n v="5966.73"/>
    <x v="4"/>
  </r>
  <r>
    <n v="1523"/>
    <x v="6"/>
    <n v="7"/>
    <d v="2022-07-21T00:00:00"/>
    <s v="FA"/>
    <s v="1052/3543"/>
    <s v="kpl"/>
    <n v="1622"/>
    <n v="56"/>
    <n v="84"/>
    <x v="185"/>
    <n v="1081.92"/>
    <n v="5785.92"/>
    <x v="6"/>
  </r>
  <r>
    <n v="1524"/>
    <x v="15"/>
    <n v="11"/>
    <d v="2022-04-26T00:00:00"/>
    <s v="FA"/>
    <s v="1052/3544"/>
    <s v="kpl"/>
    <n v="1623"/>
    <n v="52"/>
    <n v="90"/>
    <x v="422"/>
    <n v="1076.4000000000001"/>
    <n v="5756.4"/>
    <x v="1"/>
  </r>
  <r>
    <n v="1525"/>
    <x v="16"/>
    <n v="7"/>
    <d v="2022-05-19T00:00:00"/>
    <s v="FA"/>
    <s v="1052/3545"/>
    <s v="kpl"/>
    <n v="1624"/>
    <n v="40"/>
    <n v="132"/>
    <x v="9"/>
    <n v="1214.4000000000001"/>
    <n v="6494.4"/>
    <x v="10"/>
  </r>
  <r>
    <n v="1526"/>
    <x v="20"/>
    <n v="9"/>
    <d v="2022-08-20T00:00:00"/>
    <s v="FA"/>
    <s v="1052/3546"/>
    <s v="kpl"/>
    <n v="1625"/>
    <n v="44"/>
    <n v="104"/>
    <x v="14"/>
    <n v="1052.48"/>
    <n v="5628.48"/>
    <x v="11"/>
  </r>
  <r>
    <n v="1527"/>
    <x v="28"/>
    <n v="8"/>
    <d v="2022-06-16T00:00:00"/>
    <s v="FA"/>
    <s v="1052/3547"/>
    <s v="kpl"/>
    <n v="1626"/>
    <n v="52"/>
    <n v="105"/>
    <x v="260"/>
    <n v="1255.8"/>
    <n v="6715.8"/>
    <x v="4"/>
  </r>
  <r>
    <n v="1528"/>
    <x v="2"/>
    <n v="7"/>
    <d v="2022-10-15T00:00:00"/>
    <s v="FA"/>
    <s v="1052/3548"/>
    <s v="kpl"/>
    <n v="1627"/>
    <n v="66"/>
    <n v="84"/>
    <x v="65"/>
    <n v="1275.1200000000001"/>
    <n v="6819.12"/>
    <x v="5"/>
  </r>
  <r>
    <n v="1529"/>
    <x v="25"/>
    <n v="11"/>
    <d v="2022-11-03T00:00:00"/>
    <s v="FA"/>
    <s v="1052/3549"/>
    <s v="kpl"/>
    <n v="1628"/>
    <n v="49"/>
    <n v="59"/>
    <x v="166"/>
    <n v="664.93000000000006"/>
    <n v="3555.9300000000003"/>
    <x v="8"/>
  </r>
  <r>
    <n v="1530"/>
    <x v="7"/>
    <n v="9"/>
    <d v="2022-07-13T00:00:00"/>
    <s v="FA"/>
    <s v="1052/3550"/>
    <s v="kpl"/>
    <n v="1629"/>
    <n v="67"/>
    <n v="96"/>
    <x v="608"/>
    <n v="1479.3600000000001"/>
    <n v="7911.3600000000006"/>
    <x v="6"/>
  </r>
  <r>
    <n v="1531"/>
    <x v="5"/>
    <n v="12"/>
    <d v="2022-01-17T00:00:00"/>
    <s v="FA"/>
    <s v="1052/3551"/>
    <s v="kpl"/>
    <n v="1630"/>
    <n v="64"/>
    <n v="87"/>
    <x v="470"/>
    <n v="1280.6400000000001"/>
    <n v="6848.64"/>
    <x v="0"/>
  </r>
  <r>
    <n v="1532"/>
    <x v="18"/>
    <n v="6"/>
    <d v="2022-02-20T00:00:00"/>
    <s v="FA"/>
    <s v="1052/3552"/>
    <s v="kpl"/>
    <n v="1631"/>
    <n v="49"/>
    <n v="109"/>
    <x v="294"/>
    <n v="1228.43"/>
    <n v="6569.43"/>
    <x v="9"/>
  </r>
  <r>
    <n v="1533"/>
    <x v="13"/>
    <n v="11"/>
    <d v="2022-11-05T00:00:00"/>
    <s v="FA"/>
    <s v="1052/3553"/>
    <s v="kpl"/>
    <n v="1632"/>
    <n v="45"/>
    <n v="88"/>
    <x v="291"/>
    <n v="910.80000000000007"/>
    <n v="4870.8"/>
    <x v="8"/>
  </r>
  <r>
    <n v="1534"/>
    <x v="15"/>
    <n v="12"/>
    <d v="2022-05-21T00:00:00"/>
    <s v="FA"/>
    <s v="1052/3554"/>
    <s v="kpl"/>
    <n v="1633"/>
    <n v="38"/>
    <n v="90"/>
    <x v="609"/>
    <n v="786.6"/>
    <n v="4206.6000000000004"/>
    <x v="10"/>
  </r>
  <r>
    <n v="1535"/>
    <x v="21"/>
    <n v="9"/>
    <d v="2022-10-09T00:00:00"/>
    <s v="FA"/>
    <s v="1052/3555"/>
    <s v="kpl"/>
    <n v="1634"/>
    <n v="60"/>
    <n v="87"/>
    <x v="6"/>
    <n v="1200.6000000000001"/>
    <n v="6420.6"/>
    <x v="5"/>
  </r>
  <r>
    <n v="1536"/>
    <x v="10"/>
    <n v="9"/>
    <d v="2022-08-06T00:00:00"/>
    <s v="FA"/>
    <s v="1052/3556"/>
    <s v="kpl"/>
    <n v="1635"/>
    <n v="47"/>
    <n v="84"/>
    <x v="55"/>
    <n v="908.04000000000008"/>
    <n v="4856.04"/>
    <x v="11"/>
  </r>
  <r>
    <n v="1537"/>
    <x v="27"/>
    <n v="9"/>
    <d v="2022-01-23T00:00:00"/>
    <s v="FA"/>
    <s v="1052/3557"/>
    <s v="kpl"/>
    <n v="1636"/>
    <n v="49"/>
    <n v="111"/>
    <x v="570"/>
    <n v="1250.97"/>
    <n v="6689.97"/>
    <x v="0"/>
  </r>
  <r>
    <n v="1538"/>
    <x v="17"/>
    <n v="11"/>
    <d v="2022-03-07T00:00:00"/>
    <s v="FA"/>
    <s v="1052/3558"/>
    <s v="kpl"/>
    <n v="1637"/>
    <n v="58"/>
    <n v="94"/>
    <x v="82"/>
    <n v="1253.96"/>
    <n v="6705.96"/>
    <x v="3"/>
  </r>
  <r>
    <n v="1539"/>
    <x v="18"/>
    <n v="8"/>
    <d v="2022-09-17T00:00:00"/>
    <s v="FA"/>
    <s v="1052/3559"/>
    <s v="kpl"/>
    <n v="1638"/>
    <n v="45"/>
    <n v="109"/>
    <x v="102"/>
    <n v="1128.1500000000001"/>
    <n v="6033.15"/>
    <x v="7"/>
  </r>
  <r>
    <n v="1540"/>
    <x v="24"/>
    <n v="6"/>
    <d v="2022-06-15T00:00:00"/>
    <s v="FA"/>
    <s v="1052/3560"/>
    <s v="kpl"/>
    <n v="1639"/>
    <n v="55"/>
    <n v="129"/>
    <x v="468"/>
    <n v="1631.8500000000001"/>
    <n v="8726.85"/>
    <x v="4"/>
  </r>
  <r>
    <n v="1541"/>
    <x v="22"/>
    <n v="10"/>
    <d v="2022-05-21T00:00:00"/>
    <s v="FA"/>
    <s v="1052/3561"/>
    <s v="kpl"/>
    <n v="1640"/>
    <n v="61"/>
    <n v="125"/>
    <x v="250"/>
    <n v="1753.75"/>
    <n v="9378.75"/>
    <x v="10"/>
  </r>
  <r>
    <n v="1542"/>
    <x v="5"/>
    <n v="11"/>
    <d v="2022-01-12T00:00:00"/>
    <s v="FA"/>
    <s v="1052/3562"/>
    <s v="kpl"/>
    <n v="1641"/>
    <n v="41"/>
    <n v="87"/>
    <x v="49"/>
    <n v="820.41000000000008"/>
    <n v="4387.41"/>
    <x v="0"/>
  </r>
  <r>
    <n v="1543"/>
    <x v="13"/>
    <n v="13"/>
    <d v="2022-11-13T00:00:00"/>
    <s v="FA"/>
    <s v="1052/3563"/>
    <s v="kpl"/>
    <n v="1642"/>
    <n v="43"/>
    <n v="88"/>
    <x v="214"/>
    <n v="870.32"/>
    <n v="4654.32"/>
    <x v="8"/>
  </r>
  <r>
    <n v="1544"/>
    <x v="17"/>
    <n v="7"/>
    <d v="2022-11-03T00:00:00"/>
    <s v="FA"/>
    <s v="1052/3564"/>
    <s v="kpl"/>
    <n v="1643"/>
    <n v="48"/>
    <n v="94"/>
    <x v="397"/>
    <n v="1037.76"/>
    <n v="5549.76"/>
    <x v="8"/>
  </r>
  <r>
    <n v="1545"/>
    <x v="6"/>
    <n v="6"/>
    <d v="2022-04-09T00:00:00"/>
    <s v="FA"/>
    <s v="1052/3565"/>
    <s v="kpl"/>
    <n v="1644"/>
    <n v="57"/>
    <n v="84"/>
    <x v="127"/>
    <n v="1101.24"/>
    <n v="5889.24"/>
    <x v="1"/>
  </r>
  <r>
    <n v="1546"/>
    <x v="23"/>
    <n v="8"/>
    <d v="2022-03-14T00:00:00"/>
    <s v="FA"/>
    <s v="1052/3566"/>
    <s v="kpl"/>
    <n v="1645"/>
    <n v="58"/>
    <n v="105"/>
    <x v="172"/>
    <n v="1400.7"/>
    <n v="7490.7"/>
    <x v="3"/>
  </r>
  <r>
    <n v="1547"/>
    <x v="0"/>
    <n v="10"/>
    <d v="2022-09-15T00:00:00"/>
    <s v="FA"/>
    <s v="1052/3567"/>
    <s v="kpl"/>
    <n v="1646"/>
    <n v="53"/>
    <n v="83"/>
    <x v="610"/>
    <n v="1011.7700000000001"/>
    <n v="5410.77"/>
    <x v="7"/>
  </r>
  <r>
    <n v="1548"/>
    <x v="14"/>
    <n v="12"/>
    <d v="2022-07-02T00:00:00"/>
    <s v="FA"/>
    <s v="1052/3568"/>
    <s v="kpl"/>
    <n v="1647"/>
    <n v="56"/>
    <n v="86"/>
    <x v="611"/>
    <n v="1107.68"/>
    <n v="5923.68"/>
    <x v="6"/>
  </r>
  <r>
    <n v="1549"/>
    <x v="11"/>
    <n v="9"/>
    <d v="2022-02-20T00:00:00"/>
    <s v="FA"/>
    <s v="1052/3569"/>
    <s v="kpl"/>
    <n v="1648"/>
    <n v="52"/>
    <n v="93"/>
    <x v="190"/>
    <n v="1112.28"/>
    <n v="5948.28"/>
    <x v="9"/>
  </r>
  <r>
    <n v="1550"/>
    <x v="21"/>
    <n v="11"/>
    <d v="2022-02-14T00:00:00"/>
    <s v="FA"/>
    <s v="1052/3570"/>
    <s v="kpl"/>
    <n v="1649"/>
    <n v="52"/>
    <n v="87"/>
    <x v="453"/>
    <n v="1040.52"/>
    <n v="5564.52"/>
    <x v="9"/>
  </r>
  <r>
    <n v="1551"/>
    <x v="4"/>
    <n v="10"/>
    <d v="2022-12-08T00:00:00"/>
    <s v="FA"/>
    <s v="1052/3571"/>
    <s v="kpl"/>
    <n v="1650"/>
    <n v="64"/>
    <n v="85"/>
    <x v="612"/>
    <n v="1251.2"/>
    <n v="6691.2"/>
    <x v="2"/>
  </r>
  <r>
    <n v="1552"/>
    <x v="3"/>
    <n v="10"/>
    <d v="2022-01-24T00:00:00"/>
    <s v="FA"/>
    <s v="1052/3572"/>
    <s v="kpl"/>
    <n v="1651"/>
    <n v="49"/>
    <n v="88"/>
    <x v="93"/>
    <n v="991.76"/>
    <n v="5303.76"/>
    <x v="0"/>
  </r>
  <r>
    <n v="1553"/>
    <x v="3"/>
    <n v="5"/>
    <d v="2022-10-24T00:00:00"/>
    <s v="FA"/>
    <s v="1052/3573"/>
    <s v="kpl"/>
    <n v="1652"/>
    <n v="60"/>
    <n v="88"/>
    <x v="9"/>
    <n v="1214.4000000000001"/>
    <n v="6494.4"/>
    <x v="5"/>
  </r>
  <r>
    <n v="1554"/>
    <x v="5"/>
    <n v="10"/>
    <d v="2022-05-06T00:00:00"/>
    <s v="FA"/>
    <s v="1052/3574"/>
    <s v="kpl"/>
    <n v="1653"/>
    <n v="46"/>
    <n v="87"/>
    <x v="281"/>
    <n v="920.46"/>
    <n v="4922.46"/>
    <x v="10"/>
  </r>
  <r>
    <n v="1555"/>
    <x v="1"/>
    <n v="13"/>
    <d v="2022-08-24T00:00:00"/>
    <s v="FA"/>
    <s v="1052/3575"/>
    <s v="kpl"/>
    <n v="1654"/>
    <n v="45"/>
    <n v="99"/>
    <x v="121"/>
    <n v="1024.6500000000001"/>
    <n v="5479.65"/>
    <x v="11"/>
  </r>
  <r>
    <n v="1556"/>
    <x v="20"/>
    <n v="8"/>
    <d v="2022-11-15T00:00:00"/>
    <s v="FA"/>
    <s v="1052/3576"/>
    <s v="kpl"/>
    <n v="1655"/>
    <n v="59"/>
    <n v="104"/>
    <x v="392"/>
    <n v="1411.28"/>
    <n v="7547.28"/>
    <x v="8"/>
  </r>
  <r>
    <n v="1557"/>
    <x v="28"/>
    <n v="9"/>
    <d v="2022-11-01T00:00:00"/>
    <s v="FA"/>
    <s v="1052/3577"/>
    <s v="kpl"/>
    <n v="1656"/>
    <n v="49"/>
    <n v="105"/>
    <x v="361"/>
    <n v="1183.3500000000001"/>
    <n v="6328.35"/>
    <x v="8"/>
  </r>
  <r>
    <n v="1558"/>
    <x v="2"/>
    <n v="6"/>
    <d v="2022-06-05T00:00:00"/>
    <s v="FA"/>
    <s v="1052/3578"/>
    <s v="kpl"/>
    <n v="1657"/>
    <n v="43"/>
    <n v="84"/>
    <x v="25"/>
    <n v="830.76"/>
    <n v="4442.76"/>
    <x v="4"/>
  </r>
  <r>
    <n v="1559"/>
    <x v="22"/>
    <n v="11"/>
    <d v="2022-08-10T00:00:00"/>
    <s v="FA"/>
    <s v="1052/3579"/>
    <s v="kpl"/>
    <n v="1658"/>
    <n v="40"/>
    <n v="125"/>
    <x v="477"/>
    <n v="1150"/>
    <n v="6150"/>
    <x v="11"/>
  </r>
  <r>
    <n v="1560"/>
    <x v="22"/>
    <n v="11"/>
    <d v="2022-01-23T00:00:00"/>
    <s v="FA"/>
    <s v="1052/3580"/>
    <s v="kpl"/>
    <n v="1659"/>
    <n v="43"/>
    <n v="125"/>
    <x v="92"/>
    <n v="1236.25"/>
    <n v="6611.25"/>
    <x v="0"/>
  </r>
  <r>
    <n v="1561"/>
    <x v="24"/>
    <n v="7"/>
    <d v="2022-08-12T00:00:00"/>
    <s v="FA"/>
    <s v="1052/3581"/>
    <s v="kpl"/>
    <n v="1660"/>
    <n v="38"/>
    <n v="129"/>
    <x v="247"/>
    <n v="1127.46"/>
    <n v="6029.46"/>
    <x v="11"/>
  </r>
  <r>
    <n v="1562"/>
    <x v="5"/>
    <n v="9"/>
    <d v="2022-11-01T00:00:00"/>
    <s v="FA"/>
    <s v="1052/3582"/>
    <s v="kpl"/>
    <n v="1661"/>
    <n v="50"/>
    <n v="87"/>
    <x v="476"/>
    <n v="1000.5"/>
    <n v="5350.5"/>
    <x v="8"/>
  </r>
  <r>
    <n v="1563"/>
    <x v="22"/>
    <n v="5"/>
    <d v="2022-01-06T00:00:00"/>
    <s v="FA"/>
    <s v="1052/3583"/>
    <s v="kpl"/>
    <n v="1662"/>
    <n v="57"/>
    <n v="125"/>
    <x v="613"/>
    <n v="1638.75"/>
    <n v="8763.75"/>
    <x v="0"/>
  </r>
  <r>
    <n v="1564"/>
    <x v="28"/>
    <n v="7"/>
    <d v="2022-07-26T00:00:00"/>
    <s v="FA"/>
    <s v="1052/3584"/>
    <s v="kpl"/>
    <n v="1663"/>
    <n v="62"/>
    <n v="105"/>
    <x v="469"/>
    <n v="1497.3"/>
    <n v="8007.3"/>
    <x v="6"/>
  </r>
  <r>
    <n v="1565"/>
    <x v="8"/>
    <n v="11"/>
    <d v="2022-10-19T00:00:00"/>
    <s v="FA"/>
    <s v="1052/3585"/>
    <s v="kpl"/>
    <n v="1664"/>
    <n v="42"/>
    <n v="89"/>
    <x v="80"/>
    <n v="859.74"/>
    <n v="4597.74"/>
    <x v="5"/>
  </r>
  <r>
    <n v="1566"/>
    <x v="11"/>
    <n v="7"/>
    <d v="2022-06-21T00:00:00"/>
    <s v="FA"/>
    <s v="1052/3586"/>
    <s v="kpl"/>
    <n v="1665"/>
    <n v="53"/>
    <n v="93"/>
    <x v="413"/>
    <n v="1133.67"/>
    <n v="6062.67"/>
    <x v="4"/>
  </r>
  <r>
    <n v="1567"/>
    <x v="24"/>
    <n v="12"/>
    <d v="2022-08-16T00:00:00"/>
    <s v="FA"/>
    <s v="1052/3587"/>
    <s v="kpl"/>
    <n v="1666"/>
    <n v="45"/>
    <n v="129"/>
    <x v="614"/>
    <n v="1335.15"/>
    <n v="7140.15"/>
    <x v="11"/>
  </r>
  <r>
    <n v="1568"/>
    <x v="11"/>
    <n v="10"/>
    <d v="2022-03-17T00:00:00"/>
    <s v="FA"/>
    <s v="1052/3588"/>
    <s v="kpl"/>
    <n v="1667"/>
    <n v="60"/>
    <n v="93"/>
    <x v="493"/>
    <n v="1283.4000000000001"/>
    <n v="6863.4"/>
    <x v="3"/>
  </r>
  <r>
    <n v="1569"/>
    <x v="7"/>
    <n v="10"/>
    <d v="2022-02-12T00:00:00"/>
    <s v="FA"/>
    <s v="1052/3589"/>
    <s v="kpl"/>
    <n v="1668"/>
    <n v="54"/>
    <n v="96"/>
    <x v="432"/>
    <n v="1192.3200000000002"/>
    <n v="6376.32"/>
    <x v="9"/>
  </r>
  <r>
    <n v="1570"/>
    <x v="7"/>
    <n v="9"/>
    <d v="2022-05-19T00:00:00"/>
    <s v="FA"/>
    <s v="1052/3590"/>
    <s v="kpl"/>
    <n v="1669"/>
    <n v="49"/>
    <n v="96"/>
    <x v="185"/>
    <n v="1081.92"/>
    <n v="5785.92"/>
    <x v="10"/>
  </r>
  <r>
    <n v="1571"/>
    <x v="4"/>
    <n v="9"/>
    <d v="2022-07-26T00:00:00"/>
    <s v="FA"/>
    <s v="1052/3591"/>
    <s v="kpl"/>
    <n v="1670"/>
    <n v="44"/>
    <n v="85"/>
    <x v="18"/>
    <n v="860.2"/>
    <n v="4600.2"/>
    <x v="6"/>
  </r>
  <r>
    <n v="1572"/>
    <x v="4"/>
    <n v="7"/>
    <d v="2022-10-27T00:00:00"/>
    <s v="FA"/>
    <s v="1052/3592"/>
    <s v="kpl"/>
    <n v="1671"/>
    <n v="56"/>
    <n v="85"/>
    <x v="615"/>
    <n v="1094.8"/>
    <n v="5854.8"/>
    <x v="5"/>
  </r>
  <r>
    <n v="1573"/>
    <x v="14"/>
    <n v="9"/>
    <d v="2022-11-20T00:00:00"/>
    <s v="FA"/>
    <s v="1052/3593"/>
    <s v="kpl"/>
    <n v="1672"/>
    <n v="45"/>
    <n v="86"/>
    <x v="340"/>
    <n v="890.1"/>
    <n v="4760.1000000000004"/>
    <x v="8"/>
  </r>
  <r>
    <n v="1574"/>
    <x v="0"/>
    <n v="10"/>
    <d v="2022-10-13T00:00:00"/>
    <s v="FA"/>
    <s v="1052/3594"/>
    <s v="kpl"/>
    <n v="1673"/>
    <n v="40"/>
    <n v="83"/>
    <x v="372"/>
    <n v="763.6"/>
    <n v="4083.6"/>
    <x v="5"/>
  </r>
  <r>
    <n v="1575"/>
    <x v="15"/>
    <n v="12"/>
    <d v="2022-07-28T00:00:00"/>
    <s v="FA"/>
    <s v="1052/3595"/>
    <s v="kpl"/>
    <n v="1674"/>
    <n v="45"/>
    <n v="90"/>
    <x v="471"/>
    <n v="931.5"/>
    <n v="4981.5"/>
    <x v="6"/>
  </r>
  <r>
    <n v="1576"/>
    <x v="27"/>
    <n v="10"/>
    <d v="2022-05-22T00:00:00"/>
    <s v="FA"/>
    <s v="1052/3596"/>
    <s v="kpl"/>
    <n v="1675"/>
    <n v="46"/>
    <n v="111"/>
    <x v="616"/>
    <n v="1174.3800000000001"/>
    <n v="6280.38"/>
    <x v="10"/>
  </r>
  <r>
    <n v="1577"/>
    <x v="17"/>
    <n v="7"/>
    <d v="2022-02-23T00:00:00"/>
    <s v="FA"/>
    <s v="1052/3597"/>
    <s v="kpl"/>
    <n v="1676"/>
    <n v="34"/>
    <n v="94"/>
    <x v="428"/>
    <n v="735.08"/>
    <n v="3931.08"/>
    <x v="9"/>
  </r>
  <r>
    <n v="1578"/>
    <x v="7"/>
    <n v="9"/>
    <d v="2022-06-27T00:00:00"/>
    <s v="FA"/>
    <s v="1052/3598"/>
    <s v="kpl"/>
    <n v="1677"/>
    <n v="60"/>
    <n v="96"/>
    <x v="518"/>
    <n v="1324.8"/>
    <n v="7084.8"/>
    <x v="4"/>
  </r>
  <r>
    <n v="1579"/>
    <x v="28"/>
    <n v="11"/>
    <d v="2022-04-13T00:00:00"/>
    <s v="FA"/>
    <s v="1052/3599"/>
    <s v="kpl"/>
    <n v="1678"/>
    <n v="54"/>
    <n v="105"/>
    <x v="601"/>
    <n v="1304.1000000000001"/>
    <n v="6974.1"/>
    <x v="1"/>
  </r>
  <r>
    <n v="1580"/>
    <x v="28"/>
    <n v="9"/>
    <d v="2022-04-12T00:00:00"/>
    <s v="FA"/>
    <s v="1052/3600"/>
    <s v="kpl"/>
    <n v="1679"/>
    <n v="43"/>
    <n v="105"/>
    <x v="427"/>
    <n v="1038.45"/>
    <n v="5553.45"/>
    <x v="1"/>
  </r>
  <r>
    <n v="1581"/>
    <x v="28"/>
    <n v="11"/>
    <d v="2022-08-04T00:00:00"/>
    <s v="FA"/>
    <s v="1052/3601"/>
    <s v="kpl"/>
    <n v="1680"/>
    <n v="69"/>
    <n v="105"/>
    <x v="617"/>
    <n v="1666.3500000000001"/>
    <n v="8911.35"/>
    <x v="11"/>
  </r>
  <r>
    <n v="1582"/>
    <x v="22"/>
    <n v="8"/>
    <d v="2022-12-15T00:00:00"/>
    <s v="FA"/>
    <s v="1052/3602"/>
    <s v="kpl"/>
    <n v="1681"/>
    <n v="45"/>
    <n v="125"/>
    <x v="618"/>
    <n v="1293.75"/>
    <n v="6918.75"/>
    <x v="2"/>
  </r>
  <r>
    <n v="1583"/>
    <x v="19"/>
    <n v="12"/>
    <d v="2022-09-23T00:00:00"/>
    <s v="FA"/>
    <s v="1052/3603"/>
    <s v="kpl"/>
    <n v="1682"/>
    <n v="59"/>
    <n v="121"/>
    <x v="150"/>
    <n v="1641.97"/>
    <n v="8780.9699999999993"/>
    <x v="7"/>
  </r>
  <r>
    <n v="1584"/>
    <x v="27"/>
    <n v="6"/>
    <d v="2022-12-12T00:00:00"/>
    <s v="FA"/>
    <s v="1052/3604"/>
    <s v="kpl"/>
    <n v="1683"/>
    <n v="40"/>
    <n v="111"/>
    <x v="619"/>
    <n v="1021.2"/>
    <n v="5461.2"/>
    <x v="2"/>
  </r>
  <r>
    <n v="1585"/>
    <x v="5"/>
    <n v="11"/>
    <d v="2022-05-10T00:00:00"/>
    <s v="FA"/>
    <s v="1052/3605"/>
    <s v="kpl"/>
    <n v="1684"/>
    <n v="51"/>
    <n v="87"/>
    <x v="173"/>
    <n v="1020.51"/>
    <n v="5457.51"/>
    <x v="10"/>
  </r>
  <r>
    <n v="1586"/>
    <x v="9"/>
    <n v="12"/>
    <d v="2022-01-28T00:00:00"/>
    <s v="FA"/>
    <s v="1052/3606"/>
    <s v="kpl"/>
    <n v="1685"/>
    <n v="51"/>
    <n v="108"/>
    <x v="377"/>
    <n v="1266.8400000000001"/>
    <n v="6774.84"/>
    <x v="0"/>
  </r>
  <r>
    <n v="1587"/>
    <x v="6"/>
    <n v="8"/>
    <d v="2022-05-26T00:00:00"/>
    <s v="FA"/>
    <s v="1052/3607"/>
    <s v="kpl"/>
    <n v="1686"/>
    <n v="50"/>
    <n v="84"/>
    <x v="194"/>
    <n v="966"/>
    <n v="5166"/>
    <x v="10"/>
  </r>
  <r>
    <n v="1588"/>
    <x v="11"/>
    <n v="12"/>
    <d v="2022-10-16T00:00:00"/>
    <s v="FA"/>
    <s v="1052/3608"/>
    <s v="kpl"/>
    <n v="1687"/>
    <n v="58"/>
    <n v="93"/>
    <x v="402"/>
    <n v="1240.6200000000001"/>
    <n v="6634.62"/>
    <x v="5"/>
  </r>
  <r>
    <n v="1589"/>
    <x v="24"/>
    <n v="9"/>
    <d v="2022-01-08T00:00:00"/>
    <s v="FA"/>
    <s v="1052/3609"/>
    <s v="kpl"/>
    <n v="1688"/>
    <n v="41"/>
    <n v="129"/>
    <x v="69"/>
    <n v="1216.47"/>
    <n v="6505.47"/>
    <x v="0"/>
  </r>
  <r>
    <n v="1590"/>
    <x v="7"/>
    <n v="13"/>
    <d v="2022-04-27T00:00:00"/>
    <s v="FA"/>
    <s v="1052/3610"/>
    <s v="kpl"/>
    <n v="1689"/>
    <n v="41"/>
    <n v="96"/>
    <x v="146"/>
    <n v="905.28000000000009"/>
    <n v="4841.28"/>
    <x v="1"/>
  </r>
  <r>
    <n v="1591"/>
    <x v="28"/>
    <n v="8"/>
    <d v="2022-02-28T00:00:00"/>
    <s v="FA"/>
    <s v="1052/3611"/>
    <s v="kpl"/>
    <n v="1690"/>
    <n v="70"/>
    <n v="105"/>
    <x v="620"/>
    <n v="1690.5"/>
    <n v="9040.5"/>
    <x v="9"/>
  </r>
  <r>
    <n v="1592"/>
    <x v="21"/>
    <n v="10"/>
    <d v="2022-06-04T00:00:00"/>
    <s v="FA"/>
    <s v="1052/3612"/>
    <s v="kpl"/>
    <n v="1691"/>
    <n v="69"/>
    <n v="87"/>
    <x v="464"/>
    <n v="1380.69"/>
    <n v="7383.6900000000005"/>
    <x v="4"/>
  </r>
  <r>
    <n v="1593"/>
    <x v="7"/>
    <n v="12"/>
    <d v="2022-07-03T00:00:00"/>
    <s v="FA"/>
    <s v="1052/3613"/>
    <s v="kpl"/>
    <n v="1692"/>
    <n v="39"/>
    <n v="96"/>
    <x v="347"/>
    <n v="861.12"/>
    <n v="4605.12"/>
    <x v="6"/>
  </r>
  <r>
    <n v="1594"/>
    <x v="19"/>
    <n v="15"/>
    <d v="2022-10-15T00:00:00"/>
    <s v="FA"/>
    <s v="1052/3614"/>
    <s v="kpl"/>
    <n v="1693"/>
    <n v="40"/>
    <n v="121"/>
    <x v="29"/>
    <n v="1113.2"/>
    <n v="5953.2"/>
    <x v="5"/>
  </r>
  <r>
    <n v="1595"/>
    <x v="11"/>
    <n v="8"/>
    <d v="2022-02-06T00:00:00"/>
    <s v="FA"/>
    <s v="1052/3615"/>
    <s v="kpl"/>
    <n v="1694"/>
    <n v="62"/>
    <n v="93"/>
    <x v="101"/>
    <n v="1326.18"/>
    <n v="7092.18"/>
    <x v="9"/>
  </r>
  <r>
    <n v="1596"/>
    <x v="17"/>
    <n v="10"/>
    <d v="2022-08-05T00:00:00"/>
    <s v="FA"/>
    <s v="1052/3616"/>
    <s v="kpl"/>
    <n v="1695"/>
    <n v="55"/>
    <n v="94"/>
    <x v="163"/>
    <n v="1189.1000000000001"/>
    <n v="6359.1"/>
    <x v="11"/>
  </r>
  <r>
    <n v="1597"/>
    <x v="15"/>
    <n v="12"/>
    <d v="2022-09-27T00:00:00"/>
    <s v="FA"/>
    <s v="1052/3617"/>
    <s v="kpl"/>
    <n v="1696"/>
    <n v="31"/>
    <n v="90"/>
    <x v="603"/>
    <n v="641.70000000000005"/>
    <n v="3431.7"/>
    <x v="7"/>
  </r>
  <r>
    <n v="1598"/>
    <x v="4"/>
    <n v="4"/>
    <d v="2022-07-17T00:00:00"/>
    <s v="FA"/>
    <s v="1052/3618"/>
    <s v="kpl"/>
    <n v="1697"/>
    <n v="62"/>
    <n v="85"/>
    <x v="458"/>
    <n v="1212.1000000000001"/>
    <n v="6482.1"/>
    <x v="6"/>
  </r>
  <r>
    <n v="1599"/>
    <x v="15"/>
    <n v="8"/>
    <d v="2022-11-07T00:00:00"/>
    <s v="FA"/>
    <s v="1052/3619"/>
    <s v="kpl"/>
    <n v="1698"/>
    <n v="57"/>
    <n v="90"/>
    <x v="230"/>
    <n v="1179.9000000000001"/>
    <n v="6309.9"/>
    <x v="8"/>
  </r>
  <r>
    <n v="1600"/>
    <x v="27"/>
    <n v="6"/>
    <d v="2022-10-19T00:00:00"/>
    <s v="FA"/>
    <s v="1052/3620"/>
    <s v="kpl"/>
    <n v="1699"/>
    <n v="44"/>
    <n v="111"/>
    <x v="621"/>
    <n v="1123.32"/>
    <n v="6007.32"/>
    <x v="5"/>
  </r>
  <r>
    <n v="1601"/>
    <x v="28"/>
    <n v="4"/>
    <d v="2022-08-23T00:00:00"/>
    <s v="FA"/>
    <s v="1052/3621"/>
    <s v="kpl"/>
    <n v="1700"/>
    <n v="26"/>
    <n v="105"/>
    <x v="622"/>
    <n v="627.9"/>
    <n v="3357.9"/>
    <x v="11"/>
  </r>
  <r>
    <n v="1602"/>
    <x v="4"/>
    <n v="10"/>
    <d v="2022-04-26T00:00:00"/>
    <s v="FA"/>
    <s v="1052/3622"/>
    <s v="kpl"/>
    <n v="1701"/>
    <n v="39"/>
    <n v="85"/>
    <x v="541"/>
    <n v="762.45"/>
    <n v="4077.45"/>
    <x v="1"/>
  </r>
  <r>
    <n v="1603"/>
    <x v="9"/>
    <n v="13"/>
    <d v="2022-01-19T00:00:00"/>
    <s v="FA"/>
    <s v="1052/3623"/>
    <s v="kpl"/>
    <n v="1702"/>
    <n v="62"/>
    <n v="108"/>
    <x v="298"/>
    <n v="1540.0800000000002"/>
    <n v="8236.08"/>
    <x v="0"/>
  </r>
  <r>
    <n v="1604"/>
    <x v="27"/>
    <n v="6"/>
    <d v="2022-11-21T00:00:00"/>
    <s v="FA"/>
    <s v="1052/3624"/>
    <s v="kpl"/>
    <n v="1703"/>
    <n v="67"/>
    <n v="111"/>
    <x v="623"/>
    <n v="1710.51"/>
    <n v="9147.51"/>
    <x v="8"/>
  </r>
  <r>
    <n v="1605"/>
    <x v="28"/>
    <n v="11"/>
    <d v="2022-08-01T00:00:00"/>
    <s v="FA"/>
    <s v="1052/3625"/>
    <s v="kpl"/>
    <n v="1704"/>
    <n v="70"/>
    <n v="105"/>
    <x v="620"/>
    <n v="1690.5"/>
    <n v="9040.5"/>
    <x v="11"/>
  </r>
  <r>
    <n v="1606"/>
    <x v="23"/>
    <n v="16"/>
    <d v="2022-01-12T00:00:00"/>
    <s v="FA"/>
    <s v="1052/3626"/>
    <s v="kpl"/>
    <n v="1705"/>
    <n v="46"/>
    <n v="105"/>
    <x v="240"/>
    <n v="1110.9000000000001"/>
    <n v="5940.9"/>
    <x v="0"/>
  </r>
  <r>
    <n v="1607"/>
    <x v="16"/>
    <n v="8"/>
    <d v="2022-06-08T00:00:00"/>
    <s v="FA"/>
    <s v="1052/3627"/>
    <s v="kpl"/>
    <n v="1706"/>
    <n v="41"/>
    <n v="132"/>
    <x v="624"/>
    <n v="1244.76"/>
    <n v="6656.76"/>
    <x v="4"/>
  </r>
  <r>
    <n v="1608"/>
    <x v="10"/>
    <n v="3"/>
    <d v="2022-06-02T00:00:00"/>
    <s v="FA"/>
    <s v="1052/3628"/>
    <s v="kpl"/>
    <n v="1707"/>
    <n v="56"/>
    <n v="84"/>
    <x v="185"/>
    <n v="1081.92"/>
    <n v="5785.92"/>
    <x v="4"/>
  </r>
  <r>
    <n v="1609"/>
    <x v="16"/>
    <n v="12"/>
    <d v="2022-05-20T00:00:00"/>
    <s v="FA"/>
    <s v="1052/3629"/>
    <s v="kpl"/>
    <n v="1708"/>
    <n v="57"/>
    <n v="132"/>
    <x v="452"/>
    <n v="1730.52"/>
    <n v="9254.52"/>
    <x v="10"/>
  </r>
  <r>
    <n v="1610"/>
    <x v="7"/>
    <n v="8"/>
    <d v="2022-05-28T00:00:00"/>
    <s v="FA"/>
    <s v="1052/3630"/>
    <s v="kpl"/>
    <n v="1709"/>
    <n v="50"/>
    <n v="96"/>
    <x v="31"/>
    <n v="1104"/>
    <n v="5904"/>
    <x v="10"/>
  </r>
  <r>
    <n v="1611"/>
    <x v="5"/>
    <n v="7"/>
    <d v="2022-01-24T00:00:00"/>
    <s v="FA"/>
    <s v="1052/3631"/>
    <s v="kpl"/>
    <n v="1710"/>
    <n v="54"/>
    <n v="87"/>
    <x v="114"/>
    <n v="1080.54"/>
    <n v="5778.54"/>
    <x v="0"/>
  </r>
  <r>
    <n v="1612"/>
    <x v="5"/>
    <n v="8"/>
    <d v="2022-11-27T00:00:00"/>
    <s v="FA"/>
    <s v="1052/3632"/>
    <s v="kpl"/>
    <n v="1711"/>
    <n v="59"/>
    <n v="87"/>
    <x v="268"/>
    <n v="1180.5900000000001"/>
    <n v="6313.59"/>
    <x v="8"/>
  </r>
  <r>
    <n v="1613"/>
    <x v="26"/>
    <n v="11"/>
    <d v="2022-09-01T00:00:00"/>
    <s v="FA"/>
    <s v="1052/3633"/>
    <s v="kpl"/>
    <n v="1712"/>
    <n v="48"/>
    <n v="99"/>
    <x v="126"/>
    <n v="1092.96"/>
    <n v="5844.96"/>
    <x v="7"/>
  </r>
  <r>
    <n v="1614"/>
    <x v="14"/>
    <n v="8"/>
    <d v="2022-07-20T00:00:00"/>
    <s v="FA"/>
    <s v="1052/3634"/>
    <s v="kpl"/>
    <n v="1713"/>
    <n v="62"/>
    <n v="86"/>
    <x v="320"/>
    <n v="1226.3600000000001"/>
    <n v="6558.3600000000006"/>
    <x v="6"/>
  </r>
  <r>
    <n v="1615"/>
    <x v="16"/>
    <n v="7"/>
    <d v="2022-09-10T00:00:00"/>
    <s v="FA"/>
    <s v="1052/3635"/>
    <s v="kpl"/>
    <n v="1714"/>
    <n v="53"/>
    <n v="132"/>
    <x v="213"/>
    <n v="1609.0800000000002"/>
    <n v="8605.08"/>
    <x v="7"/>
  </r>
  <r>
    <n v="1616"/>
    <x v="20"/>
    <n v="7"/>
    <d v="2022-05-02T00:00:00"/>
    <s v="FA"/>
    <s v="1052/3636"/>
    <s v="kpl"/>
    <n v="1715"/>
    <n v="54"/>
    <n v="104"/>
    <x v="460"/>
    <n v="1291.68"/>
    <n v="6907.68"/>
    <x v="10"/>
  </r>
  <r>
    <n v="1617"/>
    <x v="12"/>
    <n v="9"/>
    <d v="2022-05-10T00:00:00"/>
    <s v="FA"/>
    <s v="1052/3637"/>
    <s v="kpl"/>
    <n v="1716"/>
    <n v="39"/>
    <n v="91"/>
    <x v="54"/>
    <n v="816.27"/>
    <n v="4365.2700000000004"/>
    <x v="10"/>
  </r>
  <r>
    <n v="1618"/>
    <x v="11"/>
    <n v="5"/>
    <d v="2022-05-05T00:00:00"/>
    <s v="FA"/>
    <s v="1052/3638"/>
    <s v="kpl"/>
    <n v="1717"/>
    <n v="39"/>
    <n v="93"/>
    <x v="625"/>
    <n v="834.21"/>
    <n v="4461.21"/>
    <x v="10"/>
  </r>
  <r>
    <n v="1619"/>
    <x v="24"/>
    <n v="9"/>
    <d v="2022-03-28T00:00:00"/>
    <s v="FA"/>
    <s v="1052/3639"/>
    <s v="kpl"/>
    <n v="1718"/>
    <n v="43"/>
    <n v="129"/>
    <x v="589"/>
    <n v="1275.81"/>
    <n v="6822.8099999999995"/>
    <x v="3"/>
  </r>
  <r>
    <n v="1620"/>
    <x v="0"/>
    <n v="7"/>
    <d v="2022-06-27T00:00:00"/>
    <s v="FA"/>
    <s v="1052/3640"/>
    <s v="kpl"/>
    <n v="1719"/>
    <n v="64"/>
    <n v="83"/>
    <x v="423"/>
    <n v="1221.76"/>
    <n v="6533.76"/>
    <x v="4"/>
  </r>
  <r>
    <n v="1621"/>
    <x v="5"/>
    <n v="8"/>
    <d v="2022-12-10T00:00:00"/>
    <s v="FA"/>
    <s v="1052/3641"/>
    <s v="kpl"/>
    <n v="1720"/>
    <n v="45"/>
    <n v="87"/>
    <x v="139"/>
    <n v="900.45"/>
    <n v="4815.45"/>
    <x v="2"/>
  </r>
  <r>
    <n v="1622"/>
    <x v="12"/>
    <n v="10"/>
    <d v="2022-11-22T00:00:00"/>
    <s v="FA"/>
    <s v="1052/3642"/>
    <s v="kpl"/>
    <n v="1721"/>
    <n v="48"/>
    <n v="91"/>
    <x v="109"/>
    <n v="1004.6400000000001"/>
    <n v="5372.64"/>
    <x v="8"/>
  </r>
  <r>
    <n v="1623"/>
    <x v="13"/>
    <n v="8"/>
    <d v="2022-02-19T00:00:00"/>
    <s v="FA"/>
    <s v="1052/3643"/>
    <s v="kpl"/>
    <n v="1722"/>
    <n v="50"/>
    <n v="88"/>
    <x v="98"/>
    <n v="1012"/>
    <n v="5412"/>
    <x v="9"/>
  </r>
  <r>
    <n v="1624"/>
    <x v="4"/>
    <n v="8"/>
    <d v="2022-01-16T00:00:00"/>
    <s v="FA"/>
    <s v="1052/3644"/>
    <s v="kpl"/>
    <n v="1723"/>
    <n v="59"/>
    <n v="85"/>
    <x v="130"/>
    <n v="1153.45"/>
    <n v="6168.45"/>
    <x v="0"/>
  </r>
  <r>
    <n v="1625"/>
    <x v="13"/>
    <n v="12"/>
    <d v="2022-11-09T00:00:00"/>
    <s v="FA"/>
    <s v="1052/3645"/>
    <s v="kpl"/>
    <n v="1724"/>
    <n v="53"/>
    <n v="88"/>
    <x v="61"/>
    <n v="1072.72"/>
    <n v="5736.72"/>
    <x v="8"/>
  </r>
  <r>
    <n v="1626"/>
    <x v="7"/>
    <n v="7"/>
    <d v="2022-09-05T00:00:00"/>
    <s v="FA"/>
    <s v="1052/3646"/>
    <s v="kpl"/>
    <n v="1725"/>
    <n v="60"/>
    <n v="96"/>
    <x v="518"/>
    <n v="1324.8"/>
    <n v="7084.8"/>
    <x v="7"/>
  </r>
  <r>
    <n v="1627"/>
    <x v="10"/>
    <n v="8"/>
    <d v="2022-09-09T00:00:00"/>
    <s v="FA"/>
    <s v="1052/3647"/>
    <s v="kpl"/>
    <n v="1726"/>
    <n v="55"/>
    <n v="84"/>
    <x v="42"/>
    <n v="1062.6000000000001"/>
    <n v="5682.6"/>
    <x v="7"/>
  </r>
  <r>
    <n v="1628"/>
    <x v="24"/>
    <n v="10"/>
    <d v="2022-05-28T00:00:00"/>
    <s v="FA"/>
    <s v="1052/3648"/>
    <s v="kpl"/>
    <n v="1727"/>
    <n v="28"/>
    <n v="129"/>
    <x v="25"/>
    <n v="830.76"/>
    <n v="4442.76"/>
    <x v="10"/>
  </r>
  <r>
    <n v="1629"/>
    <x v="1"/>
    <n v="6"/>
    <d v="2022-03-22T00:00:00"/>
    <s v="FA"/>
    <s v="1052/3649"/>
    <s v="kpl"/>
    <n v="1728"/>
    <n v="57"/>
    <n v="99"/>
    <x v="193"/>
    <n v="1297.8900000000001"/>
    <n v="6940.89"/>
    <x v="3"/>
  </r>
  <r>
    <n v="1630"/>
    <x v="26"/>
    <n v="11"/>
    <d v="2022-05-03T00:00:00"/>
    <s v="FA"/>
    <s v="1052/3650"/>
    <s v="kpl"/>
    <n v="1729"/>
    <n v="41"/>
    <n v="99"/>
    <x v="626"/>
    <n v="933.57"/>
    <n v="4992.57"/>
    <x v="10"/>
  </r>
  <r>
    <n v="1631"/>
    <x v="19"/>
    <n v="7"/>
    <d v="2022-08-08T00:00:00"/>
    <s v="FA"/>
    <s v="1052/3651"/>
    <s v="kpl"/>
    <n v="1730"/>
    <n v="57"/>
    <n v="121"/>
    <x v="256"/>
    <n v="1586.3100000000002"/>
    <n v="8483.31"/>
    <x v="11"/>
  </r>
  <r>
    <n v="1632"/>
    <x v="7"/>
    <n v="13"/>
    <d v="2022-07-09T00:00:00"/>
    <s v="FA"/>
    <s v="1052/3652"/>
    <s v="kpl"/>
    <n v="1731"/>
    <n v="43"/>
    <n v="96"/>
    <x v="73"/>
    <n v="949.44"/>
    <n v="5077.4400000000005"/>
    <x v="6"/>
  </r>
  <r>
    <n v="1633"/>
    <x v="6"/>
    <n v="10"/>
    <d v="2022-08-06T00:00:00"/>
    <s v="FA"/>
    <s v="1052/3653"/>
    <s v="kpl"/>
    <n v="1732"/>
    <n v="42"/>
    <n v="84"/>
    <x v="7"/>
    <n v="811.44"/>
    <n v="4339.4400000000005"/>
    <x v="11"/>
  </r>
  <r>
    <n v="1634"/>
    <x v="22"/>
    <n v="7"/>
    <d v="2022-01-27T00:00:00"/>
    <s v="FA"/>
    <s v="1052/3654"/>
    <s v="kpl"/>
    <n v="1733"/>
    <n v="61"/>
    <n v="125"/>
    <x v="250"/>
    <n v="1753.75"/>
    <n v="9378.75"/>
    <x v="0"/>
  </r>
  <r>
    <n v="1635"/>
    <x v="12"/>
    <n v="7"/>
    <d v="2022-01-17T00:00:00"/>
    <s v="FA"/>
    <s v="1052/3655"/>
    <s v="kpl"/>
    <n v="1734"/>
    <n v="42"/>
    <n v="91"/>
    <x v="556"/>
    <n v="879.06000000000006"/>
    <n v="4701.0600000000004"/>
    <x v="0"/>
  </r>
  <r>
    <n v="1636"/>
    <x v="11"/>
    <n v="8"/>
    <d v="2022-11-11T00:00:00"/>
    <s v="FA"/>
    <s v="1052/3656"/>
    <s v="kpl"/>
    <n v="1735"/>
    <n v="45"/>
    <n v="93"/>
    <x v="305"/>
    <n v="962.55000000000007"/>
    <n v="5147.55"/>
    <x v="8"/>
  </r>
  <r>
    <n v="1637"/>
    <x v="28"/>
    <n v="14"/>
    <d v="2022-04-25T00:00:00"/>
    <s v="FA"/>
    <s v="1052/3657"/>
    <s v="kpl"/>
    <n v="1736"/>
    <n v="38"/>
    <n v="105"/>
    <x v="341"/>
    <n v="917.7"/>
    <n v="4907.7"/>
    <x v="1"/>
  </r>
  <r>
    <n v="1638"/>
    <x v="23"/>
    <n v="9"/>
    <d v="2022-11-21T00:00:00"/>
    <s v="FA"/>
    <s v="1052/3658"/>
    <s v="kpl"/>
    <n v="1737"/>
    <n v="41"/>
    <n v="105"/>
    <x v="627"/>
    <n v="990.15000000000009"/>
    <n v="5295.15"/>
    <x v="8"/>
  </r>
  <r>
    <n v="1639"/>
    <x v="24"/>
    <n v="7"/>
    <d v="2022-07-20T00:00:00"/>
    <s v="FA"/>
    <s v="1052/3659"/>
    <s v="kpl"/>
    <n v="1738"/>
    <n v="55"/>
    <n v="129"/>
    <x v="468"/>
    <n v="1631.8500000000001"/>
    <n v="8726.85"/>
    <x v="6"/>
  </r>
  <r>
    <n v="1640"/>
    <x v="17"/>
    <n v="11"/>
    <d v="2022-12-19T00:00:00"/>
    <s v="FA"/>
    <s v="1052/3660"/>
    <s v="kpl"/>
    <n v="1739"/>
    <n v="37"/>
    <n v="94"/>
    <x v="628"/>
    <n v="799.94"/>
    <n v="4277.9400000000005"/>
    <x v="2"/>
  </r>
  <r>
    <n v="1641"/>
    <x v="11"/>
    <n v="6"/>
    <d v="2022-07-11T00:00:00"/>
    <s v="FA"/>
    <s v="1052/3661"/>
    <s v="kpl"/>
    <n v="1740"/>
    <n v="49"/>
    <n v="93"/>
    <x v="381"/>
    <n v="1048.1100000000001"/>
    <n v="5605.1100000000006"/>
    <x v="6"/>
  </r>
  <r>
    <n v="1642"/>
    <x v="16"/>
    <n v="12"/>
    <d v="2022-12-16T00:00:00"/>
    <s v="FA"/>
    <s v="1052/3662"/>
    <s v="kpl"/>
    <n v="1741"/>
    <n v="39"/>
    <n v="132"/>
    <x v="145"/>
    <n v="1184.04"/>
    <n v="6332.04"/>
    <x v="2"/>
  </r>
  <r>
    <n v="1643"/>
    <x v="19"/>
    <n v="10"/>
    <d v="2022-09-12T00:00:00"/>
    <s v="FA"/>
    <s v="1052/3663"/>
    <s v="kpl"/>
    <n v="1742"/>
    <n v="53"/>
    <n v="121"/>
    <x v="269"/>
    <n v="1474.99"/>
    <n v="7887.99"/>
    <x v="7"/>
  </r>
  <r>
    <n v="1644"/>
    <x v="12"/>
    <n v="11"/>
    <d v="2022-03-16T00:00:00"/>
    <s v="FA"/>
    <s v="1052/3664"/>
    <s v="kpl"/>
    <n v="1743"/>
    <n v="52"/>
    <n v="91"/>
    <x v="224"/>
    <n v="1088.3600000000001"/>
    <n v="5820.3600000000006"/>
    <x v="3"/>
  </r>
  <r>
    <n v="1645"/>
    <x v="25"/>
    <n v="11"/>
    <d v="2022-09-08T00:00:00"/>
    <s v="FA"/>
    <s v="1052/3665"/>
    <s v="kpl"/>
    <n v="1744"/>
    <n v="57"/>
    <n v="59"/>
    <x v="629"/>
    <n v="773.49"/>
    <n v="4136.49"/>
    <x v="7"/>
  </r>
  <r>
    <n v="1646"/>
    <x v="1"/>
    <n v="11"/>
    <d v="2022-10-27T00:00:00"/>
    <s v="FA"/>
    <s v="1052/3666"/>
    <s v="kpl"/>
    <n v="1745"/>
    <n v="43"/>
    <n v="99"/>
    <x v="438"/>
    <n v="979.11"/>
    <n v="5236.1099999999997"/>
    <x v="5"/>
  </r>
  <r>
    <n v="1647"/>
    <x v="15"/>
    <n v="13"/>
    <d v="2022-02-28T00:00:00"/>
    <s v="FA"/>
    <s v="1052/3667"/>
    <s v="kpl"/>
    <n v="1746"/>
    <n v="61"/>
    <n v="90"/>
    <x v="401"/>
    <n v="1262.7"/>
    <n v="6752.7"/>
    <x v="9"/>
  </r>
  <r>
    <n v="1648"/>
    <x v="16"/>
    <n v="8"/>
    <d v="2022-02-09T00:00:00"/>
    <s v="FA"/>
    <s v="1052/3668"/>
    <s v="kpl"/>
    <n v="1747"/>
    <n v="59"/>
    <n v="132"/>
    <x v="34"/>
    <n v="1791.24"/>
    <n v="9579.24"/>
    <x v="9"/>
  </r>
  <r>
    <n v="1649"/>
    <x v="27"/>
    <n v="7"/>
    <d v="2022-04-10T00:00:00"/>
    <s v="FA"/>
    <s v="1052/3669"/>
    <s v="kpl"/>
    <n v="1748"/>
    <n v="46"/>
    <n v="111"/>
    <x v="616"/>
    <n v="1174.3800000000001"/>
    <n v="6280.38"/>
    <x v="1"/>
  </r>
  <r>
    <n v="1650"/>
    <x v="16"/>
    <n v="9"/>
    <d v="2022-02-01T00:00:00"/>
    <s v="FA"/>
    <s v="1052/3670"/>
    <s v="kpl"/>
    <n v="1749"/>
    <n v="40"/>
    <n v="132"/>
    <x v="9"/>
    <n v="1214.4000000000001"/>
    <n v="6494.4"/>
    <x v="9"/>
  </r>
  <r>
    <n v="1651"/>
    <x v="8"/>
    <n v="7"/>
    <d v="2022-12-06T00:00:00"/>
    <s v="FA"/>
    <s v="1052/3671"/>
    <s v="kpl"/>
    <n v="1750"/>
    <n v="56"/>
    <n v="89"/>
    <x v="375"/>
    <n v="1146.32"/>
    <n v="6130.32"/>
    <x v="2"/>
  </r>
  <r>
    <n v="1652"/>
    <x v="21"/>
    <n v="11"/>
    <d v="2022-08-07T00:00:00"/>
    <s v="FA"/>
    <s v="1052/3672"/>
    <s v="kpl"/>
    <n v="1751"/>
    <n v="57"/>
    <n v="87"/>
    <x v="52"/>
    <n v="1140.57"/>
    <n v="6099.57"/>
    <x v="11"/>
  </r>
  <r>
    <n v="1653"/>
    <x v="28"/>
    <n v="11"/>
    <d v="2022-10-23T00:00:00"/>
    <s v="FA"/>
    <s v="1052/3673"/>
    <s v="kpl"/>
    <n v="1752"/>
    <n v="46"/>
    <n v="105"/>
    <x v="240"/>
    <n v="1110.9000000000001"/>
    <n v="5940.9"/>
    <x v="5"/>
  </r>
  <r>
    <n v="1654"/>
    <x v="18"/>
    <n v="10"/>
    <d v="2022-05-15T00:00:00"/>
    <s v="FA"/>
    <s v="1052/3674"/>
    <s v="kpl"/>
    <n v="1753"/>
    <n v="51"/>
    <n v="109"/>
    <x v="106"/>
    <n v="1278.5700000000002"/>
    <n v="6837.57"/>
    <x v="10"/>
  </r>
  <r>
    <n v="1655"/>
    <x v="18"/>
    <n v="8"/>
    <d v="2022-05-20T00:00:00"/>
    <s v="FA"/>
    <s v="1052/3675"/>
    <s v="kpl"/>
    <n v="1754"/>
    <n v="38"/>
    <n v="109"/>
    <x v="158"/>
    <n v="952.66000000000008"/>
    <n v="5094.66"/>
    <x v="10"/>
  </r>
  <r>
    <n v="1656"/>
    <x v="7"/>
    <n v="7"/>
    <d v="2022-10-08T00:00:00"/>
    <s v="FA"/>
    <s v="1052/3676"/>
    <s v="kpl"/>
    <n v="1755"/>
    <n v="41"/>
    <n v="96"/>
    <x v="146"/>
    <n v="905.28000000000009"/>
    <n v="4841.28"/>
    <x v="5"/>
  </r>
  <r>
    <n v="1657"/>
    <x v="19"/>
    <n v="10"/>
    <d v="2022-06-11T00:00:00"/>
    <s v="FA"/>
    <s v="1052/3677"/>
    <s v="kpl"/>
    <n v="1756"/>
    <n v="54"/>
    <n v="121"/>
    <x v="400"/>
    <n v="1502.8200000000002"/>
    <n v="8036.82"/>
    <x v="4"/>
  </r>
  <r>
    <n v="1658"/>
    <x v="26"/>
    <n v="10"/>
    <d v="2022-11-04T00:00:00"/>
    <s v="FA"/>
    <s v="1052/3678"/>
    <s v="kpl"/>
    <n v="1757"/>
    <n v="48"/>
    <n v="99"/>
    <x v="126"/>
    <n v="1092.96"/>
    <n v="5844.96"/>
    <x v="8"/>
  </r>
  <r>
    <n v="1659"/>
    <x v="6"/>
    <n v="10"/>
    <d v="2022-12-11T00:00:00"/>
    <s v="FA"/>
    <s v="1052/3679"/>
    <s v="kpl"/>
    <n v="1758"/>
    <n v="60"/>
    <n v="84"/>
    <x v="378"/>
    <n v="1159.2"/>
    <n v="6199.2"/>
    <x v="2"/>
  </r>
  <r>
    <n v="1660"/>
    <x v="18"/>
    <n v="11"/>
    <d v="2022-05-11T00:00:00"/>
    <s v="FA"/>
    <s v="1052/3680"/>
    <s v="kpl"/>
    <n v="1759"/>
    <n v="33"/>
    <n v="109"/>
    <x v="630"/>
    <n v="827.31000000000006"/>
    <n v="4424.3100000000004"/>
    <x v="10"/>
  </r>
  <r>
    <n v="1661"/>
    <x v="1"/>
    <n v="10"/>
    <d v="2022-08-01T00:00:00"/>
    <s v="FA"/>
    <s v="1052/3681"/>
    <s v="kpl"/>
    <n v="1760"/>
    <n v="71"/>
    <n v="99"/>
    <x v="334"/>
    <n v="1616.67"/>
    <n v="8645.67"/>
    <x v="11"/>
  </r>
  <r>
    <n v="1662"/>
    <x v="26"/>
    <n v="9"/>
    <d v="2022-07-22T00:00:00"/>
    <s v="FA"/>
    <s v="1052/3682"/>
    <s v="kpl"/>
    <n v="1761"/>
    <n v="38"/>
    <n v="99"/>
    <x v="631"/>
    <n v="865.26"/>
    <n v="4627.26"/>
    <x v="6"/>
  </r>
  <r>
    <n v="1663"/>
    <x v="6"/>
    <n v="9"/>
    <d v="2022-08-22T00:00:00"/>
    <s v="FA"/>
    <s v="1052/3683"/>
    <s v="kpl"/>
    <n v="1762"/>
    <n v="55"/>
    <n v="84"/>
    <x v="42"/>
    <n v="1062.6000000000001"/>
    <n v="5682.6"/>
    <x v="11"/>
  </r>
  <r>
    <n v="1664"/>
    <x v="18"/>
    <n v="6"/>
    <d v="2022-09-28T00:00:00"/>
    <s v="FA"/>
    <s v="1052/3684"/>
    <s v="kpl"/>
    <n v="1763"/>
    <n v="63"/>
    <n v="109"/>
    <x v="420"/>
    <n v="1579.41"/>
    <n v="8446.41"/>
    <x v="7"/>
  </r>
  <r>
    <n v="1665"/>
    <x v="7"/>
    <n v="11"/>
    <d v="2022-07-27T00:00:00"/>
    <s v="FA"/>
    <s v="1052/3685"/>
    <s v="kpl"/>
    <n v="1764"/>
    <n v="37"/>
    <n v="96"/>
    <x v="116"/>
    <n v="816.96"/>
    <n v="4368.96"/>
    <x v="6"/>
  </r>
  <r>
    <n v="1666"/>
    <x v="24"/>
    <n v="9"/>
    <d v="2022-08-12T00:00:00"/>
    <s v="FA"/>
    <s v="1052/3686"/>
    <s v="kpl"/>
    <n v="1765"/>
    <n v="52"/>
    <n v="129"/>
    <x v="632"/>
    <n v="1542.8400000000001"/>
    <n v="8250.84"/>
    <x v="11"/>
  </r>
  <r>
    <n v="1667"/>
    <x v="22"/>
    <n v="9"/>
    <d v="2022-11-25T00:00:00"/>
    <s v="FA"/>
    <s v="1052/3687"/>
    <s v="kpl"/>
    <n v="1766"/>
    <n v="53"/>
    <n v="125"/>
    <x v="633"/>
    <n v="1523.75"/>
    <n v="8148.75"/>
    <x v="8"/>
  </r>
  <r>
    <n v="1668"/>
    <x v="12"/>
    <n v="8"/>
    <d v="2022-01-02T00:00:00"/>
    <s v="FA"/>
    <s v="1052/3688"/>
    <s v="kpl"/>
    <n v="1767"/>
    <n v="22"/>
    <n v="91"/>
    <x v="634"/>
    <n v="460.46000000000004"/>
    <n v="2462.46"/>
    <x v="0"/>
  </r>
  <r>
    <n v="1669"/>
    <x v="2"/>
    <n v="10"/>
    <d v="2022-05-22T00:00:00"/>
    <s v="FA"/>
    <s v="1052/3689"/>
    <s v="kpl"/>
    <n v="1768"/>
    <n v="51"/>
    <n v="84"/>
    <x v="234"/>
    <n v="985.32"/>
    <n v="5269.32"/>
    <x v="10"/>
  </r>
  <r>
    <n v="1670"/>
    <x v="8"/>
    <n v="10"/>
    <d v="2022-08-11T00:00:00"/>
    <s v="FA"/>
    <s v="1052/3690"/>
    <s v="kpl"/>
    <n v="1769"/>
    <n v="51"/>
    <n v="89"/>
    <x v="504"/>
    <n v="1043.97"/>
    <n v="5582.97"/>
    <x v="11"/>
  </r>
  <r>
    <n v="1671"/>
    <x v="25"/>
    <n v="11"/>
    <d v="2022-06-28T00:00:00"/>
    <s v="FA"/>
    <s v="1052/3691"/>
    <s v="kpl"/>
    <n v="1770"/>
    <n v="51"/>
    <n v="59"/>
    <x v="339"/>
    <n v="692.07"/>
    <n v="3701.07"/>
    <x v="4"/>
  </r>
  <r>
    <n v="1672"/>
    <x v="10"/>
    <n v="10"/>
    <d v="2022-02-25T00:00:00"/>
    <s v="FA"/>
    <s v="1052/3692"/>
    <s v="kpl"/>
    <n v="1771"/>
    <n v="54"/>
    <n v="84"/>
    <x v="309"/>
    <n v="1043.28"/>
    <n v="5579.28"/>
    <x v="9"/>
  </r>
  <r>
    <n v="1673"/>
    <x v="10"/>
    <n v="6"/>
    <d v="2022-12-19T00:00:00"/>
    <s v="FA"/>
    <s v="1052/3693"/>
    <s v="kpl"/>
    <n v="1772"/>
    <n v="59"/>
    <n v="84"/>
    <x v="46"/>
    <n v="1139.8800000000001"/>
    <n v="6095.88"/>
    <x v="2"/>
  </r>
  <r>
    <n v="1674"/>
    <x v="2"/>
    <n v="8"/>
    <d v="2022-01-28T00:00:00"/>
    <s v="FA"/>
    <s v="1052/3694"/>
    <s v="kpl"/>
    <n v="1773"/>
    <n v="36"/>
    <n v="84"/>
    <x v="32"/>
    <n v="695.52"/>
    <n v="3719.52"/>
    <x v="0"/>
  </r>
  <r>
    <n v="1675"/>
    <x v="22"/>
    <n v="8"/>
    <d v="2022-04-22T00:00:00"/>
    <s v="FA"/>
    <s v="1052/3695"/>
    <s v="kpl"/>
    <n v="1774"/>
    <n v="63"/>
    <n v="125"/>
    <x v="332"/>
    <n v="1811.25"/>
    <n v="9686.25"/>
    <x v="1"/>
  </r>
  <r>
    <n v="1676"/>
    <x v="3"/>
    <n v="12"/>
    <d v="2022-12-11T00:00:00"/>
    <s v="FA"/>
    <s v="1052/3696"/>
    <s v="kpl"/>
    <n v="1775"/>
    <n v="65"/>
    <n v="88"/>
    <x v="138"/>
    <n v="1315.6000000000001"/>
    <n v="7035.6"/>
    <x v="2"/>
  </r>
  <r>
    <n v="1677"/>
    <x v="13"/>
    <n v="9"/>
    <d v="2022-11-01T00:00:00"/>
    <s v="FA"/>
    <s v="1052/3697"/>
    <s v="kpl"/>
    <n v="1776"/>
    <n v="45"/>
    <n v="88"/>
    <x v="291"/>
    <n v="910.80000000000007"/>
    <n v="4870.8"/>
    <x v="8"/>
  </r>
  <r>
    <n v="1678"/>
    <x v="3"/>
    <n v="12"/>
    <d v="2022-07-08T00:00:00"/>
    <s v="FA"/>
    <s v="1052/3698"/>
    <s v="kpl"/>
    <n v="1777"/>
    <n v="55"/>
    <n v="88"/>
    <x v="29"/>
    <n v="1113.2"/>
    <n v="5953.2"/>
    <x v="6"/>
  </r>
  <r>
    <n v="1679"/>
    <x v="3"/>
    <n v="6"/>
    <d v="2022-05-06T00:00:00"/>
    <s v="FA"/>
    <s v="1052/3699"/>
    <s v="kpl"/>
    <n v="1778"/>
    <n v="56"/>
    <n v="88"/>
    <x v="71"/>
    <n v="1133.44"/>
    <n v="6061.4400000000005"/>
    <x v="10"/>
  </r>
  <r>
    <n v="1680"/>
    <x v="12"/>
    <n v="13"/>
    <d v="2022-08-19T00:00:00"/>
    <s v="FA"/>
    <s v="1052/3700"/>
    <s v="kpl"/>
    <n v="1779"/>
    <n v="37"/>
    <n v="91"/>
    <x v="635"/>
    <n v="774.41000000000008"/>
    <n v="4141.41"/>
    <x v="11"/>
  </r>
  <r>
    <n v="1681"/>
    <x v="18"/>
    <n v="11"/>
    <d v="2022-07-23T00:00:00"/>
    <s v="FA"/>
    <s v="1052/3701"/>
    <s v="kpl"/>
    <n v="1780"/>
    <n v="30"/>
    <n v="109"/>
    <x v="636"/>
    <n v="752.1"/>
    <n v="4022.1"/>
    <x v="6"/>
  </r>
  <r>
    <n v="1682"/>
    <x v="22"/>
    <n v="8"/>
    <d v="2022-09-13T00:00:00"/>
    <s v="FA"/>
    <s v="1052/3702"/>
    <s v="kpl"/>
    <n v="1781"/>
    <n v="50"/>
    <n v="125"/>
    <x v="219"/>
    <n v="1437.5"/>
    <n v="7687.5"/>
    <x v="7"/>
  </r>
  <r>
    <n v="1683"/>
    <x v="28"/>
    <n v="8"/>
    <d v="2022-03-16T00:00:00"/>
    <s v="FA"/>
    <s v="1052/3703"/>
    <s v="kpl"/>
    <n v="1782"/>
    <n v="49"/>
    <n v="105"/>
    <x v="361"/>
    <n v="1183.3500000000001"/>
    <n v="6328.35"/>
    <x v="3"/>
  </r>
  <r>
    <n v="1684"/>
    <x v="24"/>
    <n v="9"/>
    <d v="2022-06-02T00:00:00"/>
    <s v="FA"/>
    <s v="1052/3704"/>
    <s v="kpl"/>
    <n v="1783"/>
    <n v="33"/>
    <n v="129"/>
    <x v="438"/>
    <n v="979.11"/>
    <n v="5236.1099999999997"/>
    <x v="4"/>
  </r>
  <r>
    <n v="1685"/>
    <x v="3"/>
    <n v="11"/>
    <d v="2022-09-02T00:00:00"/>
    <s v="FA"/>
    <s v="1052/3705"/>
    <s v="kpl"/>
    <n v="1784"/>
    <n v="48"/>
    <n v="88"/>
    <x v="40"/>
    <n v="971.5200000000001"/>
    <n v="5195.5200000000004"/>
    <x v="7"/>
  </r>
  <r>
    <n v="1686"/>
    <x v="3"/>
    <n v="9"/>
    <d v="2022-01-12T00:00:00"/>
    <s v="FA"/>
    <s v="1052/3706"/>
    <s v="kpl"/>
    <n v="1785"/>
    <n v="54"/>
    <n v="88"/>
    <x v="126"/>
    <n v="1092.96"/>
    <n v="5844.96"/>
    <x v="0"/>
  </r>
  <r>
    <n v="1687"/>
    <x v="8"/>
    <n v="7"/>
    <d v="2022-10-04T00:00:00"/>
    <s v="FA"/>
    <s v="1052/3707"/>
    <s v="kpl"/>
    <n v="1786"/>
    <n v="58"/>
    <n v="89"/>
    <x v="327"/>
    <n v="1187.26"/>
    <n v="6349.26"/>
    <x v="5"/>
  </r>
  <r>
    <n v="1688"/>
    <x v="23"/>
    <n v="7"/>
    <d v="2022-01-03T00:00:00"/>
    <s v="FA"/>
    <s v="1052/3708"/>
    <s v="kpl"/>
    <n v="1787"/>
    <n v="38"/>
    <n v="105"/>
    <x v="341"/>
    <n v="917.7"/>
    <n v="4907.7"/>
    <x v="0"/>
  </r>
  <r>
    <n v="1689"/>
    <x v="9"/>
    <n v="7"/>
    <d v="2022-11-05T00:00:00"/>
    <s v="FA"/>
    <s v="1052/3709"/>
    <s v="kpl"/>
    <n v="1788"/>
    <n v="49"/>
    <n v="108"/>
    <x v="88"/>
    <n v="1217.1600000000001"/>
    <n v="6509.16"/>
    <x v="8"/>
  </r>
  <r>
    <n v="1690"/>
    <x v="16"/>
    <n v="7"/>
    <d v="2022-12-13T00:00:00"/>
    <s v="FA"/>
    <s v="1052/3710"/>
    <s v="kpl"/>
    <n v="1789"/>
    <n v="56"/>
    <n v="132"/>
    <x v="336"/>
    <n v="1700.16"/>
    <n v="9092.16"/>
    <x v="2"/>
  </r>
  <r>
    <n v="1691"/>
    <x v="11"/>
    <n v="9"/>
    <d v="2022-06-13T00:00:00"/>
    <s v="FA"/>
    <s v="1052/3711"/>
    <s v="kpl"/>
    <n v="1790"/>
    <n v="45"/>
    <n v="93"/>
    <x v="305"/>
    <n v="962.55000000000007"/>
    <n v="5147.55"/>
    <x v="4"/>
  </r>
  <r>
    <n v="1692"/>
    <x v="16"/>
    <n v="9"/>
    <d v="2022-09-14T00:00:00"/>
    <s v="FA"/>
    <s v="1052/3712"/>
    <s v="kpl"/>
    <n v="1791"/>
    <n v="41"/>
    <n v="132"/>
    <x v="624"/>
    <n v="1244.76"/>
    <n v="6656.76"/>
    <x v="7"/>
  </r>
  <r>
    <n v="1693"/>
    <x v="16"/>
    <n v="8"/>
    <d v="2022-04-07T00:00:00"/>
    <s v="FA"/>
    <s v="1052/3713"/>
    <s v="kpl"/>
    <n v="1792"/>
    <n v="56"/>
    <n v="132"/>
    <x v="336"/>
    <n v="1700.16"/>
    <n v="9092.16"/>
    <x v="1"/>
  </r>
  <r>
    <n v="1694"/>
    <x v="26"/>
    <n v="7"/>
    <d v="2022-10-06T00:00:00"/>
    <s v="FA"/>
    <s v="1052/3714"/>
    <s v="kpl"/>
    <n v="1793"/>
    <n v="56"/>
    <n v="99"/>
    <x v="65"/>
    <n v="1275.1200000000001"/>
    <n v="6819.12"/>
    <x v="5"/>
  </r>
  <r>
    <n v="1695"/>
    <x v="22"/>
    <n v="5"/>
    <d v="2022-02-12T00:00:00"/>
    <s v="FA"/>
    <s v="1052/3715"/>
    <s v="kpl"/>
    <n v="1794"/>
    <n v="55"/>
    <n v="125"/>
    <x v="387"/>
    <n v="1581.25"/>
    <n v="8456.25"/>
    <x v="9"/>
  </r>
  <r>
    <n v="1696"/>
    <x v="26"/>
    <n v="11"/>
    <d v="2022-08-18T00:00:00"/>
    <s v="FA"/>
    <s v="1052/3716"/>
    <s v="kpl"/>
    <n v="1795"/>
    <n v="34"/>
    <n v="99"/>
    <x v="637"/>
    <n v="774.18000000000006"/>
    <n v="4140.18"/>
    <x v="11"/>
  </r>
  <r>
    <n v="1697"/>
    <x v="4"/>
    <n v="6"/>
    <d v="2022-07-28T00:00:00"/>
    <s v="FA"/>
    <s v="1052/3717"/>
    <s v="kpl"/>
    <n v="1796"/>
    <n v="47"/>
    <n v="85"/>
    <x v="137"/>
    <n v="918.85"/>
    <n v="4913.8500000000004"/>
    <x v="6"/>
  </r>
  <r>
    <n v="1698"/>
    <x v="23"/>
    <n v="13"/>
    <d v="2022-10-03T00:00:00"/>
    <s v="FA"/>
    <s v="1052/3718"/>
    <s v="kpl"/>
    <n v="1797"/>
    <n v="42"/>
    <n v="105"/>
    <x v="474"/>
    <n v="1014.3000000000001"/>
    <n v="5424.3"/>
    <x v="5"/>
  </r>
  <r>
    <n v="1699"/>
    <x v="19"/>
    <n v="12"/>
    <d v="2022-10-13T00:00:00"/>
    <s v="FA"/>
    <s v="1052/3719"/>
    <s v="kpl"/>
    <n v="1798"/>
    <n v="59"/>
    <n v="121"/>
    <x v="150"/>
    <n v="1641.97"/>
    <n v="8780.9699999999993"/>
    <x v="5"/>
  </r>
  <r>
    <n v="1700"/>
    <x v="16"/>
    <n v="12"/>
    <d v="2022-06-14T00:00:00"/>
    <s v="FA"/>
    <s v="1052/3720"/>
    <s v="kpl"/>
    <n v="1799"/>
    <n v="44"/>
    <n v="132"/>
    <x v="3"/>
    <n v="1335.8400000000001"/>
    <n v="7143.84"/>
    <x v="4"/>
  </r>
  <r>
    <n v="1701"/>
    <x v="18"/>
    <n v="12"/>
    <d v="2022-02-27T00:00:00"/>
    <s v="FA"/>
    <s v="1052/3721"/>
    <s v="kpl"/>
    <n v="1800"/>
    <n v="52"/>
    <n v="109"/>
    <x v="112"/>
    <n v="1303.6400000000001"/>
    <n v="6971.64"/>
    <x v="9"/>
  </r>
  <r>
    <n v="1702"/>
    <x v="27"/>
    <n v="10"/>
    <d v="2022-01-04T00:00:00"/>
    <s v="FA"/>
    <s v="1052/3722"/>
    <s v="kpl"/>
    <n v="1801"/>
    <n v="56"/>
    <n v="111"/>
    <x v="439"/>
    <n v="1429.68"/>
    <n v="7645.68"/>
    <x v="0"/>
  </r>
  <r>
    <n v="1703"/>
    <x v="11"/>
    <n v="9"/>
    <d v="2022-10-19T00:00:00"/>
    <s v="FA"/>
    <s v="1052/3723"/>
    <s v="kpl"/>
    <n v="1802"/>
    <n v="43"/>
    <n v="93"/>
    <x v="326"/>
    <n v="919.7700000000001"/>
    <n v="4918.7700000000004"/>
    <x v="5"/>
  </r>
  <r>
    <n v="1704"/>
    <x v="15"/>
    <n v="7"/>
    <d v="2022-11-24T00:00:00"/>
    <s v="FA"/>
    <s v="1052/3724"/>
    <s v="kpl"/>
    <n v="1803"/>
    <n v="44"/>
    <n v="90"/>
    <x v="291"/>
    <n v="910.80000000000007"/>
    <n v="4870.8"/>
    <x v="8"/>
  </r>
  <r>
    <n v="1705"/>
    <x v="8"/>
    <n v="11"/>
    <d v="2022-04-15T00:00:00"/>
    <s v="FA"/>
    <s v="1052/3725"/>
    <s v="kpl"/>
    <n v="1804"/>
    <n v="50"/>
    <n v="89"/>
    <x v="129"/>
    <n v="1023.5"/>
    <n v="5473.5"/>
    <x v="1"/>
  </r>
  <r>
    <n v="1706"/>
    <x v="25"/>
    <n v="9"/>
    <d v="2022-12-23T00:00:00"/>
    <s v="FA"/>
    <s v="1052/3726"/>
    <s v="kpl"/>
    <n v="1805"/>
    <n v="51"/>
    <n v="59"/>
    <x v="339"/>
    <n v="692.07"/>
    <n v="3701.07"/>
    <x v="2"/>
  </r>
  <r>
    <n v="1707"/>
    <x v="25"/>
    <n v="10"/>
    <d v="2022-02-15T00:00:00"/>
    <s v="FA"/>
    <s v="1052/3727"/>
    <s v="kpl"/>
    <n v="1806"/>
    <n v="34"/>
    <n v="59"/>
    <x v="638"/>
    <n v="461.38"/>
    <n v="2467.38"/>
    <x v="9"/>
  </r>
  <r>
    <n v="1708"/>
    <x v="17"/>
    <n v="9"/>
    <d v="2022-08-16T00:00:00"/>
    <s v="FA"/>
    <s v="1052/3728"/>
    <s v="kpl"/>
    <n v="1807"/>
    <n v="43"/>
    <n v="94"/>
    <x v="211"/>
    <n v="929.66000000000008"/>
    <n v="4971.66"/>
    <x v="11"/>
  </r>
  <r>
    <n v="1709"/>
    <x v="14"/>
    <n v="7"/>
    <d v="2022-02-21T00:00:00"/>
    <s v="FA"/>
    <s v="1052/3729"/>
    <s v="kpl"/>
    <n v="1808"/>
    <n v="61"/>
    <n v="86"/>
    <x v="585"/>
    <n v="1206.5800000000002"/>
    <n v="6452.58"/>
    <x v="9"/>
  </r>
  <r>
    <n v="1710"/>
    <x v="2"/>
    <n v="10"/>
    <d v="2022-03-14T00:00:00"/>
    <s v="FA"/>
    <s v="1052/3730"/>
    <s v="kpl"/>
    <n v="1809"/>
    <n v="30"/>
    <n v="84"/>
    <x v="199"/>
    <n v="579.6"/>
    <n v="3099.6"/>
    <x v="3"/>
  </r>
  <r>
    <n v="1711"/>
    <x v="2"/>
    <n v="12"/>
    <d v="2022-04-08T00:00:00"/>
    <s v="FA"/>
    <s v="1052/3731"/>
    <s v="kpl"/>
    <n v="1810"/>
    <n v="43"/>
    <n v="84"/>
    <x v="25"/>
    <n v="830.76"/>
    <n v="4442.76"/>
    <x v="1"/>
  </r>
  <r>
    <n v="1712"/>
    <x v="8"/>
    <n v="13"/>
    <d v="2022-08-20T00:00:00"/>
    <s v="FA"/>
    <s v="1052/3732"/>
    <s v="kpl"/>
    <n v="1811"/>
    <n v="54"/>
    <n v="89"/>
    <x v="639"/>
    <n v="1105.3800000000001"/>
    <n v="5911.38"/>
    <x v="11"/>
  </r>
  <r>
    <n v="1713"/>
    <x v="6"/>
    <n v="13"/>
    <d v="2022-01-26T00:00:00"/>
    <s v="FA"/>
    <s v="1052/3733"/>
    <s v="kpl"/>
    <n v="1812"/>
    <n v="62"/>
    <n v="84"/>
    <x v="67"/>
    <n v="1197.8400000000001"/>
    <n v="6405.84"/>
    <x v="0"/>
  </r>
  <r>
    <n v="1714"/>
    <x v="22"/>
    <n v="11"/>
    <d v="2022-11-15T00:00:00"/>
    <s v="FA"/>
    <s v="1052/3734"/>
    <s v="kpl"/>
    <n v="1813"/>
    <n v="33"/>
    <n v="125"/>
    <x v="640"/>
    <n v="948.75"/>
    <n v="5073.75"/>
    <x v="8"/>
  </r>
  <r>
    <n v="1715"/>
    <x v="4"/>
    <n v="9"/>
    <d v="2022-05-09T00:00:00"/>
    <s v="FA"/>
    <s v="1052/3735"/>
    <s v="kpl"/>
    <n v="1814"/>
    <n v="42"/>
    <n v="85"/>
    <x v="306"/>
    <n v="821.1"/>
    <n v="4391.1000000000004"/>
    <x v="10"/>
  </r>
  <r>
    <n v="1716"/>
    <x v="17"/>
    <n v="9"/>
    <d v="2022-01-25T00:00:00"/>
    <s v="FA"/>
    <s v="1052/3736"/>
    <s v="kpl"/>
    <n v="1815"/>
    <n v="54"/>
    <n v="94"/>
    <x v="24"/>
    <n v="1167.48"/>
    <n v="6243.48"/>
    <x v="0"/>
  </r>
  <r>
    <n v="1717"/>
    <x v="12"/>
    <n v="8"/>
    <d v="2022-07-10T00:00:00"/>
    <s v="FA"/>
    <s v="1052/3737"/>
    <s v="kpl"/>
    <n v="1816"/>
    <n v="36"/>
    <n v="91"/>
    <x v="104"/>
    <n v="753.48"/>
    <n v="4029.48"/>
    <x v="6"/>
  </r>
  <r>
    <n v="1718"/>
    <x v="26"/>
    <n v="10"/>
    <d v="2022-01-09T00:00:00"/>
    <s v="FA"/>
    <s v="1052/3738"/>
    <s v="kpl"/>
    <n v="1817"/>
    <n v="42"/>
    <n v="99"/>
    <x v="1"/>
    <n v="956.34"/>
    <n v="5114.34"/>
    <x v="0"/>
  </r>
  <r>
    <n v="1719"/>
    <x v="8"/>
    <n v="6"/>
    <d v="2022-02-19T00:00:00"/>
    <s v="FA"/>
    <s v="1052/3739"/>
    <s v="kpl"/>
    <n v="1818"/>
    <n v="49"/>
    <n v="89"/>
    <x v="641"/>
    <n v="1003.0300000000001"/>
    <n v="5364.03"/>
    <x v="9"/>
  </r>
  <r>
    <n v="1720"/>
    <x v="5"/>
    <n v="7"/>
    <d v="2022-02-16T00:00:00"/>
    <s v="FA"/>
    <s v="1052/3740"/>
    <s v="kpl"/>
    <n v="1819"/>
    <n v="43"/>
    <n v="87"/>
    <x v="264"/>
    <n v="860.43000000000006"/>
    <n v="4601.43"/>
    <x v="9"/>
  </r>
  <r>
    <n v="1721"/>
    <x v="19"/>
    <n v="9"/>
    <d v="2022-06-07T00:00:00"/>
    <s v="FA"/>
    <s v="1052/3741"/>
    <s v="kpl"/>
    <n v="1820"/>
    <n v="40"/>
    <n v="121"/>
    <x v="29"/>
    <n v="1113.2"/>
    <n v="5953.2"/>
    <x v="4"/>
  </r>
  <r>
    <n v="1722"/>
    <x v="3"/>
    <n v="9"/>
    <d v="2022-12-28T00:00:00"/>
    <s v="FA"/>
    <s v="1052/3742"/>
    <s v="kpl"/>
    <n v="1821"/>
    <n v="46"/>
    <n v="88"/>
    <x v="21"/>
    <n v="931.04000000000008"/>
    <n v="4979.04"/>
    <x v="2"/>
  </r>
  <r>
    <n v="1723"/>
    <x v="23"/>
    <n v="4"/>
    <d v="2022-02-21T00:00:00"/>
    <s v="FA"/>
    <s v="1052/3743"/>
    <s v="kpl"/>
    <n v="1822"/>
    <n v="45"/>
    <n v="105"/>
    <x v="267"/>
    <n v="1086.75"/>
    <n v="5811.75"/>
    <x v="9"/>
  </r>
  <r>
    <n v="1724"/>
    <x v="27"/>
    <n v="12"/>
    <d v="2022-05-19T00:00:00"/>
    <s v="FA"/>
    <s v="1052/3744"/>
    <s v="kpl"/>
    <n v="1823"/>
    <n v="31"/>
    <n v="111"/>
    <x v="642"/>
    <n v="791.43000000000006"/>
    <n v="4232.43"/>
    <x v="10"/>
  </r>
  <r>
    <n v="1725"/>
    <x v="13"/>
    <n v="9"/>
    <d v="2022-01-01T00:00:00"/>
    <s v="FA"/>
    <s v="1052/3745"/>
    <s v="kpl"/>
    <n v="1824"/>
    <n v="53"/>
    <n v="88"/>
    <x v="61"/>
    <n v="1072.72"/>
    <n v="5736.72"/>
    <x v="0"/>
  </r>
  <r>
    <n v="1726"/>
    <x v="16"/>
    <n v="13"/>
    <d v="2022-04-11T00:00:00"/>
    <s v="FA"/>
    <s v="1052/3746"/>
    <s v="kpl"/>
    <n v="1825"/>
    <n v="49"/>
    <n v="132"/>
    <x v="313"/>
    <n v="1487.64"/>
    <n v="7955.64"/>
    <x v="1"/>
  </r>
  <r>
    <n v="1727"/>
    <x v="9"/>
    <n v="8"/>
    <d v="2022-03-01T00:00:00"/>
    <s v="FA"/>
    <s v="1052/3747"/>
    <s v="kpl"/>
    <n v="1826"/>
    <n v="54"/>
    <n v="108"/>
    <x v="204"/>
    <n v="1341.3600000000001"/>
    <n v="7173.3600000000006"/>
    <x v="3"/>
  </r>
  <r>
    <n v="1728"/>
    <x v="24"/>
    <n v="15"/>
    <d v="2022-04-12T00:00:00"/>
    <s v="FA"/>
    <s v="1052/3748"/>
    <s v="kpl"/>
    <n v="1827"/>
    <n v="40"/>
    <n v="129"/>
    <x v="279"/>
    <n v="1186.8"/>
    <n v="6346.8"/>
    <x v="1"/>
  </r>
  <r>
    <n v="1729"/>
    <x v="0"/>
    <n v="6"/>
    <d v="2022-12-08T00:00:00"/>
    <s v="FA"/>
    <s v="1052/3749"/>
    <s v="kpl"/>
    <n v="1828"/>
    <n v="78"/>
    <n v="83"/>
    <x v="643"/>
    <n v="1489.02"/>
    <n v="7963.02"/>
    <x v="2"/>
  </r>
  <r>
    <n v="1730"/>
    <x v="19"/>
    <n v="14"/>
    <d v="2022-07-05T00:00:00"/>
    <s v="FA"/>
    <s v="1052/3750"/>
    <s v="kpl"/>
    <n v="1829"/>
    <n v="50"/>
    <n v="121"/>
    <x v="197"/>
    <n v="1391.5"/>
    <n v="7441.5"/>
    <x v="6"/>
  </r>
  <r>
    <n v="1731"/>
    <x v="6"/>
    <n v="8"/>
    <d v="2022-10-15T00:00:00"/>
    <s v="FA"/>
    <s v="1052/3751"/>
    <s v="kpl"/>
    <n v="1830"/>
    <n v="54"/>
    <n v="84"/>
    <x v="309"/>
    <n v="1043.28"/>
    <n v="5579.28"/>
    <x v="5"/>
  </r>
  <r>
    <n v="1732"/>
    <x v="19"/>
    <n v="10"/>
    <d v="2022-10-23T00:00:00"/>
    <s v="FA"/>
    <s v="1052/3752"/>
    <s v="kpl"/>
    <n v="1831"/>
    <n v="54"/>
    <n v="121"/>
    <x v="400"/>
    <n v="1502.8200000000002"/>
    <n v="8036.82"/>
    <x v="5"/>
  </r>
  <r>
    <n v="1733"/>
    <x v="7"/>
    <n v="9"/>
    <d v="2022-09-27T00:00:00"/>
    <s v="FA"/>
    <s v="1052/3753"/>
    <s v="kpl"/>
    <n v="1832"/>
    <n v="36"/>
    <n v="96"/>
    <x v="517"/>
    <n v="794.88"/>
    <n v="4250.88"/>
    <x v="7"/>
  </r>
  <r>
    <n v="1734"/>
    <x v="21"/>
    <n v="8"/>
    <d v="2022-01-15T00:00:00"/>
    <s v="FA"/>
    <s v="1052/3754"/>
    <s v="kpl"/>
    <n v="1833"/>
    <n v="46"/>
    <n v="87"/>
    <x v="281"/>
    <n v="920.46"/>
    <n v="4922.46"/>
    <x v="0"/>
  </r>
  <r>
    <n v="1735"/>
    <x v="26"/>
    <n v="6"/>
    <d v="2022-11-25T00:00:00"/>
    <s v="FA"/>
    <s v="1052/3755"/>
    <s v="kpl"/>
    <n v="1834"/>
    <n v="73"/>
    <n v="99"/>
    <x v="644"/>
    <n v="1662.21"/>
    <n v="8889.2099999999991"/>
    <x v="8"/>
  </r>
  <r>
    <n v="1736"/>
    <x v="4"/>
    <n v="10"/>
    <d v="2022-08-18T00:00:00"/>
    <s v="FA"/>
    <s v="1052/3756"/>
    <s v="kpl"/>
    <n v="1835"/>
    <n v="49"/>
    <n v="85"/>
    <x v="48"/>
    <n v="957.95"/>
    <n v="5122.95"/>
    <x v="11"/>
  </r>
  <r>
    <n v="1737"/>
    <x v="22"/>
    <n v="9"/>
    <d v="2022-04-13T00:00:00"/>
    <s v="FA"/>
    <s v="1052/3757"/>
    <s v="kpl"/>
    <n v="1836"/>
    <n v="44"/>
    <n v="125"/>
    <x v="386"/>
    <n v="1265"/>
    <n v="6765"/>
    <x v="1"/>
  </r>
  <r>
    <n v="1738"/>
    <x v="0"/>
    <n v="7"/>
    <d v="2022-11-28T00:00:00"/>
    <s v="FA"/>
    <s v="1052/3758"/>
    <s v="kpl"/>
    <n v="1837"/>
    <n v="54"/>
    <n v="83"/>
    <x v="79"/>
    <n v="1030.8600000000001"/>
    <n v="5512.8600000000006"/>
    <x v="8"/>
  </r>
  <r>
    <n v="1739"/>
    <x v="4"/>
    <n v="8"/>
    <d v="2022-07-10T00:00:00"/>
    <s v="FA"/>
    <s v="1052/3759"/>
    <s v="kpl"/>
    <n v="1838"/>
    <n v="69"/>
    <n v="85"/>
    <x v="540"/>
    <n v="1348.95"/>
    <n v="7213.95"/>
    <x v="6"/>
  </r>
  <r>
    <n v="1740"/>
    <x v="18"/>
    <n v="11"/>
    <d v="2022-03-08T00:00:00"/>
    <s v="FA"/>
    <s v="1052/3760"/>
    <s v="kpl"/>
    <n v="1839"/>
    <n v="41"/>
    <n v="109"/>
    <x v="217"/>
    <n v="1027.8700000000001"/>
    <n v="5496.87"/>
    <x v="3"/>
  </r>
  <r>
    <n v="1741"/>
    <x v="19"/>
    <n v="12"/>
    <d v="2022-05-03T00:00:00"/>
    <s v="FA"/>
    <s v="1052/3761"/>
    <s v="kpl"/>
    <n v="1840"/>
    <n v="59"/>
    <n v="121"/>
    <x v="150"/>
    <n v="1641.97"/>
    <n v="8780.9699999999993"/>
    <x v="10"/>
  </r>
  <r>
    <n v="1742"/>
    <x v="2"/>
    <n v="5"/>
    <d v="2022-06-06T00:00:00"/>
    <s v="FA"/>
    <s v="1052/3762"/>
    <s v="kpl"/>
    <n v="1841"/>
    <n v="45"/>
    <n v="84"/>
    <x v="12"/>
    <n v="869.40000000000009"/>
    <n v="4649.3999999999996"/>
    <x v="4"/>
  </r>
  <r>
    <n v="1743"/>
    <x v="3"/>
    <n v="11"/>
    <d v="2022-08-08T00:00:00"/>
    <s v="FA"/>
    <s v="1052/3763"/>
    <s v="kpl"/>
    <n v="1842"/>
    <n v="44"/>
    <n v="88"/>
    <x v="360"/>
    <n v="890.56000000000006"/>
    <n v="4762.5600000000004"/>
    <x v="11"/>
  </r>
  <r>
    <n v="1744"/>
    <x v="5"/>
    <n v="6"/>
    <d v="2022-03-10T00:00:00"/>
    <s v="FA"/>
    <s v="1052/3764"/>
    <s v="kpl"/>
    <n v="1843"/>
    <n v="44"/>
    <n v="87"/>
    <x v="30"/>
    <n v="880.44"/>
    <n v="4708.4400000000005"/>
    <x v="3"/>
  </r>
  <r>
    <n v="1745"/>
    <x v="3"/>
    <n v="10"/>
    <d v="2022-04-08T00:00:00"/>
    <s v="FA"/>
    <s v="1052/3765"/>
    <s v="kpl"/>
    <n v="1844"/>
    <n v="59"/>
    <n v="88"/>
    <x v="36"/>
    <n v="1194.1600000000001"/>
    <n v="6386.16"/>
    <x v="1"/>
  </r>
  <r>
    <n v="1746"/>
    <x v="4"/>
    <n v="14"/>
    <d v="2022-03-13T00:00:00"/>
    <s v="FA"/>
    <s v="1052/3766"/>
    <s v="kpl"/>
    <n v="1845"/>
    <n v="48"/>
    <n v="85"/>
    <x v="290"/>
    <n v="938.40000000000009"/>
    <n v="5018.3999999999996"/>
    <x v="3"/>
  </r>
  <r>
    <n v="1747"/>
    <x v="16"/>
    <n v="11"/>
    <d v="2022-05-12T00:00:00"/>
    <s v="FA"/>
    <s v="1052/3767"/>
    <s v="kpl"/>
    <n v="1846"/>
    <n v="38"/>
    <n v="132"/>
    <x v="156"/>
    <n v="1153.68"/>
    <n v="6169.68"/>
    <x v="10"/>
  </r>
  <r>
    <n v="1748"/>
    <x v="23"/>
    <n v="11"/>
    <d v="2022-01-22T00:00:00"/>
    <s v="FA"/>
    <s v="1052/3768"/>
    <s v="kpl"/>
    <n v="1847"/>
    <n v="53"/>
    <n v="105"/>
    <x v="437"/>
    <n v="1279.95"/>
    <n v="6844.95"/>
    <x v="0"/>
  </r>
  <r>
    <n v="1749"/>
    <x v="13"/>
    <n v="8"/>
    <d v="2022-09-21T00:00:00"/>
    <s v="FA"/>
    <s v="1052/3769"/>
    <s v="kpl"/>
    <n v="1848"/>
    <n v="49"/>
    <n v="88"/>
    <x v="93"/>
    <n v="991.76"/>
    <n v="5303.76"/>
    <x v="7"/>
  </r>
  <r>
    <n v="1750"/>
    <x v="27"/>
    <n v="7"/>
    <d v="2022-03-07T00:00:00"/>
    <s v="FA"/>
    <s v="1052/3770"/>
    <s v="kpl"/>
    <n v="1849"/>
    <n v="37"/>
    <n v="111"/>
    <x v="645"/>
    <n v="944.61"/>
    <n v="5051.6099999999997"/>
    <x v="3"/>
  </r>
  <r>
    <n v="1751"/>
    <x v="23"/>
    <n v="9"/>
    <d v="2022-01-19T00:00:00"/>
    <s v="FA"/>
    <s v="1052/3771"/>
    <s v="kpl"/>
    <n v="1850"/>
    <n v="56"/>
    <n v="105"/>
    <x v="288"/>
    <n v="1352.4"/>
    <n v="7232.4"/>
    <x v="0"/>
  </r>
  <r>
    <n v="1752"/>
    <x v="10"/>
    <n v="15"/>
    <d v="2022-01-09T00:00:00"/>
    <s v="FA"/>
    <s v="1052/3772"/>
    <s v="kpl"/>
    <n v="1851"/>
    <n v="73"/>
    <n v="84"/>
    <x v="561"/>
    <n v="1410.3600000000001"/>
    <n v="7542.3600000000006"/>
    <x v="0"/>
  </r>
  <r>
    <n v="1753"/>
    <x v="3"/>
    <n v="7"/>
    <d v="2022-11-16T00:00:00"/>
    <s v="FA"/>
    <s v="1052/3773"/>
    <s v="kpl"/>
    <n v="1852"/>
    <n v="34"/>
    <n v="88"/>
    <x v="122"/>
    <n v="688.16000000000008"/>
    <n v="3680.16"/>
    <x v="8"/>
  </r>
  <r>
    <n v="1754"/>
    <x v="10"/>
    <n v="6"/>
    <d v="2022-09-12T00:00:00"/>
    <s v="FA"/>
    <s v="1052/3774"/>
    <s v="kpl"/>
    <n v="1853"/>
    <n v="62"/>
    <n v="84"/>
    <x v="67"/>
    <n v="1197.8400000000001"/>
    <n v="6405.84"/>
    <x v="7"/>
  </r>
  <r>
    <n v="1755"/>
    <x v="7"/>
    <n v="4"/>
    <d v="2022-01-26T00:00:00"/>
    <s v="FA"/>
    <s v="1052/3775"/>
    <s v="kpl"/>
    <n v="1854"/>
    <n v="46"/>
    <n v="96"/>
    <x v="355"/>
    <n v="1015.6800000000001"/>
    <n v="5431.68"/>
    <x v="0"/>
  </r>
  <r>
    <n v="1756"/>
    <x v="0"/>
    <n v="10"/>
    <d v="2022-03-06T00:00:00"/>
    <s v="FA"/>
    <s v="1052/3776"/>
    <s v="kpl"/>
    <n v="1855"/>
    <n v="42"/>
    <n v="83"/>
    <x v="164"/>
    <n v="801.78000000000009"/>
    <n v="4287.78"/>
    <x v="3"/>
  </r>
  <r>
    <n v="1757"/>
    <x v="0"/>
    <n v="14"/>
    <d v="2022-04-10T00:00:00"/>
    <s v="FA"/>
    <s v="1052/3777"/>
    <s v="kpl"/>
    <n v="1856"/>
    <n v="58"/>
    <n v="83"/>
    <x v="141"/>
    <n v="1107.22"/>
    <n v="5921.22"/>
    <x v="1"/>
  </r>
  <r>
    <n v="1758"/>
    <x v="28"/>
    <n v="10"/>
    <d v="2022-05-14T00:00:00"/>
    <s v="FA"/>
    <s v="1052/3778"/>
    <s v="kpl"/>
    <n v="1857"/>
    <n v="41"/>
    <n v="105"/>
    <x v="627"/>
    <n v="990.15000000000009"/>
    <n v="5295.15"/>
    <x v="10"/>
  </r>
  <r>
    <n v="1759"/>
    <x v="14"/>
    <n v="12"/>
    <d v="2022-10-26T00:00:00"/>
    <s v="FA"/>
    <s v="1052/3779"/>
    <s v="kpl"/>
    <n v="1858"/>
    <n v="46"/>
    <n v="86"/>
    <x v="99"/>
    <n v="909.88"/>
    <n v="4865.88"/>
    <x v="5"/>
  </r>
  <r>
    <n v="1760"/>
    <x v="11"/>
    <n v="9"/>
    <d v="2022-02-02T00:00:00"/>
    <s v="FA"/>
    <s v="1052/3780"/>
    <s v="kpl"/>
    <n v="1859"/>
    <n v="47"/>
    <n v="93"/>
    <x v="179"/>
    <n v="1005.33"/>
    <n v="5376.33"/>
    <x v="9"/>
  </r>
  <r>
    <n v="1761"/>
    <x v="0"/>
    <n v="11"/>
    <d v="2022-09-06T00:00:00"/>
    <s v="FA"/>
    <s v="1052/3781"/>
    <s v="kpl"/>
    <n v="1860"/>
    <n v="55"/>
    <n v="83"/>
    <x v="47"/>
    <n v="1049.95"/>
    <n v="5614.95"/>
    <x v="7"/>
  </r>
  <r>
    <n v="1762"/>
    <x v="3"/>
    <n v="5"/>
    <d v="2022-02-18T00:00:00"/>
    <s v="FA"/>
    <s v="1052/3782"/>
    <s v="kpl"/>
    <n v="1861"/>
    <n v="38"/>
    <n v="88"/>
    <x v="646"/>
    <n v="769.12"/>
    <n v="4113.12"/>
    <x v="9"/>
  </r>
  <r>
    <n v="1763"/>
    <x v="27"/>
    <n v="9"/>
    <d v="2022-07-23T00:00:00"/>
    <s v="FA"/>
    <s v="1052/3783"/>
    <s v="kpl"/>
    <n v="1862"/>
    <n v="47"/>
    <n v="111"/>
    <x v="597"/>
    <n v="1199.9100000000001"/>
    <n v="6416.91"/>
    <x v="6"/>
  </r>
  <r>
    <n v="1764"/>
    <x v="8"/>
    <n v="12"/>
    <d v="2022-09-23T00:00:00"/>
    <s v="FA"/>
    <s v="1052/3784"/>
    <s v="kpl"/>
    <n v="1863"/>
    <n v="56"/>
    <n v="89"/>
    <x v="375"/>
    <n v="1146.32"/>
    <n v="6130.32"/>
    <x v="7"/>
  </r>
  <r>
    <n v="1765"/>
    <x v="23"/>
    <n v="12"/>
    <d v="2022-06-01T00:00:00"/>
    <s v="FA"/>
    <s v="1052/3785"/>
    <s v="kpl"/>
    <n v="1864"/>
    <n v="49"/>
    <n v="105"/>
    <x v="361"/>
    <n v="1183.3500000000001"/>
    <n v="6328.35"/>
    <x v="4"/>
  </r>
  <r>
    <n v="1766"/>
    <x v="7"/>
    <n v="9"/>
    <d v="2022-06-10T00:00:00"/>
    <s v="FA"/>
    <s v="1052/3786"/>
    <s v="kpl"/>
    <n v="1865"/>
    <n v="49"/>
    <n v="96"/>
    <x v="185"/>
    <n v="1081.92"/>
    <n v="5785.92"/>
    <x v="4"/>
  </r>
  <r>
    <n v="1767"/>
    <x v="24"/>
    <n v="11"/>
    <d v="2022-01-15T00:00:00"/>
    <s v="FA"/>
    <s v="1052/3787"/>
    <s v="kpl"/>
    <n v="1866"/>
    <n v="59"/>
    <n v="129"/>
    <x v="323"/>
    <n v="1750.53"/>
    <n v="9361.5300000000007"/>
    <x v="0"/>
  </r>
  <r>
    <n v="1768"/>
    <x v="3"/>
    <n v="13"/>
    <d v="2022-05-22T00:00:00"/>
    <s v="FA"/>
    <s v="1052/3788"/>
    <s v="kpl"/>
    <n v="1867"/>
    <n v="48"/>
    <n v="88"/>
    <x v="40"/>
    <n v="971.5200000000001"/>
    <n v="5195.5200000000004"/>
    <x v="10"/>
  </r>
  <r>
    <n v="1769"/>
    <x v="2"/>
    <n v="17"/>
    <d v="2022-05-05T00:00:00"/>
    <s v="FA"/>
    <s v="1052/3789"/>
    <s v="kpl"/>
    <n v="1868"/>
    <n v="58"/>
    <n v="84"/>
    <x v="78"/>
    <n v="1120.56"/>
    <n v="5992.5599999999995"/>
    <x v="10"/>
  </r>
  <r>
    <n v="1770"/>
    <x v="14"/>
    <n v="7"/>
    <d v="2022-01-05T00:00:00"/>
    <s v="FA"/>
    <s v="1052/3790"/>
    <s v="kpl"/>
    <n v="1869"/>
    <n v="48"/>
    <n v="86"/>
    <x v="73"/>
    <n v="949.44"/>
    <n v="5077.4400000000005"/>
    <x v="0"/>
  </r>
  <r>
    <n v="1771"/>
    <x v="28"/>
    <n v="7"/>
    <d v="2022-02-27T00:00:00"/>
    <s v="FA"/>
    <s v="1052/3791"/>
    <s v="kpl"/>
    <n v="1870"/>
    <n v="58"/>
    <n v="105"/>
    <x v="172"/>
    <n v="1400.7"/>
    <n v="7490.7"/>
    <x v="9"/>
  </r>
  <r>
    <n v="1772"/>
    <x v="14"/>
    <n v="13"/>
    <d v="2022-02-13T00:00:00"/>
    <s v="FA"/>
    <s v="1052/3792"/>
    <s v="kpl"/>
    <n v="1871"/>
    <n v="51"/>
    <n v="86"/>
    <x v="527"/>
    <n v="1008.7800000000001"/>
    <n v="5394.78"/>
    <x v="9"/>
  </r>
  <r>
    <n v="1773"/>
    <x v="9"/>
    <n v="11"/>
    <d v="2022-08-02T00:00:00"/>
    <s v="FA"/>
    <s v="1052/3793"/>
    <s v="kpl"/>
    <n v="1872"/>
    <n v="34"/>
    <n v="108"/>
    <x v="421"/>
    <n v="844.56000000000006"/>
    <n v="4516.5600000000004"/>
    <x v="11"/>
  </r>
  <r>
    <n v="1774"/>
    <x v="28"/>
    <n v="13"/>
    <d v="2022-06-09T00:00:00"/>
    <s v="FA"/>
    <s v="1052/3794"/>
    <s v="kpl"/>
    <n v="1873"/>
    <n v="41"/>
    <n v="105"/>
    <x v="627"/>
    <n v="990.15000000000009"/>
    <n v="5295.15"/>
    <x v="4"/>
  </r>
  <r>
    <n v="1775"/>
    <x v="1"/>
    <n v="8"/>
    <d v="2022-08-09T00:00:00"/>
    <s v="FA"/>
    <s v="1052/3795"/>
    <s v="kpl"/>
    <n v="1874"/>
    <n v="48"/>
    <n v="99"/>
    <x v="126"/>
    <n v="1092.96"/>
    <n v="5844.96"/>
    <x v="11"/>
  </r>
  <r>
    <n v="1776"/>
    <x v="7"/>
    <n v="9"/>
    <d v="2022-11-28T00:00:00"/>
    <s v="FA"/>
    <s v="1052/3796"/>
    <s v="kpl"/>
    <n v="1875"/>
    <n v="49"/>
    <n v="96"/>
    <x v="185"/>
    <n v="1081.92"/>
    <n v="5785.92"/>
    <x v="8"/>
  </r>
  <r>
    <n v="1777"/>
    <x v="14"/>
    <n v="13"/>
    <d v="2022-02-06T00:00:00"/>
    <s v="FA"/>
    <s v="1052/3797"/>
    <s v="kpl"/>
    <n v="1876"/>
    <n v="55"/>
    <n v="86"/>
    <x v="396"/>
    <n v="1087.9000000000001"/>
    <n v="5817.9"/>
    <x v="9"/>
  </r>
  <r>
    <n v="1778"/>
    <x v="23"/>
    <n v="11"/>
    <d v="2022-03-19T00:00:00"/>
    <s v="FA"/>
    <s v="1052/3798"/>
    <s v="kpl"/>
    <n v="1877"/>
    <n v="46"/>
    <n v="105"/>
    <x v="240"/>
    <n v="1110.9000000000001"/>
    <n v="5940.9"/>
    <x v="3"/>
  </r>
  <r>
    <n v="1779"/>
    <x v="22"/>
    <n v="7"/>
    <d v="2022-12-07T00:00:00"/>
    <s v="FA"/>
    <s v="1052/3799"/>
    <s v="kpl"/>
    <n v="1878"/>
    <n v="49"/>
    <n v="125"/>
    <x v="207"/>
    <n v="1408.75"/>
    <n v="7533.75"/>
    <x v="2"/>
  </r>
  <r>
    <n v="1780"/>
    <x v="10"/>
    <n v="11"/>
    <d v="2022-09-24T00:00:00"/>
    <s v="FA"/>
    <s v="1052/3800"/>
    <s v="kpl"/>
    <n v="1879"/>
    <n v="41"/>
    <n v="84"/>
    <x v="39"/>
    <n v="792.12"/>
    <n v="4236.12"/>
    <x v="7"/>
  </r>
  <r>
    <n v="1781"/>
    <x v="3"/>
    <n v="11"/>
    <d v="2022-04-19T00:00:00"/>
    <s v="FA"/>
    <s v="1052/3801"/>
    <s v="kpl"/>
    <n v="1880"/>
    <n v="43"/>
    <n v="88"/>
    <x v="214"/>
    <n v="870.32"/>
    <n v="4654.32"/>
    <x v="1"/>
  </r>
  <r>
    <n v="1782"/>
    <x v="9"/>
    <n v="10"/>
    <d v="2022-10-23T00:00:00"/>
    <s v="FA"/>
    <s v="1052/3802"/>
    <s v="kpl"/>
    <n v="1881"/>
    <n v="51"/>
    <n v="108"/>
    <x v="377"/>
    <n v="1266.8400000000001"/>
    <n v="6774.84"/>
    <x v="5"/>
  </r>
  <r>
    <n v="1783"/>
    <x v="25"/>
    <n v="12"/>
    <d v="2022-07-20T00:00:00"/>
    <s v="FA"/>
    <s v="1052/3803"/>
    <s v="kpl"/>
    <n v="1882"/>
    <n v="31"/>
    <n v="59"/>
    <x v="647"/>
    <n v="420.67"/>
    <n v="2249.67"/>
    <x v="6"/>
  </r>
  <r>
    <n v="1784"/>
    <x v="17"/>
    <n v="1"/>
    <d v="2022-07-14T00:00:00"/>
    <s v="FA"/>
    <s v="1052/3804"/>
    <s v="kpl"/>
    <n v="1883"/>
    <n v="44"/>
    <n v="94"/>
    <x v="165"/>
    <n v="951.28000000000009"/>
    <n v="5087.28"/>
    <x v="6"/>
  </r>
  <r>
    <n v="1785"/>
    <x v="21"/>
    <n v="9"/>
    <d v="2022-10-06T00:00:00"/>
    <s v="FA"/>
    <s v="1052/3805"/>
    <s v="kpl"/>
    <n v="1884"/>
    <n v="46"/>
    <n v="87"/>
    <x v="281"/>
    <n v="920.46"/>
    <n v="4922.46"/>
    <x v="5"/>
  </r>
  <r>
    <n v="1786"/>
    <x v="21"/>
    <n v="9"/>
    <d v="2022-07-28T00:00:00"/>
    <s v="FA"/>
    <s v="1052/3806"/>
    <s v="kpl"/>
    <n v="1885"/>
    <n v="60"/>
    <n v="87"/>
    <x v="6"/>
    <n v="1200.6000000000001"/>
    <n v="6420.6"/>
    <x v="6"/>
  </r>
  <r>
    <n v="1787"/>
    <x v="26"/>
    <n v="7"/>
    <d v="2022-05-05T00:00:00"/>
    <s v="FA"/>
    <s v="1052/3807"/>
    <s v="kpl"/>
    <n v="1886"/>
    <n v="43"/>
    <n v="99"/>
    <x v="438"/>
    <n v="979.11"/>
    <n v="5236.1099999999997"/>
    <x v="10"/>
  </r>
  <r>
    <n v="1788"/>
    <x v="19"/>
    <n v="5"/>
    <d v="2022-12-04T00:00:00"/>
    <s v="FA"/>
    <s v="1052/3808"/>
    <s v="kpl"/>
    <n v="1887"/>
    <n v="54"/>
    <n v="121"/>
    <x v="400"/>
    <n v="1502.8200000000002"/>
    <n v="8036.82"/>
    <x v="2"/>
  </r>
  <r>
    <n v="1789"/>
    <x v="21"/>
    <n v="7"/>
    <d v="2022-06-22T00:00:00"/>
    <s v="FA"/>
    <s v="1052/3809"/>
    <s v="kpl"/>
    <n v="1888"/>
    <n v="63"/>
    <n v="87"/>
    <x v="117"/>
    <n v="1260.6300000000001"/>
    <n v="6741.63"/>
    <x v="4"/>
  </r>
  <r>
    <n v="1790"/>
    <x v="16"/>
    <n v="3"/>
    <d v="2022-07-08T00:00:00"/>
    <s v="FA"/>
    <s v="1052/3810"/>
    <s v="kpl"/>
    <n v="1889"/>
    <n v="38"/>
    <n v="132"/>
    <x v="156"/>
    <n v="1153.68"/>
    <n v="6169.68"/>
    <x v="6"/>
  </r>
  <r>
    <n v="1791"/>
    <x v="7"/>
    <n v="10"/>
    <d v="2022-03-13T00:00:00"/>
    <s v="FA"/>
    <s v="1052/3811"/>
    <s v="kpl"/>
    <n v="1890"/>
    <n v="41"/>
    <n v="96"/>
    <x v="146"/>
    <n v="905.28000000000009"/>
    <n v="4841.28"/>
    <x v="3"/>
  </r>
  <r>
    <n v="1792"/>
    <x v="10"/>
    <n v="11"/>
    <d v="2022-10-26T00:00:00"/>
    <s v="FA"/>
    <s v="1052/3812"/>
    <s v="kpl"/>
    <n v="1891"/>
    <n v="49"/>
    <n v="84"/>
    <x v="74"/>
    <n v="946.68000000000006"/>
    <n v="5062.68"/>
    <x v="5"/>
  </r>
  <r>
    <n v="1793"/>
    <x v="0"/>
    <n v="8"/>
    <d v="2022-04-05T00:00:00"/>
    <s v="FA"/>
    <s v="1052/3813"/>
    <s v="kpl"/>
    <n v="1892"/>
    <n v="47"/>
    <n v="83"/>
    <x v="282"/>
    <n v="897.23"/>
    <n v="4798.2299999999996"/>
    <x v="1"/>
  </r>
  <r>
    <n v="1794"/>
    <x v="10"/>
    <n v="6"/>
    <d v="2022-11-09T00:00:00"/>
    <s v="FA"/>
    <s v="1052/3814"/>
    <s v="kpl"/>
    <n v="1893"/>
    <n v="53"/>
    <n v="84"/>
    <x v="188"/>
    <n v="1023.96"/>
    <n v="5475.96"/>
    <x v="8"/>
  </r>
  <r>
    <n v="1795"/>
    <x v="6"/>
    <n v="12"/>
    <d v="2022-01-19T00:00:00"/>
    <s v="FA"/>
    <s v="1052/3815"/>
    <s v="kpl"/>
    <n v="1894"/>
    <n v="49"/>
    <n v="84"/>
    <x v="74"/>
    <n v="946.68000000000006"/>
    <n v="5062.68"/>
    <x v="0"/>
  </r>
  <r>
    <n v="1796"/>
    <x v="1"/>
    <n v="9"/>
    <d v="2022-08-27T00:00:00"/>
    <s v="FA"/>
    <s v="1052/3816"/>
    <s v="kpl"/>
    <n v="1895"/>
    <n v="44"/>
    <n v="99"/>
    <x v="90"/>
    <n v="1001.88"/>
    <n v="5357.88"/>
    <x v="11"/>
  </r>
  <r>
    <n v="1797"/>
    <x v="4"/>
    <n v="9"/>
    <d v="2022-10-13T00:00:00"/>
    <s v="FA"/>
    <s v="1052/3817"/>
    <s v="kpl"/>
    <n v="1896"/>
    <n v="52"/>
    <n v="85"/>
    <x v="278"/>
    <n v="1016.6"/>
    <n v="5436.6"/>
    <x v="5"/>
  </r>
  <r>
    <n v="1798"/>
    <x v="19"/>
    <n v="9"/>
    <d v="2022-06-02T00:00:00"/>
    <s v="FA"/>
    <s v="1052/3818"/>
    <s v="kpl"/>
    <n v="1897"/>
    <n v="53"/>
    <n v="121"/>
    <x v="269"/>
    <n v="1474.99"/>
    <n v="7887.99"/>
    <x v="4"/>
  </r>
  <r>
    <n v="1799"/>
    <x v="9"/>
    <n v="10"/>
    <d v="2022-07-16T00:00:00"/>
    <s v="FA"/>
    <s v="1052/3819"/>
    <s v="kpl"/>
    <n v="1898"/>
    <n v="51"/>
    <n v="108"/>
    <x v="377"/>
    <n v="1266.8400000000001"/>
    <n v="6774.84"/>
    <x v="6"/>
  </r>
  <r>
    <n v="1800"/>
    <x v="18"/>
    <n v="9"/>
    <d v="2022-08-15T00:00:00"/>
    <s v="FA"/>
    <s v="1052/3820"/>
    <s v="kpl"/>
    <n v="1899"/>
    <n v="64"/>
    <n v="109"/>
    <x v="445"/>
    <n v="1604.48"/>
    <n v="8580.48"/>
    <x v="11"/>
  </r>
  <r>
    <n v="1801"/>
    <x v="3"/>
    <n v="2"/>
    <d v="2022-12-28T00:00:00"/>
    <s v="FA"/>
    <s v="1052/3821"/>
    <s v="kpl"/>
    <n v="1900"/>
    <n v="60"/>
    <n v="88"/>
    <x v="9"/>
    <n v="1214.4000000000001"/>
    <n v="6494.4"/>
    <x v="2"/>
  </r>
  <r>
    <n v="1802"/>
    <x v="2"/>
    <n v="8"/>
    <d v="2022-08-26T00:00:00"/>
    <s v="FA"/>
    <s v="1052/3822"/>
    <s v="kpl"/>
    <n v="1901"/>
    <n v="60"/>
    <n v="84"/>
    <x v="378"/>
    <n v="1159.2"/>
    <n v="6199.2"/>
    <x v="11"/>
  </r>
  <r>
    <n v="1803"/>
    <x v="14"/>
    <n v="11"/>
    <d v="2022-02-07T00:00:00"/>
    <s v="FA"/>
    <s v="1052/3823"/>
    <s v="kpl"/>
    <n v="1902"/>
    <n v="71"/>
    <n v="86"/>
    <x v="648"/>
    <n v="1404.38"/>
    <n v="7510.38"/>
    <x v="9"/>
  </r>
  <r>
    <n v="1804"/>
    <x v="4"/>
    <n v="10"/>
    <d v="2022-05-16T00:00:00"/>
    <s v="FA"/>
    <s v="1052/3824"/>
    <s v="kpl"/>
    <n v="1903"/>
    <n v="43"/>
    <n v="85"/>
    <x v="587"/>
    <n v="840.65000000000009"/>
    <n v="4495.6499999999996"/>
    <x v="10"/>
  </r>
  <r>
    <n v="1805"/>
    <x v="17"/>
    <n v="13"/>
    <d v="2022-05-20T00:00:00"/>
    <s v="FA"/>
    <s v="1052/3825"/>
    <s v="kpl"/>
    <n v="1904"/>
    <n v="31"/>
    <n v="94"/>
    <x v="581"/>
    <n v="670.22"/>
    <n v="3584.2200000000003"/>
    <x v="10"/>
  </r>
  <r>
    <n v="1806"/>
    <x v="23"/>
    <n v="13"/>
    <d v="2022-09-02T00:00:00"/>
    <s v="FA"/>
    <s v="1052/3826"/>
    <s v="kpl"/>
    <n v="1905"/>
    <n v="51"/>
    <n v="105"/>
    <x v="316"/>
    <n v="1231.6500000000001"/>
    <n v="6586.65"/>
    <x v="7"/>
  </r>
  <r>
    <n v="1807"/>
    <x v="0"/>
    <n v="12"/>
    <d v="2022-04-03T00:00:00"/>
    <s v="FA"/>
    <s v="1052/3827"/>
    <s v="kpl"/>
    <n v="1906"/>
    <n v="30"/>
    <n v="83"/>
    <x v="473"/>
    <n v="572.70000000000005"/>
    <n v="3062.7"/>
    <x v="1"/>
  </r>
  <r>
    <n v="1808"/>
    <x v="17"/>
    <n v="8"/>
    <d v="2022-02-20T00:00:00"/>
    <s v="FA"/>
    <s v="1052/3828"/>
    <s v="kpl"/>
    <n v="1907"/>
    <n v="45"/>
    <n v="94"/>
    <x v="26"/>
    <n v="972.90000000000009"/>
    <n v="5202.8999999999996"/>
    <x v="9"/>
  </r>
  <r>
    <n v="1809"/>
    <x v="4"/>
    <n v="10"/>
    <d v="2022-08-19T00:00:00"/>
    <s v="FA"/>
    <s v="1052/3829"/>
    <s v="kpl"/>
    <n v="1908"/>
    <n v="48"/>
    <n v="85"/>
    <x v="290"/>
    <n v="938.40000000000009"/>
    <n v="5018.3999999999996"/>
    <x v="11"/>
  </r>
  <r>
    <n v="1810"/>
    <x v="12"/>
    <n v="8"/>
    <d v="2022-09-03T00:00:00"/>
    <s v="FA"/>
    <s v="1052/3830"/>
    <s v="kpl"/>
    <n v="1909"/>
    <n v="45"/>
    <n v="91"/>
    <x v="433"/>
    <n v="941.85"/>
    <n v="5036.8500000000004"/>
    <x v="7"/>
  </r>
  <r>
    <n v="1811"/>
    <x v="10"/>
    <n v="11"/>
    <d v="2022-06-26T00:00:00"/>
    <s v="FA"/>
    <s v="1052/3831"/>
    <s v="kpl"/>
    <n v="1910"/>
    <n v="67"/>
    <n v="84"/>
    <x v="105"/>
    <n v="1294.44"/>
    <n v="6922.4400000000005"/>
    <x v="4"/>
  </r>
  <r>
    <n v="1812"/>
    <x v="7"/>
    <n v="5"/>
    <d v="2022-02-10T00:00:00"/>
    <s v="FA"/>
    <s v="1052/3832"/>
    <s v="kpl"/>
    <n v="1911"/>
    <n v="54"/>
    <n v="96"/>
    <x v="432"/>
    <n v="1192.3200000000002"/>
    <n v="6376.32"/>
    <x v="9"/>
  </r>
  <r>
    <n v="1813"/>
    <x v="21"/>
    <n v="13"/>
    <d v="2022-07-23T00:00:00"/>
    <s v="FA"/>
    <s v="1052/3833"/>
    <s v="kpl"/>
    <n v="1912"/>
    <n v="52"/>
    <n v="87"/>
    <x v="453"/>
    <n v="1040.52"/>
    <n v="5564.52"/>
    <x v="6"/>
  </r>
  <r>
    <n v="1814"/>
    <x v="13"/>
    <n v="10"/>
    <d v="2022-12-25T00:00:00"/>
    <s v="FA"/>
    <s v="1052/3834"/>
    <s v="kpl"/>
    <n v="1913"/>
    <n v="44"/>
    <n v="88"/>
    <x v="360"/>
    <n v="890.56000000000006"/>
    <n v="4762.5600000000004"/>
    <x v="2"/>
  </r>
  <r>
    <n v="1815"/>
    <x v="3"/>
    <n v="8"/>
    <d v="2022-03-08T00:00:00"/>
    <s v="FA"/>
    <s v="1052/3835"/>
    <s v="kpl"/>
    <n v="1914"/>
    <n v="50"/>
    <n v="88"/>
    <x v="98"/>
    <n v="1012"/>
    <n v="5412"/>
    <x v="3"/>
  </r>
  <r>
    <n v="1816"/>
    <x v="9"/>
    <n v="10"/>
    <d v="2022-03-20T00:00:00"/>
    <s v="FA"/>
    <s v="1052/3836"/>
    <s v="kpl"/>
    <n v="1915"/>
    <n v="57"/>
    <n v="108"/>
    <x v="571"/>
    <n v="1415.88"/>
    <n v="7571.88"/>
    <x v="3"/>
  </r>
  <r>
    <n v="1817"/>
    <x v="26"/>
    <n v="7"/>
    <d v="2022-04-03T00:00:00"/>
    <s v="FA"/>
    <s v="1052/3837"/>
    <s v="kpl"/>
    <n v="1916"/>
    <n v="45"/>
    <n v="99"/>
    <x v="121"/>
    <n v="1024.6500000000001"/>
    <n v="5479.65"/>
    <x v="1"/>
  </r>
  <r>
    <n v="1818"/>
    <x v="0"/>
    <n v="12"/>
    <d v="2022-12-27T00:00:00"/>
    <s v="FA"/>
    <s v="1052/3838"/>
    <s v="kpl"/>
    <n v="1917"/>
    <n v="52"/>
    <n v="83"/>
    <x v="58"/>
    <n v="992.68000000000006"/>
    <n v="5308.68"/>
    <x v="2"/>
  </r>
  <r>
    <n v="1819"/>
    <x v="23"/>
    <n v="11"/>
    <d v="2022-06-26T00:00:00"/>
    <s v="FA"/>
    <s v="1052/3839"/>
    <s v="kpl"/>
    <n v="1918"/>
    <n v="36"/>
    <n v="105"/>
    <x v="12"/>
    <n v="869.40000000000009"/>
    <n v="4649.3999999999996"/>
    <x v="4"/>
  </r>
  <r>
    <n v="1820"/>
    <x v="14"/>
    <n v="8"/>
    <d v="2022-01-13T00:00:00"/>
    <s v="FA"/>
    <s v="1052/3840"/>
    <s v="kpl"/>
    <n v="1919"/>
    <n v="46"/>
    <n v="86"/>
    <x v="99"/>
    <n v="909.88"/>
    <n v="4865.88"/>
    <x v="0"/>
  </r>
  <r>
    <n v="1821"/>
    <x v="14"/>
    <n v="7"/>
    <d v="2022-10-24T00:00:00"/>
    <s v="FA"/>
    <s v="1052/3841"/>
    <s v="kpl"/>
    <n v="1920"/>
    <n v="40"/>
    <n v="86"/>
    <x v="520"/>
    <n v="791.2"/>
    <n v="4231.2"/>
    <x v="5"/>
  </r>
  <r>
    <n v="1822"/>
    <x v="0"/>
    <n v="12"/>
    <d v="2022-08-11T00:00:00"/>
    <s v="FA"/>
    <s v="1052/3842"/>
    <s v="kpl"/>
    <n v="1921"/>
    <n v="65"/>
    <n v="83"/>
    <x v="447"/>
    <n v="1240.8500000000001"/>
    <n v="6635.85"/>
    <x v="11"/>
  </r>
  <r>
    <n v="1823"/>
    <x v="23"/>
    <n v="10"/>
    <d v="2022-05-22T00:00:00"/>
    <s v="FA"/>
    <s v="1052/3843"/>
    <s v="kpl"/>
    <n v="1922"/>
    <n v="50"/>
    <n v="105"/>
    <x v="60"/>
    <n v="1207.5"/>
    <n v="6457.5"/>
    <x v="10"/>
  </r>
  <r>
    <n v="1824"/>
    <x v="14"/>
    <n v="10"/>
    <d v="2022-02-11T00:00:00"/>
    <s v="FA"/>
    <s v="1052/3844"/>
    <s v="kpl"/>
    <n v="1923"/>
    <n v="64"/>
    <n v="86"/>
    <x v="43"/>
    <n v="1265.92"/>
    <n v="6769.92"/>
    <x v="9"/>
  </r>
  <r>
    <n v="1825"/>
    <x v="26"/>
    <n v="12"/>
    <d v="2022-07-11T00:00:00"/>
    <s v="FA"/>
    <s v="1052/3845"/>
    <s v="kpl"/>
    <n v="1924"/>
    <n v="34"/>
    <n v="99"/>
    <x v="637"/>
    <n v="774.18000000000006"/>
    <n v="4140.18"/>
    <x v="6"/>
  </r>
  <r>
    <n v="1826"/>
    <x v="2"/>
    <n v="9"/>
    <d v="2022-10-16T00:00:00"/>
    <s v="FA"/>
    <s v="1052/3846"/>
    <s v="kpl"/>
    <n v="1925"/>
    <n v="52"/>
    <n v="84"/>
    <x v="109"/>
    <n v="1004.6400000000001"/>
    <n v="5372.64"/>
    <x v="5"/>
  </r>
  <r>
    <n v="1827"/>
    <x v="18"/>
    <n v="11"/>
    <d v="2022-03-24T00:00:00"/>
    <s v="FA"/>
    <s v="1052/3847"/>
    <s v="kpl"/>
    <n v="1926"/>
    <n v="56"/>
    <n v="109"/>
    <x v="311"/>
    <n v="1403.92"/>
    <n v="7507.92"/>
    <x v="3"/>
  </r>
  <r>
    <n v="1828"/>
    <x v="16"/>
    <n v="13"/>
    <d v="2022-01-15T00:00:00"/>
    <s v="FA"/>
    <s v="1052/3848"/>
    <s v="kpl"/>
    <n v="1927"/>
    <n v="43"/>
    <n v="132"/>
    <x v="266"/>
    <n v="1305.48"/>
    <n v="6981.48"/>
    <x v="0"/>
  </r>
  <r>
    <n v="1829"/>
    <x v="24"/>
    <n v="4"/>
    <d v="2022-11-22T00:00:00"/>
    <s v="FA"/>
    <s v="1052/3849"/>
    <s v="kpl"/>
    <n v="1928"/>
    <n v="25"/>
    <n v="129"/>
    <x v="649"/>
    <n v="741.75"/>
    <n v="3966.75"/>
    <x v="8"/>
  </r>
  <r>
    <n v="1830"/>
    <x v="7"/>
    <n v="6"/>
    <d v="2022-07-19T00:00:00"/>
    <s v="FA"/>
    <s v="1052/3850"/>
    <s v="kpl"/>
    <n v="1929"/>
    <n v="54"/>
    <n v="96"/>
    <x v="432"/>
    <n v="1192.3200000000002"/>
    <n v="6376.32"/>
    <x v="6"/>
  </r>
  <r>
    <n v="1831"/>
    <x v="8"/>
    <n v="8"/>
    <d v="2022-08-04T00:00:00"/>
    <s v="FA"/>
    <s v="1052/3851"/>
    <s v="kpl"/>
    <n v="1930"/>
    <n v="57"/>
    <n v="89"/>
    <x v="487"/>
    <n v="1166.79"/>
    <n v="6239.79"/>
    <x v="11"/>
  </r>
  <r>
    <n v="1832"/>
    <x v="1"/>
    <n v="9"/>
    <d v="2022-09-12T00:00:00"/>
    <s v="FA"/>
    <s v="1052/3852"/>
    <s v="kpl"/>
    <n v="1931"/>
    <n v="49"/>
    <n v="99"/>
    <x v="374"/>
    <n v="1115.73"/>
    <n v="5966.73"/>
    <x v="7"/>
  </r>
  <r>
    <n v="1833"/>
    <x v="19"/>
    <n v="9"/>
    <d v="2022-03-20T00:00:00"/>
    <s v="FA"/>
    <s v="1052/3853"/>
    <s v="kpl"/>
    <n v="1932"/>
    <n v="44"/>
    <n v="121"/>
    <x v="650"/>
    <n v="1224.52"/>
    <n v="6548.52"/>
    <x v="3"/>
  </r>
  <r>
    <n v="1834"/>
    <x v="7"/>
    <n v="13"/>
    <d v="2022-10-12T00:00:00"/>
    <s v="FA"/>
    <s v="1052/3854"/>
    <s v="kpl"/>
    <n v="1933"/>
    <n v="55"/>
    <n v="96"/>
    <x v="9"/>
    <n v="1214.4000000000001"/>
    <n v="6494.4"/>
    <x v="5"/>
  </r>
  <r>
    <n v="1835"/>
    <x v="9"/>
    <n v="9"/>
    <d v="2022-04-26T00:00:00"/>
    <s v="FA"/>
    <s v="1052/3855"/>
    <s v="kpl"/>
    <n v="1934"/>
    <n v="42"/>
    <n v="108"/>
    <x v="309"/>
    <n v="1043.28"/>
    <n v="5579.28"/>
    <x v="1"/>
  </r>
  <r>
    <n v="1836"/>
    <x v="22"/>
    <n v="7"/>
    <d v="2022-04-15T00:00:00"/>
    <s v="FA"/>
    <s v="1052/3856"/>
    <s v="kpl"/>
    <n v="1935"/>
    <n v="47"/>
    <n v="125"/>
    <x v="409"/>
    <n v="1351.25"/>
    <n v="7226.25"/>
    <x v="1"/>
  </r>
  <r>
    <n v="1837"/>
    <x v="22"/>
    <n v="11"/>
    <d v="2022-08-05T00:00:00"/>
    <s v="FA"/>
    <s v="1052/3857"/>
    <s v="kpl"/>
    <n v="1936"/>
    <n v="54"/>
    <n v="125"/>
    <x v="651"/>
    <n v="1552.5"/>
    <n v="8302.5"/>
    <x v="11"/>
  </r>
  <r>
    <n v="1838"/>
    <x v="15"/>
    <n v="12"/>
    <d v="2022-06-01T00:00:00"/>
    <s v="FA"/>
    <s v="1052/3858"/>
    <s v="kpl"/>
    <n v="1937"/>
    <n v="57"/>
    <n v="90"/>
    <x v="230"/>
    <n v="1179.9000000000001"/>
    <n v="6309.9"/>
    <x v="4"/>
  </r>
  <r>
    <n v="1839"/>
    <x v="21"/>
    <n v="9"/>
    <d v="2022-07-18T00:00:00"/>
    <s v="FA"/>
    <s v="1052/3859"/>
    <s v="kpl"/>
    <n v="1938"/>
    <n v="43"/>
    <n v="87"/>
    <x v="264"/>
    <n v="860.43000000000006"/>
    <n v="4601.43"/>
    <x v="6"/>
  </r>
  <r>
    <n v="1840"/>
    <x v="21"/>
    <n v="11"/>
    <d v="2022-03-10T00:00:00"/>
    <s v="FA"/>
    <s v="1052/3860"/>
    <s v="kpl"/>
    <n v="1939"/>
    <n v="51"/>
    <n v="87"/>
    <x v="173"/>
    <n v="1020.51"/>
    <n v="5457.51"/>
    <x v="3"/>
  </r>
  <r>
    <n v="1841"/>
    <x v="19"/>
    <n v="10"/>
    <d v="2022-05-21T00:00:00"/>
    <s v="FA"/>
    <s v="1052/3861"/>
    <s v="kpl"/>
    <n v="1940"/>
    <n v="64"/>
    <n v="121"/>
    <x v="652"/>
    <n v="1781.1200000000001"/>
    <n v="9525.1200000000008"/>
    <x v="10"/>
  </r>
  <r>
    <n v="1842"/>
    <x v="4"/>
    <n v="5"/>
    <d v="2022-08-09T00:00:00"/>
    <s v="FA"/>
    <s v="1052/3862"/>
    <s v="kpl"/>
    <n v="1941"/>
    <n v="57"/>
    <n v="85"/>
    <x v="384"/>
    <n v="1114.3500000000001"/>
    <n v="5959.35"/>
    <x v="11"/>
  </r>
  <r>
    <n v="1843"/>
    <x v="7"/>
    <n v="13"/>
    <d v="2022-12-15T00:00:00"/>
    <s v="FA"/>
    <s v="1052/3863"/>
    <s v="kpl"/>
    <n v="1942"/>
    <n v="48"/>
    <n v="96"/>
    <x v="297"/>
    <n v="1059.8400000000001"/>
    <n v="5667.84"/>
    <x v="2"/>
  </r>
  <r>
    <n v="1844"/>
    <x v="19"/>
    <n v="16"/>
    <d v="2022-08-16T00:00:00"/>
    <s v="FA"/>
    <s v="1052/3864"/>
    <s v="kpl"/>
    <n v="1943"/>
    <n v="51"/>
    <n v="121"/>
    <x v="516"/>
    <n v="1419.3300000000002"/>
    <n v="7590.33"/>
    <x v="11"/>
  </r>
  <r>
    <n v="1845"/>
    <x v="10"/>
    <n v="11"/>
    <d v="2022-02-23T00:00:00"/>
    <s v="FA"/>
    <s v="1052/3865"/>
    <s v="kpl"/>
    <n v="1944"/>
    <n v="41"/>
    <n v="84"/>
    <x v="39"/>
    <n v="792.12"/>
    <n v="4236.12"/>
    <x v="9"/>
  </r>
  <r>
    <n v="1846"/>
    <x v="23"/>
    <n v="10"/>
    <d v="2022-02-01T00:00:00"/>
    <s v="FA"/>
    <s v="1052/3866"/>
    <s v="kpl"/>
    <n v="1945"/>
    <n v="47"/>
    <n v="105"/>
    <x v="160"/>
    <n v="1135.05"/>
    <n v="6070.05"/>
    <x v="9"/>
  </r>
  <r>
    <n v="1847"/>
    <x v="18"/>
    <n v="3"/>
    <d v="2022-03-26T00:00:00"/>
    <s v="FA"/>
    <s v="1052/3867"/>
    <s v="kpl"/>
    <n v="1946"/>
    <n v="42"/>
    <n v="109"/>
    <x v="519"/>
    <n v="1052.94"/>
    <n v="5630.9400000000005"/>
    <x v="3"/>
  </r>
  <r>
    <n v="1848"/>
    <x v="10"/>
    <n v="15"/>
    <d v="2022-06-12T00:00:00"/>
    <s v="FA"/>
    <s v="1052/3868"/>
    <s v="kpl"/>
    <n v="1947"/>
    <n v="59"/>
    <n v="84"/>
    <x v="46"/>
    <n v="1139.8800000000001"/>
    <n v="6095.88"/>
    <x v="4"/>
  </r>
  <r>
    <n v="1849"/>
    <x v="22"/>
    <n v="7"/>
    <d v="2022-12-05T00:00:00"/>
    <s v="FA"/>
    <s v="1052/3869"/>
    <s v="kpl"/>
    <n v="1948"/>
    <n v="45"/>
    <n v="125"/>
    <x v="618"/>
    <n v="1293.75"/>
    <n v="6918.75"/>
    <x v="2"/>
  </r>
  <r>
    <n v="1850"/>
    <x v="0"/>
    <n v="10"/>
    <d v="2022-06-05T00:00:00"/>
    <s v="FA"/>
    <s v="1052/3870"/>
    <s v="kpl"/>
    <n v="1949"/>
    <n v="48"/>
    <n v="83"/>
    <x v="176"/>
    <n v="916.32"/>
    <n v="4900.32"/>
    <x v="4"/>
  </r>
  <r>
    <n v="1851"/>
    <x v="21"/>
    <n v="7"/>
    <d v="2022-09-13T00:00:00"/>
    <s v="FA"/>
    <s v="1052/3871"/>
    <s v="kpl"/>
    <n v="1950"/>
    <n v="41"/>
    <n v="87"/>
    <x v="49"/>
    <n v="820.41000000000008"/>
    <n v="4387.41"/>
    <x v="7"/>
  </r>
  <r>
    <n v="1852"/>
    <x v="0"/>
    <n v="13"/>
    <d v="2022-01-05T00:00:00"/>
    <s v="FA"/>
    <s v="1052/3872"/>
    <s v="kpl"/>
    <n v="1951"/>
    <n v="49"/>
    <n v="83"/>
    <x v="457"/>
    <n v="935.41000000000008"/>
    <n v="5002.41"/>
    <x v="0"/>
  </r>
  <r>
    <n v="1853"/>
    <x v="19"/>
    <n v="7"/>
    <d v="2022-03-01T00:00:00"/>
    <s v="FA"/>
    <s v="1052/3873"/>
    <s v="kpl"/>
    <n v="1952"/>
    <n v="44"/>
    <n v="121"/>
    <x v="650"/>
    <n v="1224.52"/>
    <n v="6548.52"/>
    <x v="3"/>
  </r>
  <r>
    <n v="1854"/>
    <x v="6"/>
    <n v="10"/>
    <d v="2022-11-07T00:00:00"/>
    <s v="FA"/>
    <s v="1052/3874"/>
    <s v="kpl"/>
    <n v="1953"/>
    <n v="55"/>
    <n v="84"/>
    <x v="42"/>
    <n v="1062.6000000000001"/>
    <n v="5682.6"/>
    <x v="8"/>
  </r>
  <r>
    <n v="1855"/>
    <x v="8"/>
    <n v="8"/>
    <d v="2022-08-15T00:00:00"/>
    <s v="FA"/>
    <s v="1052/3875"/>
    <s v="kpl"/>
    <n v="1954"/>
    <n v="45"/>
    <n v="89"/>
    <x v="152"/>
    <n v="921.15000000000009"/>
    <n v="4926.1499999999996"/>
    <x v="11"/>
  </r>
  <r>
    <n v="1856"/>
    <x v="20"/>
    <n v="12"/>
    <d v="2022-04-26T00:00:00"/>
    <s v="FA"/>
    <s v="1052/3876"/>
    <s v="kpl"/>
    <n v="1955"/>
    <n v="58"/>
    <n v="104"/>
    <x v="653"/>
    <n v="1387.3600000000001"/>
    <n v="7419.3600000000006"/>
    <x v="1"/>
  </r>
  <r>
    <n v="1857"/>
    <x v="20"/>
    <n v="13"/>
    <d v="2022-09-06T00:00:00"/>
    <s v="FA"/>
    <s v="1052/3877"/>
    <s v="kpl"/>
    <n v="1956"/>
    <n v="52"/>
    <n v="104"/>
    <x v="192"/>
    <n v="1243.8400000000001"/>
    <n v="6651.84"/>
    <x v="7"/>
  </r>
  <r>
    <n v="1858"/>
    <x v="13"/>
    <n v="11"/>
    <d v="2022-05-15T00:00:00"/>
    <s v="FA"/>
    <s v="1052/3878"/>
    <s v="kpl"/>
    <n v="1957"/>
    <n v="45"/>
    <n v="88"/>
    <x v="291"/>
    <n v="910.80000000000007"/>
    <n v="4870.8"/>
    <x v="10"/>
  </r>
  <r>
    <n v="1859"/>
    <x v="19"/>
    <n v="12"/>
    <d v="2022-03-14T00:00:00"/>
    <s v="FA"/>
    <s v="1052/3879"/>
    <s v="kpl"/>
    <n v="1958"/>
    <n v="40"/>
    <n v="121"/>
    <x v="29"/>
    <n v="1113.2"/>
    <n v="5953.2"/>
    <x v="3"/>
  </r>
  <r>
    <n v="1860"/>
    <x v="11"/>
    <n v="10"/>
    <d v="2022-10-09T00:00:00"/>
    <s v="FA"/>
    <s v="1052/3880"/>
    <s v="kpl"/>
    <n v="1959"/>
    <n v="55"/>
    <n v="93"/>
    <x v="161"/>
    <n v="1176.45"/>
    <n v="6291.45"/>
    <x v="5"/>
  </r>
  <r>
    <n v="1861"/>
    <x v="3"/>
    <n v="15"/>
    <d v="2022-04-25T00:00:00"/>
    <s v="FA"/>
    <s v="1052/3881"/>
    <s v="kpl"/>
    <n v="1960"/>
    <n v="53"/>
    <n v="88"/>
    <x v="61"/>
    <n v="1072.72"/>
    <n v="5736.72"/>
    <x v="1"/>
  </r>
  <r>
    <n v="1862"/>
    <x v="7"/>
    <n v="11"/>
    <d v="2022-06-19T00:00:00"/>
    <s v="FA"/>
    <s v="1052/3882"/>
    <s v="kpl"/>
    <n v="1961"/>
    <n v="61"/>
    <n v="96"/>
    <x v="456"/>
    <n v="1346.88"/>
    <n v="7202.88"/>
    <x v="4"/>
  </r>
  <r>
    <n v="1863"/>
    <x v="27"/>
    <n v="13"/>
    <d v="2022-08-09T00:00:00"/>
    <s v="FA"/>
    <s v="1052/3883"/>
    <s v="kpl"/>
    <n v="1962"/>
    <n v="59"/>
    <n v="111"/>
    <x v="654"/>
    <n v="1506.27"/>
    <n v="8055.27"/>
    <x v="11"/>
  </r>
  <r>
    <n v="1864"/>
    <x v="25"/>
    <n v="11"/>
    <d v="2022-03-22T00:00:00"/>
    <s v="FA"/>
    <s v="1052/3884"/>
    <s v="kpl"/>
    <n v="1963"/>
    <n v="41"/>
    <n v="59"/>
    <x v="412"/>
    <n v="556.37"/>
    <n v="2975.37"/>
    <x v="3"/>
  </r>
  <r>
    <n v="1865"/>
    <x v="26"/>
    <n v="10"/>
    <d v="2022-05-28T00:00:00"/>
    <s v="FA"/>
    <s v="1052/3885"/>
    <s v="kpl"/>
    <n v="1964"/>
    <n v="62"/>
    <n v="99"/>
    <x v="171"/>
    <n v="1411.74"/>
    <n v="7549.74"/>
    <x v="10"/>
  </r>
  <r>
    <n v="1866"/>
    <x v="7"/>
    <n v="10"/>
    <d v="2022-07-19T00:00:00"/>
    <s v="FA"/>
    <s v="1052/3886"/>
    <s v="kpl"/>
    <n v="1965"/>
    <n v="57"/>
    <n v="96"/>
    <x v="655"/>
    <n v="1258.56"/>
    <n v="6730.5599999999995"/>
    <x v="6"/>
  </r>
  <r>
    <n v="1867"/>
    <x v="3"/>
    <n v="7"/>
    <d v="2022-11-10T00:00:00"/>
    <s v="FA"/>
    <s v="1052/3887"/>
    <s v="kpl"/>
    <n v="1966"/>
    <n v="51"/>
    <n v="88"/>
    <x v="19"/>
    <n v="1032.24"/>
    <n v="5520.24"/>
    <x v="8"/>
  </r>
  <r>
    <n v="1868"/>
    <x v="3"/>
    <n v="11"/>
    <d v="2022-12-12T00:00:00"/>
    <s v="FA"/>
    <s v="1052/3888"/>
    <s v="kpl"/>
    <n v="1967"/>
    <n v="43"/>
    <n v="88"/>
    <x v="214"/>
    <n v="870.32"/>
    <n v="4654.32"/>
    <x v="2"/>
  </r>
  <r>
    <n v="1869"/>
    <x v="28"/>
    <n v="8"/>
    <d v="2022-09-25T00:00:00"/>
    <s v="FA"/>
    <s v="1052/3889"/>
    <s v="kpl"/>
    <n v="1968"/>
    <n v="50"/>
    <n v="105"/>
    <x v="60"/>
    <n v="1207.5"/>
    <n v="6457.5"/>
    <x v="7"/>
  </r>
  <r>
    <n v="1870"/>
    <x v="27"/>
    <n v="6"/>
    <d v="2022-07-06T00:00:00"/>
    <s v="FA"/>
    <s v="1052/3890"/>
    <s v="kpl"/>
    <n v="1969"/>
    <n v="53"/>
    <n v="111"/>
    <x v="578"/>
    <n v="1353.0900000000001"/>
    <n v="7236.09"/>
    <x v="6"/>
  </r>
  <r>
    <n v="1871"/>
    <x v="0"/>
    <n v="11"/>
    <d v="2022-01-08T00:00:00"/>
    <s v="FA"/>
    <s v="1052/3891"/>
    <s v="kpl"/>
    <n v="1970"/>
    <n v="33"/>
    <n v="83"/>
    <x v="656"/>
    <n v="629.97"/>
    <n v="3368.9700000000003"/>
    <x v="0"/>
  </r>
  <r>
    <n v="1872"/>
    <x v="2"/>
    <n v="9"/>
    <d v="2022-11-13T00:00:00"/>
    <s v="FA"/>
    <s v="1052/3892"/>
    <s v="kpl"/>
    <n v="1971"/>
    <n v="54"/>
    <n v="84"/>
    <x v="309"/>
    <n v="1043.28"/>
    <n v="5579.28"/>
    <x v="8"/>
  </r>
  <r>
    <n v="1873"/>
    <x v="11"/>
    <n v="6"/>
    <d v="2022-07-25T00:00:00"/>
    <s v="FA"/>
    <s v="1052/3893"/>
    <s v="kpl"/>
    <n v="1972"/>
    <n v="40"/>
    <n v="93"/>
    <x v="191"/>
    <n v="855.6"/>
    <n v="4575.6000000000004"/>
    <x v="6"/>
  </r>
  <r>
    <n v="1874"/>
    <x v="14"/>
    <n v="1"/>
    <d v="2022-02-20T00:00:00"/>
    <s v="FA"/>
    <s v="1052/3894"/>
    <s v="kpl"/>
    <n v="1973"/>
    <n v="35"/>
    <n v="86"/>
    <x v="657"/>
    <n v="692.30000000000007"/>
    <n v="3702.3"/>
    <x v="9"/>
  </r>
  <r>
    <n v="1875"/>
    <x v="22"/>
    <n v="7"/>
    <d v="2022-08-26T00:00:00"/>
    <s v="FA"/>
    <s v="1052/3895"/>
    <s v="kpl"/>
    <n v="1974"/>
    <n v="37"/>
    <n v="125"/>
    <x v="658"/>
    <n v="1063.75"/>
    <n v="5688.75"/>
    <x v="11"/>
  </r>
  <r>
    <n v="1876"/>
    <x v="6"/>
    <n v="11"/>
    <d v="2022-03-27T00:00:00"/>
    <s v="FA"/>
    <s v="1052/3896"/>
    <s v="kpl"/>
    <n v="1975"/>
    <n v="51"/>
    <n v="84"/>
    <x v="234"/>
    <n v="985.32"/>
    <n v="5269.32"/>
    <x v="3"/>
  </r>
  <r>
    <n v="1877"/>
    <x v="16"/>
    <n v="7"/>
    <d v="2022-06-03T00:00:00"/>
    <s v="FA"/>
    <s v="1052/3897"/>
    <s v="kpl"/>
    <n v="1976"/>
    <n v="47"/>
    <n v="132"/>
    <x v="115"/>
    <n v="1426.92"/>
    <n v="7630.92"/>
    <x v="4"/>
  </r>
  <r>
    <n v="1878"/>
    <x v="9"/>
    <n v="7"/>
    <d v="2022-07-02T00:00:00"/>
    <s v="FA"/>
    <s v="1052/3898"/>
    <s v="kpl"/>
    <n v="1977"/>
    <n v="46"/>
    <n v="108"/>
    <x v="659"/>
    <n v="1142.6400000000001"/>
    <n v="6110.64"/>
    <x v="6"/>
  </r>
  <r>
    <n v="1879"/>
    <x v="20"/>
    <n v="10"/>
    <d v="2022-11-21T00:00:00"/>
    <s v="FA"/>
    <s v="1052/3899"/>
    <s v="kpl"/>
    <n v="1978"/>
    <n v="62"/>
    <n v="104"/>
    <x v="600"/>
    <n v="1483.04"/>
    <n v="7931.04"/>
    <x v="8"/>
  </r>
  <r>
    <n v="1880"/>
    <x v="5"/>
    <n v="7"/>
    <d v="2022-02-18T00:00:00"/>
    <s v="FA"/>
    <s v="1052/3900"/>
    <s v="kpl"/>
    <n v="1979"/>
    <n v="46"/>
    <n v="87"/>
    <x v="281"/>
    <n v="920.46"/>
    <n v="4922.46"/>
    <x v="9"/>
  </r>
  <r>
    <n v="1881"/>
    <x v="6"/>
    <n v="12"/>
    <d v="2022-02-03T00:00:00"/>
    <s v="FA"/>
    <s v="1052/3901"/>
    <s v="kpl"/>
    <n v="1980"/>
    <n v="55"/>
    <n v="84"/>
    <x v="42"/>
    <n v="1062.6000000000001"/>
    <n v="5682.6"/>
    <x v="9"/>
  </r>
  <r>
    <n v="1882"/>
    <x v="14"/>
    <n v="6"/>
    <d v="2022-10-22T00:00:00"/>
    <s v="FA"/>
    <s v="1052/3902"/>
    <s v="kpl"/>
    <n v="1981"/>
    <n v="52"/>
    <n v="86"/>
    <x v="136"/>
    <n v="1028.56"/>
    <n v="5500.5599999999995"/>
    <x v="5"/>
  </r>
  <r>
    <n v="1883"/>
    <x v="2"/>
    <n v="7"/>
    <d v="2022-04-21T00:00:00"/>
    <s v="FA"/>
    <s v="1052/3903"/>
    <s v="kpl"/>
    <n v="1982"/>
    <n v="42"/>
    <n v="84"/>
    <x v="7"/>
    <n v="811.44"/>
    <n v="4339.4400000000005"/>
    <x v="1"/>
  </r>
  <r>
    <n v="1884"/>
    <x v="1"/>
    <n v="8"/>
    <d v="2022-08-01T00:00:00"/>
    <s v="FA"/>
    <s v="1052/3904"/>
    <s v="kpl"/>
    <n v="1983"/>
    <n v="45"/>
    <n v="99"/>
    <x v="121"/>
    <n v="1024.6500000000001"/>
    <n v="5479.65"/>
    <x v="11"/>
  </r>
  <r>
    <n v="1885"/>
    <x v="16"/>
    <n v="9"/>
    <d v="2022-06-11T00:00:00"/>
    <s v="FA"/>
    <s v="1052/3905"/>
    <s v="kpl"/>
    <n v="1984"/>
    <n v="50"/>
    <n v="132"/>
    <x v="203"/>
    <n v="1518"/>
    <n v="8118"/>
    <x v="4"/>
  </r>
  <r>
    <n v="1886"/>
    <x v="25"/>
    <n v="13"/>
    <d v="2022-04-13T00:00:00"/>
    <s v="FA"/>
    <s v="1052/3906"/>
    <s v="kpl"/>
    <n v="1985"/>
    <n v="62"/>
    <n v="59"/>
    <x v="566"/>
    <n v="841.34"/>
    <n v="4499.34"/>
    <x v="1"/>
  </r>
  <r>
    <n v="1887"/>
    <x v="13"/>
    <n v="9"/>
    <d v="2022-05-03T00:00:00"/>
    <s v="FA"/>
    <s v="1052/3907"/>
    <s v="kpl"/>
    <n v="1986"/>
    <n v="49"/>
    <n v="88"/>
    <x v="93"/>
    <n v="991.76"/>
    <n v="5303.76"/>
    <x v="10"/>
  </r>
  <r>
    <n v="1888"/>
    <x v="14"/>
    <n v="10"/>
    <d v="2022-05-06T00:00:00"/>
    <s v="FA"/>
    <s v="1052/3908"/>
    <s v="kpl"/>
    <n v="1987"/>
    <n v="61"/>
    <n v="86"/>
    <x v="585"/>
    <n v="1206.5800000000002"/>
    <n v="6452.58"/>
    <x v="10"/>
  </r>
  <r>
    <n v="1889"/>
    <x v="10"/>
    <n v="9"/>
    <d v="2022-05-27T00:00:00"/>
    <s v="FA"/>
    <s v="1052/3909"/>
    <s v="kpl"/>
    <n v="1988"/>
    <n v="70"/>
    <n v="84"/>
    <x v="288"/>
    <n v="1352.4"/>
    <n v="7232.4"/>
    <x v="10"/>
  </r>
  <r>
    <n v="1890"/>
    <x v="28"/>
    <n v="8"/>
    <d v="2022-04-12T00:00:00"/>
    <s v="FA"/>
    <s v="1052/3910"/>
    <s v="kpl"/>
    <n v="1989"/>
    <n v="41"/>
    <n v="105"/>
    <x v="627"/>
    <n v="990.15000000000009"/>
    <n v="5295.15"/>
    <x v="1"/>
  </r>
  <r>
    <n v="1891"/>
    <x v="22"/>
    <n v="8"/>
    <d v="2022-10-10T00:00:00"/>
    <s v="FA"/>
    <s v="1052/3911"/>
    <s v="kpl"/>
    <n v="1990"/>
    <n v="39"/>
    <n v="125"/>
    <x v="301"/>
    <n v="1121.25"/>
    <n v="5996.25"/>
    <x v="5"/>
  </r>
  <r>
    <n v="1892"/>
    <x v="3"/>
    <n v="8"/>
    <d v="2022-05-11T00:00:00"/>
    <s v="FA"/>
    <s v="1052/3912"/>
    <s v="kpl"/>
    <n v="1991"/>
    <n v="63"/>
    <n v="88"/>
    <x v="65"/>
    <n v="1275.1200000000001"/>
    <n v="6819.12"/>
    <x v="10"/>
  </r>
  <r>
    <n v="1893"/>
    <x v="16"/>
    <n v="6"/>
    <d v="2022-05-15T00:00:00"/>
    <s v="FA"/>
    <s v="1052/3913"/>
    <s v="kpl"/>
    <n v="1992"/>
    <n v="70"/>
    <n v="132"/>
    <x v="660"/>
    <n v="2125.2000000000003"/>
    <n v="11365.2"/>
    <x v="10"/>
  </r>
  <r>
    <n v="1894"/>
    <x v="13"/>
    <n v="11"/>
    <d v="2022-01-03T00:00:00"/>
    <s v="FA"/>
    <s v="1052/3914"/>
    <s v="kpl"/>
    <n v="1993"/>
    <n v="74"/>
    <n v="88"/>
    <x v="661"/>
    <n v="1497.76"/>
    <n v="8009.76"/>
    <x v="0"/>
  </r>
  <r>
    <n v="1895"/>
    <x v="16"/>
    <n v="9"/>
    <d v="2022-07-28T00:00:00"/>
    <s v="FA"/>
    <s v="1052/3915"/>
    <s v="kpl"/>
    <n v="1994"/>
    <n v="62"/>
    <n v="132"/>
    <x v="350"/>
    <n v="1882.3200000000002"/>
    <n v="10066.32"/>
    <x v="6"/>
  </r>
  <r>
    <n v="1896"/>
    <x v="3"/>
    <n v="12"/>
    <d v="2022-08-27T00:00:00"/>
    <s v="FA"/>
    <s v="1052/3916"/>
    <s v="kpl"/>
    <n v="1995"/>
    <n v="62"/>
    <n v="88"/>
    <x v="565"/>
    <n v="1254.8800000000001"/>
    <n v="6710.88"/>
    <x v="11"/>
  </r>
  <r>
    <n v="1897"/>
    <x v="28"/>
    <n v="12"/>
    <d v="2022-12-06T00:00:00"/>
    <s v="FA"/>
    <s v="1052/3917"/>
    <s v="kpl"/>
    <n v="1996"/>
    <n v="51"/>
    <n v="105"/>
    <x v="316"/>
    <n v="1231.6500000000001"/>
    <n v="6586.65"/>
    <x v="2"/>
  </r>
  <r>
    <n v="1898"/>
    <x v="3"/>
    <n v="11"/>
    <d v="2022-10-12T00:00:00"/>
    <s v="FA"/>
    <s v="1052/3918"/>
    <s v="kpl"/>
    <n v="1997"/>
    <n v="55"/>
    <n v="88"/>
    <x v="29"/>
    <n v="1113.2"/>
    <n v="5953.2"/>
    <x v="5"/>
  </r>
  <r>
    <n v="1899"/>
    <x v="8"/>
    <n v="12"/>
    <d v="2022-06-13T00:00:00"/>
    <s v="FA"/>
    <s v="1052/3919"/>
    <s v="kpl"/>
    <n v="1998"/>
    <n v="42"/>
    <n v="89"/>
    <x v="80"/>
    <n v="859.74"/>
    <n v="4597.74"/>
    <x v="4"/>
  </r>
  <r>
    <n v="1900"/>
    <x v="10"/>
    <n v="11"/>
    <d v="2022-01-05T00:00:00"/>
    <s v="FA"/>
    <s v="1052/3920"/>
    <s v="kpl"/>
    <n v="1999"/>
    <n v="42"/>
    <n v="84"/>
    <x v="7"/>
    <n v="811.44"/>
    <n v="4339.4400000000005"/>
    <x v="0"/>
  </r>
  <r>
    <n v="1901"/>
    <x v="3"/>
    <n v="12"/>
    <d v="2022-01-12T00:00:00"/>
    <s v="FA"/>
    <s v="1052/3921"/>
    <s v="kpl"/>
    <n v="2000"/>
    <n v="51"/>
    <n v="88"/>
    <x v="19"/>
    <n v="1032.24"/>
    <n v="5520.24"/>
    <x v="0"/>
  </r>
  <r>
    <n v="1902"/>
    <x v="23"/>
    <n v="8"/>
    <d v="2022-09-25T00:00:00"/>
    <s v="FA"/>
    <s v="1052/3922"/>
    <s v="kpl"/>
    <n v="2001"/>
    <n v="45"/>
    <n v="105"/>
    <x v="267"/>
    <n v="1086.75"/>
    <n v="5811.75"/>
    <x v="7"/>
  </r>
  <r>
    <n v="1903"/>
    <x v="9"/>
    <n v="10"/>
    <d v="2022-01-15T00:00:00"/>
    <s v="FA"/>
    <s v="1052/3923"/>
    <s v="kpl"/>
    <n v="2002"/>
    <n v="38"/>
    <n v="108"/>
    <x v="186"/>
    <n v="943.92000000000007"/>
    <n v="5047.92"/>
    <x v="0"/>
  </r>
  <r>
    <n v="1904"/>
    <x v="12"/>
    <n v="6"/>
    <d v="2022-10-05T00:00:00"/>
    <s v="FA"/>
    <s v="1052/3924"/>
    <s v="kpl"/>
    <n v="2003"/>
    <n v="56"/>
    <n v="91"/>
    <x v="189"/>
    <n v="1172.0800000000002"/>
    <n v="6268.08"/>
    <x v="5"/>
  </r>
  <r>
    <n v="1905"/>
    <x v="6"/>
    <n v="6"/>
    <d v="2022-10-02T00:00:00"/>
    <s v="FA"/>
    <s v="1052/3925"/>
    <s v="kpl"/>
    <n v="2004"/>
    <n v="39"/>
    <n v="84"/>
    <x v="104"/>
    <n v="753.48"/>
    <n v="4029.48"/>
    <x v="5"/>
  </r>
  <r>
    <n v="1906"/>
    <x v="25"/>
    <n v="10"/>
    <d v="2022-10-04T00:00:00"/>
    <s v="FA"/>
    <s v="1052/3926"/>
    <s v="kpl"/>
    <n v="2005"/>
    <n v="50"/>
    <n v="59"/>
    <x v="293"/>
    <n v="678.5"/>
    <n v="3628.5"/>
    <x v="5"/>
  </r>
  <r>
    <n v="1907"/>
    <x v="6"/>
    <n v="11"/>
    <d v="2022-11-10T00:00:00"/>
    <s v="FA"/>
    <s v="1052/3927"/>
    <s v="kpl"/>
    <n v="2006"/>
    <n v="49"/>
    <n v="84"/>
    <x v="74"/>
    <n v="946.68000000000006"/>
    <n v="5062.68"/>
    <x v="8"/>
  </r>
  <r>
    <n v="1908"/>
    <x v="28"/>
    <n v="12"/>
    <d v="2022-08-27T00:00:00"/>
    <s v="FA"/>
    <s v="1052/3928"/>
    <s v="kpl"/>
    <n v="2007"/>
    <n v="49"/>
    <n v="105"/>
    <x v="361"/>
    <n v="1183.3500000000001"/>
    <n v="6328.35"/>
    <x v="11"/>
  </r>
  <r>
    <n v="1909"/>
    <x v="10"/>
    <n v="10"/>
    <d v="2022-08-12T00:00:00"/>
    <s v="FA"/>
    <s v="1052/3929"/>
    <s v="kpl"/>
    <n v="2008"/>
    <n v="61"/>
    <n v="84"/>
    <x v="535"/>
    <n v="1178.52"/>
    <n v="6302.52"/>
    <x v="11"/>
  </r>
  <r>
    <n v="1910"/>
    <x v="20"/>
    <n v="9"/>
    <d v="2022-07-26T00:00:00"/>
    <s v="FA"/>
    <s v="1052/3930"/>
    <s v="kpl"/>
    <n v="2009"/>
    <n v="35"/>
    <n v="104"/>
    <x v="133"/>
    <n v="837.2"/>
    <n v="4477.2"/>
    <x v="6"/>
  </r>
  <r>
    <n v="1911"/>
    <x v="3"/>
    <n v="12"/>
    <d v="2022-02-25T00:00:00"/>
    <s v="FA"/>
    <s v="1052/3931"/>
    <s v="kpl"/>
    <n v="2010"/>
    <n v="33"/>
    <n v="88"/>
    <x v="154"/>
    <n v="667.92000000000007"/>
    <n v="3571.92"/>
    <x v="9"/>
  </r>
  <r>
    <n v="1912"/>
    <x v="1"/>
    <n v="11"/>
    <d v="2022-08-13T00:00:00"/>
    <s v="FA"/>
    <s v="1052/3932"/>
    <s v="kpl"/>
    <n v="2011"/>
    <n v="33"/>
    <n v="99"/>
    <x v="461"/>
    <n v="751.41000000000008"/>
    <n v="4018.41"/>
    <x v="11"/>
  </r>
  <r>
    <n v="1913"/>
    <x v="19"/>
    <n v="12"/>
    <d v="2022-05-27T00:00:00"/>
    <s v="FA"/>
    <s v="1052/3933"/>
    <s v="kpl"/>
    <n v="2012"/>
    <n v="59"/>
    <n v="121"/>
    <x v="150"/>
    <n v="1641.97"/>
    <n v="8780.9699999999993"/>
    <x v="10"/>
  </r>
  <r>
    <n v="1914"/>
    <x v="17"/>
    <n v="5"/>
    <d v="2022-11-05T00:00:00"/>
    <s v="FA"/>
    <s v="1052/3934"/>
    <s v="kpl"/>
    <n v="2013"/>
    <n v="38"/>
    <n v="94"/>
    <x v="662"/>
    <n v="821.56000000000006"/>
    <n v="4393.5600000000004"/>
    <x v="8"/>
  </r>
  <r>
    <n v="1915"/>
    <x v="14"/>
    <n v="10"/>
    <d v="2022-10-14T00:00:00"/>
    <s v="FA"/>
    <s v="1052/3935"/>
    <s v="kpl"/>
    <n v="2014"/>
    <n v="38"/>
    <n v="86"/>
    <x v="33"/>
    <n v="751.64"/>
    <n v="4019.64"/>
    <x v="5"/>
  </r>
  <r>
    <n v="1916"/>
    <x v="3"/>
    <n v="9"/>
    <d v="2022-03-15T00:00:00"/>
    <s v="FA"/>
    <s v="1052/3936"/>
    <s v="kpl"/>
    <n v="2015"/>
    <n v="49"/>
    <n v="88"/>
    <x v="93"/>
    <n v="991.76"/>
    <n v="5303.76"/>
    <x v="3"/>
  </r>
  <r>
    <n v="1917"/>
    <x v="0"/>
    <n v="8"/>
    <d v="2022-08-06T00:00:00"/>
    <s v="FA"/>
    <s v="1052/3937"/>
    <s v="kpl"/>
    <n v="2016"/>
    <n v="54"/>
    <n v="83"/>
    <x v="79"/>
    <n v="1030.8600000000001"/>
    <n v="5512.8600000000006"/>
    <x v="11"/>
  </r>
  <r>
    <n v="1918"/>
    <x v="16"/>
    <n v="7"/>
    <d v="2022-09-08T00:00:00"/>
    <s v="FA"/>
    <s v="1052/3938"/>
    <s v="kpl"/>
    <n v="2017"/>
    <n v="47"/>
    <n v="132"/>
    <x v="115"/>
    <n v="1426.92"/>
    <n v="7630.92"/>
    <x v="7"/>
  </r>
  <r>
    <n v="1919"/>
    <x v="20"/>
    <n v="7"/>
    <d v="2022-02-10T00:00:00"/>
    <s v="FA"/>
    <s v="1052/3939"/>
    <s v="kpl"/>
    <n v="2018"/>
    <n v="51"/>
    <n v="104"/>
    <x v="426"/>
    <n v="1219.92"/>
    <n v="6523.92"/>
    <x v="9"/>
  </r>
  <r>
    <n v="1920"/>
    <x v="13"/>
    <n v="6"/>
    <d v="2022-08-23T00:00:00"/>
    <s v="FA"/>
    <s v="1052/3940"/>
    <s v="kpl"/>
    <n v="2019"/>
    <n v="50"/>
    <n v="88"/>
    <x v="98"/>
    <n v="1012"/>
    <n v="5412"/>
    <x v="11"/>
  </r>
  <r>
    <n v="1921"/>
    <x v="19"/>
    <n v="7"/>
    <d v="2022-04-05T00:00:00"/>
    <s v="FA"/>
    <s v="1052/3941"/>
    <s v="kpl"/>
    <n v="2020"/>
    <n v="43"/>
    <n v="121"/>
    <x v="405"/>
    <n v="1196.69"/>
    <n v="6399.6900000000005"/>
    <x v="1"/>
  </r>
  <r>
    <n v="1922"/>
    <x v="8"/>
    <n v="10"/>
    <d v="2022-04-25T00:00:00"/>
    <s v="FA"/>
    <s v="1052/3942"/>
    <s v="kpl"/>
    <n v="2021"/>
    <n v="47"/>
    <n v="89"/>
    <x v="440"/>
    <n v="962.09"/>
    <n v="5145.09"/>
    <x v="1"/>
  </r>
  <r>
    <n v="1923"/>
    <x v="21"/>
    <n v="9"/>
    <d v="2022-06-25T00:00:00"/>
    <s v="FA"/>
    <s v="1052/3943"/>
    <s v="kpl"/>
    <n v="2022"/>
    <n v="44"/>
    <n v="87"/>
    <x v="30"/>
    <n v="880.44"/>
    <n v="4708.4400000000005"/>
    <x v="4"/>
  </r>
  <r>
    <n v="1924"/>
    <x v="26"/>
    <n v="9"/>
    <d v="2022-01-08T00:00:00"/>
    <s v="FA"/>
    <s v="1052/3944"/>
    <s v="kpl"/>
    <n v="2023"/>
    <n v="43"/>
    <n v="99"/>
    <x v="438"/>
    <n v="979.11"/>
    <n v="5236.1099999999997"/>
    <x v="0"/>
  </r>
  <r>
    <n v="1925"/>
    <x v="2"/>
    <n v="12"/>
    <d v="2022-05-17T00:00:00"/>
    <s v="FA"/>
    <s v="1052/3945"/>
    <s v="kpl"/>
    <n v="2024"/>
    <n v="38"/>
    <n v="84"/>
    <x v="479"/>
    <n v="734.16000000000008"/>
    <n v="3926.16"/>
    <x v="10"/>
  </r>
  <r>
    <n v="1926"/>
    <x v="16"/>
    <n v="9"/>
    <d v="2022-12-05T00:00:00"/>
    <s v="FA"/>
    <s v="1052/3946"/>
    <s v="kpl"/>
    <n v="2025"/>
    <n v="36"/>
    <n v="132"/>
    <x v="126"/>
    <n v="1092.96"/>
    <n v="5844.96"/>
    <x v="2"/>
  </r>
  <r>
    <n v="1927"/>
    <x v="3"/>
    <n v="8"/>
    <d v="2022-01-28T00:00:00"/>
    <s v="FA"/>
    <s v="1052/3947"/>
    <s v="kpl"/>
    <n v="2026"/>
    <n v="63"/>
    <n v="88"/>
    <x v="65"/>
    <n v="1275.1200000000001"/>
    <n v="6819.12"/>
    <x v="0"/>
  </r>
  <r>
    <n v="1928"/>
    <x v="4"/>
    <n v="12"/>
    <d v="2022-02-01T00:00:00"/>
    <s v="FA"/>
    <s v="1052/3948"/>
    <s v="kpl"/>
    <n v="2027"/>
    <n v="32"/>
    <n v="85"/>
    <x v="663"/>
    <n v="625.6"/>
    <n v="3345.6"/>
    <x v="9"/>
  </r>
  <r>
    <n v="1929"/>
    <x v="5"/>
    <n v="9"/>
    <d v="2022-01-20T00:00:00"/>
    <s v="FA"/>
    <s v="1052/3949"/>
    <s v="kpl"/>
    <n v="2028"/>
    <n v="39"/>
    <n v="87"/>
    <x v="245"/>
    <n v="780.39"/>
    <n v="4173.3900000000003"/>
    <x v="0"/>
  </r>
  <r>
    <n v="1930"/>
    <x v="17"/>
    <n v="10"/>
    <d v="2022-08-10T00:00:00"/>
    <s v="FA"/>
    <s v="1052/3950"/>
    <s v="kpl"/>
    <n v="2029"/>
    <n v="35"/>
    <n v="94"/>
    <x v="507"/>
    <n v="756.7"/>
    <n v="4046.7"/>
    <x v="11"/>
  </r>
  <r>
    <n v="1931"/>
    <x v="8"/>
    <n v="7"/>
    <d v="2022-04-23T00:00:00"/>
    <s v="FA"/>
    <s v="1052/3951"/>
    <s v="kpl"/>
    <n v="2030"/>
    <n v="58"/>
    <n v="89"/>
    <x v="327"/>
    <n v="1187.26"/>
    <n v="6349.26"/>
    <x v="1"/>
  </r>
  <r>
    <n v="1932"/>
    <x v="23"/>
    <n v="10"/>
    <d v="2022-05-08T00:00:00"/>
    <s v="FA"/>
    <s v="1052/3952"/>
    <s v="kpl"/>
    <n v="2031"/>
    <n v="60"/>
    <n v="105"/>
    <x v="310"/>
    <n v="1449"/>
    <n v="7749"/>
    <x v="10"/>
  </r>
  <r>
    <n v="1933"/>
    <x v="8"/>
    <n v="11"/>
    <d v="2022-11-18T00:00:00"/>
    <s v="FA"/>
    <s v="1052/3953"/>
    <s v="kpl"/>
    <n v="2032"/>
    <n v="46"/>
    <n v="89"/>
    <x v="444"/>
    <n v="941.62"/>
    <n v="5035.62"/>
    <x v="8"/>
  </r>
  <r>
    <n v="1934"/>
    <x v="5"/>
    <n v="10"/>
    <d v="2022-03-03T00:00:00"/>
    <s v="FA"/>
    <s v="1052/3954"/>
    <s v="kpl"/>
    <n v="2033"/>
    <n v="46"/>
    <n v="87"/>
    <x v="281"/>
    <n v="920.46"/>
    <n v="4922.46"/>
    <x v="3"/>
  </r>
  <r>
    <n v="1935"/>
    <x v="1"/>
    <n v="6"/>
    <d v="2022-11-11T00:00:00"/>
    <s v="FA"/>
    <s v="1052/3955"/>
    <s v="kpl"/>
    <n v="2034"/>
    <n v="28"/>
    <n v="99"/>
    <x v="94"/>
    <n v="637.56000000000006"/>
    <n v="3409.56"/>
    <x v="8"/>
  </r>
  <r>
    <n v="1936"/>
    <x v="19"/>
    <n v="8"/>
    <d v="2022-06-18T00:00:00"/>
    <s v="FA"/>
    <s v="1052/3956"/>
    <s v="kpl"/>
    <n v="2035"/>
    <n v="49"/>
    <n v="121"/>
    <x v="572"/>
    <n v="1363.67"/>
    <n v="7292.67"/>
    <x v="4"/>
  </r>
  <r>
    <n v="1937"/>
    <x v="7"/>
    <n v="10"/>
    <d v="2022-03-05T00:00:00"/>
    <s v="FA"/>
    <s v="1052/3957"/>
    <s v="kpl"/>
    <n v="2036"/>
    <n v="62"/>
    <n v="96"/>
    <x v="664"/>
    <n v="1368.96"/>
    <n v="7320.96"/>
    <x v="3"/>
  </r>
  <r>
    <n v="1938"/>
    <x v="27"/>
    <n v="8"/>
    <d v="2022-01-07T00:00:00"/>
    <s v="FA"/>
    <s v="1052/3958"/>
    <s v="kpl"/>
    <n v="2037"/>
    <n v="41"/>
    <n v="111"/>
    <x v="665"/>
    <n v="1046.73"/>
    <n v="5597.73"/>
    <x v="0"/>
  </r>
  <r>
    <n v="1939"/>
    <x v="5"/>
    <n v="10"/>
    <d v="2022-05-15T00:00:00"/>
    <s v="FA"/>
    <s v="1052/3959"/>
    <s v="kpl"/>
    <n v="2038"/>
    <n v="44"/>
    <n v="87"/>
    <x v="30"/>
    <n v="880.44"/>
    <n v="4708.4400000000005"/>
    <x v="10"/>
  </r>
  <r>
    <n v="1940"/>
    <x v="14"/>
    <n v="12"/>
    <d v="2022-07-26T00:00:00"/>
    <s v="FA"/>
    <s v="1052/3960"/>
    <s v="kpl"/>
    <n v="2039"/>
    <n v="45"/>
    <n v="86"/>
    <x v="340"/>
    <n v="890.1"/>
    <n v="4760.1000000000004"/>
    <x v="6"/>
  </r>
  <r>
    <n v="1941"/>
    <x v="17"/>
    <n v="7"/>
    <d v="2022-08-07T00:00:00"/>
    <s v="FA"/>
    <s v="1052/3961"/>
    <s v="kpl"/>
    <n v="2040"/>
    <n v="26"/>
    <n v="94"/>
    <x v="606"/>
    <n v="562.12"/>
    <n v="3006.12"/>
    <x v="11"/>
  </r>
  <r>
    <n v="1942"/>
    <x v="14"/>
    <n v="11"/>
    <d v="2022-09-18T00:00:00"/>
    <s v="FA"/>
    <s v="1052/3962"/>
    <s v="kpl"/>
    <n v="2041"/>
    <n v="61"/>
    <n v="86"/>
    <x v="585"/>
    <n v="1206.5800000000002"/>
    <n v="6452.58"/>
    <x v="7"/>
  </r>
  <r>
    <n v="1943"/>
    <x v="15"/>
    <n v="12"/>
    <d v="2022-03-11T00:00:00"/>
    <s v="FA"/>
    <s v="1052/3963"/>
    <s v="kpl"/>
    <n v="2042"/>
    <n v="32"/>
    <n v="90"/>
    <x v="287"/>
    <n v="662.4"/>
    <n v="3542.4"/>
    <x v="3"/>
  </r>
  <r>
    <n v="1944"/>
    <x v="17"/>
    <n v="11"/>
    <d v="2022-11-24T00:00:00"/>
    <s v="FA"/>
    <s v="1052/3964"/>
    <s v="kpl"/>
    <n v="2043"/>
    <n v="38"/>
    <n v="94"/>
    <x v="662"/>
    <n v="821.56000000000006"/>
    <n v="4393.5600000000004"/>
    <x v="8"/>
  </r>
  <r>
    <n v="1945"/>
    <x v="19"/>
    <n v="10"/>
    <d v="2022-05-20T00:00:00"/>
    <s v="FA"/>
    <s v="1052/3965"/>
    <s v="kpl"/>
    <n v="2044"/>
    <n v="36"/>
    <n v="121"/>
    <x v="90"/>
    <n v="1001.88"/>
    <n v="5357.88"/>
    <x v="10"/>
  </r>
  <r>
    <n v="1946"/>
    <x v="15"/>
    <n v="11"/>
    <d v="2022-08-04T00:00:00"/>
    <s v="FA"/>
    <s v="1052/3966"/>
    <s v="kpl"/>
    <n v="2045"/>
    <n v="37"/>
    <n v="90"/>
    <x v="183"/>
    <n v="765.9"/>
    <n v="4095.9"/>
    <x v="11"/>
  </r>
  <r>
    <n v="1947"/>
    <x v="8"/>
    <n v="6"/>
    <d v="2022-12-19T00:00:00"/>
    <s v="FA"/>
    <s v="1052/3967"/>
    <s v="kpl"/>
    <n v="2046"/>
    <n v="33"/>
    <n v="89"/>
    <x v="333"/>
    <n v="675.51"/>
    <n v="3612.51"/>
    <x v="2"/>
  </r>
  <r>
    <n v="1948"/>
    <x v="9"/>
    <n v="6"/>
    <d v="2022-11-17T00:00:00"/>
    <s v="FA"/>
    <s v="1052/3968"/>
    <s v="kpl"/>
    <n v="2047"/>
    <n v="49"/>
    <n v="108"/>
    <x v="88"/>
    <n v="1217.1600000000001"/>
    <n v="6509.16"/>
    <x v="8"/>
  </r>
  <r>
    <n v="1949"/>
    <x v="23"/>
    <n v="4"/>
    <d v="2022-05-24T00:00:00"/>
    <s v="FA"/>
    <s v="1052/3969"/>
    <s v="kpl"/>
    <n v="2048"/>
    <n v="35"/>
    <n v="105"/>
    <x v="113"/>
    <n v="845.25"/>
    <n v="4520.25"/>
    <x v="10"/>
  </r>
  <r>
    <n v="1950"/>
    <x v="16"/>
    <n v="10"/>
    <d v="2022-01-10T00:00:00"/>
    <s v="FA"/>
    <s v="1052/3970"/>
    <s v="kpl"/>
    <n v="2049"/>
    <n v="49"/>
    <n v="132"/>
    <x v="313"/>
    <n v="1487.64"/>
    <n v="7955.64"/>
    <x v="0"/>
  </r>
  <r>
    <n v="1951"/>
    <x v="18"/>
    <n v="11"/>
    <d v="2022-01-23T00:00:00"/>
    <s v="FA"/>
    <s v="1052/3971"/>
    <s v="kpl"/>
    <n v="2050"/>
    <n v="21"/>
    <n v="109"/>
    <x v="666"/>
    <n v="526.47"/>
    <n v="2815.4700000000003"/>
    <x v="0"/>
  </r>
  <r>
    <n v="1952"/>
    <x v="3"/>
    <n v="11"/>
    <d v="2022-08-07T00:00:00"/>
    <s v="FA"/>
    <s v="1052/3972"/>
    <s v="kpl"/>
    <n v="2051"/>
    <n v="60"/>
    <n v="88"/>
    <x v="9"/>
    <n v="1214.4000000000001"/>
    <n v="6494.4"/>
    <x v="11"/>
  </r>
  <r>
    <n v="1953"/>
    <x v="6"/>
    <n v="14"/>
    <d v="2022-08-20T00:00:00"/>
    <s v="FA"/>
    <s v="1052/3973"/>
    <s v="kpl"/>
    <n v="2052"/>
    <n v="48"/>
    <n v="84"/>
    <x v="66"/>
    <n v="927.36"/>
    <n v="4959.3599999999997"/>
    <x v="11"/>
  </r>
  <r>
    <n v="1954"/>
    <x v="3"/>
    <n v="11"/>
    <d v="2022-09-11T00:00:00"/>
    <s v="FA"/>
    <s v="1052/3974"/>
    <s v="kpl"/>
    <n v="2053"/>
    <n v="33"/>
    <n v="88"/>
    <x v="154"/>
    <n v="667.92000000000007"/>
    <n v="3571.92"/>
    <x v="7"/>
  </r>
  <r>
    <n v="1955"/>
    <x v="3"/>
    <n v="11"/>
    <d v="2022-02-11T00:00:00"/>
    <s v="FA"/>
    <s v="1052/3975"/>
    <s v="kpl"/>
    <n v="2054"/>
    <n v="48"/>
    <n v="88"/>
    <x v="40"/>
    <n v="971.5200000000001"/>
    <n v="5195.5200000000004"/>
    <x v="9"/>
  </r>
  <r>
    <n v="1956"/>
    <x v="1"/>
    <n v="8"/>
    <d v="2022-12-23T00:00:00"/>
    <s v="FA"/>
    <s v="1052/3976"/>
    <s v="kpl"/>
    <n v="2055"/>
    <n v="44"/>
    <n v="99"/>
    <x v="90"/>
    <n v="1001.88"/>
    <n v="5357.88"/>
    <x v="2"/>
  </r>
  <r>
    <n v="1957"/>
    <x v="28"/>
    <n v="7"/>
    <d v="2022-07-17T00:00:00"/>
    <s v="FA"/>
    <s v="1052/3977"/>
    <s v="kpl"/>
    <n v="2056"/>
    <n v="53"/>
    <n v="105"/>
    <x v="437"/>
    <n v="1279.95"/>
    <n v="6844.95"/>
    <x v="6"/>
  </r>
  <r>
    <n v="1958"/>
    <x v="23"/>
    <n v="12"/>
    <d v="2022-08-19T00:00:00"/>
    <s v="FA"/>
    <s v="1052/3978"/>
    <s v="kpl"/>
    <n v="2057"/>
    <n v="55"/>
    <n v="105"/>
    <x v="330"/>
    <n v="1328.25"/>
    <n v="7103.25"/>
    <x v="11"/>
  </r>
  <r>
    <n v="1959"/>
    <x v="7"/>
    <n v="9"/>
    <d v="2022-08-01T00:00:00"/>
    <s v="FA"/>
    <s v="1052/3979"/>
    <s v="kpl"/>
    <n v="2058"/>
    <n v="52"/>
    <n v="96"/>
    <x v="299"/>
    <n v="1148.1600000000001"/>
    <n v="6140.16"/>
    <x v="11"/>
  </r>
  <r>
    <n v="1960"/>
    <x v="28"/>
    <n v="11"/>
    <d v="2022-01-25T00:00:00"/>
    <s v="FA"/>
    <s v="1052/3980"/>
    <s v="kpl"/>
    <n v="2059"/>
    <n v="55"/>
    <n v="105"/>
    <x v="330"/>
    <n v="1328.25"/>
    <n v="7103.25"/>
    <x v="0"/>
  </r>
  <r>
    <n v="1961"/>
    <x v="0"/>
    <n v="11"/>
    <d v="2022-02-16T00:00:00"/>
    <s v="FA"/>
    <s v="1052/3981"/>
    <s v="kpl"/>
    <n v="2060"/>
    <n v="53"/>
    <n v="83"/>
    <x v="610"/>
    <n v="1011.7700000000001"/>
    <n v="5410.77"/>
    <x v="9"/>
  </r>
  <r>
    <n v="1962"/>
    <x v="4"/>
    <n v="7"/>
    <d v="2022-04-08T00:00:00"/>
    <s v="FA"/>
    <s v="1052/3982"/>
    <s v="kpl"/>
    <n v="2061"/>
    <n v="45"/>
    <n v="85"/>
    <x v="151"/>
    <n v="879.75"/>
    <n v="4704.75"/>
    <x v="1"/>
  </r>
  <r>
    <n v="1963"/>
    <x v="24"/>
    <n v="10"/>
    <d v="2022-05-28T00:00:00"/>
    <s v="FA"/>
    <s v="1052/3983"/>
    <s v="kpl"/>
    <n v="2062"/>
    <n v="39"/>
    <n v="129"/>
    <x v="667"/>
    <n v="1157.1300000000001"/>
    <n v="6188.13"/>
    <x v="10"/>
  </r>
  <r>
    <n v="1964"/>
    <x v="17"/>
    <n v="8"/>
    <d v="2022-05-10T00:00:00"/>
    <s v="FA"/>
    <s v="1052/3984"/>
    <s v="kpl"/>
    <n v="2063"/>
    <n v="61"/>
    <n v="94"/>
    <x v="668"/>
    <n v="1318.8200000000002"/>
    <n v="7052.82"/>
    <x v="10"/>
  </r>
  <r>
    <n v="1965"/>
    <x v="24"/>
    <n v="8"/>
    <d v="2022-10-04T00:00:00"/>
    <s v="FA"/>
    <s v="1052/3985"/>
    <s v="kpl"/>
    <n v="2064"/>
    <n v="74"/>
    <n v="129"/>
    <x v="669"/>
    <n v="2195.58"/>
    <n v="11741.58"/>
    <x v="5"/>
  </r>
  <r>
    <n v="1966"/>
    <x v="11"/>
    <n v="9"/>
    <d v="2022-11-18T00:00:00"/>
    <s v="FA"/>
    <s v="1052/3986"/>
    <s v="kpl"/>
    <n v="2065"/>
    <n v="59"/>
    <n v="93"/>
    <x v="670"/>
    <n v="1262.01"/>
    <n v="6749.01"/>
    <x v="8"/>
  </r>
  <r>
    <n v="1967"/>
    <x v="10"/>
    <n v="12"/>
    <d v="2022-11-24T00:00:00"/>
    <s v="FA"/>
    <s v="1052/3987"/>
    <s v="kpl"/>
    <n v="2066"/>
    <n v="70"/>
    <n v="84"/>
    <x v="288"/>
    <n v="1352.4"/>
    <n v="7232.4"/>
    <x v="8"/>
  </r>
  <r>
    <n v="1968"/>
    <x v="17"/>
    <n v="8"/>
    <d v="2022-11-24T00:00:00"/>
    <s v="FA"/>
    <s v="1052/3988"/>
    <s v="kpl"/>
    <n v="2067"/>
    <n v="43"/>
    <n v="94"/>
    <x v="211"/>
    <n v="929.66000000000008"/>
    <n v="4971.66"/>
    <x v="8"/>
  </r>
  <r>
    <n v="1969"/>
    <x v="2"/>
    <n v="12"/>
    <d v="2022-12-14T00:00:00"/>
    <s v="FA"/>
    <s v="1052/3989"/>
    <s v="kpl"/>
    <n v="2068"/>
    <n v="49"/>
    <n v="84"/>
    <x v="74"/>
    <n v="946.68000000000006"/>
    <n v="5062.68"/>
    <x v="2"/>
  </r>
  <r>
    <n v="1970"/>
    <x v="28"/>
    <n v="10"/>
    <d v="2022-01-22T00:00:00"/>
    <s v="FA"/>
    <s v="1052/3990"/>
    <s v="kpl"/>
    <n v="2069"/>
    <n v="42"/>
    <n v="105"/>
    <x v="474"/>
    <n v="1014.3000000000001"/>
    <n v="5424.3"/>
    <x v="0"/>
  </r>
  <r>
    <n v="1971"/>
    <x v="16"/>
    <n v="9"/>
    <d v="2022-05-27T00:00:00"/>
    <s v="FA"/>
    <s v="1052/3991"/>
    <s v="kpl"/>
    <n v="2070"/>
    <n v="51"/>
    <n v="132"/>
    <x v="319"/>
    <n v="1548.3600000000001"/>
    <n v="8280.36"/>
    <x v="10"/>
  </r>
  <r>
    <n v="1972"/>
    <x v="7"/>
    <n v="10"/>
    <d v="2022-09-26T00:00:00"/>
    <s v="FA"/>
    <s v="1052/3992"/>
    <s v="kpl"/>
    <n v="2071"/>
    <n v="40"/>
    <n v="96"/>
    <x v="671"/>
    <n v="883.2"/>
    <n v="4723.2"/>
    <x v="7"/>
  </r>
  <r>
    <n v="1973"/>
    <x v="26"/>
    <n v="5"/>
    <d v="2022-05-19T00:00:00"/>
    <s v="FA"/>
    <s v="1052/3993"/>
    <s v="kpl"/>
    <n v="2072"/>
    <n v="53"/>
    <n v="99"/>
    <x v="357"/>
    <n v="1206.81"/>
    <n v="6453.8099999999995"/>
    <x v="10"/>
  </r>
  <r>
    <n v="1974"/>
    <x v="22"/>
    <n v="15"/>
    <d v="2022-05-25T00:00:00"/>
    <s v="FA"/>
    <s v="1052/3994"/>
    <s v="kpl"/>
    <n v="2073"/>
    <n v="48"/>
    <n v="125"/>
    <x v="672"/>
    <n v="1380"/>
    <n v="7380"/>
    <x v="10"/>
  </r>
  <r>
    <n v="1975"/>
    <x v="8"/>
    <n v="13"/>
    <d v="2022-09-08T00:00:00"/>
    <s v="FA"/>
    <s v="1052/3995"/>
    <s v="kpl"/>
    <n v="2074"/>
    <n v="66"/>
    <n v="89"/>
    <x v="673"/>
    <n v="1351.02"/>
    <n v="7225.02"/>
    <x v="7"/>
  </r>
  <r>
    <n v="1976"/>
    <x v="11"/>
    <n v="9"/>
    <d v="2022-04-04T00:00:00"/>
    <s v="FA"/>
    <s v="1052/3996"/>
    <s v="kpl"/>
    <n v="2075"/>
    <n v="51"/>
    <n v="93"/>
    <x v="257"/>
    <n v="1090.8900000000001"/>
    <n v="5833.89"/>
    <x v="1"/>
  </r>
  <r>
    <n v="1977"/>
    <x v="3"/>
    <n v="14"/>
    <d v="2022-06-16T00:00:00"/>
    <s v="FA"/>
    <s v="1052/3997"/>
    <s v="kpl"/>
    <n v="2076"/>
    <n v="66"/>
    <n v="88"/>
    <x v="3"/>
    <n v="1335.8400000000001"/>
    <n v="7143.84"/>
    <x v="4"/>
  </r>
  <r>
    <n v="1978"/>
    <x v="7"/>
    <n v="12"/>
    <d v="2022-01-03T00:00:00"/>
    <s v="FA"/>
    <s v="1052/3998"/>
    <s v="kpl"/>
    <n v="2077"/>
    <n v="48"/>
    <n v="96"/>
    <x v="297"/>
    <n v="1059.8400000000001"/>
    <n v="5667.84"/>
    <x v="0"/>
  </r>
  <r>
    <n v="1979"/>
    <x v="14"/>
    <n v="12"/>
    <d v="2022-02-28T00:00:00"/>
    <s v="FA"/>
    <s v="1052/3999"/>
    <s v="kpl"/>
    <n v="2078"/>
    <n v="50"/>
    <n v="86"/>
    <x v="239"/>
    <n v="989"/>
    <n v="5289"/>
    <x v="9"/>
  </r>
  <r>
    <n v="1980"/>
    <x v="1"/>
    <n v="8"/>
    <d v="2022-12-02T00:00:00"/>
    <s v="FA"/>
    <s v="1052/4000"/>
    <s v="kpl"/>
    <n v="2079"/>
    <n v="40"/>
    <n v="99"/>
    <x v="291"/>
    <n v="910.80000000000007"/>
    <n v="4870.8"/>
    <x v="2"/>
  </r>
  <r>
    <n v="1981"/>
    <x v="3"/>
    <n v="13"/>
    <d v="2022-12-20T00:00:00"/>
    <s v="FA"/>
    <s v="1052/4001"/>
    <s v="kpl"/>
    <n v="2080"/>
    <n v="51"/>
    <n v="88"/>
    <x v="19"/>
    <n v="1032.24"/>
    <n v="5520.24"/>
    <x v="2"/>
  </r>
  <r>
    <n v="1982"/>
    <x v="15"/>
    <n v="10"/>
    <d v="2022-12-28T00:00:00"/>
    <s v="FA"/>
    <s v="1052/4002"/>
    <s v="kpl"/>
    <n v="2081"/>
    <n v="59"/>
    <n v="90"/>
    <x v="210"/>
    <n v="1221.3"/>
    <n v="6531.3"/>
    <x v="2"/>
  </r>
  <r>
    <n v="1983"/>
    <x v="16"/>
    <n v="10"/>
    <d v="2022-04-17T00:00:00"/>
    <s v="FA"/>
    <s v="1052/4003"/>
    <s v="kpl"/>
    <n v="2082"/>
    <n v="66"/>
    <n v="132"/>
    <x v="674"/>
    <n v="2003.76"/>
    <n v="10715.76"/>
    <x v="1"/>
  </r>
  <r>
    <n v="1984"/>
    <x v="26"/>
    <n v="7"/>
    <d v="2022-11-23T00:00:00"/>
    <s v="FA"/>
    <s v="1052/4004"/>
    <s v="kpl"/>
    <n v="2083"/>
    <n v="52"/>
    <n v="99"/>
    <x v="145"/>
    <n v="1184.04"/>
    <n v="6332.04"/>
    <x v="8"/>
  </r>
  <r>
    <n v="1985"/>
    <x v="0"/>
    <n v="10"/>
    <d v="2022-11-20T00:00:00"/>
    <s v="FA"/>
    <s v="1052/4005"/>
    <s v="kpl"/>
    <n v="2084"/>
    <n v="52"/>
    <n v="83"/>
    <x v="58"/>
    <n v="992.68000000000006"/>
    <n v="5308.68"/>
    <x v="8"/>
  </r>
  <r>
    <n v="1986"/>
    <x v="9"/>
    <n v="12"/>
    <d v="2022-12-20T00:00:00"/>
    <s v="FA"/>
    <s v="1052/4006"/>
    <s v="kpl"/>
    <n v="2085"/>
    <n v="40"/>
    <n v="108"/>
    <x v="312"/>
    <n v="993.6"/>
    <n v="5313.6"/>
    <x v="2"/>
  </r>
  <r>
    <n v="1987"/>
    <x v="16"/>
    <n v="8"/>
    <d v="2022-11-24T00:00:00"/>
    <s v="FA"/>
    <s v="1052/4007"/>
    <s v="kpl"/>
    <n v="2086"/>
    <n v="60"/>
    <n v="132"/>
    <x v="229"/>
    <n v="1821.6000000000001"/>
    <n v="9741.6"/>
    <x v="8"/>
  </r>
  <r>
    <n v="1988"/>
    <x v="26"/>
    <n v="12"/>
    <d v="2022-11-20T00:00:00"/>
    <s v="FA"/>
    <s v="1052/4008"/>
    <s v="kpl"/>
    <n v="2087"/>
    <n v="55"/>
    <n v="99"/>
    <x v="50"/>
    <n v="1252.3500000000001"/>
    <n v="6697.35"/>
    <x v="8"/>
  </r>
  <r>
    <n v="1989"/>
    <x v="22"/>
    <n v="10"/>
    <d v="2022-05-02T00:00:00"/>
    <s v="FA"/>
    <s v="1052/4009"/>
    <s v="kpl"/>
    <n v="2088"/>
    <n v="53"/>
    <n v="125"/>
    <x v="633"/>
    <n v="1523.75"/>
    <n v="8148.75"/>
    <x v="10"/>
  </r>
  <r>
    <n v="1990"/>
    <x v="26"/>
    <n v="7"/>
    <d v="2022-11-17T00:00:00"/>
    <s v="FA"/>
    <s v="1052/4010"/>
    <s v="kpl"/>
    <n v="2089"/>
    <n v="56"/>
    <n v="99"/>
    <x v="65"/>
    <n v="1275.1200000000001"/>
    <n v="6819.12"/>
    <x v="8"/>
  </r>
  <r>
    <n v="1991"/>
    <x v="3"/>
    <n v="10"/>
    <d v="2022-01-23T00:00:00"/>
    <s v="FA"/>
    <s v="1052/4011"/>
    <s v="kpl"/>
    <n v="2090"/>
    <n v="47"/>
    <n v="88"/>
    <x v="165"/>
    <n v="951.28000000000009"/>
    <n v="5087.28"/>
    <x v="0"/>
  </r>
  <r>
    <n v="1992"/>
    <x v="7"/>
    <n v="10"/>
    <d v="2022-09-20T00:00:00"/>
    <s v="FA"/>
    <s v="1052/4012"/>
    <s v="kpl"/>
    <n v="2091"/>
    <n v="55"/>
    <n v="96"/>
    <x v="9"/>
    <n v="1214.4000000000001"/>
    <n v="6494.4"/>
    <x v="7"/>
  </r>
  <r>
    <n v="1993"/>
    <x v="11"/>
    <n v="7"/>
    <d v="2022-04-10T00:00:00"/>
    <s v="FA"/>
    <s v="1052/4013"/>
    <s v="kpl"/>
    <n v="2092"/>
    <n v="65"/>
    <n v="93"/>
    <x v="675"/>
    <n v="1390.3500000000001"/>
    <n v="7435.35"/>
    <x v="1"/>
  </r>
  <r>
    <n v="1994"/>
    <x v="2"/>
    <n v="15"/>
    <d v="2022-11-07T00:00:00"/>
    <s v="FA"/>
    <s v="1052/4014"/>
    <s v="kpl"/>
    <n v="2093"/>
    <n v="61"/>
    <n v="84"/>
    <x v="535"/>
    <n v="1178.52"/>
    <n v="6302.52"/>
    <x v="8"/>
  </r>
  <r>
    <n v="1995"/>
    <x v="2"/>
    <n v="6"/>
    <d v="2022-08-22T00:00:00"/>
    <s v="FA"/>
    <s v="1052/4015"/>
    <s v="kpl"/>
    <n v="2094"/>
    <n v="46"/>
    <n v="84"/>
    <x v="380"/>
    <n v="888.72"/>
    <n v="4752.72"/>
    <x v="11"/>
  </r>
  <r>
    <n v="1996"/>
    <x v="14"/>
    <n v="10"/>
    <d v="2022-12-05T00:00:00"/>
    <s v="FA"/>
    <s v="1052/4016"/>
    <s v="kpl"/>
    <n v="2095"/>
    <n v="40"/>
    <n v="86"/>
    <x v="520"/>
    <n v="791.2"/>
    <n v="4231.2"/>
    <x v="2"/>
  </r>
  <r>
    <n v="1997"/>
    <x v="21"/>
    <n v="12"/>
    <d v="2022-06-22T00:00:00"/>
    <s v="FA"/>
    <s v="1052/4017"/>
    <s v="kpl"/>
    <n v="2096"/>
    <n v="37"/>
    <n v="87"/>
    <x v="534"/>
    <n v="740.37"/>
    <n v="3959.37"/>
    <x v="4"/>
  </r>
  <r>
    <n v="1998"/>
    <x v="6"/>
    <n v="13"/>
    <d v="2022-07-10T00:00:00"/>
    <s v="FA"/>
    <s v="1052/4018"/>
    <s v="kpl"/>
    <n v="2097"/>
    <n v="34"/>
    <n v="84"/>
    <x v="44"/>
    <n v="656.88"/>
    <n v="3512.88"/>
    <x v="6"/>
  </r>
  <r>
    <n v="1999"/>
    <x v="3"/>
    <n v="9"/>
    <d v="2022-08-04T00:00:00"/>
    <s v="FA"/>
    <s v="1052/4019"/>
    <s v="kpl"/>
    <n v="2098"/>
    <n v="36"/>
    <n v="88"/>
    <x v="187"/>
    <n v="728.64"/>
    <n v="3896.64"/>
    <x v="11"/>
  </r>
  <r>
    <n v="2000"/>
    <x v="2"/>
    <n v="12"/>
    <d v="2022-07-20T00:00:00"/>
    <s v="FA"/>
    <s v="1052/4020"/>
    <s v="kpl"/>
    <n v="2099"/>
    <n v="41"/>
    <n v="84"/>
    <x v="39"/>
    <n v="792.12"/>
    <n v="4236.12"/>
    <x v="6"/>
  </r>
  <r>
    <n v="2001"/>
    <x v="24"/>
    <n v="12"/>
    <d v="2022-10-15T00:00:00"/>
    <s v="FA"/>
    <s v="1052/4021"/>
    <s v="kpl"/>
    <n v="2100"/>
    <n v="69"/>
    <n v="129"/>
    <x v="676"/>
    <n v="2047.23"/>
    <n v="10948.23"/>
    <x v="5"/>
  </r>
  <r>
    <n v="2002"/>
    <x v="20"/>
    <n v="14"/>
    <d v="2022-08-17T00:00:00"/>
    <s v="FA"/>
    <s v="1052/4022"/>
    <s v="kpl"/>
    <n v="2101"/>
    <n v="52"/>
    <n v="104"/>
    <x v="192"/>
    <n v="1243.8400000000001"/>
    <n v="6651.84"/>
    <x v="11"/>
  </r>
  <r>
    <n v="2003"/>
    <x v="24"/>
    <n v="11"/>
    <d v="2022-02-09T00:00:00"/>
    <s v="FA"/>
    <s v="1052/4023"/>
    <s v="kpl"/>
    <n v="2102"/>
    <n v="53"/>
    <n v="129"/>
    <x v="677"/>
    <n v="1572.51"/>
    <n v="8409.51"/>
    <x v="9"/>
  </r>
  <r>
    <n v="2004"/>
    <x v="23"/>
    <n v="12"/>
    <d v="2022-05-11T00:00:00"/>
    <s v="FA"/>
    <s v="1052/4024"/>
    <s v="kpl"/>
    <n v="2103"/>
    <n v="46"/>
    <n v="105"/>
    <x v="240"/>
    <n v="1110.9000000000001"/>
    <n v="5940.9"/>
    <x v="10"/>
  </r>
  <r>
    <n v="2005"/>
    <x v="10"/>
    <n v="9"/>
    <d v="2022-03-26T00:00:00"/>
    <s v="FA"/>
    <s v="1052/4025"/>
    <s v="kpl"/>
    <n v="2104"/>
    <n v="37"/>
    <n v="84"/>
    <x v="366"/>
    <n v="714.84"/>
    <n v="3822.84"/>
    <x v="3"/>
  </r>
  <r>
    <n v="2006"/>
    <x v="7"/>
    <n v="10"/>
    <d v="2022-08-03T00:00:00"/>
    <s v="FA"/>
    <s v="1052/4026"/>
    <s v="kpl"/>
    <n v="2105"/>
    <n v="66"/>
    <n v="96"/>
    <x v="56"/>
    <n v="1457.28"/>
    <n v="7793.28"/>
    <x v="11"/>
  </r>
  <r>
    <n v="2007"/>
    <x v="12"/>
    <n v="12"/>
    <d v="2022-06-18T00:00:00"/>
    <s v="FA"/>
    <s v="1052/4027"/>
    <s v="kpl"/>
    <n v="2106"/>
    <n v="54"/>
    <n v="91"/>
    <x v="525"/>
    <n v="1130.22"/>
    <n v="6044.22"/>
    <x v="4"/>
  </r>
  <r>
    <n v="2008"/>
    <x v="15"/>
    <n v="12"/>
    <d v="2022-09-15T00:00:00"/>
    <s v="FA"/>
    <s v="1052/4028"/>
    <s v="kpl"/>
    <n v="2107"/>
    <n v="62"/>
    <n v="90"/>
    <x v="493"/>
    <n v="1283.4000000000001"/>
    <n v="6863.4"/>
    <x v="7"/>
  </r>
  <r>
    <n v="2009"/>
    <x v="17"/>
    <n v="8"/>
    <d v="2022-03-03T00:00:00"/>
    <s v="FA"/>
    <s v="1052/4029"/>
    <s v="kpl"/>
    <n v="2108"/>
    <n v="62"/>
    <n v="94"/>
    <x v="170"/>
    <n v="1340.44"/>
    <n v="7168.4400000000005"/>
    <x v="3"/>
  </r>
  <r>
    <n v="2010"/>
    <x v="28"/>
    <n v="9"/>
    <d v="2022-11-24T00:00:00"/>
    <s v="FA"/>
    <s v="1052/4030"/>
    <s v="kpl"/>
    <n v="2109"/>
    <n v="65"/>
    <n v="105"/>
    <x v="486"/>
    <n v="1569.75"/>
    <n v="8394.75"/>
    <x v="8"/>
  </r>
  <r>
    <n v="2011"/>
    <x v="16"/>
    <n v="13"/>
    <d v="2022-10-22T00:00:00"/>
    <s v="FA"/>
    <s v="1052/4031"/>
    <s v="kpl"/>
    <n v="2110"/>
    <n v="44"/>
    <n v="132"/>
    <x v="3"/>
    <n v="1335.8400000000001"/>
    <n v="7143.84"/>
    <x v="5"/>
  </r>
  <r>
    <n v="2012"/>
    <x v="2"/>
    <n v="8"/>
    <d v="2022-01-09T00:00:00"/>
    <s v="FA"/>
    <s v="1052/4032"/>
    <s v="kpl"/>
    <n v="2111"/>
    <n v="50"/>
    <n v="84"/>
    <x v="194"/>
    <n v="966"/>
    <n v="5166"/>
    <x v="0"/>
  </r>
  <r>
    <n v="2013"/>
    <x v="29"/>
    <n v="9"/>
    <d v="2022-10-14T00:00:00"/>
    <s v="FA"/>
    <s v="1052/4033"/>
    <s v="kpl"/>
    <n v="2112"/>
    <n v="50"/>
    <n v="103"/>
    <x v="678"/>
    <n v="1184.5"/>
    <n v="6334.5"/>
    <x v="5"/>
  </r>
  <r>
    <n v="2014"/>
    <x v="25"/>
    <n v="6"/>
    <d v="2022-01-04T00:00:00"/>
    <s v="FA"/>
    <s v="1052/4034"/>
    <s v="kpl"/>
    <n v="2113"/>
    <n v="51"/>
    <n v="59"/>
    <x v="339"/>
    <n v="692.07"/>
    <n v="3701.07"/>
    <x v="0"/>
  </r>
  <r>
    <n v="2015"/>
    <x v="24"/>
    <n v="10"/>
    <d v="2022-10-02T00:00:00"/>
    <s v="FA"/>
    <s v="1052/4035"/>
    <s v="kpl"/>
    <n v="2114"/>
    <n v="46"/>
    <n v="129"/>
    <x v="358"/>
    <n v="1364.8200000000002"/>
    <n v="7298.82"/>
    <x v="5"/>
  </r>
  <r>
    <n v="2016"/>
    <x v="23"/>
    <n v="12"/>
    <d v="2022-10-27T00:00:00"/>
    <s v="FA"/>
    <s v="1052/4036"/>
    <s v="kpl"/>
    <n v="2115"/>
    <n v="37"/>
    <n v="105"/>
    <x v="511"/>
    <n v="893.55000000000007"/>
    <n v="4778.55"/>
    <x v="5"/>
  </r>
  <r>
    <n v="2017"/>
    <x v="22"/>
    <n v="7"/>
    <d v="2022-05-17T00:00:00"/>
    <s v="FA"/>
    <s v="1052/4037"/>
    <s v="kpl"/>
    <n v="2116"/>
    <n v="62"/>
    <n v="125"/>
    <x v="537"/>
    <n v="1782.5"/>
    <n v="9532.5"/>
    <x v="10"/>
  </r>
  <r>
    <n v="2018"/>
    <x v="22"/>
    <n v="12"/>
    <d v="2022-01-02T00:00:00"/>
    <s v="FA"/>
    <s v="1052/4038"/>
    <s v="kpl"/>
    <n v="2117"/>
    <n v="54"/>
    <n v="125"/>
    <x v="651"/>
    <n v="1552.5"/>
    <n v="8302.5"/>
    <x v="0"/>
  </r>
  <r>
    <n v="2019"/>
    <x v="9"/>
    <n v="6"/>
    <d v="2022-02-19T00:00:00"/>
    <s v="FA"/>
    <s v="1052/4039"/>
    <s v="kpl"/>
    <n v="2118"/>
    <n v="67"/>
    <n v="108"/>
    <x v="679"/>
    <n v="1664.28"/>
    <n v="8900.2800000000007"/>
    <x v="9"/>
  </r>
  <r>
    <n v="2020"/>
    <x v="0"/>
    <n v="9"/>
    <d v="2022-10-15T00:00:00"/>
    <s v="FA"/>
    <s v="1052/4040"/>
    <s v="kpl"/>
    <n v="2119"/>
    <n v="48"/>
    <n v="83"/>
    <x v="176"/>
    <n v="916.32"/>
    <n v="4900.32"/>
    <x v="5"/>
  </r>
  <r>
    <n v="2021"/>
    <x v="7"/>
    <n v="13"/>
    <d v="2022-07-17T00:00:00"/>
    <s v="FA"/>
    <s v="1052/4041"/>
    <s v="kpl"/>
    <n v="2120"/>
    <n v="57"/>
    <n v="96"/>
    <x v="655"/>
    <n v="1258.56"/>
    <n v="6730.5599999999995"/>
    <x v="6"/>
  </r>
  <r>
    <n v="2022"/>
    <x v="21"/>
    <n v="9"/>
    <d v="2022-07-20T00:00:00"/>
    <s v="FA"/>
    <s v="1052/4042"/>
    <s v="kpl"/>
    <n v="2121"/>
    <n v="50"/>
    <n v="87"/>
    <x v="476"/>
    <n v="1000.5"/>
    <n v="5350.5"/>
    <x v="6"/>
  </r>
  <r>
    <n v="2023"/>
    <x v="28"/>
    <n v="8"/>
    <d v="2022-03-05T00:00:00"/>
    <s v="FA"/>
    <s v="1052/4043"/>
    <s v="kpl"/>
    <n v="2122"/>
    <n v="53"/>
    <n v="105"/>
    <x v="437"/>
    <n v="1279.95"/>
    <n v="6844.95"/>
    <x v="3"/>
  </r>
  <r>
    <n v="2024"/>
    <x v="25"/>
    <n v="12"/>
    <d v="2022-03-24T00:00:00"/>
    <s v="FA"/>
    <s v="1052/4044"/>
    <s v="kpl"/>
    <n v="2123"/>
    <n v="47"/>
    <n v="59"/>
    <x v="529"/>
    <n v="637.79000000000008"/>
    <n v="3410.79"/>
    <x v="3"/>
  </r>
  <r>
    <n v="2025"/>
    <x v="10"/>
    <n v="5"/>
    <d v="2022-01-22T00:00:00"/>
    <s v="FA"/>
    <s v="1052/4045"/>
    <s v="kpl"/>
    <n v="2124"/>
    <n v="35"/>
    <n v="84"/>
    <x v="132"/>
    <n v="676.2"/>
    <n v="3616.2"/>
    <x v="0"/>
  </r>
  <r>
    <n v="2026"/>
    <x v="7"/>
    <n v="10"/>
    <d v="2022-04-02T00:00:00"/>
    <s v="FA"/>
    <s v="1052/4046"/>
    <s v="kpl"/>
    <n v="2125"/>
    <n v="66"/>
    <n v="96"/>
    <x v="56"/>
    <n v="1457.28"/>
    <n v="7793.28"/>
    <x v="1"/>
  </r>
  <r>
    <n v="2027"/>
    <x v="20"/>
    <n v="13"/>
    <d v="2022-10-14T00:00:00"/>
    <s v="FA"/>
    <s v="1052/4047"/>
    <s v="kpl"/>
    <n v="2126"/>
    <n v="61"/>
    <n v="104"/>
    <x v="484"/>
    <n v="1459.1200000000001"/>
    <n v="7803.12"/>
    <x v="5"/>
  </r>
  <r>
    <n v="2028"/>
    <x v="14"/>
    <n v="10"/>
    <d v="2022-12-16T00:00:00"/>
    <s v="FA"/>
    <s v="1052/4048"/>
    <s v="kpl"/>
    <n v="2127"/>
    <n v="57"/>
    <n v="86"/>
    <x v="247"/>
    <n v="1127.46"/>
    <n v="6029.46"/>
    <x v="2"/>
  </r>
  <r>
    <n v="2029"/>
    <x v="11"/>
    <n v="11"/>
    <d v="2022-09-26T00:00:00"/>
    <s v="FA"/>
    <s v="1052/4049"/>
    <s v="kpl"/>
    <n v="2128"/>
    <n v="59"/>
    <n v="93"/>
    <x v="670"/>
    <n v="1262.01"/>
    <n v="6749.01"/>
    <x v="7"/>
  </r>
  <r>
    <n v="2030"/>
    <x v="22"/>
    <n v="7"/>
    <d v="2022-09-24T00:00:00"/>
    <s v="FA"/>
    <s v="1052/4050"/>
    <s v="kpl"/>
    <n v="2129"/>
    <n v="61"/>
    <n v="125"/>
    <x v="250"/>
    <n v="1753.75"/>
    <n v="9378.75"/>
    <x v="7"/>
  </r>
  <r>
    <n v="2031"/>
    <x v="5"/>
    <n v="13"/>
    <d v="2022-10-11T00:00:00"/>
    <s v="FA"/>
    <s v="1052/4051"/>
    <s v="kpl"/>
    <n v="2130"/>
    <n v="41"/>
    <n v="87"/>
    <x v="49"/>
    <n v="820.41000000000008"/>
    <n v="4387.41"/>
    <x v="5"/>
  </r>
  <r>
    <n v="2032"/>
    <x v="16"/>
    <n v="10"/>
    <d v="2022-12-21T00:00:00"/>
    <s v="FA"/>
    <s v="1052/4052"/>
    <s v="kpl"/>
    <n v="2131"/>
    <n v="71"/>
    <n v="132"/>
    <x v="588"/>
    <n v="2155.56"/>
    <n v="11527.56"/>
    <x v="2"/>
  </r>
  <r>
    <n v="2033"/>
    <x v="11"/>
    <n v="12"/>
    <d v="2022-04-17T00:00:00"/>
    <s v="FA"/>
    <s v="1052/4053"/>
    <s v="kpl"/>
    <n v="2132"/>
    <n v="50"/>
    <n v="93"/>
    <x v="680"/>
    <n v="1069.5"/>
    <n v="5719.5"/>
    <x v="1"/>
  </r>
  <r>
    <n v="2034"/>
    <x v="25"/>
    <n v="8"/>
    <d v="2022-08-18T00:00:00"/>
    <s v="FA"/>
    <s v="1052/4054"/>
    <s v="kpl"/>
    <n v="2133"/>
    <n v="39"/>
    <n v="59"/>
    <x v="590"/>
    <n v="529.23"/>
    <n v="2830.23"/>
    <x v="11"/>
  </r>
  <r>
    <n v="2035"/>
    <x v="14"/>
    <n v="11"/>
    <d v="2022-05-28T00:00:00"/>
    <s v="FA"/>
    <s v="1052/4055"/>
    <s v="kpl"/>
    <n v="2134"/>
    <n v="38"/>
    <n v="86"/>
    <x v="33"/>
    <n v="751.64"/>
    <n v="4019.64"/>
    <x v="10"/>
  </r>
  <r>
    <n v="2036"/>
    <x v="6"/>
    <n v="13"/>
    <d v="2022-10-21T00:00:00"/>
    <s v="FA"/>
    <s v="1052/4056"/>
    <s v="kpl"/>
    <n v="2135"/>
    <n v="45"/>
    <n v="84"/>
    <x v="12"/>
    <n v="869.40000000000009"/>
    <n v="4649.3999999999996"/>
    <x v="5"/>
  </r>
  <r>
    <n v="2037"/>
    <x v="0"/>
    <n v="10"/>
    <d v="2022-07-24T00:00:00"/>
    <s v="FA"/>
    <s v="1052/4057"/>
    <s v="kpl"/>
    <n v="2136"/>
    <n v="45"/>
    <n v="83"/>
    <x v="251"/>
    <n v="859.05000000000007"/>
    <n v="4594.05"/>
    <x v="6"/>
  </r>
  <r>
    <n v="2038"/>
    <x v="0"/>
    <n v="6"/>
    <d v="2022-03-21T00:00:00"/>
    <s v="FA"/>
    <s v="1052/4058"/>
    <s v="kpl"/>
    <n v="2137"/>
    <n v="61"/>
    <n v="83"/>
    <x v="87"/>
    <n v="1164.49"/>
    <n v="6227.49"/>
    <x v="3"/>
  </r>
  <r>
    <n v="2039"/>
    <x v="4"/>
    <n v="9"/>
    <d v="2022-01-13T00:00:00"/>
    <s v="FA"/>
    <s v="1052/4059"/>
    <s v="kpl"/>
    <n v="2138"/>
    <n v="62"/>
    <n v="85"/>
    <x v="458"/>
    <n v="1212.1000000000001"/>
    <n v="6482.1"/>
    <x v="0"/>
  </r>
  <r>
    <n v="2040"/>
    <x v="16"/>
    <n v="10"/>
    <d v="2022-10-16T00:00:00"/>
    <s v="FA"/>
    <s v="1052/4060"/>
    <s v="kpl"/>
    <n v="2139"/>
    <n v="47"/>
    <n v="132"/>
    <x v="115"/>
    <n v="1426.92"/>
    <n v="7630.92"/>
    <x v="5"/>
  </r>
  <r>
    <n v="2041"/>
    <x v="29"/>
    <n v="10"/>
    <d v="2022-09-04T00:00:00"/>
    <s v="FA"/>
    <s v="1052/4061"/>
    <s v="kpl"/>
    <n v="2140"/>
    <n v="47"/>
    <n v="103"/>
    <x v="681"/>
    <n v="1113.43"/>
    <n v="5954.43"/>
    <x v="7"/>
  </r>
  <r>
    <n v="2042"/>
    <x v="10"/>
    <n v="12"/>
    <d v="2022-06-15T00:00:00"/>
    <s v="FA"/>
    <s v="1052/4062"/>
    <s v="kpl"/>
    <n v="2141"/>
    <n v="45"/>
    <n v="84"/>
    <x v="12"/>
    <n v="869.40000000000009"/>
    <n v="4649.3999999999996"/>
    <x v="4"/>
  </r>
  <r>
    <n v="2043"/>
    <x v="10"/>
    <n v="8"/>
    <d v="2022-12-26T00:00:00"/>
    <s v="FA"/>
    <s v="1052/4063"/>
    <s v="kpl"/>
    <n v="2142"/>
    <n v="47"/>
    <n v="84"/>
    <x v="55"/>
    <n v="908.04000000000008"/>
    <n v="4856.04"/>
    <x v="2"/>
  </r>
  <r>
    <n v="2044"/>
    <x v="19"/>
    <n v="9"/>
    <d v="2022-12-24T00:00:00"/>
    <s v="FA"/>
    <s v="1052/4064"/>
    <s v="kpl"/>
    <n v="2143"/>
    <n v="52"/>
    <n v="121"/>
    <x v="124"/>
    <n v="1447.16"/>
    <n v="7739.16"/>
    <x v="2"/>
  </r>
  <r>
    <n v="2045"/>
    <x v="0"/>
    <n v="12"/>
    <d v="2022-11-13T00:00:00"/>
    <s v="FA"/>
    <s v="1052/4065"/>
    <s v="kpl"/>
    <n v="2144"/>
    <n v="60"/>
    <n v="83"/>
    <x v="86"/>
    <n v="1145.4000000000001"/>
    <n v="6125.4"/>
    <x v="8"/>
  </r>
  <r>
    <n v="2046"/>
    <x v="3"/>
    <n v="8"/>
    <d v="2022-08-27T00:00:00"/>
    <s v="FA"/>
    <s v="1052/4066"/>
    <s v="kpl"/>
    <n v="2145"/>
    <n v="40"/>
    <n v="88"/>
    <x v="167"/>
    <n v="809.6"/>
    <n v="4329.6000000000004"/>
    <x v="11"/>
  </r>
  <r>
    <n v="2047"/>
    <x v="11"/>
    <n v="14"/>
    <d v="2022-08-08T00:00:00"/>
    <s v="FA"/>
    <s v="1052/4067"/>
    <s v="kpl"/>
    <n v="2146"/>
    <n v="74"/>
    <n v="93"/>
    <x v="682"/>
    <n v="1582.8600000000001"/>
    <n v="8464.86"/>
    <x v="11"/>
  </r>
  <r>
    <n v="2048"/>
    <x v="1"/>
    <n v="12"/>
    <d v="2022-11-17T00:00:00"/>
    <s v="FA"/>
    <s v="1052/4068"/>
    <s v="kpl"/>
    <n v="2147"/>
    <n v="48"/>
    <n v="99"/>
    <x v="126"/>
    <n v="1092.96"/>
    <n v="5844.96"/>
    <x v="8"/>
  </r>
  <r>
    <n v="2049"/>
    <x v="0"/>
    <n v="9"/>
    <d v="2022-04-12T00:00:00"/>
    <s v="FA"/>
    <s v="1052/4069"/>
    <s v="kpl"/>
    <n v="2148"/>
    <n v="47"/>
    <n v="83"/>
    <x v="282"/>
    <n v="897.23"/>
    <n v="4798.2299999999996"/>
    <x v="1"/>
  </r>
  <r>
    <n v="2050"/>
    <x v="1"/>
    <n v="12"/>
    <d v="2022-07-01T00:00:00"/>
    <s v="FA"/>
    <s v="1052/4070"/>
    <s v="kpl"/>
    <n v="2149"/>
    <n v="47"/>
    <n v="99"/>
    <x v="4"/>
    <n v="1070.19"/>
    <n v="5723.1900000000005"/>
    <x v="6"/>
  </r>
  <r>
    <n v="2051"/>
    <x v="12"/>
    <n v="11"/>
    <d v="2022-11-12T00:00:00"/>
    <s v="FA"/>
    <s v="1052/4071"/>
    <s v="kpl"/>
    <n v="2150"/>
    <n v="49"/>
    <n v="91"/>
    <x v="593"/>
    <n v="1025.57"/>
    <n v="5484.57"/>
    <x v="8"/>
  </r>
  <r>
    <n v="2052"/>
    <x v="14"/>
    <n v="7"/>
    <d v="2022-10-26T00:00:00"/>
    <s v="FA"/>
    <s v="1052/4072"/>
    <s v="kpl"/>
    <n v="2151"/>
    <n v="49"/>
    <n v="86"/>
    <x v="262"/>
    <n v="969.22"/>
    <n v="5183.22"/>
    <x v="5"/>
  </r>
  <r>
    <n v="2053"/>
    <x v="10"/>
    <n v="16"/>
    <d v="2022-11-16T00:00:00"/>
    <s v="FA"/>
    <s v="1052/4073"/>
    <s v="kpl"/>
    <n v="2152"/>
    <n v="40"/>
    <n v="84"/>
    <x v="84"/>
    <n v="772.80000000000007"/>
    <n v="4132.8"/>
    <x v="8"/>
  </r>
  <r>
    <n v="2054"/>
    <x v="17"/>
    <n v="9"/>
    <d v="2022-09-12T00:00:00"/>
    <s v="FA"/>
    <s v="1052/4074"/>
    <s v="kpl"/>
    <n v="2153"/>
    <n v="56"/>
    <n v="94"/>
    <x v="552"/>
    <n v="1210.72"/>
    <n v="6474.72"/>
    <x v="7"/>
  </r>
  <r>
    <n v="2055"/>
    <x v="0"/>
    <n v="5"/>
    <d v="2022-03-27T00:00:00"/>
    <s v="FA"/>
    <s v="1052/4075"/>
    <s v="kpl"/>
    <n v="2154"/>
    <n v="46"/>
    <n v="83"/>
    <x v="542"/>
    <n v="878.14"/>
    <n v="4696.1400000000003"/>
    <x v="3"/>
  </r>
  <r>
    <n v="2056"/>
    <x v="22"/>
    <n v="6"/>
    <d v="2022-12-21T00:00:00"/>
    <s v="FA"/>
    <s v="1052/4076"/>
    <s v="kpl"/>
    <n v="2155"/>
    <n v="64"/>
    <n v="125"/>
    <x v="491"/>
    <n v="1840"/>
    <n v="9840"/>
    <x v="2"/>
  </r>
  <r>
    <n v="2057"/>
    <x v="6"/>
    <n v="14"/>
    <d v="2022-08-21T00:00:00"/>
    <s v="FA"/>
    <s v="1052/4077"/>
    <s v="kpl"/>
    <n v="2156"/>
    <n v="33"/>
    <n v="84"/>
    <x v="94"/>
    <n v="637.56000000000006"/>
    <n v="3409.56"/>
    <x v="11"/>
  </r>
  <r>
    <n v="2058"/>
    <x v="19"/>
    <n v="8"/>
    <d v="2022-07-07T00:00:00"/>
    <s v="FA"/>
    <s v="1052/4078"/>
    <s v="kpl"/>
    <n v="2157"/>
    <n v="57"/>
    <n v="121"/>
    <x v="256"/>
    <n v="1586.3100000000002"/>
    <n v="8483.31"/>
    <x v="6"/>
  </r>
  <r>
    <n v="2059"/>
    <x v="22"/>
    <n v="11"/>
    <d v="2022-02-05T00:00:00"/>
    <s v="FA"/>
    <s v="1052/4079"/>
    <s v="kpl"/>
    <n v="2158"/>
    <n v="45"/>
    <n v="125"/>
    <x v="618"/>
    <n v="1293.75"/>
    <n v="6918.75"/>
    <x v="9"/>
  </r>
  <r>
    <n v="2060"/>
    <x v="14"/>
    <n v="7"/>
    <d v="2022-02-19T00:00:00"/>
    <s v="FA"/>
    <s v="1052/4080"/>
    <s v="kpl"/>
    <n v="2159"/>
    <n v="60"/>
    <n v="86"/>
    <x v="279"/>
    <n v="1186.8"/>
    <n v="6346.8"/>
    <x v="9"/>
  </r>
  <r>
    <n v="2061"/>
    <x v="20"/>
    <n v="10"/>
    <d v="2022-12-23T00:00:00"/>
    <s v="FA"/>
    <s v="1052/4081"/>
    <s v="kpl"/>
    <n v="2160"/>
    <n v="60"/>
    <n v="104"/>
    <x v="573"/>
    <n v="1435.2"/>
    <n v="7675.2"/>
    <x v="2"/>
  </r>
  <r>
    <n v="2062"/>
    <x v="8"/>
    <n v="8"/>
    <d v="2022-10-05T00:00:00"/>
    <s v="FA"/>
    <s v="1052/4082"/>
    <s v="kpl"/>
    <n v="2161"/>
    <n v="49"/>
    <n v="89"/>
    <x v="641"/>
    <n v="1003.0300000000001"/>
    <n v="5364.03"/>
    <x v="5"/>
  </r>
  <r>
    <n v="2063"/>
    <x v="27"/>
    <n v="9"/>
    <d v="2022-06-05T00:00:00"/>
    <s v="FA"/>
    <s v="1052/4083"/>
    <s v="kpl"/>
    <n v="2162"/>
    <n v="63"/>
    <n v="111"/>
    <x v="683"/>
    <n v="1608.39"/>
    <n v="8601.39"/>
    <x v="4"/>
  </r>
  <r>
    <n v="2064"/>
    <x v="14"/>
    <n v="11"/>
    <d v="2022-12-20T00:00:00"/>
    <s v="FA"/>
    <s v="1052/4084"/>
    <s v="kpl"/>
    <n v="2163"/>
    <n v="67"/>
    <n v="86"/>
    <x v="349"/>
    <n v="1325.26"/>
    <n v="7087.26"/>
    <x v="2"/>
  </r>
  <r>
    <n v="2065"/>
    <x v="15"/>
    <n v="16"/>
    <d v="2022-05-25T00:00:00"/>
    <s v="FA"/>
    <s v="1052/4085"/>
    <s v="kpl"/>
    <n v="2164"/>
    <n v="43"/>
    <n v="90"/>
    <x v="340"/>
    <n v="890.1"/>
    <n v="4760.1000000000004"/>
    <x v="10"/>
  </r>
  <r>
    <n v="2066"/>
    <x v="12"/>
    <n v="7"/>
    <d v="2022-09-16T00:00:00"/>
    <s v="FA"/>
    <s v="1052/4086"/>
    <s v="kpl"/>
    <n v="2165"/>
    <n v="55"/>
    <n v="91"/>
    <x v="227"/>
    <n v="1151.1500000000001"/>
    <n v="6156.15"/>
    <x v="7"/>
  </r>
  <r>
    <n v="2067"/>
    <x v="10"/>
    <n v="12"/>
    <d v="2022-07-18T00:00:00"/>
    <s v="FA"/>
    <s v="1052/4087"/>
    <s v="kpl"/>
    <n v="2166"/>
    <n v="62"/>
    <n v="84"/>
    <x v="67"/>
    <n v="1197.8400000000001"/>
    <n v="6405.84"/>
    <x v="6"/>
  </r>
  <r>
    <n v="2068"/>
    <x v="7"/>
    <n v="11"/>
    <d v="2022-08-12T00:00:00"/>
    <s v="FA"/>
    <s v="1052/4088"/>
    <s v="kpl"/>
    <n v="2167"/>
    <n v="54"/>
    <n v="96"/>
    <x v="432"/>
    <n v="1192.3200000000002"/>
    <n v="6376.32"/>
    <x v="11"/>
  </r>
  <r>
    <n v="2069"/>
    <x v="23"/>
    <n v="14"/>
    <d v="2022-11-27T00:00:00"/>
    <s v="FA"/>
    <s v="1052/4089"/>
    <s v="kpl"/>
    <n v="2168"/>
    <n v="58"/>
    <n v="105"/>
    <x v="172"/>
    <n v="1400.7"/>
    <n v="7490.7"/>
    <x v="8"/>
  </r>
  <r>
    <n v="2070"/>
    <x v="13"/>
    <n v="11"/>
    <d v="2022-05-18T00:00:00"/>
    <s v="FA"/>
    <s v="1052/4090"/>
    <s v="kpl"/>
    <n v="2169"/>
    <n v="40"/>
    <n v="88"/>
    <x v="167"/>
    <n v="809.6"/>
    <n v="4329.6000000000004"/>
    <x v="10"/>
  </r>
  <r>
    <n v="2071"/>
    <x v="14"/>
    <n v="13"/>
    <d v="2022-09-07T00:00:00"/>
    <s v="FA"/>
    <s v="1052/4091"/>
    <s v="kpl"/>
    <n v="2170"/>
    <n v="30"/>
    <n v="86"/>
    <x v="684"/>
    <n v="593.4"/>
    <n v="3173.4"/>
    <x v="7"/>
  </r>
  <r>
    <n v="2072"/>
    <x v="1"/>
    <n v="7"/>
    <d v="2022-05-28T00:00:00"/>
    <s v="FA"/>
    <s v="1052/4092"/>
    <s v="kpl"/>
    <n v="2171"/>
    <n v="31"/>
    <n v="99"/>
    <x v="162"/>
    <n v="705.87"/>
    <n v="3774.87"/>
    <x v="10"/>
  </r>
  <r>
    <n v="2073"/>
    <x v="28"/>
    <n v="7"/>
    <d v="2022-01-23T00:00:00"/>
    <s v="FA"/>
    <s v="1052/4093"/>
    <s v="kpl"/>
    <n v="2172"/>
    <n v="32"/>
    <n v="105"/>
    <x v="84"/>
    <n v="772.80000000000007"/>
    <n v="4132.8"/>
    <x v="0"/>
  </r>
  <r>
    <n v="2074"/>
    <x v="6"/>
    <n v="6"/>
    <d v="2022-11-16T00:00:00"/>
    <s v="FA"/>
    <s v="1052/4094"/>
    <s v="kpl"/>
    <n v="2173"/>
    <n v="44"/>
    <n v="84"/>
    <x v="236"/>
    <n v="850.08"/>
    <n v="4546.08"/>
    <x v="8"/>
  </r>
  <r>
    <n v="2075"/>
    <x v="13"/>
    <n v="10"/>
    <d v="2022-09-15T00:00:00"/>
    <s v="FA"/>
    <s v="1052/4095"/>
    <s v="kpl"/>
    <n v="2174"/>
    <n v="39"/>
    <n v="88"/>
    <x v="16"/>
    <n v="789.36"/>
    <n v="4221.3599999999997"/>
    <x v="7"/>
  </r>
  <r>
    <n v="2076"/>
    <x v="11"/>
    <n v="7"/>
    <d v="2022-02-05T00:00:00"/>
    <s v="FA"/>
    <s v="1052/4096"/>
    <s v="kpl"/>
    <n v="2175"/>
    <n v="55"/>
    <n v="93"/>
    <x v="161"/>
    <n v="1176.45"/>
    <n v="6291.45"/>
    <x v="9"/>
  </r>
  <r>
    <n v="2077"/>
    <x v="29"/>
    <n v="11"/>
    <d v="2022-02-18T00:00:00"/>
    <s v="FA"/>
    <s v="1052/4097"/>
    <s v="kpl"/>
    <n v="2176"/>
    <n v="32"/>
    <n v="103"/>
    <x v="685"/>
    <n v="758.08"/>
    <n v="4054.08"/>
    <x v="9"/>
  </r>
  <r>
    <n v="2078"/>
    <x v="6"/>
    <n v="5"/>
    <d v="2022-04-22T00:00:00"/>
    <s v="FA"/>
    <s v="1052/4098"/>
    <s v="kpl"/>
    <n v="2177"/>
    <n v="52"/>
    <n v="84"/>
    <x v="109"/>
    <n v="1004.6400000000001"/>
    <n v="5372.64"/>
    <x v="1"/>
  </r>
  <r>
    <n v="2079"/>
    <x v="22"/>
    <n v="6"/>
    <d v="2022-07-24T00:00:00"/>
    <s v="FA"/>
    <s v="1052/4099"/>
    <s v="kpl"/>
    <n v="2178"/>
    <n v="46"/>
    <n v="125"/>
    <x v="263"/>
    <n v="1322.5"/>
    <n v="7072.5"/>
    <x v="6"/>
  </r>
  <r>
    <n v="2080"/>
    <x v="29"/>
    <n v="4"/>
    <d v="2022-07-14T00:00:00"/>
    <s v="FA"/>
    <s v="1052/4100"/>
    <s v="kpl"/>
    <n v="2179"/>
    <n v="43"/>
    <n v="103"/>
    <x v="686"/>
    <n v="1018.6700000000001"/>
    <n v="5447.67"/>
    <x v="6"/>
  </r>
  <r>
    <n v="2081"/>
    <x v="13"/>
    <n v="9"/>
    <d v="2022-01-15T00:00:00"/>
    <s v="FA"/>
    <s v="1052/4101"/>
    <s v="kpl"/>
    <n v="2180"/>
    <n v="46"/>
    <n v="88"/>
    <x v="21"/>
    <n v="931.04000000000008"/>
    <n v="4979.04"/>
    <x v="0"/>
  </r>
  <r>
    <n v="2082"/>
    <x v="1"/>
    <n v="10"/>
    <d v="2022-09-03T00:00:00"/>
    <s v="FA"/>
    <s v="1052/4102"/>
    <s v="kpl"/>
    <n v="2181"/>
    <n v="39"/>
    <n v="99"/>
    <x v="687"/>
    <n v="888.03000000000009"/>
    <n v="4749.03"/>
    <x v="7"/>
  </r>
  <r>
    <n v="2083"/>
    <x v="22"/>
    <n v="12"/>
    <d v="2022-02-08T00:00:00"/>
    <s v="FA"/>
    <s v="1052/4103"/>
    <s v="kpl"/>
    <n v="2182"/>
    <n v="48"/>
    <n v="125"/>
    <x v="672"/>
    <n v="1380"/>
    <n v="7380"/>
    <x v="9"/>
  </r>
  <r>
    <n v="2084"/>
    <x v="22"/>
    <n v="13"/>
    <d v="2022-07-20T00:00:00"/>
    <s v="FA"/>
    <s v="1052/4104"/>
    <s v="kpl"/>
    <n v="2183"/>
    <n v="19"/>
    <n v="125"/>
    <x v="688"/>
    <n v="546.25"/>
    <n v="2921.25"/>
    <x v="6"/>
  </r>
  <r>
    <n v="2085"/>
    <x v="26"/>
    <n v="10"/>
    <d v="2022-07-09T00:00:00"/>
    <s v="FA"/>
    <s v="1052/4105"/>
    <s v="kpl"/>
    <n v="2184"/>
    <n v="52"/>
    <n v="99"/>
    <x v="145"/>
    <n v="1184.04"/>
    <n v="6332.04"/>
    <x v="6"/>
  </r>
  <r>
    <n v="2086"/>
    <x v="29"/>
    <n v="14"/>
    <d v="2022-02-26T00:00:00"/>
    <s v="FA"/>
    <s v="1052/4106"/>
    <s v="kpl"/>
    <n v="2185"/>
    <n v="53"/>
    <n v="103"/>
    <x v="689"/>
    <n v="1255.5700000000002"/>
    <n v="6714.57"/>
    <x v="9"/>
  </r>
  <r>
    <n v="2087"/>
    <x v="9"/>
    <n v="10"/>
    <d v="2022-02-19T00:00:00"/>
    <s v="FA"/>
    <s v="1052/4107"/>
    <s v="kpl"/>
    <n v="2186"/>
    <n v="47"/>
    <n v="108"/>
    <x v="24"/>
    <n v="1167.48"/>
    <n v="6243.48"/>
    <x v="9"/>
  </r>
  <r>
    <n v="2088"/>
    <x v="5"/>
    <n v="13"/>
    <d v="2022-06-04T00:00:00"/>
    <s v="FA"/>
    <s v="1052/4108"/>
    <s v="kpl"/>
    <n v="2187"/>
    <n v="69"/>
    <n v="87"/>
    <x v="464"/>
    <n v="1380.69"/>
    <n v="7383.6900000000005"/>
    <x v="4"/>
  </r>
  <r>
    <n v="2089"/>
    <x v="16"/>
    <n v="8"/>
    <d v="2022-06-10T00:00:00"/>
    <s v="FA"/>
    <s v="1052/4109"/>
    <s v="kpl"/>
    <n v="2188"/>
    <n v="63"/>
    <n v="132"/>
    <x v="690"/>
    <n v="1912.68"/>
    <n v="10228.68"/>
    <x v="4"/>
  </r>
  <r>
    <n v="2090"/>
    <x v="23"/>
    <n v="10"/>
    <d v="2022-05-21T00:00:00"/>
    <s v="FA"/>
    <s v="1052/4110"/>
    <s v="kpl"/>
    <n v="2189"/>
    <n v="48"/>
    <n v="105"/>
    <x v="378"/>
    <n v="1159.2"/>
    <n v="6199.2"/>
    <x v="10"/>
  </r>
  <r>
    <n v="2091"/>
    <x v="13"/>
    <n v="6"/>
    <d v="2022-03-13T00:00:00"/>
    <s v="FA"/>
    <s v="1052/4111"/>
    <s v="kpl"/>
    <n v="2190"/>
    <n v="56"/>
    <n v="88"/>
    <x v="71"/>
    <n v="1133.44"/>
    <n v="6061.4400000000005"/>
    <x v="3"/>
  </r>
  <r>
    <n v="2092"/>
    <x v="20"/>
    <n v="7"/>
    <d v="2022-06-17T00:00:00"/>
    <s v="FA"/>
    <s v="1052/4112"/>
    <s v="kpl"/>
    <n v="2191"/>
    <n v="57"/>
    <n v="104"/>
    <x v="691"/>
    <n v="1363.44"/>
    <n v="7291.4400000000005"/>
    <x v="4"/>
  </r>
  <r>
    <n v="2093"/>
    <x v="29"/>
    <n v="10"/>
    <d v="2022-11-24T00:00:00"/>
    <s v="FA"/>
    <s v="1052/4113"/>
    <s v="kpl"/>
    <n v="2192"/>
    <n v="46"/>
    <n v="103"/>
    <x v="692"/>
    <n v="1089.74"/>
    <n v="5827.74"/>
    <x v="8"/>
  </r>
  <r>
    <n v="2094"/>
    <x v="12"/>
    <n v="13"/>
    <d v="2022-01-10T00:00:00"/>
    <s v="FA"/>
    <s v="1052/4114"/>
    <s v="kpl"/>
    <n v="2193"/>
    <n v="48"/>
    <n v="91"/>
    <x v="109"/>
    <n v="1004.6400000000001"/>
    <n v="5372.64"/>
    <x v="0"/>
  </r>
  <r>
    <n v="2095"/>
    <x v="28"/>
    <n v="11"/>
    <d v="2022-05-05T00:00:00"/>
    <s v="FA"/>
    <s v="1052/4115"/>
    <s v="kpl"/>
    <n v="2194"/>
    <n v="53"/>
    <n v="105"/>
    <x v="437"/>
    <n v="1279.95"/>
    <n v="6844.95"/>
    <x v="10"/>
  </r>
  <r>
    <n v="2096"/>
    <x v="21"/>
    <n v="14"/>
    <d v="2022-03-19T00:00:00"/>
    <s v="FA"/>
    <s v="1052/4116"/>
    <s v="kpl"/>
    <n v="2195"/>
    <n v="40"/>
    <n v="87"/>
    <x v="180"/>
    <n v="800.40000000000009"/>
    <n v="4280.3999999999996"/>
    <x v="3"/>
  </r>
  <r>
    <n v="2097"/>
    <x v="22"/>
    <n v="11"/>
    <d v="2022-04-06T00:00:00"/>
    <s v="FA"/>
    <s v="1052/4117"/>
    <s v="kpl"/>
    <n v="2196"/>
    <n v="46"/>
    <n v="125"/>
    <x v="263"/>
    <n v="1322.5"/>
    <n v="7072.5"/>
    <x v="1"/>
  </r>
  <r>
    <n v="2098"/>
    <x v="28"/>
    <n v="7"/>
    <d v="2022-04-28T00:00:00"/>
    <s v="FA"/>
    <s v="1052/4118"/>
    <s v="kpl"/>
    <n v="2197"/>
    <n v="65"/>
    <n v="105"/>
    <x v="486"/>
    <n v="1569.75"/>
    <n v="8394.75"/>
    <x v="1"/>
  </r>
  <r>
    <n v="2099"/>
    <x v="7"/>
    <n v="10"/>
    <d v="2022-08-19T00:00:00"/>
    <s v="FA"/>
    <s v="1052/4119"/>
    <s v="kpl"/>
    <n v="2198"/>
    <n v="37"/>
    <n v="96"/>
    <x v="116"/>
    <n v="816.96"/>
    <n v="4368.96"/>
    <x v="11"/>
  </r>
  <r>
    <n v="2100"/>
    <x v="8"/>
    <n v="6"/>
    <d v="2022-01-10T00:00:00"/>
    <s v="FA"/>
    <s v="1052/4120"/>
    <s v="kpl"/>
    <n v="2199"/>
    <n v="39"/>
    <n v="89"/>
    <x v="498"/>
    <n v="798.33"/>
    <n v="4269.33"/>
    <x v="0"/>
  </r>
  <r>
    <n v="2101"/>
    <x v="18"/>
    <n v="11"/>
    <d v="2022-05-17T00:00:00"/>
    <s v="FA"/>
    <s v="1052/4121"/>
    <s v="kpl"/>
    <n v="2200"/>
    <n v="47"/>
    <n v="109"/>
    <x v="77"/>
    <n v="1178.29"/>
    <n v="6301.29"/>
    <x v="10"/>
  </r>
  <r>
    <n v="2102"/>
    <x v="25"/>
    <n v="11"/>
    <d v="2022-10-15T00:00:00"/>
    <s v="FA"/>
    <s v="1052/4122"/>
    <s v="kpl"/>
    <n v="2201"/>
    <n v="40"/>
    <n v="59"/>
    <x v="182"/>
    <n v="542.80000000000007"/>
    <n v="2902.8"/>
    <x v="5"/>
  </r>
  <r>
    <n v="2103"/>
    <x v="2"/>
    <n v="12"/>
    <d v="2022-11-26T00:00:00"/>
    <s v="FA"/>
    <s v="1052/4123"/>
    <s v="kpl"/>
    <n v="2202"/>
    <n v="45"/>
    <n v="84"/>
    <x v="12"/>
    <n v="869.40000000000009"/>
    <n v="4649.3999999999996"/>
    <x v="8"/>
  </r>
  <r>
    <n v="2104"/>
    <x v="25"/>
    <n v="9"/>
    <d v="2022-07-09T00:00:00"/>
    <s v="FA"/>
    <s v="1052/4124"/>
    <s v="kpl"/>
    <n v="2203"/>
    <n v="44"/>
    <n v="59"/>
    <x v="231"/>
    <n v="597.08000000000004"/>
    <n v="3193.08"/>
    <x v="6"/>
  </r>
  <r>
    <n v="2105"/>
    <x v="28"/>
    <n v="7"/>
    <d v="2022-06-04T00:00:00"/>
    <s v="FA"/>
    <s v="1052/4125"/>
    <s v="kpl"/>
    <n v="2204"/>
    <n v="46"/>
    <n v="105"/>
    <x v="240"/>
    <n v="1110.9000000000001"/>
    <n v="5940.9"/>
    <x v="4"/>
  </r>
  <r>
    <n v="2106"/>
    <x v="8"/>
    <n v="9"/>
    <d v="2022-05-27T00:00:00"/>
    <s v="FA"/>
    <s v="1052/4126"/>
    <s v="kpl"/>
    <n v="2205"/>
    <n v="46"/>
    <n v="89"/>
    <x v="444"/>
    <n v="941.62"/>
    <n v="5035.62"/>
    <x v="10"/>
  </r>
  <r>
    <n v="2107"/>
    <x v="0"/>
    <n v="8"/>
    <d v="2022-10-10T00:00:00"/>
    <s v="FA"/>
    <s v="1052/4127"/>
    <s v="kpl"/>
    <n v="2206"/>
    <n v="41"/>
    <n v="83"/>
    <x v="329"/>
    <n v="782.69"/>
    <n v="4185.6900000000005"/>
    <x v="5"/>
  </r>
  <r>
    <n v="2108"/>
    <x v="2"/>
    <n v="9"/>
    <d v="2022-01-07T00:00:00"/>
    <s v="FA"/>
    <s v="1052/4128"/>
    <s v="kpl"/>
    <n v="2207"/>
    <n v="43"/>
    <n v="84"/>
    <x v="25"/>
    <n v="830.76"/>
    <n v="4442.76"/>
    <x v="0"/>
  </r>
  <r>
    <n v="2109"/>
    <x v="1"/>
    <n v="10"/>
    <d v="2022-11-03T00:00:00"/>
    <s v="FA"/>
    <s v="1052/4129"/>
    <s v="kpl"/>
    <n v="2208"/>
    <n v="31"/>
    <n v="99"/>
    <x v="162"/>
    <n v="705.87"/>
    <n v="3774.87"/>
    <x v="8"/>
  </r>
  <r>
    <n v="2110"/>
    <x v="13"/>
    <n v="8"/>
    <d v="2022-03-06T00:00:00"/>
    <s v="FA"/>
    <s v="1052/4130"/>
    <s v="kpl"/>
    <n v="2209"/>
    <n v="37"/>
    <n v="88"/>
    <x v="367"/>
    <n v="748.88"/>
    <n v="4004.88"/>
    <x v="3"/>
  </r>
  <r>
    <n v="2111"/>
    <x v="1"/>
    <n v="10"/>
    <d v="2022-09-19T00:00:00"/>
    <s v="FA"/>
    <s v="1052/4131"/>
    <s v="kpl"/>
    <n v="2210"/>
    <n v="56"/>
    <n v="99"/>
    <x v="65"/>
    <n v="1275.1200000000001"/>
    <n v="6819.12"/>
    <x v="7"/>
  </r>
  <r>
    <n v="2112"/>
    <x v="11"/>
    <n v="10"/>
    <d v="2022-09-27T00:00:00"/>
    <s v="FA"/>
    <s v="1052/4132"/>
    <s v="kpl"/>
    <n v="2211"/>
    <n v="65"/>
    <n v="93"/>
    <x v="675"/>
    <n v="1390.3500000000001"/>
    <n v="7435.35"/>
    <x v="7"/>
  </r>
  <r>
    <n v="2113"/>
    <x v="25"/>
    <n v="7"/>
    <d v="2022-09-11T00:00:00"/>
    <s v="FA"/>
    <s v="1052/4133"/>
    <s v="kpl"/>
    <n v="2212"/>
    <n v="62"/>
    <n v="59"/>
    <x v="566"/>
    <n v="841.34"/>
    <n v="4499.34"/>
    <x v="7"/>
  </r>
  <r>
    <n v="2114"/>
    <x v="15"/>
    <n v="12"/>
    <d v="2022-06-07T00:00:00"/>
    <s v="FA"/>
    <s v="1052/4134"/>
    <s v="kpl"/>
    <n v="2213"/>
    <n v="49"/>
    <n v="90"/>
    <x v="474"/>
    <n v="1014.3000000000001"/>
    <n v="5424.3"/>
    <x v="4"/>
  </r>
  <r>
    <n v="2115"/>
    <x v="7"/>
    <n v="9"/>
    <d v="2022-02-26T00:00:00"/>
    <s v="FA"/>
    <s v="1052/4135"/>
    <s v="kpl"/>
    <n v="2214"/>
    <n v="41"/>
    <n v="96"/>
    <x v="146"/>
    <n v="905.28000000000009"/>
    <n v="4841.28"/>
    <x v="9"/>
  </r>
  <r>
    <n v="2116"/>
    <x v="24"/>
    <n v="7"/>
    <d v="2022-02-22T00:00:00"/>
    <s v="FA"/>
    <s v="1052/4136"/>
    <s v="kpl"/>
    <n v="2215"/>
    <n v="46"/>
    <n v="129"/>
    <x v="358"/>
    <n v="1364.8200000000002"/>
    <n v="7298.82"/>
    <x v="9"/>
  </r>
  <r>
    <n v="2117"/>
    <x v="24"/>
    <n v="10"/>
    <d v="2022-08-19T00:00:00"/>
    <s v="FA"/>
    <s v="1052/4137"/>
    <s v="kpl"/>
    <n v="2216"/>
    <n v="42"/>
    <n v="129"/>
    <x v="485"/>
    <n v="1246.1400000000001"/>
    <n v="6664.14"/>
    <x v="11"/>
  </r>
  <r>
    <n v="2118"/>
    <x v="15"/>
    <n v="11"/>
    <d v="2022-04-25T00:00:00"/>
    <s v="FA"/>
    <s v="1052/4138"/>
    <s v="kpl"/>
    <n v="2217"/>
    <n v="53"/>
    <n v="90"/>
    <x v="379"/>
    <n v="1097.1000000000001"/>
    <n v="5867.1"/>
    <x v="1"/>
  </r>
  <r>
    <n v="2119"/>
    <x v="15"/>
    <n v="8"/>
    <d v="2022-11-20T00:00:00"/>
    <s v="FA"/>
    <s v="1052/4139"/>
    <s v="kpl"/>
    <n v="2218"/>
    <n v="47"/>
    <n v="90"/>
    <x v="26"/>
    <n v="972.90000000000009"/>
    <n v="5202.8999999999996"/>
    <x v="8"/>
  </r>
  <r>
    <n v="2120"/>
    <x v="5"/>
    <n v="7"/>
    <d v="2022-01-05T00:00:00"/>
    <s v="FA"/>
    <s v="1052/4140"/>
    <s v="kpl"/>
    <n v="2219"/>
    <n v="65"/>
    <n v="87"/>
    <x v="89"/>
    <n v="1300.6500000000001"/>
    <n v="6955.65"/>
    <x v="0"/>
  </r>
  <r>
    <n v="2121"/>
    <x v="4"/>
    <n v="10"/>
    <d v="2022-10-10T00:00:00"/>
    <s v="FA"/>
    <s v="1052/4141"/>
    <s v="kpl"/>
    <n v="2220"/>
    <n v="57"/>
    <n v="85"/>
    <x v="384"/>
    <n v="1114.3500000000001"/>
    <n v="5959.35"/>
    <x v="5"/>
  </r>
  <r>
    <n v="2122"/>
    <x v="15"/>
    <n v="9"/>
    <d v="2022-11-06T00:00:00"/>
    <s v="FA"/>
    <s v="1052/4142"/>
    <s v="kpl"/>
    <n v="2221"/>
    <n v="65"/>
    <n v="90"/>
    <x v="602"/>
    <n v="1345.5"/>
    <n v="7195.5"/>
    <x v="8"/>
  </r>
  <r>
    <n v="2123"/>
    <x v="6"/>
    <n v="8"/>
    <d v="2022-06-04T00:00:00"/>
    <s v="FA"/>
    <s v="1052/4143"/>
    <s v="kpl"/>
    <n v="2222"/>
    <n v="46"/>
    <n v="84"/>
    <x v="380"/>
    <n v="888.72"/>
    <n v="4752.72"/>
    <x v="4"/>
  </r>
  <r>
    <n v="2124"/>
    <x v="14"/>
    <n v="11"/>
    <d v="2022-03-10T00:00:00"/>
    <s v="FA"/>
    <s v="1052/4144"/>
    <s v="kpl"/>
    <n v="2223"/>
    <n v="33"/>
    <n v="86"/>
    <x v="693"/>
    <n v="652.74"/>
    <n v="3490.74"/>
    <x v="3"/>
  </r>
  <r>
    <n v="2125"/>
    <x v="27"/>
    <n v="9"/>
    <d v="2022-04-28T00:00:00"/>
    <s v="FA"/>
    <s v="1052/4145"/>
    <s v="kpl"/>
    <n v="2224"/>
    <n v="39"/>
    <n v="111"/>
    <x v="550"/>
    <n v="995.67000000000007"/>
    <n v="5324.67"/>
    <x v="1"/>
  </r>
  <r>
    <n v="2126"/>
    <x v="26"/>
    <n v="5"/>
    <d v="2022-08-09T00:00:00"/>
    <s v="FA"/>
    <s v="1052/4146"/>
    <s v="kpl"/>
    <n v="2225"/>
    <n v="61"/>
    <n v="99"/>
    <x v="232"/>
    <n v="1388.97"/>
    <n v="7427.97"/>
    <x v="11"/>
  </r>
  <r>
    <n v="2127"/>
    <x v="2"/>
    <n v="10"/>
    <d v="2022-11-17T00:00:00"/>
    <s v="FA"/>
    <s v="1052/4147"/>
    <s v="kpl"/>
    <n v="2226"/>
    <n v="53"/>
    <n v="84"/>
    <x v="188"/>
    <n v="1023.96"/>
    <n v="5475.96"/>
    <x v="8"/>
  </r>
  <r>
    <n v="2128"/>
    <x v="1"/>
    <n v="14"/>
    <d v="2022-05-01T00:00:00"/>
    <s v="FA"/>
    <s v="1052/4148"/>
    <s v="kpl"/>
    <n v="2227"/>
    <n v="43"/>
    <n v="99"/>
    <x v="438"/>
    <n v="979.11"/>
    <n v="5236.1099999999997"/>
    <x v="10"/>
  </r>
  <r>
    <n v="2129"/>
    <x v="14"/>
    <n v="13"/>
    <d v="2022-05-21T00:00:00"/>
    <s v="FA"/>
    <s v="1052/4149"/>
    <s v="kpl"/>
    <n v="2228"/>
    <n v="35"/>
    <n v="86"/>
    <x v="657"/>
    <n v="692.30000000000007"/>
    <n v="3702.3"/>
    <x v="10"/>
  </r>
  <r>
    <n v="2130"/>
    <x v="20"/>
    <n v="10"/>
    <d v="2022-01-10T00:00:00"/>
    <s v="FA"/>
    <s v="1052/4150"/>
    <s v="kpl"/>
    <n v="2229"/>
    <n v="49"/>
    <n v="104"/>
    <x v="189"/>
    <n v="1172.0800000000002"/>
    <n v="6268.08"/>
    <x v="0"/>
  </r>
  <r>
    <n v="2131"/>
    <x v="7"/>
    <n v="11"/>
    <d v="2022-11-09T00:00:00"/>
    <s v="FA"/>
    <s v="1052/4151"/>
    <s v="kpl"/>
    <n v="2230"/>
    <n v="41"/>
    <n v="96"/>
    <x v="146"/>
    <n v="905.28000000000009"/>
    <n v="4841.28"/>
    <x v="8"/>
  </r>
  <r>
    <n v="2132"/>
    <x v="17"/>
    <n v="6"/>
    <d v="2022-10-18T00:00:00"/>
    <s v="FA"/>
    <s v="1052/4152"/>
    <s v="kpl"/>
    <n v="2231"/>
    <n v="54"/>
    <n v="94"/>
    <x v="24"/>
    <n v="1167.48"/>
    <n v="6243.48"/>
    <x v="5"/>
  </r>
  <r>
    <n v="2133"/>
    <x v="25"/>
    <n v="8"/>
    <d v="2022-10-15T00:00:00"/>
    <s v="FA"/>
    <s v="1052/4153"/>
    <s v="kpl"/>
    <n v="2232"/>
    <n v="55"/>
    <n v="59"/>
    <x v="259"/>
    <n v="746.35"/>
    <n v="3991.35"/>
    <x v="5"/>
  </r>
  <r>
    <n v="2134"/>
    <x v="17"/>
    <n v="9"/>
    <d v="2022-03-23T00:00:00"/>
    <s v="FA"/>
    <s v="1052/4154"/>
    <s v="kpl"/>
    <n v="2233"/>
    <n v="53"/>
    <n v="94"/>
    <x v="270"/>
    <n v="1145.8600000000001"/>
    <n v="6127.8600000000006"/>
    <x v="3"/>
  </r>
  <r>
    <n v="2135"/>
    <x v="11"/>
    <n v="14"/>
    <d v="2022-03-21T00:00:00"/>
    <s v="FA"/>
    <s v="1052/4155"/>
    <s v="kpl"/>
    <n v="2234"/>
    <n v="58"/>
    <n v="93"/>
    <x v="402"/>
    <n v="1240.6200000000001"/>
    <n v="6634.62"/>
    <x v="3"/>
  </r>
  <r>
    <n v="2136"/>
    <x v="19"/>
    <n v="7"/>
    <d v="2022-04-04T00:00:00"/>
    <s v="FA"/>
    <s v="1052/4156"/>
    <s v="kpl"/>
    <n v="2235"/>
    <n v="47"/>
    <n v="121"/>
    <x v="356"/>
    <n v="1308.01"/>
    <n v="6995.01"/>
    <x v="1"/>
  </r>
  <r>
    <n v="2137"/>
    <x v="7"/>
    <n v="7"/>
    <d v="2022-03-05T00:00:00"/>
    <s v="FA"/>
    <s v="1052/4157"/>
    <s v="kpl"/>
    <n v="2236"/>
    <n v="65"/>
    <n v="96"/>
    <x v="573"/>
    <n v="1435.2"/>
    <n v="7675.2"/>
    <x v="3"/>
  </r>
  <r>
    <n v="2138"/>
    <x v="6"/>
    <n v="9"/>
    <d v="2022-02-06T00:00:00"/>
    <s v="FA"/>
    <s v="1052/4158"/>
    <s v="kpl"/>
    <n v="2237"/>
    <n v="68"/>
    <n v="84"/>
    <x v="208"/>
    <n v="1313.76"/>
    <n v="7025.76"/>
    <x v="9"/>
  </r>
  <r>
    <n v="2139"/>
    <x v="0"/>
    <n v="10"/>
    <d v="2022-11-26T00:00:00"/>
    <s v="FA"/>
    <s v="1052/4159"/>
    <s v="kpl"/>
    <n v="2238"/>
    <n v="48"/>
    <n v="83"/>
    <x v="176"/>
    <n v="916.32"/>
    <n v="4900.32"/>
    <x v="8"/>
  </r>
  <r>
    <n v="2140"/>
    <x v="18"/>
    <n v="11"/>
    <d v="2022-01-22T00:00:00"/>
    <s v="FA"/>
    <s v="1052/4160"/>
    <s v="kpl"/>
    <n v="2239"/>
    <n v="60"/>
    <n v="109"/>
    <x v="37"/>
    <n v="1504.2"/>
    <n v="8044.2"/>
    <x v="0"/>
  </r>
  <r>
    <n v="2141"/>
    <x v="14"/>
    <n v="11"/>
    <d v="2022-04-08T00:00:00"/>
    <s v="FA"/>
    <s v="1052/4161"/>
    <s v="kpl"/>
    <n v="2240"/>
    <n v="46"/>
    <n v="86"/>
    <x v="99"/>
    <n v="909.88"/>
    <n v="4865.88"/>
    <x v="1"/>
  </r>
  <r>
    <n v="2142"/>
    <x v="17"/>
    <n v="11"/>
    <d v="2022-09-20T00:00:00"/>
    <s v="FA"/>
    <s v="1052/4162"/>
    <s v="kpl"/>
    <n v="2241"/>
    <n v="48"/>
    <n v="94"/>
    <x v="397"/>
    <n v="1037.76"/>
    <n v="5549.76"/>
    <x v="7"/>
  </r>
  <r>
    <n v="2143"/>
    <x v="18"/>
    <n v="10"/>
    <d v="2022-05-24T00:00:00"/>
    <s v="FA"/>
    <s v="1052/4163"/>
    <s v="kpl"/>
    <n v="2242"/>
    <n v="42"/>
    <n v="109"/>
    <x v="519"/>
    <n v="1052.94"/>
    <n v="5630.9400000000005"/>
    <x v="10"/>
  </r>
  <r>
    <n v="2144"/>
    <x v="3"/>
    <n v="14"/>
    <d v="2022-04-09T00:00:00"/>
    <s v="FA"/>
    <s v="1052/4164"/>
    <s v="kpl"/>
    <n v="2243"/>
    <n v="49"/>
    <n v="88"/>
    <x v="93"/>
    <n v="991.76"/>
    <n v="5303.76"/>
    <x v="1"/>
  </r>
  <r>
    <n v="2145"/>
    <x v="15"/>
    <n v="11"/>
    <d v="2022-12-15T00:00:00"/>
    <s v="FA"/>
    <s v="1052/4165"/>
    <s v="kpl"/>
    <n v="2244"/>
    <n v="43"/>
    <n v="90"/>
    <x v="340"/>
    <n v="890.1"/>
    <n v="4760.1000000000004"/>
    <x v="2"/>
  </r>
  <r>
    <n v="2146"/>
    <x v="5"/>
    <n v="8"/>
    <d v="2022-08-18T00:00:00"/>
    <s v="FA"/>
    <s v="1052/4166"/>
    <s v="kpl"/>
    <n v="2245"/>
    <n v="29"/>
    <n v="87"/>
    <x v="694"/>
    <n v="580.29000000000008"/>
    <n v="3103.29"/>
    <x v="11"/>
  </r>
  <r>
    <n v="2147"/>
    <x v="9"/>
    <n v="11"/>
    <d v="2022-07-01T00:00:00"/>
    <s v="FA"/>
    <s v="1052/4167"/>
    <s v="kpl"/>
    <n v="2246"/>
    <n v="43"/>
    <n v="108"/>
    <x v="11"/>
    <n v="1068.1200000000001"/>
    <n v="5712.12"/>
    <x v="6"/>
  </r>
  <r>
    <n v="2148"/>
    <x v="0"/>
    <n v="7"/>
    <d v="2022-02-13T00:00:00"/>
    <s v="FA"/>
    <s v="1052/4168"/>
    <s v="kpl"/>
    <n v="2247"/>
    <n v="27"/>
    <n v="83"/>
    <x v="695"/>
    <n v="515.43000000000006"/>
    <n v="2756.4300000000003"/>
    <x v="9"/>
  </r>
  <r>
    <n v="2149"/>
    <x v="4"/>
    <n v="11"/>
    <d v="2022-08-28T00:00:00"/>
    <s v="FA"/>
    <s v="1052/4169"/>
    <s v="kpl"/>
    <n v="2248"/>
    <n v="61"/>
    <n v="85"/>
    <x v="38"/>
    <n v="1192.55"/>
    <n v="6377.55"/>
    <x v="11"/>
  </r>
  <r>
    <n v="2150"/>
    <x v="29"/>
    <n v="9"/>
    <d v="2022-03-18T00:00:00"/>
    <s v="FA"/>
    <s v="1052/4170"/>
    <s v="kpl"/>
    <n v="2249"/>
    <n v="57"/>
    <n v="103"/>
    <x v="696"/>
    <n v="1350.3300000000002"/>
    <n v="7221.33"/>
    <x v="3"/>
  </r>
  <r>
    <n v="2151"/>
    <x v="23"/>
    <n v="9"/>
    <d v="2022-07-08T00:00:00"/>
    <s v="FA"/>
    <s v="1052/4171"/>
    <s v="kpl"/>
    <n v="2250"/>
    <n v="56"/>
    <n v="105"/>
    <x v="288"/>
    <n v="1352.4"/>
    <n v="7232.4"/>
    <x v="6"/>
  </r>
  <r>
    <n v="2152"/>
    <x v="20"/>
    <n v="13"/>
    <d v="2022-07-24T00:00:00"/>
    <s v="FA"/>
    <s v="1052/4172"/>
    <s v="kpl"/>
    <n v="2251"/>
    <n v="61"/>
    <n v="104"/>
    <x v="484"/>
    <n v="1459.1200000000001"/>
    <n v="7803.12"/>
    <x v="6"/>
  </r>
  <r>
    <n v="2153"/>
    <x v="2"/>
    <n v="8"/>
    <d v="2022-12-14T00:00:00"/>
    <s v="FA"/>
    <s v="1052/4173"/>
    <s v="kpl"/>
    <n v="2252"/>
    <n v="55"/>
    <n v="84"/>
    <x v="42"/>
    <n v="1062.6000000000001"/>
    <n v="5682.6"/>
    <x v="2"/>
  </r>
  <r>
    <n v="2154"/>
    <x v="20"/>
    <n v="8"/>
    <d v="2022-10-08T00:00:00"/>
    <s v="FA"/>
    <s v="1052/4174"/>
    <s v="kpl"/>
    <n v="2253"/>
    <n v="41"/>
    <n v="104"/>
    <x v="308"/>
    <n v="980.72"/>
    <n v="5244.72"/>
    <x v="5"/>
  </r>
  <r>
    <n v="2155"/>
    <x v="11"/>
    <n v="10"/>
    <d v="2022-10-01T00:00:00"/>
    <s v="FA"/>
    <s v="1052/4175"/>
    <s v="kpl"/>
    <n v="2254"/>
    <n v="54"/>
    <n v="93"/>
    <x v="177"/>
    <n v="1155.06"/>
    <n v="6177.0599999999995"/>
    <x v="5"/>
  </r>
  <r>
    <n v="2156"/>
    <x v="16"/>
    <n v="11"/>
    <d v="2022-01-24T00:00:00"/>
    <s v="FA"/>
    <s v="1052/4176"/>
    <s v="kpl"/>
    <n v="2255"/>
    <n v="45"/>
    <n v="132"/>
    <x v="85"/>
    <n v="1366.2"/>
    <n v="7306.2"/>
    <x v="0"/>
  </r>
  <r>
    <n v="2157"/>
    <x v="25"/>
    <n v="9"/>
    <d v="2022-05-16T00:00:00"/>
    <s v="FA"/>
    <s v="1052/4177"/>
    <s v="kpl"/>
    <n v="2256"/>
    <n v="48"/>
    <n v="59"/>
    <x v="697"/>
    <n v="651.36"/>
    <n v="3483.36"/>
    <x v="10"/>
  </r>
  <r>
    <n v="2158"/>
    <x v="28"/>
    <n v="8"/>
    <d v="2022-09-14T00:00:00"/>
    <s v="FA"/>
    <s v="1052/4178"/>
    <s v="kpl"/>
    <n v="2257"/>
    <n v="38"/>
    <n v="105"/>
    <x v="341"/>
    <n v="917.7"/>
    <n v="4907.7"/>
    <x v="7"/>
  </r>
  <r>
    <n v="2159"/>
    <x v="20"/>
    <n v="13"/>
    <d v="2022-11-12T00:00:00"/>
    <s v="FA"/>
    <s v="1052/4179"/>
    <s v="kpl"/>
    <n v="2258"/>
    <n v="57"/>
    <n v="104"/>
    <x v="691"/>
    <n v="1363.44"/>
    <n v="7291.4400000000005"/>
    <x v="8"/>
  </r>
  <r>
    <n v="2160"/>
    <x v="4"/>
    <n v="11"/>
    <d v="2022-08-02T00:00:00"/>
    <s v="FA"/>
    <s v="1052/4180"/>
    <s v="kpl"/>
    <n v="2259"/>
    <n v="52"/>
    <n v="85"/>
    <x v="278"/>
    <n v="1016.6"/>
    <n v="5436.6"/>
    <x v="11"/>
  </r>
  <r>
    <n v="2161"/>
    <x v="0"/>
    <n v="8"/>
    <d v="2022-01-03T00:00:00"/>
    <s v="FA"/>
    <s v="1052/4181"/>
    <s v="kpl"/>
    <n v="2260"/>
    <n v="53"/>
    <n v="83"/>
    <x v="610"/>
    <n v="1011.7700000000001"/>
    <n v="5410.77"/>
    <x v="0"/>
  </r>
  <r>
    <n v="2162"/>
    <x v="19"/>
    <n v="5"/>
    <d v="2022-02-28T00:00:00"/>
    <s v="FA"/>
    <s v="1052/4182"/>
    <s v="kpl"/>
    <n v="2261"/>
    <n v="58"/>
    <n v="121"/>
    <x v="451"/>
    <n v="1614.14"/>
    <n v="8632.14"/>
    <x v="9"/>
  </r>
  <r>
    <n v="2163"/>
    <x v="2"/>
    <n v="12"/>
    <d v="2022-11-07T00:00:00"/>
    <s v="FA"/>
    <s v="1052/4183"/>
    <s v="kpl"/>
    <n v="2262"/>
    <n v="63"/>
    <n v="84"/>
    <x v="88"/>
    <n v="1217.1600000000001"/>
    <n v="6509.16"/>
    <x v="8"/>
  </r>
  <r>
    <n v="2164"/>
    <x v="23"/>
    <n v="11"/>
    <d v="2022-01-18T00:00:00"/>
    <s v="FA"/>
    <s v="1052/4184"/>
    <s v="kpl"/>
    <n v="2263"/>
    <n v="45"/>
    <n v="105"/>
    <x v="267"/>
    <n v="1086.75"/>
    <n v="5811.75"/>
    <x v="0"/>
  </r>
  <r>
    <n v="2165"/>
    <x v="27"/>
    <n v="6"/>
    <d v="2022-11-18T00:00:00"/>
    <s v="FA"/>
    <s v="1052/4185"/>
    <s v="kpl"/>
    <n v="2264"/>
    <n v="55"/>
    <n v="111"/>
    <x v="551"/>
    <n v="1404.15"/>
    <n v="7509.15"/>
    <x v="8"/>
  </r>
  <r>
    <n v="2166"/>
    <x v="29"/>
    <n v="11"/>
    <d v="2022-03-17T00:00:00"/>
    <s v="FA"/>
    <s v="1052/4186"/>
    <s v="kpl"/>
    <n v="2265"/>
    <n v="55"/>
    <n v="103"/>
    <x v="698"/>
    <n v="1302.95"/>
    <n v="6967.95"/>
    <x v="3"/>
  </r>
  <r>
    <n v="2167"/>
    <x v="9"/>
    <n v="9"/>
    <d v="2022-01-04T00:00:00"/>
    <s v="FA"/>
    <s v="1052/4187"/>
    <s v="kpl"/>
    <n v="2266"/>
    <n v="42"/>
    <n v="108"/>
    <x v="309"/>
    <n v="1043.28"/>
    <n v="5579.28"/>
    <x v="0"/>
  </r>
  <r>
    <n v="2168"/>
    <x v="29"/>
    <n v="10"/>
    <d v="2022-05-01T00:00:00"/>
    <s v="FA"/>
    <s v="1052/4188"/>
    <s v="kpl"/>
    <n v="2267"/>
    <n v="43"/>
    <n v="103"/>
    <x v="686"/>
    <n v="1018.6700000000001"/>
    <n v="5447.67"/>
    <x v="10"/>
  </r>
  <r>
    <n v="2169"/>
    <x v="5"/>
    <n v="17"/>
    <d v="2022-05-04T00:00:00"/>
    <s v="FA"/>
    <s v="1052/4189"/>
    <s v="kpl"/>
    <n v="2268"/>
    <n v="48"/>
    <n v="87"/>
    <x v="195"/>
    <n v="960.48"/>
    <n v="5136.4799999999996"/>
    <x v="10"/>
  </r>
  <r>
    <n v="2170"/>
    <x v="12"/>
    <n v="7"/>
    <d v="2022-07-11T00:00:00"/>
    <s v="FA"/>
    <s v="1052/4190"/>
    <s v="kpl"/>
    <n v="2269"/>
    <n v="49"/>
    <n v="91"/>
    <x v="593"/>
    <n v="1025.57"/>
    <n v="5484.57"/>
    <x v="6"/>
  </r>
  <r>
    <n v="2171"/>
    <x v="29"/>
    <n v="9"/>
    <d v="2022-09-25T00:00:00"/>
    <s v="FA"/>
    <s v="1052/4191"/>
    <s v="kpl"/>
    <n v="2270"/>
    <n v="77"/>
    <n v="103"/>
    <x v="699"/>
    <n v="1824.13"/>
    <n v="9755.130000000001"/>
    <x v="7"/>
  </r>
  <r>
    <n v="2172"/>
    <x v="21"/>
    <n v="8"/>
    <d v="2022-10-20T00:00:00"/>
    <s v="FA"/>
    <s v="1052/4192"/>
    <s v="kpl"/>
    <n v="2271"/>
    <n v="41"/>
    <n v="87"/>
    <x v="49"/>
    <n v="820.41000000000008"/>
    <n v="4387.41"/>
    <x v="5"/>
  </r>
  <r>
    <n v="2173"/>
    <x v="21"/>
    <n v="11"/>
    <d v="2022-04-14T00:00:00"/>
    <s v="FA"/>
    <s v="1052/4193"/>
    <s v="kpl"/>
    <n v="2272"/>
    <n v="31"/>
    <n v="87"/>
    <x v="575"/>
    <n v="620.31000000000006"/>
    <n v="3317.31"/>
    <x v="1"/>
  </r>
  <r>
    <n v="2174"/>
    <x v="17"/>
    <n v="14"/>
    <d v="2022-08-22T00:00:00"/>
    <s v="FA"/>
    <s v="1052/4194"/>
    <s v="kpl"/>
    <n v="2273"/>
    <n v="57"/>
    <n v="94"/>
    <x v="496"/>
    <n v="1232.3400000000001"/>
    <n v="6590.34"/>
    <x v="11"/>
  </r>
  <r>
    <n v="2175"/>
    <x v="0"/>
    <n v="8"/>
    <d v="2022-11-02T00:00:00"/>
    <s v="FA"/>
    <s v="1052/4195"/>
    <s v="kpl"/>
    <n v="2274"/>
    <n v="54"/>
    <n v="83"/>
    <x v="79"/>
    <n v="1030.8600000000001"/>
    <n v="5512.8600000000006"/>
    <x v="8"/>
  </r>
  <r>
    <n v="2176"/>
    <x v="25"/>
    <n v="10"/>
    <d v="2022-02-26T00:00:00"/>
    <s v="FA"/>
    <s v="1052/4196"/>
    <s v="kpl"/>
    <n v="2275"/>
    <n v="51"/>
    <n v="59"/>
    <x v="339"/>
    <n v="692.07"/>
    <n v="3701.07"/>
    <x v="9"/>
  </r>
  <r>
    <n v="2177"/>
    <x v="10"/>
    <n v="6"/>
    <d v="2022-03-11T00:00:00"/>
    <s v="FA"/>
    <s v="1052/4197"/>
    <s v="kpl"/>
    <n v="2276"/>
    <n v="57"/>
    <n v="84"/>
    <x v="127"/>
    <n v="1101.24"/>
    <n v="5889.24"/>
    <x v="3"/>
  </r>
  <r>
    <n v="2178"/>
    <x v="23"/>
    <n v="9"/>
    <d v="2022-09-27T00:00:00"/>
    <s v="FA"/>
    <s v="1052/4198"/>
    <s v="kpl"/>
    <n v="2277"/>
    <n v="41"/>
    <n v="105"/>
    <x v="627"/>
    <n v="990.15000000000009"/>
    <n v="5295.15"/>
    <x v="7"/>
  </r>
  <r>
    <n v="2179"/>
    <x v="4"/>
    <n v="10"/>
    <d v="2022-02-23T00:00:00"/>
    <s v="FA"/>
    <s v="1052/4199"/>
    <s v="kpl"/>
    <n v="2278"/>
    <n v="51"/>
    <n v="85"/>
    <x v="700"/>
    <n v="997.05000000000007"/>
    <n v="5332.05"/>
    <x v="9"/>
  </r>
  <r>
    <n v="2180"/>
    <x v="29"/>
    <n v="9"/>
    <d v="2022-04-06T00:00:00"/>
    <s v="FA"/>
    <s v="1052/4200"/>
    <s v="kpl"/>
    <n v="2279"/>
    <n v="53"/>
    <n v="103"/>
    <x v="689"/>
    <n v="1255.5700000000002"/>
    <n v="6714.57"/>
    <x v="1"/>
  </r>
  <r>
    <n v="2181"/>
    <x v="12"/>
    <n v="7"/>
    <d v="2022-12-25T00:00:00"/>
    <s v="FA"/>
    <s v="1052/4201"/>
    <s v="kpl"/>
    <n v="2280"/>
    <n v="59"/>
    <n v="91"/>
    <x v="430"/>
    <n v="1234.8700000000001"/>
    <n v="6603.87"/>
    <x v="2"/>
  </r>
  <r>
    <n v="2182"/>
    <x v="0"/>
    <n v="10"/>
    <d v="2022-03-12T00:00:00"/>
    <s v="FA"/>
    <s v="1052/4202"/>
    <s v="kpl"/>
    <n v="2281"/>
    <n v="46"/>
    <n v="83"/>
    <x v="542"/>
    <n v="878.14"/>
    <n v="4696.1400000000003"/>
    <x v="3"/>
  </r>
  <r>
    <n v="2183"/>
    <x v="21"/>
    <n v="10"/>
    <d v="2022-06-03T00:00:00"/>
    <s v="FA"/>
    <s v="1052/4203"/>
    <s v="kpl"/>
    <n v="2282"/>
    <n v="52"/>
    <n v="87"/>
    <x v="453"/>
    <n v="1040.52"/>
    <n v="5564.52"/>
    <x v="4"/>
  </r>
  <r>
    <n v="2184"/>
    <x v="2"/>
    <n v="8"/>
    <d v="2022-04-28T00:00:00"/>
    <s v="FA"/>
    <s v="1052/4204"/>
    <s v="kpl"/>
    <n v="2283"/>
    <n v="49"/>
    <n v="84"/>
    <x v="74"/>
    <n v="946.68000000000006"/>
    <n v="5062.68"/>
    <x v="1"/>
  </r>
  <r>
    <n v="2185"/>
    <x v="24"/>
    <n v="7"/>
    <d v="2022-08-05T00:00:00"/>
    <s v="FA"/>
    <s v="1052/4205"/>
    <s v="kpl"/>
    <n v="2284"/>
    <n v="61"/>
    <n v="129"/>
    <x v="118"/>
    <n v="1809.8700000000001"/>
    <n v="9678.8700000000008"/>
    <x v="11"/>
  </r>
  <r>
    <n v="2186"/>
    <x v="4"/>
    <n v="12"/>
    <d v="2022-11-25T00:00:00"/>
    <s v="FA"/>
    <s v="1052/4206"/>
    <s v="kpl"/>
    <n v="2285"/>
    <n v="71"/>
    <n v="85"/>
    <x v="701"/>
    <n v="1388.05"/>
    <n v="7423.05"/>
    <x v="8"/>
  </r>
  <r>
    <n v="2187"/>
    <x v="24"/>
    <n v="10"/>
    <d v="2022-11-18T00:00:00"/>
    <s v="FA"/>
    <s v="1052/4207"/>
    <s v="kpl"/>
    <n v="2286"/>
    <n v="50"/>
    <n v="129"/>
    <x v="181"/>
    <n v="1483.5"/>
    <n v="7933.5"/>
    <x v="8"/>
  </r>
  <r>
    <n v="2188"/>
    <x v="15"/>
    <n v="11"/>
    <d v="2022-01-26T00:00:00"/>
    <s v="FA"/>
    <s v="1052/4208"/>
    <s v="kpl"/>
    <n v="2287"/>
    <n v="47"/>
    <n v="90"/>
    <x v="26"/>
    <n v="972.90000000000009"/>
    <n v="5202.8999999999996"/>
    <x v="0"/>
  </r>
  <r>
    <n v="2189"/>
    <x v="17"/>
    <n v="8"/>
    <d v="2022-11-12T00:00:00"/>
    <s v="FA"/>
    <s v="1052/4209"/>
    <s v="kpl"/>
    <n v="2288"/>
    <n v="36"/>
    <n v="94"/>
    <x v="508"/>
    <n v="778.32"/>
    <n v="4162.32"/>
    <x v="8"/>
  </r>
  <r>
    <n v="2190"/>
    <x v="9"/>
    <n v="9"/>
    <d v="2022-03-02T00:00:00"/>
    <s v="FA"/>
    <s v="1052/4210"/>
    <s v="kpl"/>
    <n v="2289"/>
    <n v="34"/>
    <n v="108"/>
    <x v="421"/>
    <n v="844.56000000000006"/>
    <n v="4516.5600000000004"/>
    <x v="3"/>
  </r>
  <r>
    <n v="2191"/>
    <x v="11"/>
    <n v="9"/>
    <d v="2022-11-10T00:00:00"/>
    <s v="FA"/>
    <s v="1052/4211"/>
    <s v="kpl"/>
    <n v="2290"/>
    <n v="62"/>
    <n v="93"/>
    <x v="101"/>
    <n v="1326.18"/>
    <n v="7092.18"/>
    <x v="8"/>
  </r>
  <r>
    <n v="2192"/>
    <x v="13"/>
    <n v="7"/>
    <d v="2022-12-10T00:00:00"/>
    <s v="FA"/>
    <s v="1052/4212"/>
    <s v="kpl"/>
    <n v="2291"/>
    <n v="41"/>
    <n v="88"/>
    <x v="265"/>
    <n v="829.84"/>
    <n v="4437.84"/>
    <x v="2"/>
  </r>
  <r>
    <n v="2193"/>
    <x v="25"/>
    <n v="12"/>
    <d v="2022-03-08T00:00:00"/>
    <s v="FA"/>
    <s v="1052/4213"/>
    <s v="kpl"/>
    <n v="2292"/>
    <n v="45"/>
    <n v="59"/>
    <x v="702"/>
    <n v="610.65"/>
    <n v="3265.65"/>
    <x v="3"/>
  </r>
  <r>
    <n v="2194"/>
    <x v="0"/>
    <n v="10"/>
    <d v="2022-05-27T00:00:00"/>
    <s v="FA"/>
    <s v="1052/4214"/>
    <s v="kpl"/>
    <n v="2293"/>
    <n v="46"/>
    <n v="83"/>
    <x v="542"/>
    <n v="878.14"/>
    <n v="4696.1400000000003"/>
    <x v="10"/>
  </r>
  <r>
    <n v="2195"/>
    <x v="13"/>
    <n v="16"/>
    <d v="2022-02-20T00:00:00"/>
    <s v="FA"/>
    <s v="1052/4215"/>
    <s v="kpl"/>
    <n v="2294"/>
    <n v="42"/>
    <n v="88"/>
    <x v="236"/>
    <n v="850.08"/>
    <n v="4546.08"/>
    <x v="9"/>
  </r>
  <r>
    <n v="2196"/>
    <x v="26"/>
    <n v="11"/>
    <d v="2022-06-10T00:00:00"/>
    <s v="FA"/>
    <s v="1052/4216"/>
    <s v="kpl"/>
    <n v="2295"/>
    <n v="45"/>
    <n v="99"/>
    <x v="121"/>
    <n v="1024.6500000000001"/>
    <n v="5479.65"/>
    <x v="4"/>
  </r>
  <r>
    <n v="2197"/>
    <x v="8"/>
    <n v="10"/>
    <d v="2022-04-13T00:00:00"/>
    <s v="FA"/>
    <s v="1052/4217"/>
    <s v="kpl"/>
    <n v="2296"/>
    <n v="84"/>
    <n v="89"/>
    <x v="703"/>
    <n v="1719.48"/>
    <n v="9195.48"/>
    <x v="1"/>
  </r>
  <r>
    <n v="2198"/>
    <x v="7"/>
    <n v="10"/>
    <d v="2022-10-19T00:00:00"/>
    <s v="FA"/>
    <s v="1052/4218"/>
    <s v="kpl"/>
    <n v="2297"/>
    <n v="67"/>
    <n v="96"/>
    <x v="608"/>
    <n v="1479.3600000000001"/>
    <n v="7911.3600000000006"/>
    <x v="5"/>
  </r>
  <r>
    <n v="2199"/>
    <x v="8"/>
    <n v="9"/>
    <d v="2022-03-08T00:00:00"/>
    <s v="FA"/>
    <s v="1052/4219"/>
    <s v="kpl"/>
    <n v="2298"/>
    <n v="41"/>
    <n v="89"/>
    <x v="215"/>
    <n v="839.27"/>
    <n v="4488.2700000000004"/>
    <x v="3"/>
  </r>
  <r>
    <n v="2200"/>
    <x v="4"/>
    <n v="11"/>
    <d v="2022-08-22T00:00:00"/>
    <s v="FA"/>
    <s v="1052/4220"/>
    <s v="kpl"/>
    <n v="2299"/>
    <n v="47"/>
    <n v="85"/>
    <x v="137"/>
    <n v="918.85"/>
    <n v="4913.8500000000004"/>
    <x v="11"/>
  </r>
  <r>
    <n v="2201"/>
    <x v="1"/>
    <n v="9"/>
    <d v="2022-04-12T00:00:00"/>
    <s v="FA"/>
    <s v="1052/4221"/>
    <s v="kpl"/>
    <n v="2300"/>
    <n v="50"/>
    <n v="99"/>
    <x v="53"/>
    <n v="1138.5"/>
    <n v="6088.5"/>
    <x v="1"/>
  </r>
  <r>
    <n v="2202"/>
    <x v="7"/>
    <n v="7"/>
    <d v="2022-08-20T00:00:00"/>
    <s v="FA"/>
    <s v="1052/4222"/>
    <s v="kpl"/>
    <n v="2301"/>
    <n v="40"/>
    <n v="96"/>
    <x v="671"/>
    <n v="883.2"/>
    <n v="4723.2"/>
    <x v="11"/>
  </r>
  <r>
    <n v="2203"/>
    <x v="14"/>
    <n v="10"/>
    <d v="2022-06-28T00:00:00"/>
    <s v="FA"/>
    <s v="1052/4223"/>
    <s v="kpl"/>
    <n v="2302"/>
    <n v="46"/>
    <n v="86"/>
    <x v="99"/>
    <n v="909.88"/>
    <n v="4865.88"/>
    <x v="4"/>
  </r>
  <r>
    <n v="2204"/>
    <x v="23"/>
    <n v="5"/>
    <d v="2022-11-02T00:00:00"/>
    <s v="FA"/>
    <s v="1052/4224"/>
    <s v="kpl"/>
    <n v="2303"/>
    <n v="41"/>
    <n v="105"/>
    <x v="627"/>
    <n v="990.15000000000009"/>
    <n v="5295.15"/>
    <x v="8"/>
  </r>
  <r>
    <n v="2205"/>
    <x v="9"/>
    <n v="7"/>
    <d v="2022-05-09T00:00:00"/>
    <s v="FA"/>
    <s v="1052/4225"/>
    <s v="kpl"/>
    <n v="2304"/>
    <n v="53"/>
    <n v="108"/>
    <x v="365"/>
    <n v="1316.52"/>
    <n v="7040.52"/>
    <x v="10"/>
  </r>
  <r>
    <n v="2206"/>
    <x v="7"/>
    <n v="11"/>
    <d v="2022-11-20T00:00:00"/>
    <s v="FA"/>
    <s v="1052/4226"/>
    <s v="kpl"/>
    <n v="2305"/>
    <n v="51"/>
    <n v="96"/>
    <x v="463"/>
    <n v="1126.0800000000002"/>
    <n v="6022.08"/>
    <x v="8"/>
  </r>
  <r>
    <n v="2207"/>
    <x v="15"/>
    <n v="6"/>
    <d v="2022-12-03T00:00:00"/>
    <s v="FA"/>
    <s v="1052/4227"/>
    <s v="kpl"/>
    <n v="2306"/>
    <n v="56"/>
    <n v="90"/>
    <x v="378"/>
    <n v="1159.2"/>
    <n v="6199.2"/>
    <x v="2"/>
  </r>
  <r>
    <n v="2208"/>
    <x v="20"/>
    <n v="13"/>
    <d v="2022-04-09T00:00:00"/>
    <s v="FA"/>
    <s v="1052/4228"/>
    <s v="kpl"/>
    <n v="2307"/>
    <n v="49"/>
    <n v="104"/>
    <x v="189"/>
    <n v="1172.0800000000002"/>
    <n v="6268.08"/>
    <x v="1"/>
  </r>
  <r>
    <n v="2209"/>
    <x v="16"/>
    <n v="9"/>
    <d v="2022-02-19T00:00:00"/>
    <s v="FA"/>
    <s v="1052/4229"/>
    <s v="kpl"/>
    <n v="2308"/>
    <n v="53"/>
    <n v="132"/>
    <x v="213"/>
    <n v="1609.0800000000002"/>
    <n v="8605.08"/>
    <x v="9"/>
  </r>
  <r>
    <n v="2210"/>
    <x v="11"/>
    <n v="11"/>
    <d v="2022-12-09T00:00:00"/>
    <s v="FA"/>
    <s v="1052/4230"/>
    <s v="kpl"/>
    <n v="2309"/>
    <n v="46"/>
    <n v="93"/>
    <x v="324"/>
    <n v="983.94"/>
    <n v="5261.9400000000005"/>
    <x v="2"/>
  </r>
  <r>
    <n v="2211"/>
    <x v="3"/>
    <n v="9"/>
    <d v="2022-10-05T00:00:00"/>
    <s v="FA"/>
    <s v="1052/4231"/>
    <s v="kpl"/>
    <n v="2310"/>
    <n v="41"/>
    <n v="88"/>
    <x v="265"/>
    <n v="829.84"/>
    <n v="4437.84"/>
    <x v="5"/>
  </r>
  <r>
    <n v="2212"/>
    <x v="14"/>
    <n v="10"/>
    <d v="2022-04-25T00:00:00"/>
    <s v="FA"/>
    <s v="1052/4232"/>
    <s v="kpl"/>
    <n v="2311"/>
    <n v="35"/>
    <n v="86"/>
    <x v="657"/>
    <n v="692.30000000000007"/>
    <n v="3702.3"/>
    <x v="1"/>
  </r>
  <r>
    <n v="2213"/>
    <x v="20"/>
    <n v="11"/>
    <d v="2022-01-21T00:00:00"/>
    <s v="FA"/>
    <s v="1052/4233"/>
    <s v="kpl"/>
    <n v="2312"/>
    <n v="62"/>
    <n v="104"/>
    <x v="600"/>
    <n v="1483.04"/>
    <n v="7931.04"/>
    <x v="0"/>
  </r>
  <r>
    <n v="2214"/>
    <x v="21"/>
    <n v="9"/>
    <d v="2022-08-09T00:00:00"/>
    <s v="FA"/>
    <s v="1052/4234"/>
    <s v="kpl"/>
    <n v="2313"/>
    <n v="41"/>
    <n v="87"/>
    <x v="49"/>
    <n v="820.41000000000008"/>
    <n v="4387.41"/>
    <x v="11"/>
  </r>
  <r>
    <n v="2215"/>
    <x v="16"/>
    <n v="4"/>
    <d v="2022-09-17T00:00:00"/>
    <s v="FA"/>
    <s v="1052/4235"/>
    <s v="kpl"/>
    <n v="2314"/>
    <n v="68"/>
    <n v="132"/>
    <x v="704"/>
    <n v="2064.48"/>
    <n v="11040.48"/>
    <x v="7"/>
  </r>
  <r>
    <n v="2216"/>
    <x v="21"/>
    <n v="9"/>
    <d v="2022-12-20T00:00:00"/>
    <s v="FA"/>
    <s v="1052/4236"/>
    <s v="kpl"/>
    <n v="2315"/>
    <n v="37"/>
    <n v="87"/>
    <x v="534"/>
    <n v="740.37"/>
    <n v="3959.37"/>
    <x v="2"/>
  </r>
  <r>
    <n v="2217"/>
    <x v="7"/>
    <n v="10"/>
    <d v="2022-04-27T00:00:00"/>
    <s v="FA"/>
    <s v="1052/4237"/>
    <s v="kpl"/>
    <n v="2316"/>
    <n v="48"/>
    <n v="96"/>
    <x v="297"/>
    <n v="1059.8400000000001"/>
    <n v="5667.84"/>
    <x v="1"/>
  </r>
  <r>
    <n v="2218"/>
    <x v="24"/>
    <n v="8"/>
    <d v="2022-08-22T00:00:00"/>
    <s v="FA"/>
    <s v="1052/4238"/>
    <s v="kpl"/>
    <n v="2317"/>
    <n v="34"/>
    <n v="129"/>
    <x v="527"/>
    <n v="1008.7800000000001"/>
    <n v="5394.78"/>
    <x v="11"/>
  </r>
  <r>
    <n v="2219"/>
    <x v="26"/>
    <n v="8"/>
    <d v="2022-10-17T00:00:00"/>
    <s v="FA"/>
    <s v="1052/4239"/>
    <s v="kpl"/>
    <n v="2318"/>
    <n v="28"/>
    <n v="99"/>
    <x v="94"/>
    <n v="637.56000000000006"/>
    <n v="3409.56"/>
    <x v="5"/>
  </r>
  <r>
    <n v="2220"/>
    <x v="8"/>
    <n v="6"/>
    <d v="2022-07-19T00:00:00"/>
    <s v="FA"/>
    <s v="1052/4240"/>
    <s v="kpl"/>
    <n v="2319"/>
    <n v="44"/>
    <n v="89"/>
    <x v="705"/>
    <n v="900.68000000000006"/>
    <n v="4816.68"/>
    <x v="6"/>
  </r>
  <r>
    <n v="2221"/>
    <x v="9"/>
    <n v="10"/>
    <d v="2022-07-25T00:00:00"/>
    <s v="FA"/>
    <s v="1052/4241"/>
    <s v="kpl"/>
    <n v="2320"/>
    <n v="47"/>
    <n v="108"/>
    <x v="24"/>
    <n v="1167.48"/>
    <n v="6243.48"/>
    <x v="6"/>
  </r>
  <r>
    <n v="2222"/>
    <x v="8"/>
    <n v="12"/>
    <d v="2022-07-08T00:00:00"/>
    <s v="FA"/>
    <s v="1052/4242"/>
    <s v="kpl"/>
    <n v="2321"/>
    <n v="63"/>
    <n v="89"/>
    <x v="467"/>
    <n v="1289.6100000000001"/>
    <n v="6896.6100000000006"/>
    <x v="6"/>
  </r>
  <r>
    <n v="2223"/>
    <x v="7"/>
    <n v="10"/>
    <d v="2022-09-25T00:00:00"/>
    <s v="FA"/>
    <s v="1052/4243"/>
    <s v="kpl"/>
    <n v="2322"/>
    <n v="49"/>
    <n v="96"/>
    <x v="185"/>
    <n v="1081.92"/>
    <n v="5785.92"/>
    <x v="7"/>
  </r>
  <r>
    <n v="2224"/>
    <x v="22"/>
    <n v="10"/>
    <d v="2022-06-05T00:00:00"/>
    <s v="FA"/>
    <s v="1052/4244"/>
    <s v="kpl"/>
    <n v="2323"/>
    <n v="53"/>
    <n v="125"/>
    <x v="633"/>
    <n v="1523.75"/>
    <n v="8148.75"/>
    <x v="4"/>
  </r>
  <r>
    <n v="2225"/>
    <x v="6"/>
    <n v="7"/>
    <d v="2022-01-24T00:00:00"/>
    <s v="FA"/>
    <s v="1052/4245"/>
    <s v="kpl"/>
    <n v="2324"/>
    <n v="48"/>
    <n v="84"/>
    <x v="66"/>
    <n v="927.36"/>
    <n v="4959.3599999999997"/>
    <x v="0"/>
  </r>
  <r>
    <n v="2226"/>
    <x v="1"/>
    <n v="9"/>
    <d v="2022-10-16T00:00:00"/>
    <s v="FA"/>
    <s v="1052/4246"/>
    <s v="kpl"/>
    <n v="2325"/>
    <n v="48"/>
    <n v="99"/>
    <x v="126"/>
    <n v="1092.96"/>
    <n v="5844.96"/>
    <x v="5"/>
  </r>
  <r>
    <n v="2227"/>
    <x v="17"/>
    <n v="7"/>
    <d v="2022-09-02T00:00:00"/>
    <s v="FA"/>
    <s v="1052/4247"/>
    <s v="kpl"/>
    <n v="2326"/>
    <n v="49"/>
    <n v="94"/>
    <x v="148"/>
    <n v="1059.3800000000001"/>
    <n v="5665.38"/>
    <x v="7"/>
  </r>
  <r>
    <n v="2228"/>
    <x v="4"/>
    <n v="8"/>
    <d v="2022-03-14T00:00:00"/>
    <s v="FA"/>
    <s v="1052/4248"/>
    <s v="kpl"/>
    <n v="2327"/>
    <n v="35"/>
    <n v="85"/>
    <x v="91"/>
    <n v="684.25"/>
    <n v="3659.25"/>
    <x v="3"/>
  </r>
  <r>
    <n v="2229"/>
    <x v="25"/>
    <n v="5"/>
    <d v="2022-04-27T00:00:00"/>
    <s v="FA"/>
    <s v="1052/4249"/>
    <s v="kpl"/>
    <n v="2328"/>
    <n v="53"/>
    <n v="59"/>
    <x v="255"/>
    <n v="719.21"/>
    <n v="3846.21"/>
    <x v="1"/>
  </r>
  <r>
    <n v="2230"/>
    <x v="6"/>
    <n v="16"/>
    <d v="2022-04-16T00:00:00"/>
    <s v="FA"/>
    <s v="1052/4250"/>
    <s v="kpl"/>
    <n v="2329"/>
    <n v="45"/>
    <n v="84"/>
    <x v="12"/>
    <n v="869.40000000000009"/>
    <n v="4649.3999999999996"/>
    <x v="1"/>
  </r>
  <r>
    <n v="2231"/>
    <x v="10"/>
    <n v="10"/>
    <d v="2022-06-17T00:00:00"/>
    <s v="FA"/>
    <s v="1052/4251"/>
    <s v="kpl"/>
    <n v="2330"/>
    <n v="35"/>
    <n v="84"/>
    <x v="132"/>
    <n v="676.2"/>
    <n v="3616.2"/>
    <x v="4"/>
  </r>
  <r>
    <n v="2232"/>
    <x v="4"/>
    <n v="7"/>
    <d v="2022-07-15T00:00:00"/>
    <s v="FA"/>
    <s v="1052/4252"/>
    <s v="kpl"/>
    <n v="2331"/>
    <n v="69"/>
    <n v="85"/>
    <x v="540"/>
    <n v="1348.95"/>
    <n v="7213.95"/>
    <x v="6"/>
  </r>
  <r>
    <n v="2233"/>
    <x v="24"/>
    <n v="10"/>
    <d v="2022-12-06T00:00:00"/>
    <s v="FA"/>
    <s v="1052/4253"/>
    <s v="kpl"/>
    <n v="2332"/>
    <n v="60"/>
    <n v="129"/>
    <x v="503"/>
    <n v="1780.2"/>
    <n v="9520.2000000000007"/>
    <x v="2"/>
  </r>
  <r>
    <n v="2234"/>
    <x v="18"/>
    <n v="9"/>
    <d v="2022-01-20T00:00:00"/>
    <s v="FA"/>
    <s v="1052/4254"/>
    <s v="kpl"/>
    <n v="2333"/>
    <n v="42"/>
    <n v="109"/>
    <x v="519"/>
    <n v="1052.94"/>
    <n v="5630.9400000000005"/>
    <x v="0"/>
  </r>
  <r>
    <n v="2235"/>
    <x v="28"/>
    <n v="11"/>
    <d v="2022-05-12T00:00:00"/>
    <s v="FA"/>
    <s v="1052/4255"/>
    <s v="kpl"/>
    <n v="2334"/>
    <n v="42"/>
    <n v="105"/>
    <x v="474"/>
    <n v="1014.3000000000001"/>
    <n v="5424.3"/>
    <x v="10"/>
  </r>
  <r>
    <n v="2236"/>
    <x v="21"/>
    <n v="10"/>
    <d v="2022-10-17T00:00:00"/>
    <s v="FA"/>
    <s v="1052/4256"/>
    <s v="kpl"/>
    <n v="2335"/>
    <n v="63"/>
    <n v="87"/>
    <x v="117"/>
    <n v="1260.6300000000001"/>
    <n v="6741.63"/>
    <x v="5"/>
  </r>
  <r>
    <n v="2237"/>
    <x v="11"/>
    <n v="11"/>
    <d v="2022-02-08T00:00:00"/>
    <s v="FA"/>
    <s v="1052/4257"/>
    <s v="kpl"/>
    <n v="2336"/>
    <n v="44"/>
    <n v="93"/>
    <x v="466"/>
    <n v="941.16000000000008"/>
    <n v="5033.16"/>
    <x v="9"/>
  </r>
  <r>
    <n v="2238"/>
    <x v="1"/>
    <n v="8"/>
    <d v="2022-01-26T00:00:00"/>
    <s v="FA"/>
    <s v="1052/4258"/>
    <s v="kpl"/>
    <n v="2337"/>
    <n v="59"/>
    <n v="99"/>
    <x v="318"/>
    <n v="1343.43"/>
    <n v="7184.43"/>
    <x v="0"/>
  </r>
  <r>
    <n v="2239"/>
    <x v="20"/>
    <n v="14"/>
    <d v="2022-08-14T00:00:00"/>
    <s v="FA"/>
    <s v="1052/4259"/>
    <s v="kpl"/>
    <n v="2338"/>
    <n v="61"/>
    <n v="104"/>
    <x v="484"/>
    <n v="1459.1200000000001"/>
    <n v="7803.12"/>
    <x v="11"/>
  </r>
  <r>
    <n v="2240"/>
    <x v="3"/>
    <n v="13"/>
    <d v="2022-02-12T00:00:00"/>
    <s v="FA"/>
    <s v="1052/4260"/>
    <s v="kpl"/>
    <n v="2339"/>
    <n v="42"/>
    <n v="88"/>
    <x v="236"/>
    <n v="850.08"/>
    <n v="4546.08"/>
    <x v="9"/>
  </r>
  <r>
    <n v="2241"/>
    <x v="23"/>
    <n v="11"/>
    <d v="2022-01-21T00:00:00"/>
    <s v="FA"/>
    <s v="1052/4261"/>
    <s v="kpl"/>
    <n v="2340"/>
    <n v="43"/>
    <n v="105"/>
    <x v="427"/>
    <n v="1038.45"/>
    <n v="5553.45"/>
    <x v="0"/>
  </r>
  <r>
    <n v="2242"/>
    <x v="4"/>
    <n v="11"/>
    <d v="2022-05-14T00:00:00"/>
    <s v="FA"/>
    <s v="1052/4262"/>
    <s v="kpl"/>
    <n v="2341"/>
    <n v="59"/>
    <n v="85"/>
    <x v="130"/>
    <n v="1153.45"/>
    <n v="6168.45"/>
    <x v="10"/>
  </r>
  <r>
    <n v="2243"/>
    <x v="6"/>
    <n v="12"/>
    <d v="2022-04-25T00:00:00"/>
    <s v="FA"/>
    <s v="1052/4263"/>
    <s v="kpl"/>
    <n v="2342"/>
    <n v="52"/>
    <n v="84"/>
    <x v="109"/>
    <n v="1004.6400000000001"/>
    <n v="5372.64"/>
    <x v="1"/>
  </r>
  <r>
    <n v="2244"/>
    <x v="26"/>
    <n v="11"/>
    <d v="2022-05-07T00:00:00"/>
    <s v="FA"/>
    <s v="1052/4264"/>
    <s v="kpl"/>
    <n v="2343"/>
    <n v="42"/>
    <n v="99"/>
    <x v="1"/>
    <n v="956.34"/>
    <n v="5114.34"/>
    <x v="10"/>
  </r>
  <r>
    <n v="2245"/>
    <x v="26"/>
    <n v="8"/>
    <d v="2022-12-23T00:00:00"/>
    <s v="FA"/>
    <s v="1052/4265"/>
    <s v="kpl"/>
    <n v="2344"/>
    <n v="49"/>
    <n v="99"/>
    <x v="374"/>
    <n v="1115.73"/>
    <n v="5966.73"/>
    <x v="2"/>
  </r>
  <r>
    <n v="2246"/>
    <x v="24"/>
    <n v="9"/>
    <d v="2022-06-23T00:00:00"/>
    <s v="FA"/>
    <s v="1052/4266"/>
    <s v="kpl"/>
    <n v="2345"/>
    <n v="47"/>
    <n v="129"/>
    <x v="462"/>
    <n v="1394.49"/>
    <n v="7457.49"/>
    <x v="4"/>
  </r>
  <r>
    <n v="2247"/>
    <x v="23"/>
    <n v="12"/>
    <d v="2022-02-21T00:00:00"/>
    <s v="FA"/>
    <s v="1052/4267"/>
    <s v="kpl"/>
    <n v="2346"/>
    <n v="51"/>
    <n v="105"/>
    <x v="316"/>
    <n v="1231.6500000000001"/>
    <n v="6586.65"/>
    <x v="9"/>
  </r>
  <r>
    <n v="2248"/>
    <x v="4"/>
    <n v="12"/>
    <d v="2022-04-01T00:00:00"/>
    <s v="FA"/>
    <s v="1052/4268"/>
    <s v="kpl"/>
    <n v="2347"/>
    <n v="57"/>
    <n v="85"/>
    <x v="384"/>
    <n v="1114.3500000000001"/>
    <n v="5959.35"/>
    <x v="1"/>
  </r>
  <r>
    <n v="2249"/>
    <x v="24"/>
    <n v="9"/>
    <d v="2022-04-21T00:00:00"/>
    <s v="FA"/>
    <s v="1052/4269"/>
    <s v="kpl"/>
    <n v="2348"/>
    <n v="54"/>
    <n v="129"/>
    <x v="169"/>
    <n v="1602.18"/>
    <n v="8568.18"/>
    <x v="1"/>
  </r>
  <r>
    <n v="2250"/>
    <x v="16"/>
    <n v="8"/>
    <d v="2022-05-14T00:00:00"/>
    <s v="FA"/>
    <s v="1052/4270"/>
    <s v="kpl"/>
    <n v="2349"/>
    <n v="30"/>
    <n v="132"/>
    <x v="291"/>
    <n v="910.80000000000007"/>
    <n v="4870.8"/>
    <x v="10"/>
  </r>
  <r>
    <n v="2251"/>
    <x v="20"/>
    <n v="13"/>
    <d v="2022-05-08T00:00:00"/>
    <s v="FA"/>
    <s v="1052/4271"/>
    <s v="kpl"/>
    <n v="2350"/>
    <n v="49"/>
    <n v="104"/>
    <x v="189"/>
    <n v="1172.0800000000002"/>
    <n v="6268.08"/>
    <x v="10"/>
  </r>
  <r>
    <n v="2252"/>
    <x v="24"/>
    <n v="10"/>
    <d v="2022-09-14T00:00:00"/>
    <s v="FA"/>
    <s v="1052/4272"/>
    <s v="kpl"/>
    <n v="2351"/>
    <n v="34"/>
    <n v="129"/>
    <x v="527"/>
    <n v="1008.7800000000001"/>
    <n v="5394.78"/>
    <x v="7"/>
  </r>
  <r>
    <n v="2253"/>
    <x v="7"/>
    <n v="11"/>
    <d v="2022-01-20T00:00:00"/>
    <s v="FA"/>
    <s v="1052/4273"/>
    <s v="kpl"/>
    <n v="2352"/>
    <n v="42"/>
    <n v="96"/>
    <x v="66"/>
    <n v="927.36"/>
    <n v="4959.3599999999997"/>
    <x v="0"/>
  </r>
  <r>
    <n v="2254"/>
    <x v="24"/>
    <n v="14"/>
    <d v="2022-12-18T00:00:00"/>
    <s v="FA"/>
    <s v="1052/4274"/>
    <s v="kpl"/>
    <n v="2353"/>
    <n v="45"/>
    <n v="129"/>
    <x v="614"/>
    <n v="1335.15"/>
    <n v="7140.15"/>
    <x v="2"/>
  </r>
  <r>
    <n v="2255"/>
    <x v="16"/>
    <n v="8"/>
    <d v="2022-02-10T00:00:00"/>
    <s v="FA"/>
    <s v="1052/4275"/>
    <s v="kpl"/>
    <n v="2354"/>
    <n v="61"/>
    <n v="132"/>
    <x v="706"/>
    <n v="1851.96"/>
    <n v="9903.9599999999991"/>
    <x v="9"/>
  </r>
  <r>
    <n v="2256"/>
    <x v="17"/>
    <n v="9"/>
    <d v="2022-08-15T00:00:00"/>
    <s v="FA"/>
    <s v="1052/4276"/>
    <s v="kpl"/>
    <n v="2355"/>
    <n v="43"/>
    <n v="94"/>
    <x v="211"/>
    <n v="929.66000000000008"/>
    <n v="4971.66"/>
    <x v="11"/>
  </r>
  <r>
    <n v="2257"/>
    <x v="16"/>
    <n v="9"/>
    <d v="2022-08-24T00:00:00"/>
    <s v="FA"/>
    <s v="1052/4277"/>
    <s v="kpl"/>
    <n v="2356"/>
    <n v="44"/>
    <n v="132"/>
    <x v="3"/>
    <n v="1335.8400000000001"/>
    <n v="7143.84"/>
    <x v="11"/>
  </r>
  <r>
    <n v="2258"/>
    <x v="14"/>
    <n v="10"/>
    <d v="2022-02-05T00:00:00"/>
    <s v="FA"/>
    <s v="1052/4278"/>
    <s v="kpl"/>
    <n v="2357"/>
    <n v="43"/>
    <n v="86"/>
    <x v="238"/>
    <n v="850.54000000000008"/>
    <n v="4548.54"/>
    <x v="9"/>
  </r>
  <r>
    <n v="2259"/>
    <x v="25"/>
    <n v="8"/>
    <d v="2022-06-18T00:00:00"/>
    <s v="FA"/>
    <s v="1052/4279"/>
    <s v="kpl"/>
    <n v="2358"/>
    <n v="41"/>
    <n v="59"/>
    <x v="412"/>
    <n v="556.37"/>
    <n v="2975.37"/>
    <x v="4"/>
  </r>
  <r>
    <n v="2260"/>
    <x v="2"/>
    <n v="8"/>
    <d v="2022-05-25T00:00:00"/>
    <s v="FA"/>
    <s v="1052/4280"/>
    <s v="kpl"/>
    <n v="2359"/>
    <n v="37"/>
    <n v="84"/>
    <x v="366"/>
    <n v="714.84"/>
    <n v="3822.84"/>
    <x v="10"/>
  </r>
  <r>
    <n v="2261"/>
    <x v="0"/>
    <n v="7"/>
    <d v="2022-05-10T00:00:00"/>
    <s v="FA"/>
    <s v="1052/4281"/>
    <s v="kpl"/>
    <n v="2360"/>
    <n v="44"/>
    <n v="83"/>
    <x v="200"/>
    <n v="839.96"/>
    <n v="4491.96"/>
    <x v="10"/>
  </r>
  <r>
    <n v="2262"/>
    <x v="28"/>
    <n v="10"/>
    <d v="2022-01-02T00:00:00"/>
    <s v="FA"/>
    <s v="1052/4282"/>
    <s v="kpl"/>
    <n v="2361"/>
    <n v="42"/>
    <n v="105"/>
    <x v="474"/>
    <n v="1014.3000000000001"/>
    <n v="5424.3"/>
    <x v="0"/>
  </r>
  <r>
    <n v="2263"/>
    <x v="16"/>
    <n v="5"/>
    <d v="2022-06-21T00:00:00"/>
    <s v="FA"/>
    <s v="1052/4283"/>
    <s v="kpl"/>
    <n v="2362"/>
    <n v="68"/>
    <n v="132"/>
    <x v="704"/>
    <n v="2064.48"/>
    <n v="11040.48"/>
    <x v="4"/>
  </r>
  <r>
    <n v="2264"/>
    <x v="28"/>
    <n v="8"/>
    <d v="2022-09-11T00:00:00"/>
    <s v="FA"/>
    <s v="1052/4284"/>
    <s v="kpl"/>
    <n v="2363"/>
    <n v="60"/>
    <n v="105"/>
    <x v="310"/>
    <n v="1449"/>
    <n v="7749"/>
    <x v="7"/>
  </r>
  <r>
    <n v="2265"/>
    <x v="7"/>
    <n v="13"/>
    <d v="2022-10-11T00:00:00"/>
    <s v="FA"/>
    <s v="1052/4285"/>
    <s v="kpl"/>
    <n v="2364"/>
    <n v="41"/>
    <n v="96"/>
    <x v="146"/>
    <n v="905.28000000000009"/>
    <n v="4841.28"/>
    <x v="5"/>
  </r>
  <r>
    <n v="2266"/>
    <x v="1"/>
    <n v="7"/>
    <d v="2022-05-15T00:00:00"/>
    <s v="FA"/>
    <s v="1052/4286"/>
    <s v="kpl"/>
    <n v="2365"/>
    <n v="55"/>
    <n v="99"/>
    <x v="50"/>
    <n v="1252.3500000000001"/>
    <n v="6697.35"/>
    <x v="10"/>
  </r>
  <r>
    <n v="2267"/>
    <x v="2"/>
    <n v="7"/>
    <d v="2022-07-09T00:00:00"/>
    <s v="FA"/>
    <s v="1052/4287"/>
    <s v="kpl"/>
    <n v="2366"/>
    <n v="54"/>
    <n v="84"/>
    <x v="309"/>
    <n v="1043.28"/>
    <n v="5579.28"/>
    <x v="6"/>
  </r>
  <r>
    <n v="2268"/>
    <x v="4"/>
    <n v="6"/>
    <d v="2022-08-03T00:00:00"/>
    <s v="FA"/>
    <s v="1052/4288"/>
    <s v="kpl"/>
    <n v="2367"/>
    <n v="50"/>
    <n v="85"/>
    <x v="443"/>
    <n v="977.5"/>
    <n v="5227.5"/>
    <x v="11"/>
  </r>
  <r>
    <n v="2269"/>
    <x v="22"/>
    <n v="4"/>
    <d v="2022-05-07T00:00:00"/>
    <s v="FA"/>
    <s v="1052/4289"/>
    <s v="kpl"/>
    <n v="2368"/>
    <n v="53"/>
    <n v="125"/>
    <x v="633"/>
    <n v="1523.75"/>
    <n v="8148.75"/>
    <x v="10"/>
  </r>
  <r>
    <n v="2270"/>
    <x v="28"/>
    <n v="7"/>
    <d v="2022-02-05T00:00:00"/>
    <s v="FA"/>
    <s v="1052/4290"/>
    <s v="kpl"/>
    <n v="2369"/>
    <n v="60"/>
    <n v="105"/>
    <x v="310"/>
    <n v="1449"/>
    <n v="7749"/>
    <x v="9"/>
  </r>
  <r>
    <n v="2271"/>
    <x v="28"/>
    <n v="14"/>
    <d v="2022-12-03T00:00:00"/>
    <s v="FA"/>
    <s v="1052/4291"/>
    <s v="kpl"/>
    <n v="2370"/>
    <n v="42"/>
    <n v="105"/>
    <x v="474"/>
    <n v="1014.3000000000001"/>
    <n v="5424.3"/>
    <x v="2"/>
  </r>
  <r>
    <n v="2272"/>
    <x v="18"/>
    <n v="10"/>
    <d v="2022-05-27T00:00:00"/>
    <s v="FA"/>
    <s v="1052/4292"/>
    <s v="kpl"/>
    <n v="2371"/>
    <n v="47"/>
    <n v="109"/>
    <x v="77"/>
    <n v="1178.29"/>
    <n v="6301.29"/>
    <x v="10"/>
  </r>
  <r>
    <n v="2273"/>
    <x v="3"/>
    <n v="9"/>
    <d v="2022-10-02T00:00:00"/>
    <s v="FA"/>
    <s v="1052/4293"/>
    <s v="kpl"/>
    <n v="2372"/>
    <n v="65"/>
    <n v="88"/>
    <x v="138"/>
    <n v="1315.6000000000001"/>
    <n v="7035.6"/>
    <x v="5"/>
  </r>
  <r>
    <n v="2274"/>
    <x v="7"/>
    <n v="9"/>
    <d v="2022-08-06T00:00:00"/>
    <s v="FA"/>
    <s v="1052/4294"/>
    <s v="kpl"/>
    <n v="2373"/>
    <n v="57"/>
    <n v="96"/>
    <x v="655"/>
    <n v="1258.56"/>
    <n v="6730.5599999999995"/>
    <x v="11"/>
  </r>
  <r>
    <n v="2275"/>
    <x v="14"/>
    <n v="13"/>
    <d v="2022-03-19T00:00:00"/>
    <s v="FA"/>
    <s v="1052/4295"/>
    <s v="kpl"/>
    <n v="2374"/>
    <n v="50"/>
    <n v="86"/>
    <x v="239"/>
    <n v="989"/>
    <n v="5289"/>
    <x v="3"/>
  </r>
  <r>
    <n v="2276"/>
    <x v="10"/>
    <n v="9"/>
    <d v="2022-10-20T00:00:00"/>
    <s v="FA"/>
    <s v="1052/4296"/>
    <s v="kpl"/>
    <n v="2375"/>
    <n v="42"/>
    <n v="84"/>
    <x v="7"/>
    <n v="811.44"/>
    <n v="4339.4400000000005"/>
    <x v="5"/>
  </r>
  <r>
    <n v="2277"/>
    <x v="23"/>
    <n v="13"/>
    <d v="2022-01-22T00:00:00"/>
    <s v="FA"/>
    <s v="1052/4297"/>
    <s v="kpl"/>
    <n v="2376"/>
    <n v="47"/>
    <n v="105"/>
    <x v="160"/>
    <n v="1135.05"/>
    <n v="6070.05"/>
    <x v="0"/>
  </r>
  <r>
    <n v="2278"/>
    <x v="13"/>
    <n v="12"/>
    <d v="2022-12-01T00:00:00"/>
    <s v="FA"/>
    <s v="1052/4298"/>
    <s v="kpl"/>
    <n v="2377"/>
    <n v="52"/>
    <n v="88"/>
    <x v="14"/>
    <n v="1052.48"/>
    <n v="5628.48"/>
    <x v="2"/>
  </r>
  <r>
    <n v="2279"/>
    <x v="9"/>
    <n v="10"/>
    <d v="2022-06-19T00:00:00"/>
    <s v="FA"/>
    <s v="1052/4299"/>
    <s v="kpl"/>
    <n v="2378"/>
    <n v="64"/>
    <n v="108"/>
    <x v="174"/>
    <n v="1589.76"/>
    <n v="8501.76"/>
    <x v="4"/>
  </r>
  <r>
    <n v="2280"/>
    <x v="23"/>
    <n v="8"/>
    <d v="2022-04-20T00:00:00"/>
    <s v="FA"/>
    <s v="1052/4300"/>
    <s v="kpl"/>
    <n v="2379"/>
    <n v="40"/>
    <n v="105"/>
    <x v="194"/>
    <n v="966"/>
    <n v="5166"/>
    <x v="1"/>
  </r>
  <r>
    <n v="2281"/>
    <x v="26"/>
    <n v="7"/>
    <d v="2022-06-24T00:00:00"/>
    <s v="FA"/>
    <s v="1052/4301"/>
    <s v="kpl"/>
    <n v="2380"/>
    <n v="56"/>
    <n v="99"/>
    <x v="65"/>
    <n v="1275.1200000000001"/>
    <n v="6819.12"/>
    <x v="4"/>
  </r>
  <r>
    <n v="2282"/>
    <x v="19"/>
    <n v="12"/>
    <d v="2022-12-15T00:00:00"/>
    <s v="FA"/>
    <s v="1052/4302"/>
    <s v="kpl"/>
    <n v="2381"/>
    <n v="48"/>
    <n v="121"/>
    <x v="3"/>
    <n v="1335.8400000000001"/>
    <n v="7143.84"/>
    <x v="2"/>
  </r>
  <r>
    <n v="2283"/>
    <x v="20"/>
    <n v="12"/>
    <d v="2022-05-02T00:00:00"/>
    <s v="FA"/>
    <s v="1052/4303"/>
    <s v="kpl"/>
    <n v="2382"/>
    <n v="53"/>
    <n v="104"/>
    <x v="406"/>
    <n v="1267.76"/>
    <n v="6779.76"/>
    <x v="10"/>
  </r>
  <r>
    <n v="2284"/>
    <x v="19"/>
    <n v="11"/>
    <d v="2022-11-19T00:00:00"/>
    <s v="FA"/>
    <s v="1052/4304"/>
    <s v="kpl"/>
    <n v="2383"/>
    <n v="32"/>
    <n v="121"/>
    <x v="360"/>
    <n v="890.56000000000006"/>
    <n v="4762.5600000000004"/>
    <x v="8"/>
  </r>
  <r>
    <n v="2285"/>
    <x v="29"/>
    <n v="10"/>
    <d v="2022-12-28T00:00:00"/>
    <s v="FA"/>
    <s v="1052/4305"/>
    <s v="kpl"/>
    <n v="2384"/>
    <n v="29"/>
    <n v="103"/>
    <x v="707"/>
    <n v="687.01"/>
    <n v="3674.01"/>
    <x v="2"/>
  </r>
  <r>
    <n v="2286"/>
    <x v="18"/>
    <n v="7"/>
    <d v="2022-04-16T00:00:00"/>
    <s v="FA"/>
    <s v="1052/4306"/>
    <s v="kpl"/>
    <n v="2385"/>
    <n v="46"/>
    <n v="109"/>
    <x v="41"/>
    <n v="1153.22"/>
    <n v="6167.22"/>
    <x v="1"/>
  </r>
  <r>
    <n v="2287"/>
    <x v="26"/>
    <n v="6"/>
    <d v="2022-04-12T00:00:00"/>
    <s v="FA"/>
    <s v="1052/4307"/>
    <s v="kpl"/>
    <n v="2386"/>
    <n v="39"/>
    <n v="99"/>
    <x v="687"/>
    <n v="888.03000000000009"/>
    <n v="4749.03"/>
    <x v="1"/>
  </r>
  <r>
    <n v="2288"/>
    <x v="17"/>
    <n v="5"/>
    <d v="2022-04-28T00:00:00"/>
    <s v="FA"/>
    <s v="1052/4308"/>
    <s v="kpl"/>
    <n v="2387"/>
    <n v="29"/>
    <n v="94"/>
    <x v="604"/>
    <n v="626.98"/>
    <n v="3352.98"/>
    <x v="1"/>
  </r>
  <r>
    <n v="2289"/>
    <x v="29"/>
    <n v="9"/>
    <d v="2022-02-10T00:00:00"/>
    <s v="FA"/>
    <s v="1052/4309"/>
    <s v="kpl"/>
    <n v="2388"/>
    <n v="45"/>
    <n v="103"/>
    <x v="708"/>
    <n v="1066.05"/>
    <n v="5701.05"/>
    <x v="9"/>
  </r>
  <r>
    <n v="2290"/>
    <x v="21"/>
    <n v="9"/>
    <d v="2022-11-16T00:00:00"/>
    <s v="FA"/>
    <s v="1052/4310"/>
    <s v="kpl"/>
    <n v="2389"/>
    <n v="73"/>
    <n v="87"/>
    <x v="709"/>
    <n v="1460.73"/>
    <n v="7811.73"/>
    <x v="8"/>
  </r>
  <r>
    <n v="2291"/>
    <x v="13"/>
    <n v="11"/>
    <d v="2022-02-21T00:00:00"/>
    <s v="FA"/>
    <s v="1052/4311"/>
    <s v="kpl"/>
    <n v="2390"/>
    <n v="43"/>
    <n v="88"/>
    <x v="214"/>
    <n v="870.32"/>
    <n v="4654.32"/>
    <x v="9"/>
  </r>
  <r>
    <n v="2292"/>
    <x v="18"/>
    <n v="8"/>
    <d v="2022-11-02T00:00:00"/>
    <s v="FA"/>
    <s v="1052/4312"/>
    <s v="kpl"/>
    <n v="2391"/>
    <n v="38"/>
    <n v="109"/>
    <x v="158"/>
    <n v="952.66000000000008"/>
    <n v="5094.66"/>
    <x v="8"/>
  </r>
  <r>
    <n v="2293"/>
    <x v="26"/>
    <n v="8"/>
    <d v="2022-07-16T00:00:00"/>
    <s v="FA"/>
    <s v="1052/4313"/>
    <s v="kpl"/>
    <n v="2392"/>
    <n v="36"/>
    <n v="99"/>
    <x v="416"/>
    <n v="819.72"/>
    <n v="4383.72"/>
    <x v="6"/>
  </r>
  <r>
    <n v="2294"/>
    <x v="12"/>
    <n v="8"/>
    <d v="2022-07-16T00:00:00"/>
    <s v="FA"/>
    <s v="1052/4314"/>
    <s v="kpl"/>
    <n v="2393"/>
    <n v="46"/>
    <n v="91"/>
    <x v="368"/>
    <n v="962.78000000000009"/>
    <n v="5148.78"/>
    <x v="6"/>
  </r>
  <r>
    <n v="2295"/>
    <x v="8"/>
    <n v="11"/>
    <d v="2022-11-17T00:00:00"/>
    <s v="FA"/>
    <s v="1052/4315"/>
    <s v="kpl"/>
    <n v="2394"/>
    <n v="58"/>
    <n v="89"/>
    <x v="327"/>
    <n v="1187.26"/>
    <n v="6349.26"/>
    <x v="8"/>
  </r>
  <r>
    <n v="2296"/>
    <x v="15"/>
    <n v="12"/>
    <d v="2022-05-09T00:00:00"/>
    <s v="FA"/>
    <s v="1052/4316"/>
    <s v="kpl"/>
    <n v="2395"/>
    <n v="50"/>
    <n v="90"/>
    <x v="153"/>
    <n v="1035"/>
    <n v="5535"/>
    <x v="10"/>
  </r>
  <r>
    <n v="2297"/>
    <x v="20"/>
    <n v="12"/>
    <d v="2022-10-08T00:00:00"/>
    <s v="FA"/>
    <s v="1052/4317"/>
    <s v="kpl"/>
    <n v="2396"/>
    <n v="43"/>
    <n v="104"/>
    <x v="136"/>
    <n v="1028.56"/>
    <n v="5500.5599999999995"/>
    <x v="5"/>
  </r>
  <r>
    <n v="2298"/>
    <x v="6"/>
    <n v="6"/>
    <d v="2022-10-06T00:00:00"/>
    <s v="FA"/>
    <s v="1052/4318"/>
    <s v="kpl"/>
    <n v="2397"/>
    <n v="51"/>
    <n v="84"/>
    <x v="234"/>
    <n v="985.32"/>
    <n v="5269.32"/>
    <x v="5"/>
  </r>
  <r>
    <n v="2299"/>
    <x v="18"/>
    <n v="4"/>
    <d v="2022-06-08T00:00:00"/>
    <s v="FA"/>
    <s v="1052/4319"/>
    <s v="kpl"/>
    <n v="2398"/>
    <n v="63"/>
    <n v="109"/>
    <x v="420"/>
    <n v="1579.41"/>
    <n v="8446.41"/>
    <x v="4"/>
  </r>
  <r>
    <n v="2300"/>
    <x v="17"/>
    <n v="9"/>
    <d v="2022-08-19T00:00:00"/>
    <s v="FA"/>
    <s v="1052/4320"/>
    <s v="kpl"/>
    <n v="2399"/>
    <n v="47"/>
    <n v="94"/>
    <x v="83"/>
    <n v="1016.1400000000001"/>
    <n v="5434.14"/>
    <x v="11"/>
  </r>
  <r>
    <n v="2301"/>
    <x v="8"/>
    <n v="10"/>
    <d v="2022-10-05T00:00:00"/>
    <s v="FA"/>
    <s v="1052/4321"/>
    <s v="kpl"/>
    <n v="2400"/>
    <n v="57"/>
    <n v="89"/>
    <x v="487"/>
    <n v="1166.79"/>
    <n v="6239.79"/>
    <x v="5"/>
  </r>
  <r>
    <n v="2302"/>
    <x v="3"/>
    <n v="11"/>
    <d v="2022-05-13T00:00:00"/>
    <s v="FA"/>
    <s v="1052/4322"/>
    <s v="kpl"/>
    <n v="2401"/>
    <n v="48"/>
    <n v="88"/>
    <x v="40"/>
    <n v="971.5200000000001"/>
    <n v="5195.5200000000004"/>
    <x v="10"/>
  </r>
  <r>
    <n v="2303"/>
    <x v="11"/>
    <n v="9"/>
    <d v="2022-04-04T00:00:00"/>
    <s v="FA"/>
    <s v="1052/4323"/>
    <s v="kpl"/>
    <n v="2402"/>
    <n v="59"/>
    <n v="93"/>
    <x v="670"/>
    <n v="1262.01"/>
    <n v="6749.01"/>
    <x v="1"/>
  </r>
  <r>
    <n v="2304"/>
    <x v="24"/>
    <n v="12"/>
    <d v="2022-02-23T00:00:00"/>
    <s v="FA"/>
    <s v="1052/4324"/>
    <s v="kpl"/>
    <n v="2403"/>
    <n v="45"/>
    <n v="129"/>
    <x v="614"/>
    <n v="1335.15"/>
    <n v="7140.15"/>
    <x v="9"/>
  </r>
  <r>
    <n v="2305"/>
    <x v="6"/>
    <n v="8"/>
    <d v="2022-09-27T00:00:00"/>
    <s v="FA"/>
    <s v="1052/4325"/>
    <s v="kpl"/>
    <n v="2404"/>
    <n v="37"/>
    <n v="84"/>
    <x v="366"/>
    <n v="714.84"/>
    <n v="3822.84"/>
    <x v="7"/>
  </r>
  <r>
    <n v="2306"/>
    <x v="24"/>
    <n v="8"/>
    <d v="2022-02-22T00:00:00"/>
    <s v="FA"/>
    <s v="1052/4326"/>
    <s v="kpl"/>
    <n v="2405"/>
    <n v="43"/>
    <n v="129"/>
    <x v="589"/>
    <n v="1275.81"/>
    <n v="6822.8099999999995"/>
    <x v="9"/>
  </r>
  <r>
    <n v="2307"/>
    <x v="20"/>
    <n v="10"/>
    <d v="2022-09-08T00:00:00"/>
    <s v="FA"/>
    <s v="1052/4327"/>
    <s v="kpl"/>
    <n v="2406"/>
    <n v="65"/>
    <n v="104"/>
    <x v="710"/>
    <n v="1554.8"/>
    <n v="8314.7999999999993"/>
    <x v="7"/>
  </r>
  <r>
    <n v="2308"/>
    <x v="7"/>
    <n v="8"/>
    <d v="2022-02-03T00:00:00"/>
    <s v="FA"/>
    <s v="1052/4328"/>
    <s v="kpl"/>
    <n v="2407"/>
    <n v="47"/>
    <n v="96"/>
    <x v="397"/>
    <n v="1037.76"/>
    <n v="5549.76"/>
    <x v="9"/>
  </r>
  <r>
    <n v="2309"/>
    <x v="25"/>
    <n v="11"/>
    <d v="2022-02-21T00:00:00"/>
    <s v="FA"/>
    <s v="1052/4329"/>
    <s v="kpl"/>
    <n v="2408"/>
    <n v="40"/>
    <n v="59"/>
    <x v="182"/>
    <n v="542.80000000000007"/>
    <n v="2902.8"/>
    <x v="9"/>
  </r>
  <r>
    <n v="2310"/>
    <x v="7"/>
    <n v="11"/>
    <d v="2022-07-22T00:00:00"/>
    <s v="FA"/>
    <s v="1052/4330"/>
    <s v="kpl"/>
    <n v="2409"/>
    <n v="55"/>
    <n v="96"/>
    <x v="9"/>
    <n v="1214.4000000000001"/>
    <n v="6494.4"/>
    <x v="6"/>
  </r>
  <r>
    <n v="2311"/>
    <x v="17"/>
    <n v="5"/>
    <d v="2022-11-15T00:00:00"/>
    <s v="FA"/>
    <s v="1052/4331"/>
    <s v="kpl"/>
    <n v="2410"/>
    <n v="46"/>
    <n v="94"/>
    <x v="472"/>
    <n v="994.5200000000001"/>
    <n v="5318.52"/>
    <x v="8"/>
  </r>
  <r>
    <n v="2312"/>
    <x v="10"/>
    <n v="9"/>
    <d v="2022-04-19T00:00:00"/>
    <s v="FA"/>
    <s v="1052/4332"/>
    <s v="kpl"/>
    <n v="2411"/>
    <n v="51"/>
    <n v="84"/>
    <x v="234"/>
    <n v="985.32"/>
    <n v="5269.32"/>
    <x v="1"/>
  </r>
  <r>
    <n v="2313"/>
    <x v="5"/>
    <n v="10"/>
    <d v="2022-12-24T00:00:00"/>
    <s v="FA"/>
    <s v="1052/4333"/>
    <s v="kpl"/>
    <n v="2412"/>
    <n v="66"/>
    <n v="87"/>
    <x v="509"/>
    <n v="1320.66"/>
    <n v="7062.66"/>
    <x v="2"/>
  </r>
  <r>
    <n v="2314"/>
    <x v="1"/>
    <n v="9"/>
    <d v="2022-11-21T00:00:00"/>
    <s v="FA"/>
    <s v="1052/4334"/>
    <s v="kpl"/>
    <n v="2413"/>
    <n v="55"/>
    <n v="99"/>
    <x v="50"/>
    <n v="1252.3500000000001"/>
    <n v="6697.35"/>
    <x v="8"/>
  </r>
  <r>
    <n v="2315"/>
    <x v="26"/>
    <n v="5"/>
    <d v="2022-08-12T00:00:00"/>
    <s v="FA"/>
    <s v="1052/4335"/>
    <s v="kpl"/>
    <n v="2414"/>
    <n v="45"/>
    <n v="99"/>
    <x v="121"/>
    <n v="1024.6500000000001"/>
    <n v="5479.65"/>
    <x v="11"/>
  </r>
  <r>
    <n v="2316"/>
    <x v="10"/>
    <n v="11"/>
    <d v="2022-02-17T00:00:00"/>
    <s v="FA"/>
    <s v="1052/4336"/>
    <s v="kpl"/>
    <n v="2415"/>
    <n v="53"/>
    <n v="84"/>
    <x v="188"/>
    <n v="1023.96"/>
    <n v="5475.96"/>
    <x v="9"/>
  </r>
  <r>
    <n v="2317"/>
    <x v="6"/>
    <n v="11"/>
    <d v="2022-02-17T00:00:00"/>
    <s v="FA"/>
    <s v="1052/4337"/>
    <s v="kpl"/>
    <n v="2416"/>
    <n v="54"/>
    <n v="84"/>
    <x v="309"/>
    <n v="1043.28"/>
    <n v="5579.28"/>
    <x v="9"/>
  </r>
  <r>
    <n v="2318"/>
    <x v="24"/>
    <n v="11"/>
    <d v="2022-07-14T00:00:00"/>
    <s v="FA"/>
    <s v="1052/4338"/>
    <s v="kpl"/>
    <n v="2417"/>
    <n v="48"/>
    <n v="129"/>
    <x v="553"/>
    <n v="1424.16"/>
    <n v="7616.16"/>
    <x v="6"/>
  </r>
  <r>
    <n v="2319"/>
    <x v="5"/>
    <n v="8"/>
    <d v="2022-01-21T00:00:00"/>
    <s v="FA"/>
    <s v="1052/4339"/>
    <s v="kpl"/>
    <n v="2418"/>
    <n v="41"/>
    <n v="87"/>
    <x v="49"/>
    <n v="820.41000000000008"/>
    <n v="4387.41"/>
    <x v="0"/>
  </r>
  <r>
    <n v="2320"/>
    <x v="25"/>
    <n v="8"/>
    <d v="2022-04-01T00:00:00"/>
    <s v="FA"/>
    <s v="1052/4340"/>
    <s v="kpl"/>
    <n v="2419"/>
    <n v="50"/>
    <n v="59"/>
    <x v="293"/>
    <n v="678.5"/>
    <n v="3628.5"/>
    <x v="1"/>
  </r>
  <r>
    <n v="2321"/>
    <x v="7"/>
    <n v="7"/>
    <d v="2022-01-22T00:00:00"/>
    <s v="FA"/>
    <s v="1052/4341"/>
    <s v="kpl"/>
    <n v="2420"/>
    <n v="63"/>
    <n v="96"/>
    <x v="20"/>
    <n v="1391.04"/>
    <n v="7439.04"/>
    <x v="0"/>
  </r>
  <r>
    <n v="2322"/>
    <x v="7"/>
    <n v="7"/>
    <d v="2022-09-08T00:00:00"/>
    <s v="FA"/>
    <s v="1052/4342"/>
    <s v="kpl"/>
    <n v="2421"/>
    <n v="53"/>
    <n v="96"/>
    <x v="274"/>
    <n v="1170.24"/>
    <n v="6258.24"/>
    <x v="7"/>
  </r>
  <r>
    <n v="2323"/>
    <x v="5"/>
    <n v="13"/>
    <d v="2022-10-11T00:00:00"/>
    <s v="FA"/>
    <s v="1052/4343"/>
    <s v="kpl"/>
    <n v="2422"/>
    <n v="57"/>
    <n v="87"/>
    <x v="52"/>
    <n v="1140.57"/>
    <n v="6099.57"/>
    <x v="5"/>
  </r>
  <r>
    <n v="2324"/>
    <x v="29"/>
    <n v="11"/>
    <d v="2022-06-17T00:00:00"/>
    <s v="FA"/>
    <s v="1052/4344"/>
    <s v="kpl"/>
    <n v="2423"/>
    <n v="68"/>
    <n v="103"/>
    <x v="711"/>
    <n v="1610.92"/>
    <n v="8614.92"/>
    <x v="4"/>
  </r>
  <r>
    <n v="2325"/>
    <x v="23"/>
    <n v="7"/>
    <d v="2022-04-19T00:00:00"/>
    <s v="FA"/>
    <s v="1052/4345"/>
    <s v="kpl"/>
    <n v="2424"/>
    <n v="55"/>
    <n v="105"/>
    <x v="330"/>
    <n v="1328.25"/>
    <n v="7103.25"/>
    <x v="1"/>
  </r>
  <r>
    <n v="2326"/>
    <x v="15"/>
    <n v="9"/>
    <d v="2022-08-14T00:00:00"/>
    <s v="FA"/>
    <s v="1052/4346"/>
    <s v="kpl"/>
    <n v="2425"/>
    <n v="25"/>
    <n v="90"/>
    <x v="712"/>
    <n v="517.5"/>
    <n v="2767.5"/>
    <x v="11"/>
  </r>
  <r>
    <n v="2327"/>
    <x v="24"/>
    <n v="8"/>
    <d v="2022-01-09T00:00:00"/>
    <s v="FA"/>
    <s v="1052/4347"/>
    <s v="kpl"/>
    <n v="2426"/>
    <n v="44"/>
    <n v="129"/>
    <x v="266"/>
    <n v="1305.48"/>
    <n v="6981.48"/>
    <x v="0"/>
  </r>
  <r>
    <n v="2328"/>
    <x v="7"/>
    <n v="11"/>
    <d v="2022-02-23T00:00:00"/>
    <s v="FA"/>
    <s v="1052/4348"/>
    <s v="kpl"/>
    <n v="2427"/>
    <n v="37"/>
    <n v="96"/>
    <x v="116"/>
    <n v="816.96"/>
    <n v="4368.96"/>
    <x v="9"/>
  </r>
  <r>
    <n v="2329"/>
    <x v="25"/>
    <n v="13"/>
    <d v="2022-12-10T00:00:00"/>
    <s v="FA"/>
    <s v="1052/4349"/>
    <s v="kpl"/>
    <n v="2428"/>
    <n v="60"/>
    <n v="59"/>
    <x v="713"/>
    <n v="814.2"/>
    <n v="4354.2"/>
    <x v="2"/>
  </r>
  <r>
    <n v="2330"/>
    <x v="8"/>
    <n v="8"/>
    <d v="2022-03-22T00:00:00"/>
    <s v="FA"/>
    <s v="1052/4350"/>
    <s v="kpl"/>
    <n v="2429"/>
    <n v="57"/>
    <n v="89"/>
    <x v="487"/>
    <n v="1166.79"/>
    <n v="6239.79"/>
    <x v="3"/>
  </r>
  <r>
    <n v="2331"/>
    <x v="14"/>
    <n v="7"/>
    <d v="2022-12-12T00:00:00"/>
    <s v="FA"/>
    <s v="1052/4351"/>
    <s v="kpl"/>
    <n v="2430"/>
    <n v="52"/>
    <n v="86"/>
    <x v="136"/>
    <n v="1028.56"/>
    <n v="5500.5599999999995"/>
    <x v="2"/>
  </r>
  <r>
    <n v="2332"/>
    <x v="6"/>
    <n v="5"/>
    <d v="2022-09-13T00:00:00"/>
    <s v="FA"/>
    <s v="1052/4352"/>
    <s v="kpl"/>
    <n v="2431"/>
    <n v="36"/>
    <n v="84"/>
    <x v="32"/>
    <n v="695.52"/>
    <n v="3719.52"/>
    <x v="7"/>
  </r>
  <r>
    <n v="2333"/>
    <x v="11"/>
    <n v="7"/>
    <d v="2022-11-23T00:00:00"/>
    <s v="FA"/>
    <s v="1052/4353"/>
    <s v="kpl"/>
    <n v="2432"/>
    <n v="49"/>
    <n v="93"/>
    <x v="381"/>
    <n v="1048.1100000000001"/>
    <n v="5605.1100000000006"/>
    <x v="8"/>
  </r>
  <r>
    <n v="2334"/>
    <x v="5"/>
    <n v="15"/>
    <d v="2022-01-24T00:00:00"/>
    <s v="FA"/>
    <s v="1052/4354"/>
    <s v="kpl"/>
    <n v="2433"/>
    <n v="55"/>
    <n v="87"/>
    <x v="521"/>
    <n v="1100.55"/>
    <n v="5885.55"/>
    <x v="0"/>
  </r>
  <r>
    <n v="2335"/>
    <x v="12"/>
    <n v="7"/>
    <d v="2022-06-03T00:00:00"/>
    <s v="FA"/>
    <s v="1052/4355"/>
    <s v="kpl"/>
    <n v="2434"/>
    <n v="48"/>
    <n v="91"/>
    <x v="109"/>
    <n v="1004.6400000000001"/>
    <n v="5372.64"/>
    <x v="4"/>
  </r>
  <r>
    <n v="2336"/>
    <x v="2"/>
    <n v="6"/>
    <d v="2022-01-06T00:00:00"/>
    <s v="FA"/>
    <s v="1052/4356"/>
    <s v="kpl"/>
    <n v="2435"/>
    <n v="65"/>
    <n v="84"/>
    <x v="260"/>
    <n v="1255.8"/>
    <n v="6715.8"/>
    <x v="0"/>
  </r>
  <r>
    <n v="2337"/>
    <x v="26"/>
    <n v="4"/>
    <d v="2022-03-15T00:00:00"/>
    <s v="FA"/>
    <s v="1052/4357"/>
    <s v="kpl"/>
    <n v="2436"/>
    <n v="39"/>
    <n v="99"/>
    <x v="687"/>
    <n v="888.03000000000009"/>
    <n v="4749.03"/>
    <x v="3"/>
  </r>
  <r>
    <n v="2338"/>
    <x v="5"/>
    <n v="5"/>
    <d v="2022-01-18T00:00:00"/>
    <s v="FA"/>
    <s v="1052/4358"/>
    <s v="kpl"/>
    <n v="2437"/>
    <n v="43"/>
    <n v="87"/>
    <x v="264"/>
    <n v="860.43000000000006"/>
    <n v="4601.43"/>
    <x v="0"/>
  </r>
  <r>
    <n v="2339"/>
    <x v="7"/>
    <n v="10"/>
    <d v="2022-11-18T00:00:00"/>
    <s v="FA"/>
    <s v="1052/4359"/>
    <s v="kpl"/>
    <n v="2438"/>
    <n v="37"/>
    <n v="96"/>
    <x v="116"/>
    <n v="816.96"/>
    <n v="4368.96"/>
    <x v="8"/>
  </r>
  <r>
    <n v="2340"/>
    <x v="22"/>
    <n v="8"/>
    <d v="2022-03-02T00:00:00"/>
    <s v="FA"/>
    <s v="1052/4360"/>
    <s v="kpl"/>
    <n v="2439"/>
    <n v="38"/>
    <n v="125"/>
    <x v="465"/>
    <n v="1092.5"/>
    <n v="5842.5"/>
    <x v="3"/>
  </r>
  <r>
    <n v="2341"/>
    <x v="24"/>
    <n v="11"/>
    <d v="2022-08-25T00:00:00"/>
    <s v="FA"/>
    <s v="1052/4361"/>
    <s v="kpl"/>
    <n v="2440"/>
    <n v="54"/>
    <n v="129"/>
    <x v="169"/>
    <n v="1602.18"/>
    <n v="8568.18"/>
    <x v="11"/>
  </r>
  <r>
    <n v="2342"/>
    <x v="28"/>
    <n v="7"/>
    <d v="2022-06-28T00:00:00"/>
    <s v="FA"/>
    <s v="1052/4362"/>
    <s v="kpl"/>
    <n v="2441"/>
    <n v="40"/>
    <n v="105"/>
    <x v="194"/>
    <n v="966"/>
    <n v="5166"/>
    <x v="4"/>
  </r>
  <r>
    <n v="2343"/>
    <x v="25"/>
    <n v="9"/>
    <d v="2022-06-21T00:00:00"/>
    <s v="FA"/>
    <s v="1052/4363"/>
    <s v="kpl"/>
    <n v="2442"/>
    <n v="65"/>
    <n v="59"/>
    <x v="560"/>
    <n v="882.05000000000007"/>
    <n v="4717.05"/>
    <x v="4"/>
  </r>
  <r>
    <n v="2344"/>
    <x v="24"/>
    <n v="7"/>
    <d v="2022-10-04T00:00:00"/>
    <s v="FA"/>
    <s v="1052/4364"/>
    <s v="kpl"/>
    <n v="2443"/>
    <n v="28"/>
    <n v="129"/>
    <x v="25"/>
    <n v="830.76"/>
    <n v="4442.76"/>
    <x v="5"/>
  </r>
  <r>
    <n v="2345"/>
    <x v="22"/>
    <n v="9"/>
    <d v="2022-05-23T00:00:00"/>
    <s v="FA"/>
    <s v="1052/4365"/>
    <s v="kpl"/>
    <n v="2444"/>
    <n v="52"/>
    <n v="125"/>
    <x v="714"/>
    <n v="1495"/>
    <n v="7995"/>
    <x v="10"/>
  </r>
  <r>
    <n v="2346"/>
    <x v="9"/>
    <n v="10"/>
    <d v="2022-01-22T00:00:00"/>
    <s v="FA"/>
    <s v="1052/4366"/>
    <s v="kpl"/>
    <n v="2445"/>
    <n v="41"/>
    <n v="108"/>
    <x v="276"/>
    <n v="1018.44"/>
    <n v="5446.4400000000005"/>
    <x v="0"/>
  </r>
  <r>
    <n v="2347"/>
    <x v="2"/>
    <n v="8"/>
    <d v="2022-03-20T00:00:00"/>
    <s v="FA"/>
    <s v="1052/4367"/>
    <s v="kpl"/>
    <n v="2446"/>
    <n v="61"/>
    <n v="84"/>
    <x v="535"/>
    <n v="1178.52"/>
    <n v="6302.52"/>
    <x v="3"/>
  </r>
  <r>
    <n v="2348"/>
    <x v="10"/>
    <n v="10"/>
    <d v="2022-09-13T00:00:00"/>
    <s v="FA"/>
    <s v="1052/4368"/>
    <s v="kpl"/>
    <n v="2447"/>
    <n v="49"/>
    <n v="84"/>
    <x v="74"/>
    <n v="946.68000000000006"/>
    <n v="5062.68"/>
    <x v="7"/>
  </r>
  <r>
    <n v="2349"/>
    <x v="3"/>
    <n v="13"/>
    <d v="2022-02-26T00:00:00"/>
    <s v="FA"/>
    <s v="1052/4369"/>
    <s v="kpl"/>
    <n v="2448"/>
    <n v="53"/>
    <n v="88"/>
    <x v="61"/>
    <n v="1072.72"/>
    <n v="5736.72"/>
    <x v="9"/>
  </r>
  <r>
    <n v="2350"/>
    <x v="3"/>
    <n v="11"/>
    <d v="2022-01-17T00:00:00"/>
    <s v="FA"/>
    <s v="1052/4370"/>
    <s v="kpl"/>
    <n v="2449"/>
    <n v="49"/>
    <n v="88"/>
    <x v="93"/>
    <n v="991.76"/>
    <n v="5303.76"/>
    <x v="0"/>
  </r>
  <r>
    <n v="2351"/>
    <x v="10"/>
    <n v="10"/>
    <d v="2022-01-03T00:00:00"/>
    <s v="FA"/>
    <s v="1052/4371"/>
    <s v="kpl"/>
    <n v="2450"/>
    <n v="54"/>
    <n v="84"/>
    <x v="309"/>
    <n v="1043.28"/>
    <n v="5579.28"/>
    <x v="0"/>
  </r>
  <r>
    <n v="2352"/>
    <x v="23"/>
    <n v="12"/>
    <d v="2022-06-28T00:00:00"/>
    <s v="FA"/>
    <s v="1052/4372"/>
    <s v="kpl"/>
    <n v="2451"/>
    <n v="35"/>
    <n v="105"/>
    <x v="113"/>
    <n v="845.25"/>
    <n v="4520.25"/>
    <x v="4"/>
  </r>
  <r>
    <n v="2353"/>
    <x v="9"/>
    <n v="9"/>
    <d v="2022-02-05T00:00:00"/>
    <s v="FA"/>
    <s v="1052/4373"/>
    <s v="kpl"/>
    <n v="2452"/>
    <n v="49"/>
    <n v="108"/>
    <x v="88"/>
    <n v="1217.1600000000001"/>
    <n v="6509.16"/>
    <x v="9"/>
  </r>
  <r>
    <n v="2354"/>
    <x v="10"/>
    <n v="8"/>
    <d v="2022-02-07T00:00:00"/>
    <s v="FA"/>
    <s v="1052/4374"/>
    <s v="kpl"/>
    <n v="2453"/>
    <n v="41"/>
    <n v="84"/>
    <x v="39"/>
    <n v="792.12"/>
    <n v="4236.12"/>
    <x v="9"/>
  </r>
  <r>
    <n v="2355"/>
    <x v="9"/>
    <n v="14"/>
    <d v="2022-06-14T00:00:00"/>
    <s v="FA"/>
    <s v="1052/4375"/>
    <s v="kpl"/>
    <n v="2454"/>
    <n v="40"/>
    <n v="108"/>
    <x v="312"/>
    <n v="993.6"/>
    <n v="5313.6"/>
    <x v="4"/>
  </r>
  <r>
    <n v="2356"/>
    <x v="28"/>
    <n v="7"/>
    <d v="2022-07-28T00:00:00"/>
    <s v="FA"/>
    <s v="1052/4376"/>
    <s v="kpl"/>
    <n v="2455"/>
    <n v="53"/>
    <n v="105"/>
    <x v="437"/>
    <n v="1279.95"/>
    <n v="6844.95"/>
    <x v="6"/>
  </r>
  <r>
    <n v="2357"/>
    <x v="26"/>
    <n v="8"/>
    <d v="2022-03-03T00:00:00"/>
    <s v="FA"/>
    <s v="1052/4377"/>
    <s v="kpl"/>
    <n v="2456"/>
    <n v="47"/>
    <n v="99"/>
    <x v="4"/>
    <n v="1070.19"/>
    <n v="5723.1900000000005"/>
    <x v="3"/>
  </r>
  <r>
    <n v="2358"/>
    <x v="21"/>
    <n v="10"/>
    <d v="2022-03-11T00:00:00"/>
    <s v="FA"/>
    <s v="1052/4378"/>
    <s v="kpl"/>
    <n v="2457"/>
    <n v="54"/>
    <n v="87"/>
    <x v="114"/>
    <n v="1080.54"/>
    <n v="5778.54"/>
    <x v="3"/>
  </r>
  <r>
    <n v="2359"/>
    <x v="29"/>
    <n v="8"/>
    <d v="2022-07-15T00:00:00"/>
    <s v="FA"/>
    <s v="1052/4379"/>
    <s v="kpl"/>
    <n v="2458"/>
    <n v="62"/>
    <n v="103"/>
    <x v="715"/>
    <n v="1468.78"/>
    <n v="7854.78"/>
    <x v="6"/>
  </r>
  <r>
    <n v="2360"/>
    <x v="10"/>
    <n v="12"/>
    <d v="2022-03-25T00:00:00"/>
    <s v="FA"/>
    <s v="1052/4380"/>
    <s v="kpl"/>
    <n v="2459"/>
    <n v="49"/>
    <n v="84"/>
    <x v="74"/>
    <n v="946.68000000000006"/>
    <n v="5062.68"/>
    <x v="3"/>
  </r>
  <r>
    <n v="2361"/>
    <x v="28"/>
    <n v="9"/>
    <d v="2022-03-15T00:00:00"/>
    <s v="FA"/>
    <s v="1052/4381"/>
    <s v="kpl"/>
    <n v="2460"/>
    <n v="58"/>
    <n v="105"/>
    <x v="172"/>
    <n v="1400.7"/>
    <n v="7490.7"/>
    <x v="3"/>
  </r>
  <r>
    <n v="2362"/>
    <x v="28"/>
    <n v="9"/>
    <d v="2022-06-03T00:00:00"/>
    <s v="FA"/>
    <s v="1052/4382"/>
    <s v="kpl"/>
    <n v="2461"/>
    <n v="33"/>
    <n v="105"/>
    <x v="716"/>
    <n v="796.95"/>
    <n v="4261.95"/>
    <x v="4"/>
  </r>
  <r>
    <n v="2363"/>
    <x v="18"/>
    <n v="9"/>
    <d v="2022-06-04T00:00:00"/>
    <s v="FA"/>
    <s v="1052/4383"/>
    <s v="kpl"/>
    <n v="2462"/>
    <n v="51"/>
    <n v="109"/>
    <x v="106"/>
    <n v="1278.5700000000002"/>
    <n v="6837.57"/>
    <x v="4"/>
  </r>
  <r>
    <n v="2364"/>
    <x v="24"/>
    <n v="7"/>
    <d v="2022-09-26T00:00:00"/>
    <s v="FA"/>
    <s v="1052/4384"/>
    <s v="kpl"/>
    <n v="2463"/>
    <n v="42"/>
    <n v="129"/>
    <x v="485"/>
    <n v="1246.1400000000001"/>
    <n v="6664.14"/>
    <x v="7"/>
  </r>
  <r>
    <n v="2365"/>
    <x v="13"/>
    <n v="10"/>
    <d v="2022-01-26T00:00:00"/>
    <s v="FA"/>
    <s v="1052/4385"/>
    <s v="kpl"/>
    <n v="2464"/>
    <n v="64"/>
    <n v="88"/>
    <x v="8"/>
    <n v="1295.3600000000001"/>
    <n v="6927.3600000000006"/>
    <x v="0"/>
  </r>
  <r>
    <n v="2366"/>
    <x v="2"/>
    <n v="7"/>
    <d v="2022-01-26T00:00:00"/>
    <s v="FA"/>
    <s v="1052/4386"/>
    <s v="kpl"/>
    <n v="2465"/>
    <n v="42"/>
    <n v="84"/>
    <x v="7"/>
    <n v="811.44"/>
    <n v="4339.4400000000005"/>
    <x v="0"/>
  </r>
  <r>
    <n v="2367"/>
    <x v="23"/>
    <n v="15"/>
    <d v="2022-10-22T00:00:00"/>
    <s v="FA"/>
    <s v="1052/4387"/>
    <s v="kpl"/>
    <n v="2466"/>
    <n v="51"/>
    <n v="105"/>
    <x v="316"/>
    <n v="1231.6500000000001"/>
    <n v="6586.65"/>
    <x v="5"/>
  </r>
  <r>
    <n v="2368"/>
    <x v="2"/>
    <n v="11"/>
    <d v="2022-10-20T00:00:00"/>
    <s v="FA"/>
    <s v="1052/4388"/>
    <s v="kpl"/>
    <n v="2467"/>
    <n v="59"/>
    <n v="84"/>
    <x v="46"/>
    <n v="1139.8800000000001"/>
    <n v="6095.88"/>
    <x v="5"/>
  </r>
  <r>
    <n v="2369"/>
    <x v="9"/>
    <n v="9"/>
    <d v="2022-02-11T00:00:00"/>
    <s v="FA"/>
    <s v="1052/4389"/>
    <s v="kpl"/>
    <n v="2468"/>
    <n v="50"/>
    <n v="108"/>
    <x v="385"/>
    <n v="1242"/>
    <n v="6642"/>
    <x v="9"/>
  </r>
  <r>
    <n v="2370"/>
    <x v="1"/>
    <n v="6"/>
    <d v="2022-01-03T00:00:00"/>
    <s v="FA"/>
    <s v="1052/4390"/>
    <s v="kpl"/>
    <n v="2469"/>
    <n v="55"/>
    <n v="99"/>
    <x v="50"/>
    <n v="1252.3500000000001"/>
    <n v="6697.35"/>
    <x v="0"/>
  </r>
  <r>
    <n v="2371"/>
    <x v="0"/>
    <n v="8"/>
    <d v="2022-10-09T00:00:00"/>
    <s v="FA"/>
    <s v="1052/4391"/>
    <s v="kpl"/>
    <n v="2470"/>
    <n v="52"/>
    <n v="83"/>
    <x v="58"/>
    <n v="992.68000000000006"/>
    <n v="5308.68"/>
    <x v="5"/>
  </r>
  <r>
    <n v="2372"/>
    <x v="9"/>
    <n v="6"/>
    <d v="2022-11-07T00:00:00"/>
    <s v="FA"/>
    <s v="1052/4392"/>
    <s v="kpl"/>
    <n v="2471"/>
    <n v="75"/>
    <n v="108"/>
    <x v="717"/>
    <n v="1863"/>
    <n v="9963"/>
    <x v="8"/>
  </r>
  <r>
    <n v="2373"/>
    <x v="28"/>
    <n v="5"/>
    <d v="2022-06-10T00:00:00"/>
    <s v="FA"/>
    <s v="1052/4393"/>
    <s v="kpl"/>
    <n v="2472"/>
    <n v="48"/>
    <n v="105"/>
    <x v="378"/>
    <n v="1159.2"/>
    <n v="6199.2"/>
    <x v="4"/>
  </r>
  <r>
    <n v="2374"/>
    <x v="9"/>
    <n v="7"/>
    <d v="2022-11-09T00:00:00"/>
    <s v="FA"/>
    <s v="1052/4394"/>
    <s v="kpl"/>
    <n v="2473"/>
    <n v="57"/>
    <n v="108"/>
    <x v="571"/>
    <n v="1415.88"/>
    <n v="7571.88"/>
    <x v="8"/>
  </r>
  <r>
    <n v="2375"/>
    <x v="19"/>
    <n v="6"/>
    <d v="2022-11-19T00:00:00"/>
    <s v="FA"/>
    <s v="1052/4395"/>
    <s v="kpl"/>
    <n v="2474"/>
    <n v="51"/>
    <n v="121"/>
    <x v="516"/>
    <n v="1419.3300000000002"/>
    <n v="7590.33"/>
    <x v="8"/>
  </r>
  <r>
    <n v="2376"/>
    <x v="20"/>
    <n v="10"/>
    <d v="2022-07-10T00:00:00"/>
    <s v="FA"/>
    <s v="1052/4396"/>
    <s v="kpl"/>
    <n v="2475"/>
    <n v="37"/>
    <n v="104"/>
    <x v="718"/>
    <n v="885.04000000000008"/>
    <n v="4733.04"/>
    <x v="6"/>
  </r>
  <r>
    <n v="2377"/>
    <x v="29"/>
    <n v="9"/>
    <d v="2022-10-20T00:00:00"/>
    <s v="FA"/>
    <s v="1052/4397"/>
    <s v="kpl"/>
    <n v="2476"/>
    <n v="76"/>
    <n v="103"/>
    <x v="719"/>
    <n v="1800.44"/>
    <n v="9628.44"/>
    <x v="5"/>
  </r>
  <r>
    <n v="2378"/>
    <x v="9"/>
    <n v="12"/>
    <d v="2022-02-17T00:00:00"/>
    <s v="FA"/>
    <s v="1052/4398"/>
    <s v="kpl"/>
    <n v="2477"/>
    <n v="39"/>
    <n v="108"/>
    <x v="289"/>
    <n v="968.76"/>
    <n v="5180.76"/>
    <x v="9"/>
  </r>
  <r>
    <n v="2379"/>
    <x v="15"/>
    <n v="7"/>
    <d v="2022-12-08T00:00:00"/>
    <s v="FA"/>
    <s v="1052/4399"/>
    <s v="kpl"/>
    <n v="2478"/>
    <n v="55"/>
    <n v="90"/>
    <x v="53"/>
    <n v="1138.5"/>
    <n v="6088.5"/>
    <x v="2"/>
  </r>
  <r>
    <n v="2380"/>
    <x v="13"/>
    <n v="10"/>
    <d v="2022-08-07T00:00:00"/>
    <s v="FA"/>
    <s v="1052/4400"/>
    <s v="kpl"/>
    <n v="2479"/>
    <n v="45"/>
    <n v="88"/>
    <x v="291"/>
    <n v="910.80000000000007"/>
    <n v="4870.8"/>
    <x v="11"/>
  </r>
  <r>
    <n v="2381"/>
    <x v="12"/>
    <n v="11"/>
    <d v="2022-03-17T00:00:00"/>
    <s v="FA"/>
    <s v="1052/4401"/>
    <s v="kpl"/>
    <n v="2480"/>
    <n v="66"/>
    <n v="91"/>
    <x v="720"/>
    <n v="1381.38"/>
    <n v="7387.38"/>
    <x v="3"/>
  </r>
  <r>
    <n v="2382"/>
    <x v="26"/>
    <n v="7"/>
    <d v="2022-09-15T00:00:00"/>
    <s v="FA"/>
    <s v="1052/4402"/>
    <s v="kpl"/>
    <n v="2481"/>
    <n v="55"/>
    <n v="99"/>
    <x v="50"/>
    <n v="1252.3500000000001"/>
    <n v="6697.35"/>
    <x v="7"/>
  </r>
  <r>
    <n v="2383"/>
    <x v="28"/>
    <n v="8"/>
    <d v="2022-08-14T00:00:00"/>
    <s v="FA"/>
    <s v="1052/4403"/>
    <s v="kpl"/>
    <n v="2482"/>
    <n v="26"/>
    <n v="105"/>
    <x v="622"/>
    <n v="627.9"/>
    <n v="3357.9"/>
    <x v="11"/>
  </r>
  <r>
    <n v="2384"/>
    <x v="28"/>
    <n v="11"/>
    <d v="2022-10-10T00:00:00"/>
    <s v="FA"/>
    <s v="1052/4404"/>
    <s v="kpl"/>
    <n v="2483"/>
    <n v="51"/>
    <n v="105"/>
    <x v="316"/>
    <n v="1231.6500000000001"/>
    <n v="6586.65"/>
    <x v="5"/>
  </r>
  <r>
    <n v="2385"/>
    <x v="24"/>
    <n v="10"/>
    <d v="2022-02-12T00:00:00"/>
    <s v="FA"/>
    <s v="1052/4405"/>
    <s v="kpl"/>
    <n v="2484"/>
    <n v="49"/>
    <n v="129"/>
    <x v="492"/>
    <n v="1453.8300000000002"/>
    <n v="7774.83"/>
    <x v="9"/>
  </r>
  <r>
    <n v="2386"/>
    <x v="23"/>
    <n v="13"/>
    <d v="2022-02-15T00:00:00"/>
    <s v="FA"/>
    <s v="1052/4406"/>
    <s v="kpl"/>
    <n v="2485"/>
    <n v="49"/>
    <n v="105"/>
    <x v="361"/>
    <n v="1183.3500000000001"/>
    <n v="6328.35"/>
    <x v="9"/>
  </r>
  <r>
    <n v="2387"/>
    <x v="29"/>
    <n v="11"/>
    <d v="2022-12-27T00:00:00"/>
    <s v="FA"/>
    <s v="1052/4407"/>
    <s v="kpl"/>
    <n v="2486"/>
    <n v="38"/>
    <n v="103"/>
    <x v="721"/>
    <n v="900.22"/>
    <n v="4814.22"/>
    <x v="2"/>
  </r>
  <r>
    <n v="2388"/>
    <x v="5"/>
    <n v="9"/>
    <d v="2022-03-05T00:00:00"/>
    <s v="FA"/>
    <s v="1052/4408"/>
    <s v="kpl"/>
    <n v="2487"/>
    <n v="45"/>
    <n v="87"/>
    <x v="139"/>
    <n v="900.45"/>
    <n v="4815.45"/>
    <x v="3"/>
  </r>
  <r>
    <n v="2389"/>
    <x v="21"/>
    <n v="8"/>
    <d v="2022-02-16T00:00:00"/>
    <s v="FA"/>
    <s v="1052/4409"/>
    <s v="kpl"/>
    <n v="2488"/>
    <n v="64"/>
    <n v="87"/>
    <x v="470"/>
    <n v="1280.6400000000001"/>
    <n v="6848.64"/>
    <x v="9"/>
  </r>
  <r>
    <n v="2390"/>
    <x v="28"/>
    <n v="8"/>
    <d v="2022-07-17T00:00:00"/>
    <s v="FA"/>
    <s v="1052/4410"/>
    <s v="kpl"/>
    <n v="2489"/>
    <n v="48"/>
    <n v="105"/>
    <x v="378"/>
    <n v="1159.2"/>
    <n v="6199.2"/>
    <x v="6"/>
  </r>
  <r>
    <n v="2391"/>
    <x v="1"/>
    <n v="14"/>
    <d v="2022-03-03T00:00:00"/>
    <s v="FA"/>
    <s v="1052/4411"/>
    <s v="kpl"/>
    <n v="2490"/>
    <n v="61"/>
    <n v="99"/>
    <x v="232"/>
    <n v="1388.97"/>
    <n v="7427.97"/>
    <x v="3"/>
  </r>
  <r>
    <n v="2392"/>
    <x v="2"/>
    <n v="9"/>
    <d v="2022-09-14T00:00:00"/>
    <s v="FA"/>
    <s v="1052/4412"/>
    <s v="kpl"/>
    <n v="2491"/>
    <n v="34"/>
    <n v="84"/>
    <x v="44"/>
    <n v="656.88"/>
    <n v="3512.88"/>
    <x v="7"/>
  </r>
  <r>
    <n v="2393"/>
    <x v="28"/>
    <n v="8"/>
    <d v="2022-04-21T00:00:00"/>
    <s v="FA"/>
    <s v="1052/4413"/>
    <s v="kpl"/>
    <n v="2492"/>
    <n v="67"/>
    <n v="105"/>
    <x v="722"/>
    <n v="1618.0500000000002"/>
    <n v="8653.0499999999993"/>
    <x v="1"/>
  </r>
  <r>
    <n v="2394"/>
    <x v="12"/>
    <n v="7"/>
    <d v="2022-09-13T00:00:00"/>
    <s v="FA"/>
    <s v="1052/4414"/>
    <s v="kpl"/>
    <n v="2493"/>
    <n v="38"/>
    <n v="91"/>
    <x v="15"/>
    <n v="795.34"/>
    <n v="4253.34"/>
    <x v="7"/>
  </r>
  <r>
    <n v="2395"/>
    <x v="24"/>
    <n v="5"/>
    <d v="2022-02-21T00:00:00"/>
    <s v="FA"/>
    <s v="1052/4415"/>
    <s v="kpl"/>
    <n v="2494"/>
    <n v="62"/>
    <n v="129"/>
    <x v="580"/>
    <n v="1839.5400000000002"/>
    <n v="9837.5400000000009"/>
    <x v="9"/>
  </r>
  <r>
    <n v="2396"/>
    <x v="26"/>
    <n v="11"/>
    <d v="2022-04-06T00:00:00"/>
    <s v="FA"/>
    <s v="1052/4416"/>
    <s v="kpl"/>
    <n v="2495"/>
    <n v="54"/>
    <n v="99"/>
    <x v="502"/>
    <n v="1229.5800000000002"/>
    <n v="6575.58"/>
    <x v="1"/>
  </r>
  <r>
    <n v="2397"/>
    <x v="6"/>
    <n v="8"/>
    <d v="2022-03-22T00:00:00"/>
    <s v="FA"/>
    <s v="1052/4417"/>
    <s v="kpl"/>
    <n v="2496"/>
    <n v="62"/>
    <n v="84"/>
    <x v="67"/>
    <n v="1197.8400000000001"/>
    <n v="6405.84"/>
    <x v="3"/>
  </r>
  <r>
    <n v="2398"/>
    <x v="6"/>
    <n v="7"/>
    <d v="2022-05-16T00:00:00"/>
    <s v="FA"/>
    <s v="1052/4418"/>
    <s v="kpl"/>
    <n v="2497"/>
    <n v="27"/>
    <n v="84"/>
    <x v="723"/>
    <n v="521.64"/>
    <n v="2789.64"/>
    <x v="10"/>
  </r>
  <r>
    <n v="2399"/>
    <x v="5"/>
    <n v="7"/>
    <d v="2022-02-28T00:00:00"/>
    <s v="FA"/>
    <s v="1052/4419"/>
    <s v="kpl"/>
    <n v="2498"/>
    <n v="52"/>
    <n v="87"/>
    <x v="453"/>
    <n v="1040.52"/>
    <n v="5564.52"/>
    <x v="9"/>
  </r>
  <r>
    <n v="2400"/>
    <x v="26"/>
    <n v="7"/>
    <d v="2022-02-25T00:00:00"/>
    <s v="FA"/>
    <s v="1052/4420"/>
    <s v="kpl"/>
    <n v="2499"/>
    <n v="43"/>
    <n v="99"/>
    <x v="438"/>
    <n v="979.11"/>
    <n v="5236.1099999999997"/>
    <x v="9"/>
  </r>
  <r>
    <n v="2401"/>
    <x v="16"/>
    <n v="7"/>
    <d v="2022-03-16T00:00:00"/>
    <s v="FA"/>
    <s v="1052/4421"/>
    <s v="kpl"/>
    <n v="2500"/>
    <n v="56"/>
    <n v="132"/>
    <x v="336"/>
    <n v="1700.16"/>
    <n v="9092.16"/>
    <x v="3"/>
  </r>
  <r>
    <n v="2402"/>
    <x v="14"/>
    <n v="5"/>
    <d v="2022-08-18T00:00:00"/>
    <s v="FA"/>
    <s v="1052/4422"/>
    <s v="kpl"/>
    <n v="2501"/>
    <n v="48"/>
    <n v="86"/>
    <x v="73"/>
    <n v="949.44"/>
    <n v="5077.4400000000005"/>
    <x v="11"/>
  </r>
  <r>
    <n v="2403"/>
    <x v="6"/>
    <n v="8"/>
    <d v="2022-03-18T00:00:00"/>
    <s v="FA"/>
    <s v="1052/4423"/>
    <s v="kpl"/>
    <n v="2502"/>
    <n v="42"/>
    <n v="84"/>
    <x v="7"/>
    <n v="811.44"/>
    <n v="4339.4400000000005"/>
    <x v="3"/>
  </r>
  <r>
    <n v="2404"/>
    <x v="0"/>
    <n v="7"/>
    <d v="2022-05-09T00:00:00"/>
    <s v="FA"/>
    <s v="1052/4424"/>
    <s v="kpl"/>
    <n v="2503"/>
    <n v="57"/>
    <n v="83"/>
    <x v="569"/>
    <n v="1088.1300000000001"/>
    <n v="5819.13"/>
    <x v="10"/>
  </r>
  <r>
    <n v="2405"/>
    <x v="28"/>
    <n v="11"/>
    <d v="2022-04-06T00:00:00"/>
    <s v="FA"/>
    <s v="1052/4425"/>
    <s v="kpl"/>
    <n v="2504"/>
    <n v="48"/>
    <n v="105"/>
    <x v="378"/>
    <n v="1159.2"/>
    <n v="6199.2"/>
    <x v="1"/>
  </r>
  <r>
    <n v="2406"/>
    <x v="24"/>
    <n v="10"/>
    <d v="2022-04-23T00:00:00"/>
    <s v="FA"/>
    <s v="1052/4426"/>
    <s v="kpl"/>
    <n v="2505"/>
    <n v="54"/>
    <n v="129"/>
    <x v="169"/>
    <n v="1602.18"/>
    <n v="8568.18"/>
    <x v="1"/>
  </r>
  <r>
    <n v="2407"/>
    <x v="28"/>
    <n v="11"/>
    <d v="2022-06-17T00:00:00"/>
    <s v="FA"/>
    <s v="1052/4427"/>
    <s v="kpl"/>
    <n v="2506"/>
    <n v="61"/>
    <n v="105"/>
    <x v="724"/>
    <n v="1473.15"/>
    <n v="7878.15"/>
    <x v="4"/>
  </r>
  <r>
    <n v="2408"/>
    <x v="10"/>
    <n v="6"/>
    <d v="2022-02-23T00:00:00"/>
    <s v="FA"/>
    <s v="1052/4428"/>
    <s v="kpl"/>
    <n v="2507"/>
    <n v="40"/>
    <n v="84"/>
    <x v="84"/>
    <n v="772.80000000000007"/>
    <n v="4132.8"/>
    <x v="9"/>
  </r>
  <r>
    <n v="2409"/>
    <x v="8"/>
    <n v="7"/>
    <d v="2022-12-04T00:00:00"/>
    <s v="FA"/>
    <s v="1052/4429"/>
    <s v="kpl"/>
    <n v="2508"/>
    <n v="50"/>
    <n v="89"/>
    <x v="129"/>
    <n v="1023.5"/>
    <n v="5473.5"/>
    <x v="2"/>
  </r>
  <r>
    <n v="2410"/>
    <x v="9"/>
    <n v="11"/>
    <d v="2022-05-15T00:00:00"/>
    <s v="FA"/>
    <s v="1052/4430"/>
    <s v="kpl"/>
    <n v="2509"/>
    <n v="55"/>
    <n v="108"/>
    <x v="85"/>
    <n v="1366.2"/>
    <n v="7306.2"/>
    <x v="10"/>
  </r>
  <r>
    <n v="2411"/>
    <x v="4"/>
    <n v="7"/>
    <d v="2022-03-01T00:00:00"/>
    <s v="FA"/>
    <s v="1052/4431"/>
    <s v="kpl"/>
    <n v="2510"/>
    <n v="53"/>
    <n v="85"/>
    <x v="216"/>
    <n v="1036.1500000000001"/>
    <n v="5541.15"/>
    <x v="3"/>
  </r>
  <r>
    <n v="2412"/>
    <x v="20"/>
    <n v="13"/>
    <d v="2022-09-18T00:00:00"/>
    <s v="FA"/>
    <s v="1052/4432"/>
    <s v="kpl"/>
    <n v="2511"/>
    <n v="33"/>
    <n v="104"/>
    <x v="16"/>
    <n v="789.36"/>
    <n v="4221.3599999999997"/>
    <x v="7"/>
  </r>
  <r>
    <n v="2413"/>
    <x v="12"/>
    <n v="7"/>
    <d v="2022-03-16T00:00:00"/>
    <s v="FA"/>
    <s v="1052/4433"/>
    <s v="kpl"/>
    <n v="2512"/>
    <n v="37"/>
    <n v="91"/>
    <x v="635"/>
    <n v="774.41000000000008"/>
    <n v="4141.41"/>
    <x v="3"/>
  </r>
  <r>
    <n v="2414"/>
    <x v="17"/>
    <n v="7"/>
    <d v="2022-01-05T00:00:00"/>
    <s v="FA"/>
    <s v="1052/4434"/>
    <s v="kpl"/>
    <n v="2513"/>
    <n v="58"/>
    <n v="94"/>
    <x v="82"/>
    <n v="1253.96"/>
    <n v="6705.96"/>
    <x v="0"/>
  </r>
  <r>
    <n v="2415"/>
    <x v="26"/>
    <n v="11"/>
    <d v="2022-03-07T00:00:00"/>
    <s v="FA"/>
    <s v="1052/4435"/>
    <s v="kpl"/>
    <n v="2514"/>
    <n v="48"/>
    <n v="99"/>
    <x v="126"/>
    <n v="1092.96"/>
    <n v="5844.96"/>
    <x v="3"/>
  </r>
  <r>
    <n v="2416"/>
    <x v="14"/>
    <n v="8"/>
    <d v="2022-01-04T00:00:00"/>
    <s v="FA"/>
    <s v="1052/4436"/>
    <s v="kpl"/>
    <n v="2515"/>
    <n v="52"/>
    <n v="86"/>
    <x v="136"/>
    <n v="1028.56"/>
    <n v="5500.5599999999995"/>
    <x v="0"/>
  </r>
  <r>
    <n v="2417"/>
    <x v="14"/>
    <n v="8"/>
    <d v="2022-09-25T00:00:00"/>
    <s v="FA"/>
    <s v="1052/4437"/>
    <s v="kpl"/>
    <n v="2516"/>
    <n v="48"/>
    <n v="86"/>
    <x v="73"/>
    <n v="949.44"/>
    <n v="5077.4400000000005"/>
    <x v="7"/>
  </r>
  <r>
    <n v="2418"/>
    <x v="3"/>
    <n v="6"/>
    <d v="2022-02-17T00:00:00"/>
    <s v="FA"/>
    <s v="1052/4438"/>
    <s v="kpl"/>
    <n v="2517"/>
    <n v="42"/>
    <n v="88"/>
    <x v="236"/>
    <n v="850.08"/>
    <n v="4546.08"/>
    <x v="9"/>
  </r>
  <r>
    <n v="2419"/>
    <x v="13"/>
    <n v="5"/>
    <d v="2022-06-18T00:00:00"/>
    <s v="FA"/>
    <s v="1052/4439"/>
    <s v="kpl"/>
    <n v="2518"/>
    <n v="53"/>
    <n v="88"/>
    <x v="61"/>
    <n v="1072.72"/>
    <n v="5736.72"/>
    <x v="4"/>
  </r>
  <r>
    <n v="2420"/>
    <x v="16"/>
    <n v="9"/>
    <d v="2022-05-04T00:00:00"/>
    <s v="FA"/>
    <s v="1052/4440"/>
    <s v="kpl"/>
    <n v="2519"/>
    <n v="46"/>
    <n v="132"/>
    <x v="300"/>
    <n v="1396.5600000000002"/>
    <n v="7468.56"/>
    <x v="10"/>
  </r>
  <r>
    <n v="2421"/>
    <x v="12"/>
    <n v="11"/>
    <d v="2022-02-11T00:00:00"/>
    <s v="FA"/>
    <s v="1052/4441"/>
    <s v="kpl"/>
    <n v="2520"/>
    <n v="50"/>
    <n v="91"/>
    <x v="538"/>
    <n v="1046.5"/>
    <n v="5596.5"/>
    <x v="9"/>
  </r>
  <r>
    <n v="2422"/>
    <x v="22"/>
    <n v="11"/>
    <d v="2022-05-27T00:00:00"/>
    <s v="FA"/>
    <s v="1052/4442"/>
    <s v="kpl"/>
    <n v="2521"/>
    <n v="52"/>
    <n v="125"/>
    <x v="714"/>
    <n v="1495"/>
    <n v="7995"/>
    <x v="10"/>
  </r>
  <r>
    <n v="2423"/>
    <x v="0"/>
    <n v="9"/>
    <d v="2022-01-02T00:00:00"/>
    <s v="FA"/>
    <s v="1052/4443"/>
    <s v="kpl"/>
    <n v="2522"/>
    <n v="44"/>
    <n v="83"/>
    <x v="200"/>
    <n v="839.96"/>
    <n v="4491.96"/>
    <x v="0"/>
  </r>
  <r>
    <n v="2424"/>
    <x v="0"/>
    <n v="11"/>
    <d v="2022-10-15T00:00:00"/>
    <s v="FA"/>
    <s v="1052/4444"/>
    <s v="kpl"/>
    <n v="2523"/>
    <n v="21"/>
    <n v="83"/>
    <x v="725"/>
    <n v="400.89000000000004"/>
    <n v="2143.89"/>
    <x v="5"/>
  </r>
  <r>
    <n v="2425"/>
    <x v="15"/>
    <n v="10"/>
    <d v="2022-07-03T00:00:00"/>
    <s v="FA"/>
    <s v="1052/4445"/>
    <s v="kpl"/>
    <n v="2524"/>
    <n v="40"/>
    <n v="90"/>
    <x v="394"/>
    <n v="828"/>
    <n v="4428"/>
    <x v="6"/>
  </r>
  <r>
    <n v="2426"/>
    <x v="6"/>
    <n v="3"/>
    <d v="2022-07-11T00:00:00"/>
    <s v="FA"/>
    <s v="1052/4446"/>
    <s v="kpl"/>
    <n v="2525"/>
    <n v="53"/>
    <n v="84"/>
    <x v="188"/>
    <n v="1023.96"/>
    <n v="5475.96"/>
    <x v="6"/>
  </r>
  <r>
    <n v="2427"/>
    <x v="29"/>
    <n v="9"/>
    <d v="2022-10-02T00:00:00"/>
    <s v="FA"/>
    <s v="1052/4447"/>
    <s v="kpl"/>
    <n v="2526"/>
    <n v="37"/>
    <n v="103"/>
    <x v="726"/>
    <n v="876.53000000000009"/>
    <n v="4687.53"/>
    <x v="5"/>
  </r>
  <r>
    <n v="2428"/>
    <x v="2"/>
    <n v="7"/>
    <d v="2022-02-19T00:00:00"/>
    <s v="FA"/>
    <s v="1052/4448"/>
    <s v="kpl"/>
    <n v="2527"/>
    <n v="46"/>
    <n v="84"/>
    <x v="380"/>
    <n v="888.72"/>
    <n v="4752.72"/>
    <x v="9"/>
  </r>
  <r>
    <n v="2429"/>
    <x v="23"/>
    <n v="9"/>
    <d v="2022-06-15T00:00:00"/>
    <s v="FA"/>
    <s v="1052/4449"/>
    <s v="kpl"/>
    <n v="2528"/>
    <n v="54"/>
    <n v="105"/>
    <x v="601"/>
    <n v="1304.1000000000001"/>
    <n v="6974.1"/>
    <x v="4"/>
  </r>
  <r>
    <n v="2430"/>
    <x v="27"/>
    <n v="5"/>
    <d v="2022-04-22T00:00:00"/>
    <s v="FA"/>
    <s v="1052/4450"/>
    <s v="kpl"/>
    <n v="2529"/>
    <n v="47"/>
    <n v="111"/>
    <x v="597"/>
    <n v="1199.9100000000001"/>
    <n v="6416.91"/>
    <x v="1"/>
  </r>
  <r>
    <n v="2431"/>
    <x v="12"/>
    <n v="7"/>
    <d v="2022-05-24T00:00:00"/>
    <s v="FA"/>
    <s v="1052/4451"/>
    <s v="kpl"/>
    <n v="2530"/>
    <n v="53"/>
    <n v="91"/>
    <x v="201"/>
    <n v="1109.29"/>
    <n v="5932.29"/>
    <x v="10"/>
  </r>
  <r>
    <n v="2432"/>
    <x v="12"/>
    <n v="9"/>
    <d v="2022-08-18T00:00:00"/>
    <s v="FA"/>
    <s v="1052/4452"/>
    <s v="kpl"/>
    <n v="2531"/>
    <n v="38"/>
    <n v="91"/>
    <x v="15"/>
    <n v="795.34"/>
    <n v="4253.34"/>
    <x v="11"/>
  </r>
  <r>
    <n v="2433"/>
    <x v="24"/>
    <n v="7"/>
    <d v="2022-03-06T00:00:00"/>
    <s v="FA"/>
    <s v="1052/4453"/>
    <s v="kpl"/>
    <n v="2532"/>
    <n v="44"/>
    <n v="129"/>
    <x v="266"/>
    <n v="1305.48"/>
    <n v="6981.48"/>
    <x v="3"/>
  </r>
  <r>
    <n v="2434"/>
    <x v="5"/>
    <n v="13"/>
    <d v="2022-01-19T00:00:00"/>
    <s v="FA"/>
    <s v="1052/4454"/>
    <s v="kpl"/>
    <n v="2533"/>
    <n v="36"/>
    <n v="87"/>
    <x v="103"/>
    <n v="720.36"/>
    <n v="3852.36"/>
    <x v="0"/>
  </r>
  <r>
    <n v="2435"/>
    <x v="3"/>
    <n v="9"/>
    <d v="2022-05-06T00:00:00"/>
    <s v="FA"/>
    <s v="1052/4455"/>
    <s v="kpl"/>
    <n v="2534"/>
    <n v="37"/>
    <n v="88"/>
    <x v="367"/>
    <n v="748.88"/>
    <n v="4004.88"/>
    <x v="10"/>
  </r>
  <r>
    <n v="2436"/>
    <x v="2"/>
    <n v="9"/>
    <d v="2022-04-10T00:00:00"/>
    <s v="FA"/>
    <s v="1052/4456"/>
    <s v="kpl"/>
    <n v="2535"/>
    <n v="46"/>
    <n v="84"/>
    <x v="380"/>
    <n v="888.72"/>
    <n v="4752.72"/>
    <x v="1"/>
  </r>
  <r>
    <n v="2437"/>
    <x v="26"/>
    <n v="5"/>
    <d v="2022-09-04T00:00:00"/>
    <s v="FA"/>
    <s v="1052/4457"/>
    <s v="kpl"/>
    <n v="2536"/>
    <n v="43"/>
    <n v="99"/>
    <x v="438"/>
    <n v="979.11"/>
    <n v="5236.1099999999997"/>
    <x v="7"/>
  </r>
  <r>
    <n v="2438"/>
    <x v="5"/>
    <n v="6"/>
    <d v="2022-11-27T00:00:00"/>
    <s v="FA"/>
    <s v="1052/4458"/>
    <s v="kpl"/>
    <n v="2537"/>
    <n v="50"/>
    <n v="87"/>
    <x v="476"/>
    <n v="1000.5"/>
    <n v="5350.5"/>
    <x v="8"/>
  </r>
  <r>
    <n v="2439"/>
    <x v="19"/>
    <n v="8"/>
    <d v="2022-10-14T00:00:00"/>
    <s v="FA"/>
    <s v="1052/4459"/>
    <s v="kpl"/>
    <n v="2538"/>
    <n v="44"/>
    <n v="121"/>
    <x v="650"/>
    <n v="1224.52"/>
    <n v="6548.52"/>
    <x v="5"/>
  </r>
  <r>
    <n v="2440"/>
    <x v="10"/>
    <n v="12"/>
    <d v="2022-08-23T00:00:00"/>
    <s v="FA"/>
    <s v="1052/4460"/>
    <s v="kpl"/>
    <n v="2539"/>
    <n v="38"/>
    <n v="84"/>
    <x v="479"/>
    <n v="734.16000000000008"/>
    <n v="3926.16"/>
    <x v="11"/>
  </r>
  <r>
    <n v="2441"/>
    <x v="1"/>
    <n v="13"/>
    <d v="2022-01-09T00:00:00"/>
    <s v="FA"/>
    <s v="1052/4461"/>
    <s v="kpl"/>
    <n v="2540"/>
    <n v="52"/>
    <n v="99"/>
    <x v="145"/>
    <n v="1184.04"/>
    <n v="6332.04"/>
    <x v="0"/>
  </r>
  <r>
    <n v="2442"/>
    <x v="8"/>
    <n v="8"/>
    <d v="2022-07-07T00:00:00"/>
    <s v="FA"/>
    <s v="1052/4462"/>
    <s v="kpl"/>
    <n v="2541"/>
    <n v="66"/>
    <n v="89"/>
    <x v="673"/>
    <n v="1351.02"/>
    <n v="7225.02"/>
    <x v="6"/>
  </r>
  <r>
    <n v="2443"/>
    <x v="18"/>
    <n v="8"/>
    <d v="2022-07-20T00:00:00"/>
    <s v="FA"/>
    <s v="1052/4463"/>
    <s v="kpl"/>
    <n v="2542"/>
    <n v="55"/>
    <n v="109"/>
    <x v="212"/>
    <n v="1378.8500000000001"/>
    <n v="7373.85"/>
    <x v="6"/>
  </r>
  <r>
    <n v="2444"/>
    <x v="3"/>
    <n v="10"/>
    <d v="2022-02-15T00:00:00"/>
    <s v="FA"/>
    <s v="1052/4464"/>
    <s v="kpl"/>
    <n v="2543"/>
    <n v="56"/>
    <n v="88"/>
    <x v="71"/>
    <n v="1133.44"/>
    <n v="6061.4400000000005"/>
    <x v="9"/>
  </r>
  <r>
    <n v="2445"/>
    <x v="1"/>
    <n v="12"/>
    <d v="2022-09-16T00:00:00"/>
    <s v="FA"/>
    <s v="1052/4465"/>
    <s v="kpl"/>
    <n v="2544"/>
    <n v="39"/>
    <n v="99"/>
    <x v="687"/>
    <n v="888.03000000000009"/>
    <n v="4749.03"/>
    <x v="7"/>
  </r>
  <r>
    <n v="2446"/>
    <x v="8"/>
    <n v="10"/>
    <d v="2022-07-09T00:00:00"/>
    <s v="FA"/>
    <s v="1052/4466"/>
    <s v="kpl"/>
    <n v="2545"/>
    <n v="61"/>
    <n v="89"/>
    <x v="448"/>
    <n v="1248.67"/>
    <n v="6677.67"/>
    <x v="6"/>
  </r>
  <r>
    <n v="2447"/>
    <x v="25"/>
    <n v="9"/>
    <d v="2022-02-28T00:00:00"/>
    <s v="FA"/>
    <s v="1052/4467"/>
    <s v="kpl"/>
    <n v="2546"/>
    <n v="71"/>
    <n v="59"/>
    <x v="727"/>
    <n v="963.47"/>
    <n v="5152.47"/>
    <x v="9"/>
  </r>
  <r>
    <n v="2448"/>
    <x v="18"/>
    <n v="10"/>
    <d v="2022-09-20T00:00:00"/>
    <s v="FA"/>
    <s v="1052/4468"/>
    <s v="kpl"/>
    <n v="2547"/>
    <n v="47"/>
    <n v="109"/>
    <x v="77"/>
    <n v="1178.29"/>
    <n v="6301.29"/>
    <x v="7"/>
  </r>
  <r>
    <n v="2449"/>
    <x v="13"/>
    <n v="16"/>
    <d v="2022-07-26T00:00:00"/>
    <s v="FA"/>
    <s v="1052/4469"/>
    <s v="kpl"/>
    <n v="2548"/>
    <n v="62"/>
    <n v="88"/>
    <x v="565"/>
    <n v="1254.8800000000001"/>
    <n v="6710.88"/>
    <x v="6"/>
  </r>
  <r>
    <n v="2450"/>
    <x v="25"/>
    <n v="14"/>
    <d v="2022-09-03T00:00:00"/>
    <s v="FA"/>
    <s v="1052/4470"/>
    <s v="kpl"/>
    <n v="2549"/>
    <n v="38"/>
    <n v="59"/>
    <x v="728"/>
    <n v="515.66"/>
    <n v="2757.66"/>
    <x v="7"/>
  </r>
  <r>
    <n v="2451"/>
    <x v="22"/>
    <n v="8"/>
    <d v="2022-05-18T00:00:00"/>
    <s v="FA"/>
    <s v="1052/4471"/>
    <s v="kpl"/>
    <n v="2550"/>
    <n v="65"/>
    <n v="125"/>
    <x v="729"/>
    <n v="1868.75"/>
    <n v="9993.75"/>
    <x v="10"/>
  </r>
  <r>
    <n v="2452"/>
    <x v="12"/>
    <n v="9"/>
    <d v="2022-03-13T00:00:00"/>
    <s v="FA"/>
    <s v="1052/4472"/>
    <s v="kpl"/>
    <n v="2551"/>
    <n v="41"/>
    <n v="91"/>
    <x v="411"/>
    <n v="858.13"/>
    <n v="4589.13"/>
    <x v="3"/>
  </r>
  <r>
    <n v="2453"/>
    <x v="16"/>
    <n v="8"/>
    <d v="2022-05-15T00:00:00"/>
    <s v="FA"/>
    <s v="1052/4473"/>
    <s v="kpl"/>
    <n v="2552"/>
    <n v="30"/>
    <n v="132"/>
    <x v="291"/>
    <n v="910.80000000000007"/>
    <n v="4870.8"/>
    <x v="10"/>
  </r>
  <r>
    <n v="2454"/>
    <x v="22"/>
    <n v="7"/>
    <d v="2022-03-01T00:00:00"/>
    <s v="FA"/>
    <s v="1052/4474"/>
    <s v="kpl"/>
    <n v="2553"/>
    <n v="35"/>
    <n v="125"/>
    <x v="730"/>
    <n v="1006.25"/>
    <n v="5381.25"/>
    <x v="3"/>
  </r>
  <r>
    <n v="2455"/>
    <x v="10"/>
    <n v="9"/>
    <d v="2022-05-14T00:00:00"/>
    <s v="FA"/>
    <s v="1052/4475"/>
    <s v="kpl"/>
    <n v="2554"/>
    <n v="67"/>
    <n v="84"/>
    <x v="105"/>
    <n v="1294.44"/>
    <n v="6922.4400000000005"/>
    <x v="10"/>
  </r>
  <r>
    <n v="2456"/>
    <x v="11"/>
    <n v="8"/>
    <d v="2022-12-11T00:00:00"/>
    <s v="FA"/>
    <s v="1052/4476"/>
    <s v="kpl"/>
    <n v="2555"/>
    <n v="34"/>
    <n v="93"/>
    <x v="731"/>
    <n v="727.26"/>
    <n v="3889.26"/>
    <x v="2"/>
  </r>
  <r>
    <n v="2457"/>
    <x v="4"/>
    <n v="8"/>
    <d v="2022-08-20T00:00:00"/>
    <s v="FA"/>
    <s v="1052/4477"/>
    <s v="kpl"/>
    <n v="2556"/>
    <n v="47"/>
    <n v="85"/>
    <x v="137"/>
    <n v="918.85"/>
    <n v="4913.8500000000004"/>
    <x v="11"/>
  </r>
  <r>
    <n v="2458"/>
    <x v="2"/>
    <n v="11"/>
    <d v="2022-11-07T00:00:00"/>
    <s v="FA"/>
    <s v="1052/4478"/>
    <s v="kpl"/>
    <n v="2557"/>
    <n v="34"/>
    <n v="84"/>
    <x v="44"/>
    <n v="656.88"/>
    <n v="3512.88"/>
    <x v="8"/>
  </r>
  <r>
    <n v="2459"/>
    <x v="2"/>
    <n v="10"/>
    <d v="2022-10-15T00:00:00"/>
    <s v="FA"/>
    <s v="1052/4479"/>
    <s v="kpl"/>
    <n v="2558"/>
    <n v="59"/>
    <n v="84"/>
    <x v="46"/>
    <n v="1139.8800000000001"/>
    <n v="6095.88"/>
    <x v="5"/>
  </r>
  <r>
    <n v="2460"/>
    <x v="28"/>
    <n v="10"/>
    <d v="2022-07-11T00:00:00"/>
    <s v="FA"/>
    <s v="1052/4480"/>
    <s v="kpl"/>
    <n v="2559"/>
    <n v="50"/>
    <n v="105"/>
    <x v="60"/>
    <n v="1207.5"/>
    <n v="6457.5"/>
    <x v="6"/>
  </r>
  <r>
    <n v="2461"/>
    <x v="16"/>
    <n v="10"/>
    <d v="2022-09-28T00:00:00"/>
    <s v="FA"/>
    <s v="1052/4481"/>
    <s v="kpl"/>
    <n v="2560"/>
    <n v="36"/>
    <n v="132"/>
    <x v="126"/>
    <n v="1092.96"/>
    <n v="5844.96"/>
    <x v="7"/>
  </r>
  <r>
    <n v="2462"/>
    <x v="1"/>
    <n v="10"/>
    <d v="2022-02-21T00:00:00"/>
    <s v="FA"/>
    <s v="1052/4482"/>
    <s v="kpl"/>
    <n v="2561"/>
    <n v="41"/>
    <n v="99"/>
    <x v="626"/>
    <n v="933.57"/>
    <n v="4992.57"/>
    <x v="9"/>
  </r>
  <r>
    <n v="2463"/>
    <x v="7"/>
    <n v="12"/>
    <d v="2022-06-27T00:00:00"/>
    <s v="FA"/>
    <s v="1052/4483"/>
    <s v="kpl"/>
    <n v="2562"/>
    <n v="51"/>
    <n v="96"/>
    <x v="463"/>
    <n v="1126.0800000000002"/>
    <n v="6022.08"/>
    <x v="4"/>
  </r>
  <r>
    <n v="2464"/>
    <x v="16"/>
    <n v="7"/>
    <d v="2022-05-09T00:00:00"/>
    <s v="FA"/>
    <s v="1052/4484"/>
    <s v="kpl"/>
    <n v="2563"/>
    <n v="29"/>
    <n v="132"/>
    <x v="30"/>
    <n v="880.44"/>
    <n v="4708.4400000000005"/>
    <x v="10"/>
  </r>
  <r>
    <n v="2465"/>
    <x v="7"/>
    <n v="7"/>
    <d v="2022-09-11T00:00:00"/>
    <s v="FA"/>
    <s v="1052/4485"/>
    <s v="kpl"/>
    <n v="2564"/>
    <n v="55"/>
    <n v="96"/>
    <x v="9"/>
    <n v="1214.4000000000001"/>
    <n v="6494.4"/>
    <x v="7"/>
  </r>
  <r>
    <n v="2466"/>
    <x v="24"/>
    <n v="7"/>
    <d v="2022-05-23T00:00:00"/>
    <s v="FA"/>
    <s v="1052/4486"/>
    <s v="kpl"/>
    <n v="2565"/>
    <n v="45"/>
    <n v="129"/>
    <x v="614"/>
    <n v="1335.15"/>
    <n v="7140.15"/>
    <x v="10"/>
  </r>
  <r>
    <n v="2467"/>
    <x v="29"/>
    <n v="10"/>
    <d v="2022-02-22T00:00:00"/>
    <s v="FA"/>
    <s v="1052/4487"/>
    <s v="kpl"/>
    <n v="2566"/>
    <n v="54"/>
    <n v="103"/>
    <x v="732"/>
    <n v="1279.26"/>
    <n v="6841.26"/>
    <x v="9"/>
  </r>
  <r>
    <n v="2468"/>
    <x v="28"/>
    <n v="11"/>
    <d v="2022-08-28T00:00:00"/>
    <s v="FA"/>
    <s v="1052/4488"/>
    <s v="kpl"/>
    <n v="2567"/>
    <n v="58"/>
    <n v="105"/>
    <x v="172"/>
    <n v="1400.7"/>
    <n v="7490.7"/>
    <x v="11"/>
  </r>
  <r>
    <n v="2469"/>
    <x v="28"/>
    <n v="6"/>
    <d v="2022-06-01T00:00:00"/>
    <s v="FA"/>
    <s v="1052/4489"/>
    <s v="kpl"/>
    <n v="2568"/>
    <n v="70"/>
    <n v="105"/>
    <x v="620"/>
    <n v="1690.5"/>
    <n v="9040.5"/>
    <x v="4"/>
  </r>
  <r>
    <n v="2470"/>
    <x v="23"/>
    <n v="9"/>
    <d v="2022-04-08T00:00:00"/>
    <s v="FA"/>
    <s v="1052/4490"/>
    <s v="kpl"/>
    <n v="2569"/>
    <n v="45"/>
    <n v="105"/>
    <x v="267"/>
    <n v="1086.75"/>
    <n v="5811.75"/>
    <x v="1"/>
  </r>
  <r>
    <n v="2471"/>
    <x v="6"/>
    <n v="12"/>
    <d v="2022-07-03T00:00:00"/>
    <s v="FA"/>
    <s v="1052/4491"/>
    <s v="kpl"/>
    <n v="2570"/>
    <n v="32"/>
    <n v="84"/>
    <x v="733"/>
    <n v="618.24"/>
    <n v="3306.24"/>
    <x v="6"/>
  </r>
  <r>
    <n v="2472"/>
    <x v="22"/>
    <n v="9"/>
    <d v="2022-04-04T00:00:00"/>
    <s v="FA"/>
    <s v="1052/4492"/>
    <s v="kpl"/>
    <n v="2571"/>
    <n v="52"/>
    <n v="125"/>
    <x v="714"/>
    <n v="1495"/>
    <n v="7995"/>
    <x v="1"/>
  </r>
  <r>
    <n v="2473"/>
    <x v="11"/>
    <n v="6"/>
    <d v="2022-08-06T00:00:00"/>
    <s v="FA"/>
    <s v="1052/4493"/>
    <s v="kpl"/>
    <n v="2572"/>
    <n v="53"/>
    <n v="93"/>
    <x v="413"/>
    <n v="1133.67"/>
    <n v="6062.67"/>
    <x v="11"/>
  </r>
  <r>
    <n v="2474"/>
    <x v="14"/>
    <n v="12"/>
    <d v="2022-01-04T00:00:00"/>
    <s v="FA"/>
    <s v="1052/4494"/>
    <s v="kpl"/>
    <n v="2573"/>
    <n v="60"/>
    <n v="86"/>
    <x v="279"/>
    <n v="1186.8"/>
    <n v="6346.8"/>
    <x v="0"/>
  </r>
  <r>
    <n v="2475"/>
    <x v="1"/>
    <n v="9"/>
    <d v="2022-06-10T00:00:00"/>
    <s v="FA"/>
    <s v="1052/4495"/>
    <s v="kpl"/>
    <n v="2574"/>
    <n v="44"/>
    <n v="99"/>
    <x v="90"/>
    <n v="1001.88"/>
    <n v="5357.88"/>
    <x v="4"/>
  </r>
  <r>
    <n v="2476"/>
    <x v="13"/>
    <n v="12"/>
    <d v="2022-04-12T00:00:00"/>
    <s v="FA"/>
    <s v="1052/4496"/>
    <s v="kpl"/>
    <n v="2575"/>
    <n v="52"/>
    <n v="88"/>
    <x v="14"/>
    <n v="1052.48"/>
    <n v="5628.48"/>
    <x v="1"/>
  </r>
  <r>
    <n v="2477"/>
    <x v="3"/>
    <n v="10"/>
    <d v="2022-06-10T00:00:00"/>
    <s v="FA"/>
    <s v="1052/4497"/>
    <s v="kpl"/>
    <n v="2576"/>
    <n v="55"/>
    <n v="88"/>
    <x v="29"/>
    <n v="1113.2"/>
    <n v="5953.2"/>
    <x v="4"/>
  </r>
  <r>
    <n v="2478"/>
    <x v="23"/>
    <n v="3"/>
    <d v="2022-06-28T00:00:00"/>
    <s v="FA"/>
    <s v="1052/4498"/>
    <s v="kpl"/>
    <n v="2577"/>
    <n v="47"/>
    <n v="105"/>
    <x v="160"/>
    <n v="1135.05"/>
    <n v="6070.05"/>
    <x v="4"/>
  </r>
  <r>
    <n v="2479"/>
    <x v="28"/>
    <n v="10"/>
    <d v="2022-01-25T00:00:00"/>
    <s v="FA"/>
    <s v="1052/4499"/>
    <s v="kpl"/>
    <n v="2578"/>
    <n v="47"/>
    <n v="105"/>
    <x v="160"/>
    <n v="1135.05"/>
    <n v="6070.05"/>
    <x v="0"/>
  </r>
  <r>
    <n v="2480"/>
    <x v="15"/>
    <n v="7"/>
    <d v="2022-01-28T00:00:00"/>
    <s v="FA"/>
    <s v="1052/4500"/>
    <s v="kpl"/>
    <n v="2579"/>
    <n v="61"/>
    <n v="90"/>
    <x v="401"/>
    <n v="1262.7"/>
    <n v="6752.7"/>
    <x v="0"/>
  </r>
  <r>
    <n v="2481"/>
    <x v="19"/>
    <n v="10"/>
    <d v="2022-08-24T00:00:00"/>
    <s v="FA"/>
    <s v="1052/4501"/>
    <s v="kpl"/>
    <n v="2580"/>
    <n v="46"/>
    <n v="121"/>
    <x v="226"/>
    <n v="1280.18"/>
    <n v="6846.18"/>
    <x v="11"/>
  </r>
  <r>
    <n v="2482"/>
    <x v="5"/>
    <n v="8"/>
    <d v="2022-05-20T00:00:00"/>
    <s v="FA"/>
    <s v="1052/4502"/>
    <s v="kpl"/>
    <n v="2581"/>
    <n v="57"/>
    <n v="87"/>
    <x v="52"/>
    <n v="1140.57"/>
    <n v="6099.57"/>
    <x v="10"/>
  </r>
  <r>
    <n v="2483"/>
    <x v="12"/>
    <n v="10"/>
    <d v="2022-12-06T00:00:00"/>
    <s v="FA"/>
    <s v="1052/4503"/>
    <s v="kpl"/>
    <n v="2582"/>
    <n v="52"/>
    <n v="91"/>
    <x v="224"/>
    <n v="1088.3600000000001"/>
    <n v="5820.3600000000006"/>
    <x v="2"/>
  </r>
  <r>
    <n v="2484"/>
    <x v="29"/>
    <n v="10"/>
    <d v="2022-06-13T00:00:00"/>
    <s v="FA"/>
    <s v="1052/4504"/>
    <s v="kpl"/>
    <n v="2583"/>
    <n v="49"/>
    <n v="103"/>
    <x v="734"/>
    <n v="1160.81"/>
    <n v="6207.8099999999995"/>
    <x v="4"/>
  </r>
  <r>
    <n v="2485"/>
    <x v="21"/>
    <n v="12"/>
    <d v="2022-12-13T00:00:00"/>
    <s v="FA"/>
    <s v="1052/4505"/>
    <s v="kpl"/>
    <n v="2584"/>
    <n v="57"/>
    <n v="87"/>
    <x v="52"/>
    <n v="1140.57"/>
    <n v="6099.57"/>
    <x v="2"/>
  </r>
  <r>
    <n v="2486"/>
    <x v="16"/>
    <n v="11"/>
    <d v="2022-10-17T00:00:00"/>
    <s v="FA"/>
    <s v="1052/4506"/>
    <s v="kpl"/>
    <n v="2585"/>
    <n v="22"/>
    <n v="132"/>
    <x v="154"/>
    <n v="667.92000000000007"/>
    <n v="3571.92"/>
    <x v="5"/>
  </r>
  <r>
    <n v="2487"/>
    <x v="19"/>
    <n v="12"/>
    <d v="2022-01-27T00:00:00"/>
    <s v="FA"/>
    <s v="1052/4507"/>
    <s v="kpl"/>
    <n v="2586"/>
    <n v="49"/>
    <n v="121"/>
    <x v="572"/>
    <n v="1363.67"/>
    <n v="7292.67"/>
    <x v="0"/>
  </r>
  <r>
    <n v="2488"/>
    <x v="24"/>
    <n v="10"/>
    <d v="2022-06-17T00:00:00"/>
    <s v="FA"/>
    <s v="1052/4508"/>
    <s v="kpl"/>
    <n v="2587"/>
    <n v="55"/>
    <n v="129"/>
    <x v="468"/>
    <n v="1631.8500000000001"/>
    <n v="8726.85"/>
    <x v="4"/>
  </r>
  <r>
    <n v="2489"/>
    <x v="18"/>
    <n v="11"/>
    <d v="2022-10-04T00:00:00"/>
    <s v="FA"/>
    <s v="1052/4509"/>
    <s v="kpl"/>
    <n v="2588"/>
    <n v="50"/>
    <n v="109"/>
    <x v="95"/>
    <n v="1253.5"/>
    <n v="6703.5"/>
    <x v="5"/>
  </r>
  <r>
    <n v="2490"/>
    <x v="14"/>
    <n v="8"/>
    <d v="2022-09-26T00:00:00"/>
    <s v="FA"/>
    <s v="1052/4510"/>
    <s v="kpl"/>
    <n v="2589"/>
    <n v="60"/>
    <n v="86"/>
    <x v="279"/>
    <n v="1186.8"/>
    <n v="6346.8"/>
    <x v="7"/>
  </r>
  <r>
    <n v="2491"/>
    <x v="18"/>
    <n v="9"/>
    <d v="2022-10-13T00:00:00"/>
    <s v="FA"/>
    <s v="1052/4511"/>
    <s v="kpl"/>
    <n v="2590"/>
    <n v="36"/>
    <n v="109"/>
    <x v="735"/>
    <n v="902.5200000000001"/>
    <n v="4826.5200000000004"/>
    <x v="5"/>
  </r>
  <r>
    <n v="2492"/>
    <x v="3"/>
    <n v="11"/>
    <d v="2022-03-07T00:00:00"/>
    <s v="FA"/>
    <s v="1052/4512"/>
    <s v="kpl"/>
    <n v="2591"/>
    <n v="46"/>
    <n v="88"/>
    <x v="21"/>
    <n v="931.04000000000008"/>
    <n v="4979.04"/>
    <x v="3"/>
  </r>
  <r>
    <n v="2493"/>
    <x v="8"/>
    <n v="10"/>
    <d v="2022-11-02T00:00:00"/>
    <s v="FA"/>
    <s v="1052/4513"/>
    <s v="kpl"/>
    <n v="2592"/>
    <n v="49"/>
    <n v="89"/>
    <x v="641"/>
    <n v="1003.0300000000001"/>
    <n v="5364.03"/>
    <x v="8"/>
  </r>
  <r>
    <n v="2494"/>
    <x v="9"/>
    <n v="8"/>
    <d v="2022-09-19T00:00:00"/>
    <s v="FA"/>
    <s v="1052/4514"/>
    <s v="kpl"/>
    <n v="2593"/>
    <n v="52"/>
    <n v="108"/>
    <x v="460"/>
    <n v="1291.68"/>
    <n v="6907.68"/>
    <x v="7"/>
  </r>
  <r>
    <n v="2495"/>
    <x v="7"/>
    <n v="7"/>
    <d v="2022-11-17T00:00:00"/>
    <s v="FA"/>
    <s v="1052/4515"/>
    <s v="kpl"/>
    <n v="2594"/>
    <n v="33"/>
    <n v="96"/>
    <x v="187"/>
    <n v="728.64"/>
    <n v="3896.64"/>
    <x v="8"/>
  </r>
  <r>
    <n v="2496"/>
    <x v="15"/>
    <n v="9"/>
    <d v="2022-04-02T00:00:00"/>
    <s v="FA"/>
    <s v="1052/4516"/>
    <s v="kpl"/>
    <n v="2595"/>
    <n v="39"/>
    <n v="90"/>
    <x v="736"/>
    <n v="807.30000000000007"/>
    <n v="4317.3"/>
    <x v="1"/>
  </r>
  <r>
    <n v="2497"/>
    <x v="28"/>
    <n v="8"/>
    <d v="2022-06-26T00:00:00"/>
    <s v="FA"/>
    <s v="1052/4517"/>
    <s v="kpl"/>
    <n v="2596"/>
    <n v="51"/>
    <n v="105"/>
    <x v="316"/>
    <n v="1231.6500000000001"/>
    <n v="6586.65"/>
    <x v="4"/>
  </r>
  <r>
    <n v="2498"/>
    <x v="29"/>
    <n v="11"/>
    <d v="2022-05-14T00:00:00"/>
    <s v="FA"/>
    <s v="1052/4518"/>
    <s v="kpl"/>
    <n v="2597"/>
    <n v="54"/>
    <n v="103"/>
    <x v="732"/>
    <n v="1279.26"/>
    <n v="6841.26"/>
    <x v="10"/>
  </r>
  <r>
    <n v="2499"/>
    <x v="14"/>
    <n v="10"/>
    <d v="2022-03-19T00:00:00"/>
    <s v="FA"/>
    <s v="1052/4519"/>
    <s v="kpl"/>
    <n v="2598"/>
    <n v="51"/>
    <n v="86"/>
    <x v="527"/>
    <n v="1008.7800000000001"/>
    <n v="5394.78"/>
    <x v="3"/>
  </r>
  <r>
    <n v="2500"/>
    <x v="13"/>
    <n v="8"/>
    <d v="2022-08-20T00:00:00"/>
    <s v="FA"/>
    <s v="1052/4520"/>
    <s v="kpl"/>
    <n v="2599"/>
    <n v="44"/>
    <n v="88"/>
    <x v="360"/>
    <n v="890.56000000000006"/>
    <n v="4762.5600000000004"/>
    <x v="11"/>
  </r>
  <r>
    <n v="2501"/>
    <x v="12"/>
    <n v="7"/>
    <d v="2022-07-27T00:00:00"/>
    <s v="FA"/>
    <s v="1052/4521"/>
    <s v="kpl"/>
    <n v="2600"/>
    <n v="41"/>
    <n v="91"/>
    <x v="411"/>
    <n v="858.13"/>
    <n v="4589.13"/>
    <x v="6"/>
  </r>
  <r>
    <n v="2502"/>
    <x v="22"/>
    <n v="6"/>
    <d v="2022-06-03T00:00:00"/>
    <s v="FA"/>
    <s v="1052/4522"/>
    <s v="kpl"/>
    <n v="2601"/>
    <n v="49"/>
    <n v="125"/>
    <x v="207"/>
    <n v="1408.75"/>
    <n v="7533.75"/>
    <x v="4"/>
  </r>
  <r>
    <n v="2503"/>
    <x v="13"/>
    <n v="7"/>
    <d v="2022-06-20T00:00:00"/>
    <s v="FA"/>
    <s v="1052/4523"/>
    <s v="kpl"/>
    <n v="2602"/>
    <n v="37"/>
    <n v="88"/>
    <x v="367"/>
    <n v="748.88"/>
    <n v="4004.88"/>
    <x v="4"/>
  </r>
  <r>
    <n v="2504"/>
    <x v="0"/>
    <n v="11"/>
    <d v="2022-04-02T00:00:00"/>
    <s v="FA"/>
    <s v="1052/4524"/>
    <s v="kpl"/>
    <n v="2603"/>
    <n v="59"/>
    <n v="83"/>
    <x v="284"/>
    <n v="1126.31"/>
    <n v="6023.3099999999995"/>
    <x v="1"/>
  </r>
  <r>
    <n v="2505"/>
    <x v="22"/>
    <n v="13"/>
    <d v="2022-09-17T00:00:00"/>
    <s v="FA"/>
    <s v="1052/4525"/>
    <s v="kpl"/>
    <n v="2604"/>
    <n v="35"/>
    <n v="125"/>
    <x v="730"/>
    <n v="1006.25"/>
    <n v="5381.25"/>
    <x v="7"/>
  </r>
  <r>
    <n v="2506"/>
    <x v="18"/>
    <n v="9"/>
    <d v="2022-08-10T00:00:00"/>
    <s v="FA"/>
    <s v="1052/4526"/>
    <s v="kpl"/>
    <n v="2605"/>
    <n v="44"/>
    <n v="109"/>
    <x v="220"/>
    <n v="1103.0800000000002"/>
    <n v="5899.08"/>
    <x v="11"/>
  </r>
  <r>
    <n v="2507"/>
    <x v="22"/>
    <n v="8"/>
    <d v="2022-03-05T00:00:00"/>
    <s v="FA"/>
    <s v="1052/4527"/>
    <s v="kpl"/>
    <n v="2606"/>
    <n v="69"/>
    <n v="125"/>
    <x v="482"/>
    <n v="1983.75"/>
    <n v="10608.75"/>
    <x v="3"/>
  </r>
  <r>
    <n v="2508"/>
    <x v="4"/>
    <n v="14"/>
    <d v="2022-08-17T00:00:00"/>
    <s v="FA"/>
    <s v="1052/4528"/>
    <s v="kpl"/>
    <n v="2607"/>
    <n v="77"/>
    <n v="85"/>
    <x v="737"/>
    <n v="1505.3500000000001"/>
    <n v="8050.35"/>
    <x v="11"/>
  </r>
  <r>
    <n v="2509"/>
    <x v="21"/>
    <n v="8"/>
    <d v="2022-07-08T00:00:00"/>
    <s v="FA"/>
    <s v="1052/4529"/>
    <s v="kpl"/>
    <n v="2608"/>
    <n v="60"/>
    <n v="87"/>
    <x v="6"/>
    <n v="1200.6000000000001"/>
    <n v="6420.6"/>
    <x v="6"/>
  </r>
  <r>
    <n v="2510"/>
    <x v="10"/>
    <n v="8"/>
    <d v="2022-12-14T00:00:00"/>
    <s v="FA"/>
    <s v="1052/4530"/>
    <s v="kpl"/>
    <n v="2609"/>
    <n v="43"/>
    <n v="84"/>
    <x v="25"/>
    <n v="830.76"/>
    <n v="4442.76"/>
    <x v="2"/>
  </r>
  <r>
    <n v="2511"/>
    <x v="18"/>
    <n v="15"/>
    <d v="2022-03-16T00:00:00"/>
    <s v="FA"/>
    <s v="1052/4531"/>
    <s v="kpl"/>
    <n v="2610"/>
    <n v="43"/>
    <n v="109"/>
    <x v="383"/>
    <n v="1078.01"/>
    <n v="5765.01"/>
    <x v="3"/>
  </r>
  <r>
    <n v="2512"/>
    <x v="19"/>
    <n v="11"/>
    <d v="2022-04-01T00:00:00"/>
    <s v="FA"/>
    <s v="1052/4532"/>
    <s v="kpl"/>
    <n v="2611"/>
    <n v="51"/>
    <n v="121"/>
    <x v="516"/>
    <n v="1419.3300000000002"/>
    <n v="7590.33"/>
    <x v="1"/>
  </r>
  <r>
    <n v="2513"/>
    <x v="3"/>
    <n v="8"/>
    <d v="2022-09-19T00:00:00"/>
    <s v="FA"/>
    <s v="1052/4533"/>
    <s v="kpl"/>
    <n v="2612"/>
    <n v="49"/>
    <n v="88"/>
    <x v="93"/>
    <n v="991.76"/>
    <n v="5303.76"/>
    <x v="7"/>
  </r>
  <r>
    <n v="2514"/>
    <x v="17"/>
    <n v="7"/>
    <d v="2022-04-28T00:00:00"/>
    <s v="FA"/>
    <s v="1052/4534"/>
    <s v="kpl"/>
    <n v="2613"/>
    <n v="52"/>
    <n v="94"/>
    <x v="51"/>
    <n v="1124.24"/>
    <n v="6012.24"/>
    <x v="1"/>
  </r>
  <r>
    <n v="2515"/>
    <x v="6"/>
    <n v="5"/>
    <d v="2022-12-02T00:00:00"/>
    <s v="FA"/>
    <s v="1052/4535"/>
    <s v="kpl"/>
    <n v="2614"/>
    <n v="47"/>
    <n v="84"/>
    <x v="55"/>
    <n v="908.04000000000008"/>
    <n v="4856.04"/>
    <x v="2"/>
  </r>
  <r>
    <n v="2516"/>
    <x v="21"/>
    <n v="8"/>
    <d v="2022-04-21T00:00:00"/>
    <s v="FA"/>
    <s v="1052/4536"/>
    <s v="kpl"/>
    <n v="2615"/>
    <n v="20"/>
    <n v="87"/>
    <x v="738"/>
    <n v="400.20000000000005"/>
    <n v="2140.1999999999998"/>
    <x v="1"/>
  </r>
  <r>
    <n v="2517"/>
    <x v="6"/>
    <n v="13"/>
    <d v="2022-10-22T00:00:00"/>
    <s v="FA"/>
    <s v="1052/4537"/>
    <s v="kpl"/>
    <n v="2616"/>
    <n v="54"/>
    <n v="84"/>
    <x v="309"/>
    <n v="1043.28"/>
    <n v="5579.28"/>
    <x v="5"/>
  </r>
  <r>
    <n v="2518"/>
    <x v="1"/>
    <n v="9"/>
    <d v="2022-12-18T00:00:00"/>
    <s v="FA"/>
    <s v="1052/4538"/>
    <s v="kpl"/>
    <n v="2617"/>
    <n v="31"/>
    <n v="99"/>
    <x v="162"/>
    <n v="705.87"/>
    <n v="3774.87"/>
    <x v="2"/>
  </r>
  <r>
    <n v="2519"/>
    <x v="16"/>
    <n v="11"/>
    <d v="2022-12-09T00:00:00"/>
    <s v="FA"/>
    <s v="1052/4539"/>
    <s v="kpl"/>
    <n v="2618"/>
    <n v="42"/>
    <n v="132"/>
    <x v="65"/>
    <n v="1275.1200000000001"/>
    <n v="6819.12"/>
    <x v="2"/>
  </r>
  <r>
    <n v="2520"/>
    <x v="23"/>
    <n v="10"/>
    <d v="2022-04-21T00:00:00"/>
    <s v="FA"/>
    <s v="1052/4540"/>
    <s v="kpl"/>
    <n v="2619"/>
    <n v="69"/>
    <n v="105"/>
    <x v="617"/>
    <n v="1666.3500000000001"/>
    <n v="8911.35"/>
    <x v="1"/>
  </r>
  <r>
    <n v="2521"/>
    <x v="15"/>
    <n v="11"/>
    <d v="2022-03-22T00:00:00"/>
    <s v="FA"/>
    <s v="1052/4541"/>
    <s v="kpl"/>
    <n v="2620"/>
    <n v="52"/>
    <n v="90"/>
    <x v="422"/>
    <n v="1076.4000000000001"/>
    <n v="5756.4"/>
    <x v="3"/>
  </r>
  <r>
    <n v="2522"/>
    <x v="4"/>
    <n v="10"/>
    <d v="2022-04-28T00:00:00"/>
    <s v="FA"/>
    <s v="1052/4542"/>
    <s v="kpl"/>
    <n v="2621"/>
    <n v="44"/>
    <n v="85"/>
    <x v="18"/>
    <n v="860.2"/>
    <n v="4600.2"/>
    <x v="1"/>
  </r>
  <r>
    <n v="2523"/>
    <x v="1"/>
    <n v="9"/>
    <d v="2022-04-05T00:00:00"/>
    <s v="FA"/>
    <s v="1052/4543"/>
    <s v="kpl"/>
    <n v="2622"/>
    <n v="38"/>
    <n v="99"/>
    <x v="631"/>
    <n v="865.26"/>
    <n v="4627.26"/>
    <x v="1"/>
  </r>
  <r>
    <n v="2524"/>
    <x v="17"/>
    <n v="7"/>
    <d v="2022-01-02T00:00:00"/>
    <s v="FA"/>
    <s v="1052/4544"/>
    <s v="kpl"/>
    <n v="2623"/>
    <n v="47"/>
    <n v="94"/>
    <x v="83"/>
    <n v="1016.1400000000001"/>
    <n v="5434.14"/>
    <x v="0"/>
  </r>
  <r>
    <n v="2525"/>
    <x v="23"/>
    <n v="9"/>
    <d v="2022-06-11T00:00:00"/>
    <s v="FA"/>
    <s v="1052/4545"/>
    <s v="kpl"/>
    <n v="2624"/>
    <n v="56"/>
    <n v="105"/>
    <x v="288"/>
    <n v="1352.4"/>
    <n v="7232.4"/>
    <x v="4"/>
  </r>
  <r>
    <n v="2526"/>
    <x v="0"/>
    <n v="7"/>
    <d v="2022-06-06T00:00:00"/>
    <s v="FA"/>
    <s v="1052/4546"/>
    <s v="kpl"/>
    <n v="2625"/>
    <n v="41"/>
    <n v="83"/>
    <x v="329"/>
    <n v="782.69"/>
    <n v="4185.6900000000005"/>
    <x v="4"/>
  </r>
  <r>
    <n v="2527"/>
    <x v="18"/>
    <n v="10"/>
    <d v="2022-06-15T00:00:00"/>
    <s v="FA"/>
    <s v="1052/4547"/>
    <s v="kpl"/>
    <n v="2626"/>
    <n v="51"/>
    <n v="109"/>
    <x v="106"/>
    <n v="1278.5700000000002"/>
    <n v="6837.57"/>
    <x v="4"/>
  </r>
  <r>
    <n v="2528"/>
    <x v="19"/>
    <n v="10"/>
    <d v="2022-04-01T00:00:00"/>
    <s v="FA"/>
    <s v="1052/4548"/>
    <s v="kpl"/>
    <n v="2627"/>
    <n v="47"/>
    <n v="121"/>
    <x v="356"/>
    <n v="1308.01"/>
    <n v="6995.01"/>
    <x v="1"/>
  </r>
  <r>
    <n v="2529"/>
    <x v="15"/>
    <n v="6"/>
    <d v="2022-09-15T00:00:00"/>
    <s v="FA"/>
    <s v="1052/4549"/>
    <s v="kpl"/>
    <n v="2628"/>
    <n v="49"/>
    <n v="90"/>
    <x v="474"/>
    <n v="1014.3000000000001"/>
    <n v="5424.3"/>
    <x v="7"/>
  </r>
  <r>
    <n v="2530"/>
    <x v="17"/>
    <n v="13"/>
    <d v="2022-09-17T00:00:00"/>
    <s v="FA"/>
    <s v="1052/4550"/>
    <s v="kpl"/>
    <n v="2629"/>
    <n v="50"/>
    <n v="94"/>
    <x v="295"/>
    <n v="1081"/>
    <n v="5781"/>
    <x v="7"/>
  </r>
  <r>
    <n v="2531"/>
    <x v="9"/>
    <n v="10"/>
    <d v="2022-02-25T00:00:00"/>
    <s v="FA"/>
    <s v="1052/4551"/>
    <s v="kpl"/>
    <n v="2630"/>
    <n v="56"/>
    <n v="108"/>
    <x v="20"/>
    <n v="1391.04"/>
    <n v="7439.04"/>
    <x v="9"/>
  </r>
  <r>
    <n v="2532"/>
    <x v="21"/>
    <n v="7"/>
    <d v="2022-09-17T00:00:00"/>
    <s v="FA"/>
    <s v="1052/4552"/>
    <s v="kpl"/>
    <n v="2631"/>
    <n v="43"/>
    <n v="87"/>
    <x v="264"/>
    <n v="860.43000000000006"/>
    <n v="4601.43"/>
    <x v="7"/>
  </r>
  <r>
    <n v="2533"/>
    <x v="24"/>
    <n v="9"/>
    <d v="2022-06-07T00:00:00"/>
    <s v="FA"/>
    <s v="1052/4553"/>
    <s v="kpl"/>
    <n v="2632"/>
    <n v="33"/>
    <n v="129"/>
    <x v="438"/>
    <n v="979.11"/>
    <n v="5236.1099999999997"/>
    <x v="4"/>
  </r>
  <r>
    <n v="2534"/>
    <x v="22"/>
    <n v="11"/>
    <d v="2022-05-01T00:00:00"/>
    <s v="FA"/>
    <s v="1052/4554"/>
    <s v="kpl"/>
    <n v="2633"/>
    <n v="59"/>
    <n v="125"/>
    <x v="70"/>
    <n v="1696.25"/>
    <n v="9071.25"/>
    <x v="10"/>
  </r>
  <r>
    <n v="2535"/>
    <x v="21"/>
    <n v="13"/>
    <d v="2022-08-24T00:00:00"/>
    <s v="FA"/>
    <s v="1052/4555"/>
    <s v="kpl"/>
    <n v="2634"/>
    <n v="44"/>
    <n v="87"/>
    <x v="30"/>
    <n v="880.44"/>
    <n v="4708.4400000000005"/>
    <x v="11"/>
  </r>
  <r>
    <n v="2536"/>
    <x v="8"/>
    <n v="9"/>
    <d v="2022-04-19T00:00:00"/>
    <s v="FA"/>
    <s v="1052/4556"/>
    <s v="kpl"/>
    <n v="2635"/>
    <n v="57"/>
    <n v="89"/>
    <x v="487"/>
    <n v="1166.79"/>
    <n v="6239.79"/>
    <x v="1"/>
  </r>
  <r>
    <n v="2537"/>
    <x v="20"/>
    <n v="4"/>
    <d v="2022-04-22T00:00:00"/>
    <s v="FA"/>
    <s v="1052/4557"/>
    <s v="kpl"/>
    <n v="2636"/>
    <n v="47"/>
    <n v="104"/>
    <x v="51"/>
    <n v="1124.24"/>
    <n v="6012.24"/>
    <x v="1"/>
  </r>
  <r>
    <n v="2538"/>
    <x v="13"/>
    <n v="6"/>
    <d v="2022-08-25T00:00:00"/>
    <s v="FA"/>
    <s v="1052/4558"/>
    <s v="kpl"/>
    <n v="2637"/>
    <n v="28"/>
    <n v="88"/>
    <x v="739"/>
    <n v="566.72"/>
    <n v="3030.7200000000003"/>
    <x v="11"/>
  </r>
  <r>
    <n v="2539"/>
    <x v="18"/>
    <n v="10"/>
    <d v="2022-04-23T00:00:00"/>
    <s v="FA"/>
    <s v="1052/4559"/>
    <s v="kpl"/>
    <n v="2638"/>
    <n v="54"/>
    <n v="109"/>
    <x v="111"/>
    <n v="1353.78"/>
    <n v="7239.78"/>
    <x v="1"/>
  </r>
  <r>
    <n v="2540"/>
    <x v="17"/>
    <n v="11"/>
    <d v="2022-06-11T00:00:00"/>
    <s v="FA"/>
    <s v="1052/4560"/>
    <s v="kpl"/>
    <n v="2639"/>
    <n v="49"/>
    <n v="94"/>
    <x v="148"/>
    <n v="1059.3800000000001"/>
    <n v="5665.38"/>
    <x v="4"/>
  </r>
  <r>
    <n v="2541"/>
    <x v="26"/>
    <n v="13"/>
    <d v="2022-09-05T00:00:00"/>
    <s v="FA"/>
    <s v="1052/4561"/>
    <s v="kpl"/>
    <n v="2640"/>
    <n v="44"/>
    <n v="99"/>
    <x v="90"/>
    <n v="1001.88"/>
    <n v="5357.88"/>
    <x v="7"/>
  </r>
  <r>
    <n v="2542"/>
    <x v="15"/>
    <n v="13"/>
    <d v="2022-10-11T00:00:00"/>
    <s v="FA"/>
    <s v="1052/4562"/>
    <s v="kpl"/>
    <n v="2641"/>
    <n v="57"/>
    <n v="90"/>
    <x v="230"/>
    <n v="1179.9000000000001"/>
    <n v="6309.9"/>
    <x v="5"/>
  </r>
  <r>
    <n v="2543"/>
    <x v="21"/>
    <n v="9"/>
    <d v="2022-06-15T00:00:00"/>
    <s v="FA"/>
    <s v="1052/4563"/>
    <s v="kpl"/>
    <n v="2642"/>
    <n v="63"/>
    <n v="87"/>
    <x v="117"/>
    <n v="1260.6300000000001"/>
    <n v="6741.63"/>
    <x v="4"/>
  </r>
  <r>
    <n v="2544"/>
    <x v="0"/>
    <n v="14"/>
    <d v="2022-08-23T00:00:00"/>
    <s v="FA"/>
    <s v="1052/4564"/>
    <s v="kpl"/>
    <n v="2643"/>
    <n v="55"/>
    <n v="83"/>
    <x v="47"/>
    <n v="1049.95"/>
    <n v="5614.95"/>
    <x v="11"/>
  </r>
  <r>
    <n v="2545"/>
    <x v="29"/>
    <n v="6"/>
    <d v="2022-04-07T00:00:00"/>
    <s v="FA"/>
    <s v="1052/4565"/>
    <s v="kpl"/>
    <n v="2644"/>
    <n v="59"/>
    <n v="103"/>
    <x v="740"/>
    <n v="1397.71"/>
    <n v="7474.71"/>
    <x v="1"/>
  </r>
  <r>
    <n v="2546"/>
    <x v="12"/>
    <n v="13"/>
    <d v="2022-07-05T00:00:00"/>
    <s v="FA"/>
    <s v="1052/4566"/>
    <s v="kpl"/>
    <n v="2645"/>
    <n v="24"/>
    <n v="91"/>
    <x v="557"/>
    <n v="502.32000000000005"/>
    <n v="2686.32"/>
    <x v="6"/>
  </r>
  <r>
    <n v="2547"/>
    <x v="21"/>
    <n v="10"/>
    <d v="2022-07-25T00:00:00"/>
    <s v="FA"/>
    <s v="1052/4567"/>
    <s v="kpl"/>
    <n v="2646"/>
    <n v="49"/>
    <n v="87"/>
    <x v="96"/>
    <n v="980.49"/>
    <n v="5243.49"/>
    <x v="6"/>
  </r>
  <r>
    <n v="2548"/>
    <x v="21"/>
    <n v="7"/>
    <d v="2022-03-14T00:00:00"/>
    <s v="FA"/>
    <s v="1052/4568"/>
    <s v="kpl"/>
    <n v="2647"/>
    <n v="55"/>
    <n v="87"/>
    <x v="521"/>
    <n v="1100.55"/>
    <n v="5885.55"/>
    <x v="3"/>
  </r>
  <r>
    <n v="2549"/>
    <x v="6"/>
    <n v="9"/>
    <d v="2022-06-05T00:00:00"/>
    <s v="FA"/>
    <s v="1052/4569"/>
    <s v="kpl"/>
    <n v="2648"/>
    <n v="37"/>
    <n v="84"/>
    <x v="366"/>
    <n v="714.84"/>
    <n v="3822.84"/>
    <x v="4"/>
  </r>
  <r>
    <n v="2550"/>
    <x v="9"/>
    <n v="7"/>
    <d v="2022-12-02T00:00:00"/>
    <s v="FA"/>
    <s v="1052/4570"/>
    <s v="kpl"/>
    <n v="2649"/>
    <n v="41"/>
    <n v="108"/>
    <x v="276"/>
    <n v="1018.44"/>
    <n v="5446.4400000000005"/>
    <x v="2"/>
  </r>
  <r>
    <n v="2551"/>
    <x v="3"/>
    <n v="9"/>
    <d v="2022-05-10T00:00:00"/>
    <s v="FA"/>
    <s v="1052/4571"/>
    <s v="kpl"/>
    <n v="2650"/>
    <n v="47"/>
    <n v="88"/>
    <x v="165"/>
    <n v="951.28000000000009"/>
    <n v="5087.28"/>
    <x v="10"/>
  </r>
  <r>
    <n v="2552"/>
    <x v="22"/>
    <n v="7"/>
    <d v="2022-08-14T00:00:00"/>
    <s v="FA"/>
    <s v="1052/4572"/>
    <s v="kpl"/>
    <n v="2651"/>
    <n v="54"/>
    <n v="125"/>
    <x v="651"/>
    <n v="1552.5"/>
    <n v="8302.5"/>
    <x v="11"/>
  </r>
  <r>
    <n v="2553"/>
    <x v="24"/>
    <n v="12"/>
    <d v="2022-08-25T00:00:00"/>
    <s v="FA"/>
    <s v="1052/4573"/>
    <s v="kpl"/>
    <n v="2652"/>
    <n v="50"/>
    <n v="129"/>
    <x v="181"/>
    <n v="1483.5"/>
    <n v="7933.5"/>
    <x v="11"/>
  </r>
  <r>
    <n v="2554"/>
    <x v="24"/>
    <n v="7"/>
    <d v="2022-08-04T00:00:00"/>
    <s v="FA"/>
    <s v="1052/4574"/>
    <s v="kpl"/>
    <n v="2653"/>
    <n v="54"/>
    <n v="129"/>
    <x v="169"/>
    <n v="1602.18"/>
    <n v="8568.18"/>
    <x v="11"/>
  </r>
  <r>
    <n v="2555"/>
    <x v="14"/>
    <n v="12"/>
    <d v="2022-10-02T00:00:00"/>
    <s v="FA"/>
    <s v="1052/4575"/>
    <s v="kpl"/>
    <n v="2654"/>
    <n v="49"/>
    <n v="86"/>
    <x v="262"/>
    <n v="969.22"/>
    <n v="5183.22"/>
    <x v="5"/>
  </r>
  <r>
    <n v="2556"/>
    <x v="27"/>
    <n v="14"/>
    <d v="2022-08-28T00:00:00"/>
    <s v="FA"/>
    <s v="1052/4576"/>
    <s v="kpl"/>
    <n v="2655"/>
    <n v="42"/>
    <n v="111"/>
    <x v="741"/>
    <n v="1072.26"/>
    <n v="5734.26"/>
    <x v="11"/>
  </r>
  <r>
    <n v="2557"/>
    <x v="19"/>
    <n v="13"/>
    <d v="2022-02-11T00:00:00"/>
    <s v="FA"/>
    <s v="1052/4577"/>
    <s v="kpl"/>
    <n v="2656"/>
    <n v="44"/>
    <n v="121"/>
    <x v="650"/>
    <n v="1224.52"/>
    <n v="6548.52"/>
    <x v="9"/>
  </r>
  <r>
    <n v="2558"/>
    <x v="6"/>
    <n v="9"/>
    <d v="2022-08-26T00:00:00"/>
    <s v="FA"/>
    <s v="1052/4578"/>
    <s v="kpl"/>
    <n v="2657"/>
    <n v="72"/>
    <n v="84"/>
    <x v="20"/>
    <n v="1391.04"/>
    <n v="7439.04"/>
    <x v="11"/>
  </r>
  <r>
    <n v="2559"/>
    <x v="9"/>
    <n v="11"/>
    <d v="2022-09-13T00:00:00"/>
    <s v="FA"/>
    <s v="1052/4579"/>
    <s v="kpl"/>
    <n v="2658"/>
    <n v="45"/>
    <n v="108"/>
    <x v="742"/>
    <n v="1117.8"/>
    <n v="5977.8"/>
    <x v="7"/>
  </r>
  <r>
    <n v="2560"/>
    <x v="16"/>
    <n v="12"/>
    <d v="2022-02-24T00:00:00"/>
    <s v="FA"/>
    <s v="1052/4580"/>
    <s v="kpl"/>
    <n v="2659"/>
    <n v="45"/>
    <n v="132"/>
    <x v="85"/>
    <n v="1366.2"/>
    <n v="7306.2"/>
    <x v="9"/>
  </r>
  <r>
    <n v="2561"/>
    <x v="10"/>
    <n v="11"/>
    <d v="2022-03-08T00:00:00"/>
    <s v="FA"/>
    <s v="1052/4581"/>
    <s v="kpl"/>
    <n v="2660"/>
    <n v="37"/>
    <n v="84"/>
    <x v="366"/>
    <n v="714.84"/>
    <n v="3822.84"/>
    <x v="3"/>
  </r>
  <r>
    <n v="2562"/>
    <x v="24"/>
    <n v="8"/>
    <d v="2022-03-11T00:00:00"/>
    <s v="FA"/>
    <s v="1052/4582"/>
    <s v="kpl"/>
    <n v="2661"/>
    <n v="43"/>
    <n v="129"/>
    <x v="589"/>
    <n v="1275.81"/>
    <n v="6822.8099999999995"/>
    <x v="3"/>
  </r>
  <r>
    <n v="2563"/>
    <x v="16"/>
    <n v="12"/>
    <d v="2022-02-07T00:00:00"/>
    <s v="FA"/>
    <s v="1052/4583"/>
    <s v="kpl"/>
    <n v="2662"/>
    <n v="49"/>
    <n v="132"/>
    <x v="313"/>
    <n v="1487.64"/>
    <n v="7955.64"/>
    <x v="9"/>
  </r>
  <r>
    <n v="2564"/>
    <x v="23"/>
    <n v="16"/>
    <d v="2022-02-20T00:00:00"/>
    <s v="FA"/>
    <s v="1052/4584"/>
    <s v="kpl"/>
    <n v="2663"/>
    <n v="40"/>
    <n v="105"/>
    <x v="194"/>
    <n v="966"/>
    <n v="5166"/>
    <x v="9"/>
  </r>
  <r>
    <n v="2565"/>
    <x v="4"/>
    <n v="9"/>
    <d v="2022-02-12T00:00:00"/>
    <s v="FA"/>
    <s v="1052/4585"/>
    <s v="kpl"/>
    <n v="2664"/>
    <n v="42"/>
    <n v="85"/>
    <x v="306"/>
    <n v="821.1"/>
    <n v="4391.1000000000004"/>
    <x v="9"/>
  </r>
  <r>
    <n v="2566"/>
    <x v="26"/>
    <n v="10"/>
    <d v="2022-05-18T00:00:00"/>
    <s v="FA"/>
    <s v="1052/4586"/>
    <s v="kpl"/>
    <n v="2665"/>
    <n v="52"/>
    <n v="99"/>
    <x v="145"/>
    <n v="1184.04"/>
    <n v="6332.04"/>
    <x v="10"/>
  </r>
  <r>
    <n v="2567"/>
    <x v="23"/>
    <n v="7"/>
    <d v="2022-09-20T00:00:00"/>
    <s v="FA"/>
    <s v="1052/4587"/>
    <s v="kpl"/>
    <n v="2666"/>
    <n v="38"/>
    <n v="105"/>
    <x v="341"/>
    <n v="917.7"/>
    <n v="4907.7"/>
    <x v="7"/>
  </r>
  <r>
    <n v="2568"/>
    <x v="26"/>
    <n v="10"/>
    <d v="2022-06-08T00:00:00"/>
    <s v="FA"/>
    <s v="1052/4588"/>
    <s v="kpl"/>
    <n v="2667"/>
    <n v="71"/>
    <n v="99"/>
    <x v="334"/>
    <n v="1616.67"/>
    <n v="8645.67"/>
    <x v="4"/>
  </r>
  <r>
    <n v="2569"/>
    <x v="24"/>
    <n v="10"/>
    <d v="2022-12-06T00:00:00"/>
    <s v="FA"/>
    <s v="1052/4589"/>
    <s v="kpl"/>
    <n v="2668"/>
    <n v="40"/>
    <n v="129"/>
    <x v="279"/>
    <n v="1186.8"/>
    <n v="6346.8"/>
    <x v="2"/>
  </r>
  <r>
    <n v="2570"/>
    <x v="12"/>
    <n v="10"/>
    <d v="2022-02-01T00:00:00"/>
    <s v="FA"/>
    <s v="1052/4590"/>
    <s v="kpl"/>
    <n v="2669"/>
    <n v="56"/>
    <n v="91"/>
    <x v="189"/>
    <n v="1172.0800000000002"/>
    <n v="6268.08"/>
    <x v="9"/>
  </r>
  <r>
    <n v="2571"/>
    <x v="24"/>
    <n v="9"/>
    <d v="2022-02-09T00:00:00"/>
    <s v="FA"/>
    <s v="1052/4591"/>
    <s v="kpl"/>
    <n v="2670"/>
    <n v="52"/>
    <n v="129"/>
    <x v="632"/>
    <n v="1542.8400000000001"/>
    <n v="8250.84"/>
    <x v="9"/>
  </r>
  <r>
    <n v="2572"/>
    <x v="27"/>
    <n v="9"/>
    <d v="2022-08-09T00:00:00"/>
    <s v="FA"/>
    <s v="1052/4592"/>
    <s v="kpl"/>
    <n v="2671"/>
    <n v="57"/>
    <n v="111"/>
    <x v="532"/>
    <n v="1455.21"/>
    <n v="7782.21"/>
    <x v="11"/>
  </r>
  <r>
    <n v="2573"/>
    <x v="25"/>
    <n v="8"/>
    <d v="2022-11-06T00:00:00"/>
    <s v="FA"/>
    <s v="1052/4593"/>
    <s v="kpl"/>
    <n v="2672"/>
    <n v="38"/>
    <n v="59"/>
    <x v="728"/>
    <n v="515.66"/>
    <n v="2757.66"/>
    <x v="8"/>
  </r>
  <r>
    <n v="2574"/>
    <x v="13"/>
    <n v="9"/>
    <d v="2022-08-14T00:00:00"/>
    <s v="FA"/>
    <s v="1052/4594"/>
    <s v="kpl"/>
    <n v="2673"/>
    <n v="53"/>
    <n v="88"/>
    <x v="61"/>
    <n v="1072.72"/>
    <n v="5736.72"/>
    <x v="11"/>
  </r>
  <r>
    <n v="2575"/>
    <x v="4"/>
    <n v="10"/>
    <d v="2022-05-26T00:00:00"/>
    <s v="FA"/>
    <s v="1052/4595"/>
    <s v="kpl"/>
    <n v="2674"/>
    <n v="49"/>
    <n v="85"/>
    <x v="48"/>
    <n v="957.95"/>
    <n v="5122.95"/>
    <x v="10"/>
  </r>
  <r>
    <n v="2576"/>
    <x v="10"/>
    <n v="12"/>
    <d v="2022-09-23T00:00:00"/>
    <s v="FA"/>
    <s v="1052/4596"/>
    <s v="kpl"/>
    <n v="2675"/>
    <n v="39"/>
    <n v="84"/>
    <x v="104"/>
    <n v="753.48"/>
    <n v="4029.48"/>
    <x v="7"/>
  </r>
  <r>
    <n v="2577"/>
    <x v="15"/>
    <n v="10"/>
    <d v="2022-10-09T00:00:00"/>
    <s v="FA"/>
    <s v="1052/4597"/>
    <s v="kpl"/>
    <n v="2676"/>
    <n v="35"/>
    <n v="90"/>
    <x v="414"/>
    <n v="724.5"/>
    <n v="3874.5"/>
    <x v="5"/>
  </r>
  <r>
    <n v="2578"/>
    <x v="0"/>
    <n v="10"/>
    <d v="2022-08-02T00:00:00"/>
    <s v="FA"/>
    <s v="1052/4598"/>
    <s v="kpl"/>
    <n v="2677"/>
    <n v="44"/>
    <n v="83"/>
    <x v="200"/>
    <n v="839.96"/>
    <n v="4491.96"/>
    <x v="11"/>
  </r>
  <r>
    <n v="2579"/>
    <x v="24"/>
    <n v="10"/>
    <d v="2022-01-10T00:00:00"/>
    <s v="FA"/>
    <s v="1052/4599"/>
    <s v="kpl"/>
    <n v="2678"/>
    <n v="42"/>
    <n v="129"/>
    <x v="485"/>
    <n v="1246.1400000000001"/>
    <n v="6664.14"/>
    <x v="0"/>
  </r>
  <r>
    <n v="2580"/>
    <x v="20"/>
    <n v="12"/>
    <d v="2022-12-03T00:00:00"/>
    <s v="FA"/>
    <s v="1052/4600"/>
    <s v="kpl"/>
    <n v="2679"/>
    <n v="54"/>
    <n v="104"/>
    <x v="460"/>
    <n v="1291.68"/>
    <n v="6907.68"/>
    <x v="2"/>
  </r>
  <r>
    <n v="2581"/>
    <x v="1"/>
    <n v="7"/>
    <d v="2022-01-01T00:00:00"/>
    <s v="FA"/>
    <s v="1052/4601"/>
    <s v="kpl"/>
    <n v="2680"/>
    <n v="78"/>
    <n v="99"/>
    <x v="743"/>
    <n v="1776.0600000000002"/>
    <n v="9498.06"/>
    <x v="0"/>
  </r>
  <r>
    <n v="2582"/>
    <x v="18"/>
    <n v="13"/>
    <d v="2022-05-02T00:00:00"/>
    <s v="FA"/>
    <s v="1052/4602"/>
    <s v="kpl"/>
    <n v="2681"/>
    <n v="63"/>
    <n v="109"/>
    <x v="420"/>
    <n v="1579.41"/>
    <n v="8446.41"/>
    <x v="10"/>
  </r>
  <r>
    <n v="2583"/>
    <x v="4"/>
    <n v="14"/>
    <d v="2022-09-16T00:00:00"/>
    <s v="FA"/>
    <s v="1052/4603"/>
    <s v="kpl"/>
    <n v="2682"/>
    <n v="65"/>
    <n v="85"/>
    <x v="446"/>
    <n v="1270.75"/>
    <n v="6795.75"/>
    <x v="7"/>
  </r>
  <r>
    <n v="2584"/>
    <x v="1"/>
    <n v="9"/>
    <d v="2022-02-03T00:00:00"/>
    <s v="FA"/>
    <s v="1052/4604"/>
    <s v="kpl"/>
    <n v="2683"/>
    <n v="39"/>
    <n v="99"/>
    <x v="687"/>
    <n v="888.03000000000009"/>
    <n v="4749.03"/>
    <x v="9"/>
  </r>
  <r>
    <n v="2585"/>
    <x v="25"/>
    <n v="5"/>
    <d v="2022-06-05T00:00:00"/>
    <s v="FA"/>
    <s v="1052/4605"/>
    <s v="kpl"/>
    <n v="2684"/>
    <n v="48"/>
    <n v="59"/>
    <x v="697"/>
    <n v="651.36"/>
    <n v="3483.36"/>
    <x v="4"/>
  </r>
  <r>
    <n v="2586"/>
    <x v="0"/>
    <n v="10"/>
    <d v="2022-11-05T00:00:00"/>
    <s v="FA"/>
    <s v="1052/4606"/>
    <s v="kpl"/>
    <n v="2685"/>
    <n v="37"/>
    <n v="83"/>
    <x v="533"/>
    <n v="706.33"/>
    <n v="3777.33"/>
    <x v="8"/>
  </r>
  <r>
    <n v="2587"/>
    <x v="21"/>
    <n v="6"/>
    <d v="2022-05-22T00:00:00"/>
    <s v="FA"/>
    <s v="1052/4607"/>
    <s v="kpl"/>
    <n v="2686"/>
    <n v="29"/>
    <n v="87"/>
    <x v="694"/>
    <n v="580.29000000000008"/>
    <n v="3103.29"/>
    <x v="10"/>
  </r>
  <r>
    <n v="2588"/>
    <x v="6"/>
    <n v="13"/>
    <d v="2022-12-11T00:00:00"/>
    <s v="FA"/>
    <s v="1052/4608"/>
    <s v="kpl"/>
    <n v="2687"/>
    <n v="52"/>
    <n v="84"/>
    <x v="109"/>
    <n v="1004.6400000000001"/>
    <n v="5372.64"/>
    <x v="2"/>
  </r>
  <r>
    <n v="2589"/>
    <x v="12"/>
    <n v="5"/>
    <d v="2022-09-05T00:00:00"/>
    <s v="FA"/>
    <s v="1052/4609"/>
    <s v="kpl"/>
    <n v="2688"/>
    <n v="36"/>
    <n v="91"/>
    <x v="104"/>
    <n v="753.48"/>
    <n v="4029.48"/>
    <x v="7"/>
  </r>
  <r>
    <n v="2590"/>
    <x v="14"/>
    <n v="11"/>
    <d v="2022-01-06T00:00:00"/>
    <s v="FA"/>
    <s v="1052/4610"/>
    <s v="kpl"/>
    <n v="2689"/>
    <n v="47"/>
    <n v="86"/>
    <x v="211"/>
    <n v="929.66000000000008"/>
    <n v="4971.66"/>
    <x v="0"/>
  </r>
  <r>
    <n v="2591"/>
    <x v="24"/>
    <n v="9"/>
    <d v="2022-11-10T00:00:00"/>
    <s v="FA"/>
    <s v="1052/4611"/>
    <s v="kpl"/>
    <n v="2690"/>
    <n v="46"/>
    <n v="129"/>
    <x v="358"/>
    <n v="1364.8200000000002"/>
    <n v="7298.82"/>
    <x v="8"/>
  </r>
  <r>
    <n v="2592"/>
    <x v="1"/>
    <n v="11"/>
    <d v="2022-04-13T00:00:00"/>
    <s v="FA"/>
    <s v="1052/4612"/>
    <s v="kpl"/>
    <n v="2691"/>
    <n v="38"/>
    <n v="99"/>
    <x v="631"/>
    <n v="865.26"/>
    <n v="4627.26"/>
    <x v="1"/>
  </r>
  <r>
    <n v="2593"/>
    <x v="8"/>
    <n v="6"/>
    <d v="2022-12-14T00:00:00"/>
    <s v="FA"/>
    <s v="1052/4613"/>
    <s v="kpl"/>
    <n v="2692"/>
    <n v="37"/>
    <n v="89"/>
    <x v="744"/>
    <n v="757.39"/>
    <n v="4050.39"/>
    <x v="2"/>
  </r>
  <r>
    <n v="2594"/>
    <x v="13"/>
    <n v="3"/>
    <d v="2022-12-03T00:00:00"/>
    <s v="FA"/>
    <s v="1052/4614"/>
    <s v="kpl"/>
    <n v="2693"/>
    <n v="36"/>
    <n v="88"/>
    <x v="187"/>
    <n v="728.64"/>
    <n v="3896.64"/>
    <x v="2"/>
  </r>
  <r>
    <n v="2595"/>
    <x v="21"/>
    <n v="9"/>
    <d v="2022-08-14T00:00:00"/>
    <s v="FA"/>
    <s v="1052/4615"/>
    <s v="kpl"/>
    <n v="2694"/>
    <n v="44"/>
    <n v="87"/>
    <x v="30"/>
    <n v="880.44"/>
    <n v="4708.4400000000005"/>
    <x v="11"/>
  </r>
  <r>
    <n v="2596"/>
    <x v="5"/>
    <n v="5"/>
    <d v="2022-04-11T00:00:00"/>
    <s v="FA"/>
    <s v="1052/4616"/>
    <s v="kpl"/>
    <n v="2695"/>
    <n v="56"/>
    <n v="87"/>
    <x v="78"/>
    <n v="1120.56"/>
    <n v="5992.5599999999995"/>
    <x v="1"/>
  </r>
  <r>
    <n v="2597"/>
    <x v="18"/>
    <n v="6"/>
    <d v="2022-04-17T00:00:00"/>
    <s v="FA"/>
    <s v="1052/4617"/>
    <s v="kpl"/>
    <n v="2696"/>
    <n v="62"/>
    <n v="109"/>
    <x v="246"/>
    <n v="1554.3400000000001"/>
    <n v="8312.34"/>
    <x v="1"/>
  </r>
  <r>
    <n v="2598"/>
    <x v="12"/>
    <n v="14"/>
    <d v="2022-09-14T00:00:00"/>
    <s v="FA"/>
    <s v="1052/4618"/>
    <s v="kpl"/>
    <n v="2697"/>
    <n v="48"/>
    <n v="91"/>
    <x v="109"/>
    <n v="1004.6400000000001"/>
    <n v="5372.64"/>
    <x v="7"/>
  </r>
  <r>
    <n v="2599"/>
    <x v="17"/>
    <n v="8"/>
    <d v="2022-10-02T00:00:00"/>
    <s v="FA"/>
    <s v="1052/4619"/>
    <s v="kpl"/>
    <n v="2698"/>
    <n v="67"/>
    <n v="94"/>
    <x v="513"/>
    <n v="1448.54"/>
    <n v="7746.54"/>
    <x v="5"/>
  </r>
  <r>
    <n v="2600"/>
    <x v="27"/>
    <n v="9"/>
    <d v="2022-10-11T00:00:00"/>
    <s v="FA"/>
    <s v="1052/4620"/>
    <s v="kpl"/>
    <n v="2699"/>
    <n v="55"/>
    <n v="111"/>
    <x v="551"/>
    <n v="1404.15"/>
    <n v="7509.15"/>
    <x v="5"/>
  </r>
  <r>
    <n v="2601"/>
    <x v="2"/>
    <n v="9"/>
    <d v="2022-05-11T00:00:00"/>
    <s v="FA"/>
    <s v="1052/4621"/>
    <s v="kpl"/>
    <n v="2700"/>
    <n v="64"/>
    <n v="84"/>
    <x v="249"/>
    <n v="1236.48"/>
    <n v="6612.48"/>
    <x v="10"/>
  </r>
  <r>
    <n v="2602"/>
    <x v="13"/>
    <n v="7"/>
    <d v="2022-11-24T00:00:00"/>
    <s v="FA"/>
    <s v="1052/4622"/>
    <s v="kpl"/>
    <n v="2701"/>
    <n v="35"/>
    <n v="88"/>
    <x v="223"/>
    <n v="708.4"/>
    <n v="3788.4"/>
    <x v="8"/>
  </r>
  <r>
    <n v="2603"/>
    <x v="0"/>
    <n v="11"/>
    <d v="2022-02-14T00:00:00"/>
    <s v="FA"/>
    <s v="1052/4623"/>
    <s v="kpl"/>
    <n v="2702"/>
    <n v="41"/>
    <n v="83"/>
    <x v="329"/>
    <n v="782.69"/>
    <n v="4185.6900000000005"/>
    <x v="9"/>
  </r>
  <r>
    <n v="2604"/>
    <x v="17"/>
    <n v="9"/>
    <d v="2022-12-19T00:00:00"/>
    <s v="FA"/>
    <s v="1052/4624"/>
    <s v="kpl"/>
    <n v="2703"/>
    <n v="54"/>
    <n v="94"/>
    <x v="24"/>
    <n v="1167.48"/>
    <n v="6243.48"/>
    <x v="2"/>
  </r>
  <r>
    <n v="2605"/>
    <x v="13"/>
    <n v="8"/>
    <d v="2022-09-01T00:00:00"/>
    <s v="FA"/>
    <s v="1052/4625"/>
    <s v="kpl"/>
    <n v="2704"/>
    <n v="39"/>
    <n v="88"/>
    <x v="16"/>
    <n v="789.36"/>
    <n v="4221.3599999999997"/>
    <x v="7"/>
  </r>
  <r>
    <n v="2606"/>
    <x v="11"/>
    <n v="8"/>
    <d v="2022-09-26T00:00:00"/>
    <s v="FA"/>
    <s v="1052/4626"/>
    <s v="kpl"/>
    <n v="2705"/>
    <n v="67"/>
    <n v="93"/>
    <x v="745"/>
    <n v="1433.13"/>
    <n v="7664.13"/>
    <x v="7"/>
  </r>
  <r>
    <n v="2607"/>
    <x v="9"/>
    <n v="10"/>
    <d v="2022-09-27T00:00:00"/>
    <s v="FA"/>
    <s v="1052/4627"/>
    <s v="kpl"/>
    <n v="2706"/>
    <n v="62"/>
    <n v="108"/>
    <x v="298"/>
    <n v="1540.0800000000002"/>
    <n v="8236.08"/>
    <x v="7"/>
  </r>
  <r>
    <n v="2608"/>
    <x v="4"/>
    <n v="9"/>
    <d v="2022-04-06T00:00:00"/>
    <s v="FA"/>
    <s v="1052/4628"/>
    <s v="kpl"/>
    <n v="2707"/>
    <n v="47"/>
    <n v="85"/>
    <x v="137"/>
    <n v="918.85"/>
    <n v="4913.8500000000004"/>
    <x v="1"/>
  </r>
  <r>
    <n v="2609"/>
    <x v="13"/>
    <n v="10"/>
    <d v="2022-08-08T00:00:00"/>
    <s v="FA"/>
    <s v="1052/4629"/>
    <s v="kpl"/>
    <n v="2708"/>
    <n v="63"/>
    <n v="88"/>
    <x v="65"/>
    <n v="1275.1200000000001"/>
    <n v="6819.12"/>
    <x v="11"/>
  </r>
  <r>
    <n v="2610"/>
    <x v="15"/>
    <n v="9"/>
    <d v="2022-09-24T00:00:00"/>
    <s v="FA"/>
    <s v="1052/4630"/>
    <s v="kpl"/>
    <n v="2709"/>
    <n v="53"/>
    <n v="90"/>
    <x v="379"/>
    <n v="1097.1000000000001"/>
    <n v="5867.1"/>
    <x v="7"/>
  </r>
  <r>
    <n v="2611"/>
    <x v="21"/>
    <n v="11"/>
    <d v="2022-12-23T00:00:00"/>
    <s v="FA"/>
    <s v="1052/4631"/>
    <s v="kpl"/>
    <n v="2710"/>
    <n v="43"/>
    <n v="87"/>
    <x v="264"/>
    <n v="860.43000000000006"/>
    <n v="4601.43"/>
    <x v="2"/>
  </r>
  <r>
    <n v="2612"/>
    <x v="26"/>
    <n v="9"/>
    <d v="2022-08-16T00:00:00"/>
    <s v="FA"/>
    <s v="1052/4632"/>
    <s v="kpl"/>
    <n v="2711"/>
    <n v="42"/>
    <n v="99"/>
    <x v="1"/>
    <n v="956.34"/>
    <n v="5114.34"/>
    <x v="11"/>
  </r>
  <r>
    <n v="2613"/>
    <x v="8"/>
    <n v="14"/>
    <d v="2022-07-09T00:00:00"/>
    <s v="FA"/>
    <s v="1052/4633"/>
    <s v="kpl"/>
    <n v="2712"/>
    <n v="60"/>
    <n v="89"/>
    <x v="746"/>
    <n v="1228.2"/>
    <n v="6568.2"/>
    <x v="6"/>
  </r>
  <r>
    <n v="2614"/>
    <x v="8"/>
    <n v="8"/>
    <d v="2022-04-18T00:00:00"/>
    <s v="FA"/>
    <s v="1052/4634"/>
    <s v="kpl"/>
    <n v="2713"/>
    <n v="32"/>
    <n v="89"/>
    <x v="419"/>
    <n v="655.04000000000008"/>
    <n v="3503.04"/>
    <x v="1"/>
  </r>
  <r>
    <n v="2615"/>
    <x v="27"/>
    <n v="6"/>
    <d v="2022-08-17T00:00:00"/>
    <s v="FA"/>
    <s v="1052/4635"/>
    <s v="kpl"/>
    <n v="2714"/>
    <n v="51"/>
    <n v="111"/>
    <x v="747"/>
    <n v="1302.03"/>
    <n v="6963.03"/>
    <x v="11"/>
  </r>
  <r>
    <n v="2616"/>
    <x v="9"/>
    <n v="10"/>
    <d v="2022-01-26T00:00:00"/>
    <s v="FA"/>
    <s v="1052/4636"/>
    <s v="kpl"/>
    <n v="2715"/>
    <n v="50"/>
    <n v="108"/>
    <x v="385"/>
    <n v="1242"/>
    <n v="6642"/>
    <x v="0"/>
  </r>
  <r>
    <n v="2617"/>
    <x v="5"/>
    <n v="11"/>
    <d v="2022-02-28T00:00:00"/>
    <s v="FA"/>
    <s v="1052/4637"/>
    <s v="kpl"/>
    <n v="2716"/>
    <n v="46"/>
    <n v="87"/>
    <x v="281"/>
    <n v="920.46"/>
    <n v="4922.46"/>
    <x v="9"/>
  </r>
  <r>
    <n v="2618"/>
    <x v="24"/>
    <n v="11"/>
    <d v="2022-06-09T00:00:00"/>
    <s v="FA"/>
    <s v="1052/4638"/>
    <s v="kpl"/>
    <n v="2717"/>
    <n v="53"/>
    <n v="129"/>
    <x v="677"/>
    <n v="1572.51"/>
    <n v="8409.51"/>
    <x v="4"/>
  </r>
  <r>
    <n v="2619"/>
    <x v="3"/>
    <n v="4"/>
    <d v="2022-01-20T00:00:00"/>
    <s v="FA"/>
    <s v="1052/4639"/>
    <s v="kpl"/>
    <n v="2718"/>
    <n v="58"/>
    <n v="88"/>
    <x v="97"/>
    <n v="1173.92"/>
    <n v="6277.92"/>
    <x v="0"/>
  </r>
  <r>
    <n v="2620"/>
    <x v="7"/>
    <n v="9"/>
    <d v="2022-06-25T00:00:00"/>
    <s v="FA"/>
    <s v="1052/4640"/>
    <s v="kpl"/>
    <n v="2719"/>
    <n v="49"/>
    <n v="96"/>
    <x v="185"/>
    <n v="1081.92"/>
    <n v="5785.92"/>
    <x v="4"/>
  </r>
  <r>
    <n v="2621"/>
    <x v="7"/>
    <n v="11"/>
    <d v="2022-10-27T00:00:00"/>
    <s v="FA"/>
    <s v="1052/4641"/>
    <s v="kpl"/>
    <n v="2720"/>
    <n v="51"/>
    <n v="96"/>
    <x v="463"/>
    <n v="1126.0800000000002"/>
    <n v="6022.08"/>
    <x v="5"/>
  </r>
  <r>
    <n v="2622"/>
    <x v="5"/>
    <n v="9"/>
    <d v="2022-11-20T00:00:00"/>
    <s v="FA"/>
    <s v="1052/4642"/>
    <s v="kpl"/>
    <n v="2721"/>
    <n v="41"/>
    <n v="87"/>
    <x v="49"/>
    <n v="820.41000000000008"/>
    <n v="4387.41"/>
    <x v="8"/>
  </r>
  <r>
    <n v="2623"/>
    <x v="8"/>
    <n v="13"/>
    <d v="2022-05-10T00:00:00"/>
    <s v="FA"/>
    <s v="1052/4643"/>
    <s v="kpl"/>
    <n v="2722"/>
    <n v="50"/>
    <n v="89"/>
    <x v="129"/>
    <n v="1023.5"/>
    <n v="5473.5"/>
    <x v="10"/>
  </r>
  <r>
    <n v="2624"/>
    <x v="3"/>
    <n v="4"/>
    <d v="2022-08-08T00:00:00"/>
    <s v="FA"/>
    <s v="1052/4644"/>
    <s v="kpl"/>
    <n v="2723"/>
    <n v="52"/>
    <n v="88"/>
    <x v="14"/>
    <n v="1052.48"/>
    <n v="5628.48"/>
    <x v="11"/>
  </r>
  <r>
    <n v="2625"/>
    <x v="13"/>
    <n v="8"/>
    <d v="2022-03-06T00:00:00"/>
    <s v="FA"/>
    <s v="1052/4645"/>
    <s v="kpl"/>
    <n v="2724"/>
    <n v="39"/>
    <n v="88"/>
    <x v="16"/>
    <n v="789.36"/>
    <n v="4221.3599999999997"/>
    <x v="3"/>
  </r>
  <r>
    <n v="2626"/>
    <x v="28"/>
    <n v="10"/>
    <d v="2022-03-15T00:00:00"/>
    <s v="FA"/>
    <s v="1052/4646"/>
    <s v="kpl"/>
    <n v="2725"/>
    <n v="40"/>
    <n v="105"/>
    <x v="194"/>
    <n v="966"/>
    <n v="5166"/>
    <x v="3"/>
  </r>
  <r>
    <n v="2627"/>
    <x v="3"/>
    <n v="7"/>
    <d v="2022-03-06T00:00:00"/>
    <s v="FA"/>
    <s v="1052/4647"/>
    <s v="kpl"/>
    <n v="2726"/>
    <n v="69"/>
    <n v="88"/>
    <x v="300"/>
    <n v="1396.5600000000002"/>
    <n v="7468.56"/>
    <x v="3"/>
  </r>
  <r>
    <n v="2628"/>
    <x v="0"/>
    <n v="8"/>
    <d v="2022-09-05T00:00:00"/>
    <s v="FA"/>
    <s v="1052/4648"/>
    <s v="kpl"/>
    <n v="2727"/>
    <n v="57"/>
    <n v="83"/>
    <x v="569"/>
    <n v="1088.1300000000001"/>
    <n v="5819.13"/>
    <x v="7"/>
  </r>
  <r>
    <n v="2629"/>
    <x v="10"/>
    <n v="5"/>
    <d v="2022-10-12T00:00:00"/>
    <s v="FA"/>
    <s v="1052/4649"/>
    <s v="kpl"/>
    <n v="2728"/>
    <n v="59"/>
    <n v="84"/>
    <x v="46"/>
    <n v="1139.8800000000001"/>
    <n v="6095.88"/>
    <x v="5"/>
  </r>
  <r>
    <n v="2630"/>
    <x v="20"/>
    <n v="7"/>
    <d v="2022-08-22T00:00:00"/>
    <s v="FA"/>
    <s v="1052/4650"/>
    <s v="kpl"/>
    <n v="2729"/>
    <n v="46"/>
    <n v="104"/>
    <x v="81"/>
    <n v="1100.32"/>
    <n v="5884.32"/>
    <x v="11"/>
  </r>
  <r>
    <n v="2631"/>
    <x v="21"/>
    <n v="13"/>
    <d v="2022-08-06T00:00:00"/>
    <s v="FA"/>
    <s v="1052/4651"/>
    <s v="kpl"/>
    <n v="2730"/>
    <n v="63"/>
    <n v="87"/>
    <x v="117"/>
    <n v="1260.6300000000001"/>
    <n v="6741.63"/>
    <x v="11"/>
  </r>
  <r>
    <n v="2632"/>
    <x v="27"/>
    <n v="7"/>
    <d v="2022-04-05T00:00:00"/>
    <s v="FA"/>
    <s v="1052/4652"/>
    <s v="kpl"/>
    <n v="2731"/>
    <n v="59"/>
    <n v="111"/>
    <x v="654"/>
    <n v="1506.27"/>
    <n v="8055.27"/>
    <x v="1"/>
  </r>
  <r>
    <n v="2633"/>
    <x v="8"/>
    <n v="10"/>
    <d v="2022-09-19T00:00:00"/>
    <s v="FA"/>
    <s v="1052/4653"/>
    <s v="kpl"/>
    <n v="2732"/>
    <n v="42"/>
    <n v="89"/>
    <x v="80"/>
    <n v="859.74"/>
    <n v="4597.74"/>
    <x v="7"/>
  </r>
  <r>
    <n v="2634"/>
    <x v="18"/>
    <n v="5"/>
    <d v="2022-01-03T00:00:00"/>
    <s v="FA"/>
    <s v="1052/4654"/>
    <s v="kpl"/>
    <n v="2733"/>
    <n v="49"/>
    <n v="109"/>
    <x v="294"/>
    <n v="1228.43"/>
    <n v="6569.43"/>
    <x v="0"/>
  </r>
  <r>
    <n v="2635"/>
    <x v="16"/>
    <n v="10"/>
    <d v="2022-09-28T00:00:00"/>
    <s v="FA"/>
    <s v="1052/4655"/>
    <s v="kpl"/>
    <n v="2734"/>
    <n v="42"/>
    <n v="132"/>
    <x v="65"/>
    <n v="1275.1200000000001"/>
    <n v="6819.12"/>
    <x v="7"/>
  </r>
  <r>
    <n v="2636"/>
    <x v="3"/>
    <n v="8"/>
    <d v="2022-08-27T00:00:00"/>
    <s v="FA"/>
    <s v="1052/4656"/>
    <s v="kpl"/>
    <n v="2735"/>
    <n v="41"/>
    <n v="88"/>
    <x v="265"/>
    <n v="829.84"/>
    <n v="4437.84"/>
    <x v="11"/>
  </r>
  <r>
    <n v="2637"/>
    <x v="4"/>
    <n v="7"/>
    <d v="2022-11-15T00:00:00"/>
    <s v="FA"/>
    <s v="1052/4657"/>
    <s v="kpl"/>
    <n v="2736"/>
    <n v="51"/>
    <n v="85"/>
    <x v="700"/>
    <n v="997.05000000000007"/>
    <n v="5332.05"/>
    <x v="8"/>
  </r>
  <r>
    <n v="2638"/>
    <x v="6"/>
    <n v="11"/>
    <d v="2022-08-05T00:00:00"/>
    <s v="FA"/>
    <s v="1052/4658"/>
    <s v="kpl"/>
    <n v="2737"/>
    <n v="43"/>
    <n v="84"/>
    <x v="25"/>
    <n v="830.76"/>
    <n v="4442.76"/>
    <x v="11"/>
  </r>
  <r>
    <n v="2639"/>
    <x v="10"/>
    <n v="11"/>
    <d v="2022-08-16T00:00:00"/>
    <s v="FA"/>
    <s v="1052/4659"/>
    <s v="kpl"/>
    <n v="2738"/>
    <n v="59"/>
    <n v="84"/>
    <x v="46"/>
    <n v="1139.8800000000001"/>
    <n v="6095.88"/>
    <x v="11"/>
  </r>
  <r>
    <n v="2640"/>
    <x v="20"/>
    <n v="13"/>
    <d v="2022-04-19T00:00:00"/>
    <s v="FA"/>
    <s v="1052/4660"/>
    <s v="kpl"/>
    <n v="2739"/>
    <n v="54"/>
    <n v="104"/>
    <x v="460"/>
    <n v="1291.68"/>
    <n v="6907.68"/>
    <x v="1"/>
  </r>
  <r>
    <n v="2641"/>
    <x v="6"/>
    <n v="10"/>
    <d v="2022-10-23T00:00:00"/>
    <s v="FA"/>
    <s v="1052/4661"/>
    <s v="kpl"/>
    <n v="2740"/>
    <n v="33"/>
    <n v="84"/>
    <x v="94"/>
    <n v="637.56000000000006"/>
    <n v="3409.56"/>
    <x v="5"/>
  </r>
  <r>
    <n v="2642"/>
    <x v="7"/>
    <n v="6"/>
    <d v="2022-09-23T00:00:00"/>
    <s v="FA"/>
    <s v="1052/4662"/>
    <s v="kpl"/>
    <n v="2741"/>
    <n v="40"/>
    <n v="96"/>
    <x v="671"/>
    <n v="883.2"/>
    <n v="4723.2"/>
    <x v="7"/>
  </r>
  <r>
    <n v="2643"/>
    <x v="27"/>
    <n v="12"/>
    <d v="2022-12-14T00:00:00"/>
    <s v="FA"/>
    <s v="1052/4663"/>
    <s v="kpl"/>
    <n v="2742"/>
    <n v="50"/>
    <n v="111"/>
    <x v="568"/>
    <n v="1276.5"/>
    <n v="6826.5"/>
    <x v="2"/>
  </r>
  <r>
    <n v="2644"/>
    <x v="24"/>
    <n v="11"/>
    <d v="2022-02-20T00:00:00"/>
    <s v="FA"/>
    <s v="1052/4664"/>
    <s v="kpl"/>
    <n v="2743"/>
    <n v="56"/>
    <n v="129"/>
    <x v="261"/>
    <n v="1661.52"/>
    <n v="8885.52"/>
    <x v="9"/>
  </r>
  <r>
    <n v="2645"/>
    <x v="10"/>
    <n v="10"/>
    <d v="2022-05-15T00:00:00"/>
    <s v="FA"/>
    <s v="1052/4665"/>
    <s v="kpl"/>
    <n v="2744"/>
    <n v="53"/>
    <n v="84"/>
    <x v="188"/>
    <n v="1023.96"/>
    <n v="5475.96"/>
    <x v="10"/>
  </r>
  <r>
    <n v="2646"/>
    <x v="14"/>
    <n v="15"/>
    <d v="2022-03-05T00:00:00"/>
    <s v="FA"/>
    <s v="1052/4666"/>
    <s v="kpl"/>
    <n v="2745"/>
    <n v="58"/>
    <n v="86"/>
    <x v="607"/>
    <n v="1147.24"/>
    <n v="6135.24"/>
    <x v="3"/>
  </r>
  <r>
    <n v="2647"/>
    <x v="19"/>
    <n v="7"/>
    <d v="2022-02-15T00:00:00"/>
    <s v="FA"/>
    <s v="1052/4667"/>
    <s v="kpl"/>
    <n v="2746"/>
    <n v="56"/>
    <n v="121"/>
    <x v="253"/>
    <n v="1558.48"/>
    <n v="8334.48"/>
    <x v="9"/>
  </r>
  <r>
    <n v="2648"/>
    <x v="0"/>
    <n v="5"/>
    <d v="2022-05-06T00:00:00"/>
    <s v="FA"/>
    <s v="1052/4668"/>
    <s v="kpl"/>
    <n v="2747"/>
    <n v="48"/>
    <n v="83"/>
    <x v="176"/>
    <n v="916.32"/>
    <n v="4900.32"/>
    <x v="10"/>
  </r>
  <r>
    <n v="2649"/>
    <x v="3"/>
    <n v="13"/>
    <d v="2022-07-13T00:00:00"/>
    <s v="FA"/>
    <s v="1052/4669"/>
    <s v="kpl"/>
    <n v="2748"/>
    <n v="47"/>
    <n v="88"/>
    <x v="165"/>
    <n v="951.28000000000009"/>
    <n v="5087.28"/>
    <x v="6"/>
  </r>
  <r>
    <n v="2650"/>
    <x v="1"/>
    <n v="10"/>
    <d v="2022-09-19T00:00:00"/>
    <s v="FA"/>
    <s v="1052/4670"/>
    <s v="kpl"/>
    <n v="2749"/>
    <n v="41"/>
    <n v="99"/>
    <x v="626"/>
    <n v="933.57"/>
    <n v="4992.57"/>
    <x v="7"/>
  </r>
  <r>
    <n v="2651"/>
    <x v="24"/>
    <n v="8"/>
    <d v="2022-12-14T00:00:00"/>
    <s v="FA"/>
    <s v="1052/4671"/>
    <s v="kpl"/>
    <n v="2750"/>
    <n v="43"/>
    <n v="129"/>
    <x v="589"/>
    <n v="1275.81"/>
    <n v="6822.8099999999995"/>
    <x v="2"/>
  </r>
  <r>
    <n v="2652"/>
    <x v="22"/>
    <n v="11"/>
    <d v="2022-09-09T00:00:00"/>
    <s v="FA"/>
    <s v="1052/4672"/>
    <s v="kpl"/>
    <n v="2751"/>
    <n v="62"/>
    <n v="125"/>
    <x v="537"/>
    <n v="1782.5"/>
    <n v="9532.5"/>
    <x v="7"/>
  </r>
  <r>
    <n v="2653"/>
    <x v="16"/>
    <n v="6"/>
    <d v="2022-08-27T00:00:00"/>
    <s v="FA"/>
    <s v="1052/4673"/>
    <s v="kpl"/>
    <n v="2752"/>
    <n v="57"/>
    <n v="132"/>
    <x v="452"/>
    <n v="1730.52"/>
    <n v="9254.52"/>
    <x v="11"/>
  </r>
  <r>
    <n v="2654"/>
    <x v="19"/>
    <n v="10"/>
    <d v="2022-11-07T00:00:00"/>
    <s v="FA"/>
    <s v="1052/4674"/>
    <s v="kpl"/>
    <n v="2753"/>
    <n v="54"/>
    <n v="121"/>
    <x v="400"/>
    <n v="1502.8200000000002"/>
    <n v="8036.82"/>
    <x v="8"/>
  </r>
  <r>
    <n v="2655"/>
    <x v="17"/>
    <n v="11"/>
    <d v="2022-10-16T00:00:00"/>
    <s v="FA"/>
    <s v="1052/4675"/>
    <s v="kpl"/>
    <n v="2754"/>
    <n v="44"/>
    <n v="94"/>
    <x v="165"/>
    <n v="951.28000000000009"/>
    <n v="5087.28"/>
    <x v="5"/>
  </r>
  <r>
    <n v="2656"/>
    <x v="12"/>
    <n v="9"/>
    <d v="2022-05-15T00:00:00"/>
    <s v="FA"/>
    <s v="1052/4676"/>
    <s v="kpl"/>
    <n v="2755"/>
    <n v="44"/>
    <n v="91"/>
    <x v="107"/>
    <n v="920.92000000000007"/>
    <n v="4924.92"/>
    <x v="10"/>
  </r>
  <r>
    <n v="2657"/>
    <x v="2"/>
    <n v="8"/>
    <d v="2022-12-17T00:00:00"/>
    <s v="FA"/>
    <s v="1052/4677"/>
    <s v="kpl"/>
    <n v="2756"/>
    <n v="26"/>
    <n v="84"/>
    <x v="557"/>
    <n v="502.32000000000005"/>
    <n v="2686.32"/>
    <x v="2"/>
  </r>
  <r>
    <n v="2658"/>
    <x v="2"/>
    <n v="12"/>
    <d v="2022-03-05T00:00:00"/>
    <s v="FA"/>
    <s v="1052/4678"/>
    <s v="kpl"/>
    <n v="2757"/>
    <n v="51"/>
    <n v="84"/>
    <x v="234"/>
    <n v="985.32"/>
    <n v="5269.32"/>
    <x v="3"/>
  </r>
  <r>
    <n v="2659"/>
    <x v="29"/>
    <n v="9"/>
    <d v="2022-06-11T00:00:00"/>
    <s v="FA"/>
    <s v="1052/4679"/>
    <s v="kpl"/>
    <n v="2758"/>
    <n v="52"/>
    <n v="103"/>
    <x v="748"/>
    <n v="1231.8800000000001"/>
    <n v="6587.88"/>
    <x v="4"/>
  </r>
  <r>
    <n v="2660"/>
    <x v="4"/>
    <n v="9"/>
    <d v="2022-04-09T00:00:00"/>
    <s v="FA"/>
    <s v="1052/4680"/>
    <s v="kpl"/>
    <n v="2759"/>
    <n v="44"/>
    <n v="85"/>
    <x v="18"/>
    <n v="860.2"/>
    <n v="4600.2"/>
    <x v="1"/>
  </r>
  <r>
    <n v="2661"/>
    <x v="26"/>
    <n v="10"/>
    <d v="2022-04-02T00:00:00"/>
    <s v="FA"/>
    <s v="1052/4681"/>
    <s v="kpl"/>
    <n v="2760"/>
    <n v="44"/>
    <n v="99"/>
    <x v="90"/>
    <n v="1001.88"/>
    <n v="5357.88"/>
    <x v="1"/>
  </r>
  <r>
    <n v="2662"/>
    <x v="13"/>
    <n v="8"/>
    <d v="2022-03-13T00:00:00"/>
    <s v="FA"/>
    <s v="1052/4682"/>
    <s v="kpl"/>
    <n v="2761"/>
    <n v="59"/>
    <n v="88"/>
    <x v="36"/>
    <n v="1194.1600000000001"/>
    <n v="6386.16"/>
    <x v="3"/>
  </r>
  <r>
    <n v="2663"/>
    <x v="18"/>
    <n v="4"/>
    <d v="2022-05-01T00:00:00"/>
    <s v="FA"/>
    <s v="1052/4683"/>
    <s v="kpl"/>
    <n v="2762"/>
    <n v="61"/>
    <n v="109"/>
    <x v="325"/>
    <n v="1529.27"/>
    <n v="8178.27"/>
    <x v="10"/>
  </r>
  <r>
    <n v="2664"/>
    <x v="13"/>
    <n v="9"/>
    <d v="2022-05-04T00:00:00"/>
    <s v="FA"/>
    <s v="1052/4684"/>
    <s v="kpl"/>
    <n v="2763"/>
    <n v="61"/>
    <n v="88"/>
    <x v="577"/>
    <n v="1234.6400000000001"/>
    <n v="6602.64"/>
    <x v="10"/>
  </r>
  <r>
    <n v="2665"/>
    <x v="20"/>
    <n v="7"/>
    <d v="2022-01-19T00:00:00"/>
    <s v="FA"/>
    <s v="1052/4685"/>
    <s v="kpl"/>
    <n v="2764"/>
    <n v="55"/>
    <n v="104"/>
    <x v="138"/>
    <n v="1315.6000000000001"/>
    <n v="7035.6"/>
    <x v="0"/>
  </r>
  <r>
    <n v="2666"/>
    <x v="23"/>
    <n v="7"/>
    <d v="2022-08-08T00:00:00"/>
    <s v="FA"/>
    <s v="1052/4686"/>
    <s v="kpl"/>
    <n v="2765"/>
    <n v="47"/>
    <n v="105"/>
    <x v="160"/>
    <n v="1135.05"/>
    <n v="6070.05"/>
    <x v="11"/>
  </r>
  <r>
    <n v="2667"/>
    <x v="29"/>
    <n v="9"/>
    <d v="2022-02-21T00:00:00"/>
    <s v="FA"/>
    <s v="1052/4687"/>
    <s v="kpl"/>
    <n v="2766"/>
    <n v="55"/>
    <n v="103"/>
    <x v="698"/>
    <n v="1302.95"/>
    <n v="6967.95"/>
    <x v="9"/>
  </r>
  <r>
    <n v="2668"/>
    <x v="12"/>
    <n v="9"/>
    <d v="2022-01-27T00:00:00"/>
    <s v="FA"/>
    <s v="1052/4688"/>
    <s v="kpl"/>
    <n v="2767"/>
    <n v="50"/>
    <n v="91"/>
    <x v="538"/>
    <n v="1046.5"/>
    <n v="5596.5"/>
    <x v="0"/>
  </r>
  <r>
    <n v="2669"/>
    <x v="3"/>
    <n v="10"/>
    <d v="2022-04-08T00:00:00"/>
    <s v="FA"/>
    <s v="1052/4689"/>
    <s v="kpl"/>
    <n v="2768"/>
    <n v="38"/>
    <n v="88"/>
    <x v="646"/>
    <n v="769.12"/>
    <n v="4113.12"/>
    <x v="1"/>
  </r>
  <r>
    <n v="2670"/>
    <x v="15"/>
    <n v="13"/>
    <d v="2022-12-04T00:00:00"/>
    <s v="FA"/>
    <s v="1052/4690"/>
    <s v="kpl"/>
    <n v="2769"/>
    <n v="49"/>
    <n v="90"/>
    <x v="474"/>
    <n v="1014.3000000000001"/>
    <n v="5424.3"/>
    <x v="2"/>
  </r>
  <r>
    <n v="2671"/>
    <x v="7"/>
    <n v="10"/>
    <d v="2022-04-23T00:00:00"/>
    <s v="FA"/>
    <s v="1052/4691"/>
    <s v="kpl"/>
    <n v="2770"/>
    <n v="56"/>
    <n v="96"/>
    <x v="249"/>
    <n v="1236.48"/>
    <n v="6612.48"/>
    <x v="1"/>
  </r>
  <r>
    <n v="2672"/>
    <x v="17"/>
    <n v="12"/>
    <d v="2022-08-23T00:00:00"/>
    <s v="FA"/>
    <s v="1052/4692"/>
    <s v="kpl"/>
    <n v="2771"/>
    <n v="57"/>
    <n v="94"/>
    <x v="496"/>
    <n v="1232.3400000000001"/>
    <n v="6590.34"/>
    <x v="11"/>
  </r>
  <r>
    <n v="2673"/>
    <x v="15"/>
    <n v="12"/>
    <d v="2022-01-04T00:00:00"/>
    <s v="FA"/>
    <s v="1052/4693"/>
    <s v="kpl"/>
    <n v="2772"/>
    <n v="43"/>
    <n v="90"/>
    <x v="340"/>
    <n v="890.1"/>
    <n v="4760.1000000000004"/>
    <x v="0"/>
  </r>
  <r>
    <n v="2674"/>
    <x v="8"/>
    <n v="11"/>
    <d v="2022-06-15T00:00:00"/>
    <s v="FA"/>
    <s v="1052/4694"/>
    <s v="kpl"/>
    <n v="2773"/>
    <n v="61"/>
    <n v="89"/>
    <x v="448"/>
    <n v="1248.67"/>
    <n v="6677.67"/>
    <x v="4"/>
  </r>
  <r>
    <n v="2675"/>
    <x v="9"/>
    <n v="14"/>
    <d v="2022-08-08T00:00:00"/>
    <s v="FA"/>
    <s v="1052/4695"/>
    <s v="kpl"/>
    <n v="2774"/>
    <n v="44"/>
    <n v="108"/>
    <x v="126"/>
    <n v="1092.96"/>
    <n v="5844.96"/>
    <x v="11"/>
  </r>
  <r>
    <n v="2676"/>
    <x v="6"/>
    <n v="7"/>
    <d v="2022-04-18T00:00:00"/>
    <s v="FA"/>
    <s v="1052/4696"/>
    <s v="kpl"/>
    <n v="2775"/>
    <n v="57"/>
    <n v="84"/>
    <x v="127"/>
    <n v="1101.24"/>
    <n v="5889.24"/>
    <x v="1"/>
  </r>
  <r>
    <n v="2677"/>
    <x v="14"/>
    <n v="5"/>
    <d v="2022-04-17T00:00:00"/>
    <s v="FA"/>
    <s v="1052/4697"/>
    <s v="kpl"/>
    <n v="2776"/>
    <n v="62"/>
    <n v="86"/>
    <x v="320"/>
    <n v="1226.3600000000001"/>
    <n v="6558.3600000000006"/>
    <x v="1"/>
  </r>
  <r>
    <n v="2678"/>
    <x v="26"/>
    <n v="10"/>
    <d v="2022-07-27T00:00:00"/>
    <s v="FA"/>
    <s v="1052/4698"/>
    <s v="kpl"/>
    <n v="2777"/>
    <n v="62"/>
    <n v="99"/>
    <x v="171"/>
    <n v="1411.74"/>
    <n v="7549.74"/>
    <x v="6"/>
  </r>
  <r>
    <n v="2679"/>
    <x v="11"/>
    <n v="11"/>
    <d v="2022-10-08T00:00:00"/>
    <s v="FA"/>
    <s v="1052/4699"/>
    <s v="kpl"/>
    <n v="2778"/>
    <n v="60"/>
    <n v="93"/>
    <x v="493"/>
    <n v="1283.4000000000001"/>
    <n v="6863.4"/>
    <x v="5"/>
  </r>
  <r>
    <n v="2680"/>
    <x v="7"/>
    <n v="9"/>
    <d v="2022-02-28T00:00:00"/>
    <s v="FA"/>
    <s v="1052/4700"/>
    <s v="kpl"/>
    <n v="2779"/>
    <n v="46"/>
    <n v="96"/>
    <x v="355"/>
    <n v="1015.6800000000001"/>
    <n v="5431.68"/>
    <x v="9"/>
  </r>
  <r>
    <n v="2681"/>
    <x v="15"/>
    <n v="8"/>
    <d v="2022-01-04T00:00:00"/>
    <s v="FA"/>
    <s v="1052/4701"/>
    <s v="kpl"/>
    <n v="2780"/>
    <n v="53"/>
    <n v="90"/>
    <x v="379"/>
    <n v="1097.1000000000001"/>
    <n v="5867.1"/>
    <x v="0"/>
  </r>
  <r>
    <n v="2682"/>
    <x v="3"/>
    <n v="11"/>
    <d v="2022-04-01T00:00:00"/>
    <s v="FA"/>
    <s v="1052/4702"/>
    <s v="kpl"/>
    <n v="2781"/>
    <n v="55"/>
    <n v="88"/>
    <x v="29"/>
    <n v="1113.2"/>
    <n v="5953.2"/>
    <x v="1"/>
  </r>
  <r>
    <n v="2683"/>
    <x v="23"/>
    <n v="9"/>
    <d v="2022-12-25T00:00:00"/>
    <s v="FA"/>
    <s v="1052/4703"/>
    <s v="kpl"/>
    <n v="2782"/>
    <n v="33"/>
    <n v="105"/>
    <x v="716"/>
    <n v="796.95"/>
    <n v="4261.95"/>
    <x v="2"/>
  </r>
  <r>
    <n v="2684"/>
    <x v="11"/>
    <n v="8"/>
    <d v="2022-03-22T00:00:00"/>
    <s v="FA"/>
    <s v="1052/4704"/>
    <s v="kpl"/>
    <n v="2783"/>
    <n v="38"/>
    <n v="93"/>
    <x v="391"/>
    <n v="812.82"/>
    <n v="4346.82"/>
    <x v="3"/>
  </r>
  <r>
    <n v="2685"/>
    <x v="21"/>
    <n v="16"/>
    <d v="2022-09-18T00:00:00"/>
    <s v="FA"/>
    <s v="1052/4705"/>
    <s v="kpl"/>
    <n v="2784"/>
    <n v="42"/>
    <n v="87"/>
    <x v="272"/>
    <n v="840.42000000000007"/>
    <n v="4494.42"/>
    <x v="7"/>
  </r>
  <r>
    <n v="2686"/>
    <x v="6"/>
    <n v="10"/>
    <d v="2022-05-11T00:00:00"/>
    <s v="FA"/>
    <s v="1052/4706"/>
    <s v="kpl"/>
    <n v="2785"/>
    <n v="48"/>
    <n v="84"/>
    <x v="66"/>
    <n v="927.36"/>
    <n v="4959.3599999999997"/>
    <x v="10"/>
  </r>
  <r>
    <n v="2687"/>
    <x v="11"/>
    <n v="10"/>
    <d v="2022-01-08T00:00:00"/>
    <s v="FA"/>
    <s v="1052/4707"/>
    <s v="kpl"/>
    <n v="2786"/>
    <n v="36"/>
    <n v="93"/>
    <x v="352"/>
    <n v="770.04000000000008"/>
    <n v="4118.04"/>
    <x v="0"/>
  </r>
  <r>
    <n v="2688"/>
    <x v="29"/>
    <n v="13"/>
    <d v="2022-10-08T00:00:00"/>
    <s v="FA"/>
    <s v="1052/4708"/>
    <s v="kpl"/>
    <n v="2787"/>
    <n v="46"/>
    <n v="103"/>
    <x v="692"/>
    <n v="1089.74"/>
    <n v="5827.74"/>
    <x v="5"/>
  </r>
  <r>
    <n v="2689"/>
    <x v="17"/>
    <n v="6"/>
    <d v="2022-08-22T00:00:00"/>
    <s v="FA"/>
    <s v="1052/4709"/>
    <s v="kpl"/>
    <n v="2788"/>
    <n v="48"/>
    <n v="94"/>
    <x v="397"/>
    <n v="1037.76"/>
    <n v="5549.76"/>
    <x v="11"/>
  </r>
  <r>
    <n v="2690"/>
    <x v="15"/>
    <n v="7"/>
    <d v="2022-08-25T00:00:00"/>
    <s v="FA"/>
    <s v="1052/4710"/>
    <s v="kpl"/>
    <n v="2789"/>
    <n v="42"/>
    <n v="90"/>
    <x v="12"/>
    <n v="869.40000000000009"/>
    <n v="4649.3999999999996"/>
    <x v="11"/>
  </r>
  <r>
    <n v="2691"/>
    <x v="10"/>
    <n v="10"/>
    <d v="2022-03-27T00:00:00"/>
    <s v="FA"/>
    <s v="1052/4711"/>
    <s v="kpl"/>
    <n v="2790"/>
    <n v="51"/>
    <n v="84"/>
    <x v="234"/>
    <n v="985.32"/>
    <n v="5269.32"/>
    <x v="3"/>
  </r>
  <r>
    <n v="2692"/>
    <x v="15"/>
    <n v="11"/>
    <d v="2022-05-14T00:00:00"/>
    <s v="FA"/>
    <s v="1052/4712"/>
    <s v="kpl"/>
    <n v="2791"/>
    <n v="49"/>
    <n v="90"/>
    <x v="474"/>
    <n v="1014.3000000000001"/>
    <n v="5424.3"/>
    <x v="10"/>
  </r>
  <r>
    <n v="2693"/>
    <x v="10"/>
    <n v="6"/>
    <d v="2022-01-08T00:00:00"/>
    <s v="FA"/>
    <s v="1052/4713"/>
    <s v="kpl"/>
    <n v="2792"/>
    <n v="36"/>
    <n v="84"/>
    <x v="32"/>
    <n v="695.52"/>
    <n v="3719.52"/>
    <x v="0"/>
  </r>
  <r>
    <n v="2694"/>
    <x v="2"/>
    <n v="7"/>
    <d v="2022-09-15T00:00:00"/>
    <s v="FA"/>
    <s v="1052/4714"/>
    <s v="kpl"/>
    <n v="2793"/>
    <n v="55"/>
    <n v="84"/>
    <x v="42"/>
    <n v="1062.6000000000001"/>
    <n v="5682.6"/>
    <x v="7"/>
  </r>
  <r>
    <n v="2695"/>
    <x v="7"/>
    <n v="11"/>
    <d v="2022-11-10T00:00:00"/>
    <s v="FA"/>
    <s v="1052/4715"/>
    <s v="kpl"/>
    <n v="2794"/>
    <n v="51"/>
    <n v="96"/>
    <x v="463"/>
    <n v="1126.0800000000002"/>
    <n v="6022.08"/>
    <x v="8"/>
  </r>
  <r>
    <n v="2696"/>
    <x v="23"/>
    <n v="11"/>
    <d v="2022-04-02T00:00:00"/>
    <s v="FA"/>
    <s v="1052/4716"/>
    <s v="kpl"/>
    <n v="2795"/>
    <n v="35"/>
    <n v="105"/>
    <x v="113"/>
    <n v="845.25"/>
    <n v="4520.25"/>
    <x v="1"/>
  </r>
  <r>
    <n v="2697"/>
    <x v="3"/>
    <n v="8"/>
    <d v="2022-07-01T00:00:00"/>
    <s v="FA"/>
    <s v="1052/4717"/>
    <s v="kpl"/>
    <n v="2796"/>
    <n v="73"/>
    <n v="88"/>
    <x v="749"/>
    <n v="1477.52"/>
    <n v="7901.52"/>
    <x v="6"/>
  </r>
  <r>
    <n v="2698"/>
    <x v="17"/>
    <n v="13"/>
    <d v="2022-02-21T00:00:00"/>
    <s v="FA"/>
    <s v="1052/4718"/>
    <s v="kpl"/>
    <n v="2797"/>
    <n v="37"/>
    <n v="94"/>
    <x v="628"/>
    <n v="799.94"/>
    <n v="4277.9400000000005"/>
    <x v="9"/>
  </r>
  <r>
    <n v="2699"/>
    <x v="12"/>
    <n v="10"/>
    <d v="2022-05-24T00:00:00"/>
    <s v="FA"/>
    <s v="1052/4719"/>
    <s v="kpl"/>
    <n v="2798"/>
    <n v="69"/>
    <n v="91"/>
    <x v="750"/>
    <n v="1444.17"/>
    <n v="7723.17"/>
    <x v="10"/>
  </r>
  <r>
    <n v="2700"/>
    <x v="13"/>
    <n v="15"/>
    <d v="2022-04-04T00:00:00"/>
    <s v="FA"/>
    <s v="1052/4720"/>
    <s v="kpl"/>
    <n v="2799"/>
    <n v="65"/>
    <n v="88"/>
    <x v="138"/>
    <n v="1315.6000000000001"/>
    <n v="7035.6"/>
    <x v="1"/>
  </r>
  <r>
    <n v="2701"/>
    <x v="8"/>
    <n v="13"/>
    <d v="2022-09-07T00:00:00"/>
    <s v="FA"/>
    <s v="1052/4721"/>
    <s v="kpl"/>
    <n v="2800"/>
    <n v="40"/>
    <n v="89"/>
    <x v="514"/>
    <n v="818.80000000000007"/>
    <n v="4378.8"/>
    <x v="7"/>
  </r>
  <r>
    <n v="2702"/>
    <x v="23"/>
    <n v="5"/>
    <d v="2022-10-18T00:00:00"/>
    <s v="FA"/>
    <s v="1052/4722"/>
    <s v="kpl"/>
    <n v="2801"/>
    <n v="68"/>
    <n v="105"/>
    <x v="751"/>
    <n v="1642.2"/>
    <n v="8782.2000000000007"/>
    <x v="5"/>
  </r>
  <r>
    <n v="2703"/>
    <x v="19"/>
    <n v="6"/>
    <d v="2022-06-07T00:00:00"/>
    <s v="FA"/>
    <s v="1052/4723"/>
    <s v="kpl"/>
    <n v="2802"/>
    <n v="63"/>
    <n v="121"/>
    <x v="123"/>
    <n v="1753.29"/>
    <n v="9376.2900000000009"/>
    <x v="4"/>
  </r>
  <r>
    <n v="2704"/>
    <x v="27"/>
    <n v="10"/>
    <d v="2022-12-09T00:00:00"/>
    <s v="FA"/>
    <s v="1052/4724"/>
    <s v="kpl"/>
    <n v="2803"/>
    <n v="41"/>
    <n v="111"/>
    <x v="665"/>
    <n v="1046.73"/>
    <n v="5597.73"/>
    <x v="2"/>
  </r>
  <r>
    <n v="2705"/>
    <x v="21"/>
    <n v="11"/>
    <d v="2022-08-12T00:00:00"/>
    <s v="FA"/>
    <s v="1052/4725"/>
    <s v="kpl"/>
    <n v="2804"/>
    <n v="43"/>
    <n v="87"/>
    <x v="264"/>
    <n v="860.43000000000006"/>
    <n v="4601.43"/>
    <x v="11"/>
  </r>
  <r>
    <n v="2706"/>
    <x v="25"/>
    <n v="12"/>
    <d v="2022-08-06T00:00:00"/>
    <s v="FA"/>
    <s v="1052/4726"/>
    <s v="kpl"/>
    <n v="2805"/>
    <n v="54"/>
    <n v="59"/>
    <x v="157"/>
    <n v="732.78000000000009"/>
    <n v="3918.78"/>
    <x v="11"/>
  </r>
  <r>
    <n v="2707"/>
    <x v="28"/>
    <n v="12"/>
    <d v="2022-02-24T00:00:00"/>
    <s v="FA"/>
    <s v="1052/4727"/>
    <s v="kpl"/>
    <n v="2806"/>
    <n v="31"/>
    <n v="105"/>
    <x v="403"/>
    <n v="748.65"/>
    <n v="4003.65"/>
    <x v="9"/>
  </r>
  <r>
    <n v="2708"/>
    <x v="16"/>
    <n v="12"/>
    <d v="2022-06-01T00:00:00"/>
    <s v="FA"/>
    <s v="1052/4728"/>
    <s v="kpl"/>
    <n v="2807"/>
    <n v="34"/>
    <n v="132"/>
    <x v="19"/>
    <n v="1032.24"/>
    <n v="5520.24"/>
    <x v="4"/>
  </r>
  <r>
    <n v="2709"/>
    <x v="20"/>
    <n v="7"/>
    <d v="2022-06-15T00:00:00"/>
    <s v="FA"/>
    <s v="1052/4729"/>
    <s v="kpl"/>
    <n v="2808"/>
    <n v="55"/>
    <n v="104"/>
    <x v="138"/>
    <n v="1315.6000000000001"/>
    <n v="7035.6"/>
    <x v="4"/>
  </r>
  <r>
    <n v="2710"/>
    <x v="9"/>
    <n v="10"/>
    <d v="2022-10-26T00:00:00"/>
    <s v="FA"/>
    <s v="1052/4730"/>
    <s v="kpl"/>
    <n v="2809"/>
    <n v="45"/>
    <n v="108"/>
    <x v="742"/>
    <n v="1117.8"/>
    <n v="5977.8"/>
    <x v="5"/>
  </r>
  <r>
    <n v="2711"/>
    <x v="29"/>
    <n v="11"/>
    <d v="2022-09-13T00:00:00"/>
    <s v="FA"/>
    <s v="1052/4731"/>
    <s v="kpl"/>
    <n v="2810"/>
    <n v="63"/>
    <n v="103"/>
    <x v="752"/>
    <n v="1492.47"/>
    <n v="7981.47"/>
    <x v="7"/>
  </r>
  <r>
    <n v="2712"/>
    <x v="5"/>
    <n v="9"/>
    <d v="2022-07-28T00:00:00"/>
    <s v="FA"/>
    <s v="1052/4732"/>
    <s v="kpl"/>
    <n v="2811"/>
    <n v="43"/>
    <n v="87"/>
    <x v="264"/>
    <n v="860.43000000000006"/>
    <n v="4601.43"/>
    <x v="6"/>
  </r>
  <r>
    <n v="2713"/>
    <x v="1"/>
    <n v="11"/>
    <d v="2022-07-26T00:00:00"/>
    <s v="FA"/>
    <s v="1052/4733"/>
    <s v="kpl"/>
    <n v="2812"/>
    <n v="45"/>
    <n v="99"/>
    <x v="121"/>
    <n v="1024.6500000000001"/>
    <n v="5479.65"/>
    <x v="6"/>
  </r>
  <r>
    <n v="2714"/>
    <x v="23"/>
    <n v="8"/>
    <d v="2022-09-13T00:00:00"/>
    <s v="FA"/>
    <s v="1052/4734"/>
    <s v="kpl"/>
    <n v="2813"/>
    <n v="61"/>
    <n v="105"/>
    <x v="724"/>
    <n v="1473.15"/>
    <n v="7878.15"/>
    <x v="7"/>
  </r>
  <r>
    <n v="2715"/>
    <x v="13"/>
    <n v="12"/>
    <d v="2022-08-13T00:00:00"/>
    <s v="FA"/>
    <s v="1052/4735"/>
    <s v="kpl"/>
    <n v="2814"/>
    <n v="37"/>
    <n v="88"/>
    <x v="367"/>
    <n v="748.88"/>
    <n v="4004.88"/>
    <x v="11"/>
  </r>
  <r>
    <n v="2716"/>
    <x v="5"/>
    <n v="10"/>
    <d v="2022-05-09T00:00:00"/>
    <s v="FA"/>
    <s v="1052/4736"/>
    <s v="kpl"/>
    <n v="2815"/>
    <n v="50"/>
    <n v="87"/>
    <x v="476"/>
    <n v="1000.5"/>
    <n v="5350.5"/>
    <x v="10"/>
  </r>
  <r>
    <n v="2717"/>
    <x v="17"/>
    <n v="10"/>
    <d v="2022-06-08T00:00:00"/>
    <s v="FA"/>
    <s v="1052/4737"/>
    <s v="kpl"/>
    <n v="2816"/>
    <n v="31"/>
    <n v="94"/>
    <x v="581"/>
    <n v="670.22"/>
    <n v="3584.2200000000003"/>
    <x v="4"/>
  </r>
  <r>
    <n v="2718"/>
    <x v="13"/>
    <n v="8"/>
    <d v="2022-09-16T00:00:00"/>
    <s v="FA"/>
    <s v="1052/4738"/>
    <s v="kpl"/>
    <n v="2817"/>
    <n v="49"/>
    <n v="88"/>
    <x v="93"/>
    <n v="991.76"/>
    <n v="5303.76"/>
    <x v="7"/>
  </r>
  <r>
    <n v="2719"/>
    <x v="22"/>
    <n v="9"/>
    <d v="2022-03-20T00:00:00"/>
    <s v="FA"/>
    <s v="1052/4739"/>
    <s v="kpl"/>
    <n v="2818"/>
    <n v="35"/>
    <n v="125"/>
    <x v="730"/>
    <n v="1006.25"/>
    <n v="5381.25"/>
    <x v="3"/>
  </r>
  <r>
    <n v="2720"/>
    <x v="11"/>
    <n v="10"/>
    <d v="2022-06-14T00:00:00"/>
    <s v="FA"/>
    <s v="1052/4740"/>
    <s v="kpl"/>
    <n v="2819"/>
    <n v="52"/>
    <n v="93"/>
    <x v="190"/>
    <n v="1112.28"/>
    <n v="5948.28"/>
    <x v="4"/>
  </r>
  <r>
    <n v="2721"/>
    <x v="0"/>
    <n v="12"/>
    <d v="2022-07-25T00:00:00"/>
    <s v="FA"/>
    <s v="1052/4741"/>
    <s v="kpl"/>
    <n v="2820"/>
    <n v="41"/>
    <n v="83"/>
    <x v="329"/>
    <n v="782.69"/>
    <n v="4185.6900000000005"/>
    <x v="6"/>
  </r>
  <r>
    <n v="2722"/>
    <x v="18"/>
    <n v="7"/>
    <d v="2022-03-28T00:00:00"/>
    <s v="FA"/>
    <s v="1052/4742"/>
    <s v="kpl"/>
    <n v="2821"/>
    <n v="32"/>
    <n v="109"/>
    <x v="753"/>
    <n v="802.24"/>
    <n v="4290.24"/>
    <x v="3"/>
  </r>
  <r>
    <n v="2723"/>
    <x v="29"/>
    <n v="11"/>
    <d v="2022-12-20T00:00:00"/>
    <s v="FA"/>
    <s v="1052/4743"/>
    <s v="kpl"/>
    <n v="2822"/>
    <n v="49"/>
    <n v="103"/>
    <x v="734"/>
    <n v="1160.81"/>
    <n v="6207.8099999999995"/>
    <x v="2"/>
  </r>
  <r>
    <n v="2724"/>
    <x v="21"/>
    <n v="15"/>
    <d v="2022-09-07T00:00:00"/>
    <s v="FA"/>
    <s v="1052/4744"/>
    <s v="kpl"/>
    <n v="2823"/>
    <n v="51"/>
    <n v="87"/>
    <x v="173"/>
    <n v="1020.51"/>
    <n v="5457.51"/>
    <x v="7"/>
  </r>
  <r>
    <n v="2725"/>
    <x v="26"/>
    <n v="5"/>
    <d v="2022-09-07T00:00:00"/>
    <s v="FA"/>
    <s v="1052/4745"/>
    <s v="kpl"/>
    <n v="2824"/>
    <n v="50"/>
    <n v="99"/>
    <x v="53"/>
    <n v="1138.5"/>
    <n v="6088.5"/>
    <x v="7"/>
  </r>
  <r>
    <n v="2726"/>
    <x v="28"/>
    <n v="14"/>
    <d v="2022-03-14T00:00:00"/>
    <s v="FA"/>
    <s v="1052/4746"/>
    <s v="kpl"/>
    <n v="2825"/>
    <n v="43"/>
    <n v="105"/>
    <x v="427"/>
    <n v="1038.45"/>
    <n v="5553.45"/>
    <x v="3"/>
  </r>
  <r>
    <n v="2727"/>
    <x v="2"/>
    <n v="10"/>
    <d v="2022-09-14T00:00:00"/>
    <s v="FA"/>
    <s v="1052/4747"/>
    <s v="kpl"/>
    <n v="2826"/>
    <n v="47"/>
    <n v="84"/>
    <x v="55"/>
    <n v="908.04000000000008"/>
    <n v="4856.04"/>
    <x v="7"/>
  </r>
  <r>
    <n v="2728"/>
    <x v="13"/>
    <n v="3"/>
    <d v="2022-05-23T00:00:00"/>
    <s v="FA"/>
    <s v="1052/4748"/>
    <s v="kpl"/>
    <n v="2827"/>
    <n v="44"/>
    <n v="88"/>
    <x v="360"/>
    <n v="890.56000000000006"/>
    <n v="4762.5600000000004"/>
    <x v="10"/>
  </r>
  <r>
    <n v="2729"/>
    <x v="21"/>
    <n v="12"/>
    <d v="2022-10-22T00:00:00"/>
    <s v="FA"/>
    <s v="1052/4749"/>
    <s v="kpl"/>
    <n v="2828"/>
    <n v="57"/>
    <n v="87"/>
    <x v="52"/>
    <n v="1140.57"/>
    <n v="6099.57"/>
    <x v="5"/>
  </r>
  <r>
    <n v="2730"/>
    <x v="9"/>
    <n v="12"/>
    <d v="2022-09-17T00:00:00"/>
    <s v="FA"/>
    <s v="1052/4750"/>
    <s v="kpl"/>
    <n v="2829"/>
    <n v="60"/>
    <n v="108"/>
    <x v="454"/>
    <n v="1490.4"/>
    <n v="7970.4"/>
    <x v="7"/>
  </r>
  <r>
    <n v="2731"/>
    <x v="7"/>
    <n v="10"/>
    <d v="2022-09-08T00:00:00"/>
    <s v="FA"/>
    <s v="1052/4751"/>
    <s v="kpl"/>
    <n v="2830"/>
    <n v="52"/>
    <n v="96"/>
    <x v="299"/>
    <n v="1148.1600000000001"/>
    <n v="6140.16"/>
    <x v="7"/>
  </r>
  <r>
    <n v="2732"/>
    <x v="29"/>
    <n v="10"/>
    <d v="2022-11-04T00:00:00"/>
    <s v="FA"/>
    <s v="1052/4752"/>
    <s v="kpl"/>
    <n v="2831"/>
    <n v="64"/>
    <n v="103"/>
    <x v="754"/>
    <n v="1516.16"/>
    <n v="8108.16"/>
    <x v="8"/>
  </r>
  <r>
    <n v="2733"/>
    <x v="13"/>
    <n v="5"/>
    <d v="2022-09-21T00:00:00"/>
    <s v="FA"/>
    <s v="1052/4753"/>
    <s v="kpl"/>
    <n v="2832"/>
    <n v="51"/>
    <n v="88"/>
    <x v="19"/>
    <n v="1032.24"/>
    <n v="5520.24"/>
    <x v="7"/>
  </r>
  <r>
    <n v="2734"/>
    <x v="13"/>
    <n v="6"/>
    <d v="2022-11-26T00:00:00"/>
    <s v="FA"/>
    <s v="1052/4754"/>
    <s v="kpl"/>
    <n v="2833"/>
    <n v="47"/>
    <n v="88"/>
    <x v="165"/>
    <n v="951.28000000000009"/>
    <n v="5087.28"/>
    <x v="8"/>
  </r>
  <r>
    <n v="2735"/>
    <x v="10"/>
    <n v="9"/>
    <d v="2022-04-03T00:00:00"/>
    <s v="FA"/>
    <s v="1052/4755"/>
    <s v="kpl"/>
    <n v="2834"/>
    <n v="46"/>
    <n v="84"/>
    <x v="380"/>
    <n v="888.72"/>
    <n v="4752.72"/>
    <x v="1"/>
  </r>
  <r>
    <n v="2736"/>
    <x v="3"/>
    <n v="6"/>
    <d v="2022-02-19T00:00:00"/>
    <s v="FA"/>
    <s v="1052/4756"/>
    <s v="kpl"/>
    <n v="2835"/>
    <n v="37"/>
    <n v="88"/>
    <x v="367"/>
    <n v="748.88"/>
    <n v="4004.88"/>
    <x v="9"/>
  </r>
  <r>
    <n v="2737"/>
    <x v="0"/>
    <n v="10"/>
    <d v="2022-10-27T00:00:00"/>
    <s v="FA"/>
    <s v="1052/4757"/>
    <s v="kpl"/>
    <n v="2836"/>
    <n v="64"/>
    <n v="83"/>
    <x v="423"/>
    <n v="1221.76"/>
    <n v="6533.76"/>
    <x v="5"/>
  </r>
  <r>
    <n v="2738"/>
    <x v="21"/>
    <n v="8"/>
    <d v="2022-06-13T00:00:00"/>
    <s v="FA"/>
    <s v="1052/4758"/>
    <s v="kpl"/>
    <n v="2837"/>
    <n v="46"/>
    <n v="87"/>
    <x v="281"/>
    <n v="920.46"/>
    <n v="4922.46"/>
    <x v="4"/>
  </r>
  <r>
    <n v="2739"/>
    <x v="22"/>
    <n v="4"/>
    <d v="2022-04-23T00:00:00"/>
    <s v="FA"/>
    <s v="1052/4759"/>
    <s v="kpl"/>
    <n v="2838"/>
    <n v="51"/>
    <n v="125"/>
    <x v="209"/>
    <n v="1466.25"/>
    <n v="7841.25"/>
    <x v="1"/>
  </r>
  <r>
    <n v="2740"/>
    <x v="5"/>
    <n v="10"/>
    <d v="2022-11-03T00:00:00"/>
    <s v="FA"/>
    <s v="1052/4760"/>
    <s v="kpl"/>
    <n v="2839"/>
    <n v="50"/>
    <n v="87"/>
    <x v="476"/>
    <n v="1000.5"/>
    <n v="5350.5"/>
    <x v="8"/>
  </r>
  <r>
    <n v="2741"/>
    <x v="22"/>
    <n v="5"/>
    <d v="2022-11-05T00:00:00"/>
    <s v="FA"/>
    <s v="1052/4761"/>
    <s v="kpl"/>
    <n v="2840"/>
    <n v="54"/>
    <n v="125"/>
    <x v="651"/>
    <n v="1552.5"/>
    <n v="8302.5"/>
    <x v="8"/>
  </r>
  <r>
    <n v="2742"/>
    <x v="10"/>
    <n v="8"/>
    <d v="2022-09-11T00:00:00"/>
    <s v="FA"/>
    <s v="1052/4762"/>
    <s v="kpl"/>
    <n v="2841"/>
    <n v="51"/>
    <n v="84"/>
    <x v="234"/>
    <n v="985.32"/>
    <n v="5269.32"/>
    <x v="7"/>
  </r>
  <r>
    <n v="2743"/>
    <x v="29"/>
    <n v="7"/>
    <d v="2022-03-05T00:00:00"/>
    <s v="FA"/>
    <s v="1052/4763"/>
    <s v="kpl"/>
    <n v="2842"/>
    <n v="58"/>
    <n v="103"/>
    <x v="755"/>
    <n v="1374.02"/>
    <n v="7348.02"/>
    <x v="3"/>
  </r>
  <r>
    <n v="2744"/>
    <x v="20"/>
    <n v="12"/>
    <d v="2022-06-16T00:00:00"/>
    <s v="FA"/>
    <s v="1052/4764"/>
    <s v="kpl"/>
    <n v="2843"/>
    <n v="59"/>
    <n v="104"/>
    <x v="392"/>
    <n v="1411.28"/>
    <n v="7547.28"/>
    <x v="4"/>
  </r>
  <r>
    <n v="2745"/>
    <x v="11"/>
    <n v="6"/>
    <d v="2022-07-11T00:00:00"/>
    <s v="FA"/>
    <s v="1052/4765"/>
    <s v="kpl"/>
    <n v="2844"/>
    <n v="52"/>
    <n v="93"/>
    <x v="190"/>
    <n v="1112.28"/>
    <n v="5948.28"/>
    <x v="6"/>
  </r>
  <r>
    <n v="2746"/>
    <x v="17"/>
    <n v="10"/>
    <d v="2022-10-01T00:00:00"/>
    <s v="FA"/>
    <s v="1052/4766"/>
    <s v="kpl"/>
    <n v="2845"/>
    <n v="47"/>
    <n v="94"/>
    <x v="83"/>
    <n v="1016.1400000000001"/>
    <n v="5434.14"/>
    <x v="5"/>
  </r>
  <r>
    <n v="2747"/>
    <x v="0"/>
    <n v="9"/>
    <d v="2022-01-28T00:00:00"/>
    <s v="FA"/>
    <s v="1052/4767"/>
    <s v="kpl"/>
    <n v="2846"/>
    <n v="54"/>
    <n v="83"/>
    <x v="79"/>
    <n v="1030.8600000000001"/>
    <n v="5512.8600000000006"/>
    <x v="0"/>
  </r>
  <r>
    <n v="2748"/>
    <x v="6"/>
    <n v="12"/>
    <d v="2022-01-02T00:00:00"/>
    <s v="FA"/>
    <s v="1052/4768"/>
    <s v="kpl"/>
    <n v="2847"/>
    <n v="54"/>
    <n v="84"/>
    <x v="309"/>
    <n v="1043.28"/>
    <n v="5579.28"/>
    <x v="0"/>
  </r>
  <r>
    <n v="2749"/>
    <x v="13"/>
    <n v="13"/>
    <d v="2022-02-16T00:00:00"/>
    <s v="FA"/>
    <s v="1052/4769"/>
    <s v="kpl"/>
    <n v="2848"/>
    <n v="56"/>
    <n v="88"/>
    <x v="71"/>
    <n v="1133.44"/>
    <n v="6061.4400000000005"/>
    <x v="9"/>
  </r>
  <r>
    <n v="2750"/>
    <x v="18"/>
    <n v="11"/>
    <d v="2022-03-02T00:00:00"/>
    <s v="FA"/>
    <s v="1052/4770"/>
    <s v="kpl"/>
    <n v="2849"/>
    <n v="44"/>
    <n v="109"/>
    <x v="220"/>
    <n v="1103.0800000000002"/>
    <n v="5899.08"/>
    <x v="3"/>
  </r>
  <r>
    <n v="2751"/>
    <x v="29"/>
    <n v="11"/>
    <d v="2022-04-24T00:00:00"/>
    <s v="FA"/>
    <s v="1052/4771"/>
    <s v="kpl"/>
    <n v="2850"/>
    <n v="38"/>
    <n v="103"/>
    <x v="721"/>
    <n v="900.22"/>
    <n v="4814.22"/>
    <x v="1"/>
  </r>
  <r>
    <n v="2752"/>
    <x v="18"/>
    <n v="13"/>
    <d v="2022-02-21T00:00:00"/>
    <s v="FA"/>
    <s v="1052/4772"/>
    <s v="kpl"/>
    <n v="2851"/>
    <n v="51"/>
    <n v="109"/>
    <x v="106"/>
    <n v="1278.5700000000002"/>
    <n v="6837.57"/>
    <x v="9"/>
  </r>
  <r>
    <n v="2753"/>
    <x v="4"/>
    <n v="11"/>
    <d v="2022-06-26T00:00:00"/>
    <s v="FA"/>
    <s v="1052/4773"/>
    <s v="kpl"/>
    <n v="2852"/>
    <n v="39"/>
    <n v="85"/>
    <x v="541"/>
    <n v="762.45"/>
    <n v="4077.45"/>
    <x v="4"/>
  </r>
  <r>
    <n v="2754"/>
    <x v="27"/>
    <n v="7"/>
    <d v="2022-01-22T00:00:00"/>
    <s v="FA"/>
    <s v="1052/4774"/>
    <s v="kpl"/>
    <n v="2853"/>
    <n v="57"/>
    <n v="111"/>
    <x v="532"/>
    <n v="1455.21"/>
    <n v="7782.21"/>
    <x v="0"/>
  </r>
  <r>
    <n v="2755"/>
    <x v="22"/>
    <n v="12"/>
    <d v="2022-08-28T00:00:00"/>
    <s v="FA"/>
    <s v="1052/4775"/>
    <s v="kpl"/>
    <n v="2854"/>
    <n v="44"/>
    <n v="125"/>
    <x v="386"/>
    <n v="1265"/>
    <n v="6765"/>
    <x v="11"/>
  </r>
  <r>
    <n v="2756"/>
    <x v="9"/>
    <n v="13"/>
    <d v="2022-11-22T00:00:00"/>
    <s v="FA"/>
    <s v="1052/4776"/>
    <s v="kpl"/>
    <n v="2855"/>
    <n v="35"/>
    <n v="108"/>
    <x v="12"/>
    <n v="869.40000000000009"/>
    <n v="4649.3999999999996"/>
    <x v="8"/>
  </r>
  <r>
    <n v="2757"/>
    <x v="11"/>
    <n v="13"/>
    <d v="2022-09-14T00:00:00"/>
    <s v="FA"/>
    <s v="1052/4777"/>
    <s v="kpl"/>
    <n v="2856"/>
    <n v="48"/>
    <n v="93"/>
    <x v="273"/>
    <n v="1026.72"/>
    <n v="5490.72"/>
    <x v="7"/>
  </r>
  <r>
    <n v="2758"/>
    <x v="10"/>
    <n v="9"/>
    <d v="2022-09-20T00:00:00"/>
    <s v="FA"/>
    <s v="1052/4778"/>
    <s v="kpl"/>
    <n v="2857"/>
    <n v="38"/>
    <n v="84"/>
    <x v="479"/>
    <n v="734.16000000000008"/>
    <n v="3926.16"/>
    <x v="7"/>
  </r>
  <r>
    <n v="2759"/>
    <x v="20"/>
    <n v="9"/>
    <d v="2022-09-21T00:00:00"/>
    <s v="FA"/>
    <s v="1052/4779"/>
    <s v="kpl"/>
    <n v="2858"/>
    <n v="54"/>
    <n v="104"/>
    <x v="460"/>
    <n v="1291.68"/>
    <n v="6907.68"/>
    <x v="7"/>
  </r>
  <r>
    <n v="2760"/>
    <x v="26"/>
    <n v="7"/>
    <d v="2022-10-07T00:00:00"/>
    <s v="FA"/>
    <s v="1052/4780"/>
    <s v="kpl"/>
    <n v="2859"/>
    <n v="72"/>
    <n v="99"/>
    <x v="134"/>
    <n v="1639.44"/>
    <n v="8767.44"/>
    <x v="5"/>
  </r>
  <r>
    <n v="2761"/>
    <x v="7"/>
    <n v="7"/>
    <d v="2022-11-02T00:00:00"/>
    <s v="FA"/>
    <s v="1052/4781"/>
    <s v="kpl"/>
    <n v="2860"/>
    <n v="57"/>
    <n v="96"/>
    <x v="655"/>
    <n v="1258.56"/>
    <n v="6730.5599999999995"/>
    <x v="8"/>
  </r>
  <r>
    <n v="2762"/>
    <x v="1"/>
    <n v="7"/>
    <d v="2022-09-16T00:00:00"/>
    <s v="FA"/>
    <s v="1052/4782"/>
    <s v="kpl"/>
    <n v="2861"/>
    <n v="56"/>
    <n v="99"/>
    <x v="65"/>
    <n v="1275.1200000000001"/>
    <n v="6819.12"/>
    <x v="7"/>
  </r>
  <r>
    <n v="2763"/>
    <x v="15"/>
    <n v="15"/>
    <d v="2022-09-26T00:00:00"/>
    <s v="FA"/>
    <s v="1052/4783"/>
    <s v="kpl"/>
    <n v="2862"/>
    <n v="48"/>
    <n v="90"/>
    <x v="312"/>
    <n v="993.6"/>
    <n v="5313.6"/>
    <x v="7"/>
  </r>
  <r>
    <n v="2764"/>
    <x v="13"/>
    <n v="12"/>
    <d v="2022-12-12T00:00:00"/>
    <s v="FA"/>
    <s v="1052/4784"/>
    <s v="kpl"/>
    <n v="2863"/>
    <n v="37"/>
    <n v="88"/>
    <x v="367"/>
    <n v="748.88"/>
    <n v="4004.88"/>
    <x v="2"/>
  </r>
  <r>
    <n v="2765"/>
    <x v="9"/>
    <n v="6"/>
    <d v="2022-06-22T00:00:00"/>
    <s v="FA"/>
    <s v="1052/4785"/>
    <s v="kpl"/>
    <n v="2864"/>
    <n v="52"/>
    <n v="108"/>
    <x v="460"/>
    <n v="1291.68"/>
    <n v="6907.68"/>
    <x v="4"/>
  </r>
  <r>
    <n v="2766"/>
    <x v="26"/>
    <n v="4"/>
    <d v="2022-10-25T00:00:00"/>
    <s v="FA"/>
    <s v="1052/4786"/>
    <s v="kpl"/>
    <n v="2865"/>
    <n v="75"/>
    <n v="99"/>
    <x v="756"/>
    <n v="1707.75"/>
    <n v="9132.75"/>
    <x v="5"/>
  </r>
  <r>
    <n v="2767"/>
    <x v="13"/>
    <n v="5"/>
    <d v="2022-12-03T00:00:00"/>
    <s v="FA"/>
    <s v="1052/4787"/>
    <s v="kpl"/>
    <n v="2866"/>
    <n v="62"/>
    <n v="88"/>
    <x v="565"/>
    <n v="1254.8800000000001"/>
    <n v="6710.88"/>
    <x v="2"/>
  </r>
  <r>
    <n v="2768"/>
    <x v="4"/>
    <n v="4"/>
    <d v="2022-10-26T00:00:00"/>
    <s v="FA"/>
    <s v="1052/4788"/>
    <s v="kpl"/>
    <n v="2867"/>
    <n v="44"/>
    <n v="85"/>
    <x v="18"/>
    <n v="860.2"/>
    <n v="4600.2"/>
    <x v="5"/>
  </r>
  <r>
    <n v="2769"/>
    <x v="1"/>
    <n v="11"/>
    <d v="2022-01-04T00:00:00"/>
    <s v="FA"/>
    <s v="1052/4789"/>
    <s v="kpl"/>
    <n v="2868"/>
    <n v="35"/>
    <n v="99"/>
    <x v="716"/>
    <n v="796.95"/>
    <n v="4261.95"/>
    <x v="0"/>
  </r>
  <r>
    <n v="2770"/>
    <x v="27"/>
    <n v="10"/>
    <d v="2022-10-14T00:00:00"/>
    <s v="FA"/>
    <s v="1052/4790"/>
    <s v="kpl"/>
    <n v="2869"/>
    <n v="55"/>
    <n v="111"/>
    <x v="551"/>
    <n v="1404.15"/>
    <n v="7509.15"/>
    <x v="5"/>
  </r>
  <r>
    <n v="2771"/>
    <x v="16"/>
    <n v="11"/>
    <d v="2022-10-22T00:00:00"/>
    <s v="FA"/>
    <s v="1052/4791"/>
    <s v="kpl"/>
    <n v="2870"/>
    <n v="63"/>
    <n v="132"/>
    <x v="690"/>
    <n v="1912.68"/>
    <n v="10228.68"/>
    <x v="5"/>
  </r>
  <r>
    <n v="2772"/>
    <x v="14"/>
    <n v="11"/>
    <d v="2022-01-19T00:00:00"/>
    <s v="FA"/>
    <s v="1052/4792"/>
    <s v="kpl"/>
    <n v="2871"/>
    <n v="40"/>
    <n v="86"/>
    <x v="520"/>
    <n v="791.2"/>
    <n v="4231.2"/>
    <x v="0"/>
  </r>
  <r>
    <n v="2773"/>
    <x v="3"/>
    <n v="10"/>
    <d v="2022-06-22T00:00:00"/>
    <s v="FA"/>
    <s v="1052/4793"/>
    <s v="kpl"/>
    <n v="2872"/>
    <n v="61"/>
    <n v="88"/>
    <x v="577"/>
    <n v="1234.6400000000001"/>
    <n v="6602.64"/>
    <x v="4"/>
  </r>
  <r>
    <n v="2774"/>
    <x v="17"/>
    <n v="5"/>
    <d v="2022-12-16T00:00:00"/>
    <s v="FA"/>
    <s v="1052/4794"/>
    <s v="kpl"/>
    <n v="2873"/>
    <n v="50"/>
    <n v="94"/>
    <x v="295"/>
    <n v="1081"/>
    <n v="5781"/>
    <x v="2"/>
  </r>
  <r>
    <n v="2775"/>
    <x v="10"/>
    <n v="9"/>
    <d v="2022-02-03T00:00:00"/>
    <s v="FA"/>
    <s v="1052/4795"/>
    <s v="kpl"/>
    <n v="2874"/>
    <n v="38"/>
    <n v="84"/>
    <x v="479"/>
    <n v="734.16000000000008"/>
    <n v="3926.16"/>
    <x v="9"/>
  </r>
  <r>
    <n v="2776"/>
    <x v="12"/>
    <n v="12"/>
    <d v="2022-10-28T00:00:00"/>
    <s v="FA"/>
    <s v="1052/4796"/>
    <s v="kpl"/>
    <n v="2875"/>
    <n v="47"/>
    <n v="91"/>
    <x v="149"/>
    <n v="983.71"/>
    <n v="5260.71"/>
    <x v="5"/>
  </r>
  <r>
    <n v="2777"/>
    <x v="4"/>
    <n v="9"/>
    <d v="2022-09-25T00:00:00"/>
    <s v="FA"/>
    <s v="1052/4797"/>
    <s v="kpl"/>
    <n v="2876"/>
    <n v="54"/>
    <n v="85"/>
    <x v="495"/>
    <n v="1055.7"/>
    <n v="5645.7"/>
    <x v="7"/>
  </r>
  <r>
    <n v="2778"/>
    <x v="8"/>
    <n v="10"/>
    <d v="2022-09-14T00:00:00"/>
    <s v="FA"/>
    <s v="1052/4798"/>
    <s v="kpl"/>
    <n v="2877"/>
    <n v="61"/>
    <n v="89"/>
    <x v="448"/>
    <n v="1248.67"/>
    <n v="6677.67"/>
    <x v="7"/>
  </r>
  <r>
    <n v="2779"/>
    <x v="4"/>
    <n v="6"/>
    <d v="2022-11-01T00:00:00"/>
    <s v="FA"/>
    <s v="1052/4799"/>
    <s v="kpl"/>
    <n v="2878"/>
    <n v="44"/>
    <n v="85"/>
    <x v="18"/>
    <n v="860.2"/>
    <n v="4600.2"/>
    <x v="8"/>
  </r>
  <r>
    <n v="2780"/>
    <x v="3"/>
    <n v="11"/>
    <d v="2022-05-23T00:00:00"/>
    <s v="FA"/>
    <s v="1052/4800"/>
    <s v="kpl"/>
    <n v="2879"/>
    <n v="44"/>
    <n v="88"/>
    <x v="360"/>
    <n v="890.56000000000006"/>
    <n v="4762.5600000000004"/>
    <x v="10"/>
  </r>
  <r>
    <n v="2781"/>
    <x v="11"/>
    <n v="7"/>
    <d v="2022-11-04T00:00:00"/>
    <s v="FA"/>
    <s v="1052/4801"/>
    <s v="kpl"/>
    <n v="2880"/>
    <n v="51"/>
    <n v="93"/>
    <x v="257"/>
    <n v="1090.8900000000001"/>
    <n v="5833.89"/>
    <x v="8"/>
  </r>
  <r>
    <n v="2782"/>
    <x v="22"/>
    <n v="15"/>
    <d v="2022-03-12T00:00:00"/>
    <s v="FA"/>
    <s v="1052/4802"/>
    <s v="kpl"/>
    <n v="2881"/>
    <n v="55"/>
    <n v="125"/>
    <x v="387"/>
    <n v="1581.25"/>
    <n v="8456.25"/>
    <x v="3"/>
  </r>
  <r>
    <n v="2783"/>
    <x v="12"/>
    <n v="5"/>
    <d v="2022-04-09T00:00:00"/>
    <s v="FA"/>
    <s v="1052/4803"/>
    <s v="kpl"/>
    <n v="2882"/>
    <n v="73"/>
    <n v="91"/>
    <x v="757"/>
    <n v="1527.89"/>
    <n v="8170.89"/>
    <x v="1"/>
  </r>
  <r>
    <n v="2784"/>
    <x v="21"/>
    <n v="8"/>
    <d v="2022-08-19T00:00:00"/>
    <s v="FA"/>
    <s v="1052/4804"/>
    <s v="kpl"/>
    <n v="2883"/>
    <n v="43"/>
    <n v="87"/>
    <x v="264"/>
    <n v="860.43000000000006"/>
    <n v="4601.43"/>
    <x v="11"/>
  </r>
  <r>
    <n v="2785"/>
    <x v="15"/>
    <n v="11"/>
    <d v="2022-03-03T00:00:00"/>
    <s v="FA"/>
    <s v="1052/4805"/>
    <s v="kpl"/>
    <n v="2884"/>
    <n v="39"/>
    <n v="90"/>
    <x v="736"/>
    <n v="807.30000000000007"/>
    <n v="4317.3"/>
    <x v="3"/>
  </r>
  <r>
    <n v="2786"/>
    <x v="26"/>
    <n v="10"/>
    <d v="2022-04-28T00:00:00"/>
    <s v="FA"/>
    <s v="1052/4806"/>
    <s v="kpl"/>
    <n v="2885"/>
    <n v="35"/>
    <n v="99"/>
    <x v="716"/>
    <n v="796.95"/>
    <n v="4261.95"/>
    <x v="1"/>
  </r>
  <r>
    <n v="2787"/>
    <x v="17"/>
    <n v="10"/>
    <d v="2022-05-14T00:00:00"/>
    <s v="FA"/>
    <s v="1052/4807"/>
    <s v="kpl"/>
    <n v="2886"/>
    <n v="42"/>
    <n v="94"/>
    <x v="55"/>
    <n v="908.04000000000008"/>
    <n v="4856.04"/>
    <x v="10"/>
  </r>
  <r>
    <n v="2788"/>
    <x v="1"/>
    <n v="11"/>
    <d v="2022-12-18T00:00:00"/>
    <s v="FA"/>
    <s v="1052/4808"/>
    <s v="kpl"/>
    <n v="2887"/>
    <n v="52"/>
    <n v="99"/>
    <x v="145"/>
    <n v="1184.04"/>
    <n v="6332.04"/>
    <x v="2"/>
  </r>
  <r>
    <n v="2789"/>
    <x v="12"/>
    <n v="8"/>
    <d v="2022-06-14T00:00:00"/>
    <s v="FA"/>
    <s v="1052/4809"/>
    <s v="kpl"/>
    <n v="2888"/>
    <n v="44"/>
    <n v="91"/>
    <x v="107"/>
    <n v="920.92000000000007"/>
    <n v="4924.92"/>
    <x v="4"/>
  </r>
  <r>
    <n v="2790"/>
    <x v="22"/>
    <n v="7"/>
    <d v="2022-07-21T00:00:00"/>
    <s v="FA"/>
    <s v="1052/4810"/>
    <s v="kpl"/>
    <n v="2889"/>
    <n v="47"/>
    <n v="125"/>
    <x v="409"/>
    <n v="1351.25"/>
    <n v="7226.25"/>
    <x v="6"/>
  </r>
  <r>
    <n v="2791"/>
    <x v="10"/>
    <n v="5"/>
    <d v="2022-01-02T00:00:00"/>
    <s v="FA"/>
    <s v="1052/4811"/>
    <s v="kpl"/>
    <n v="2890"/>
    <n v="46"/>
    <n v="84"/>
    <x v="380"/>
    <n v="888.72"/>
    <n v="4752.72"/>
    <x v="0"/>
  </r>
  <r>
    <n v="2792"/>
    <x v="16"/>
    <n v="8"/>
    <d v="2022-06-04T00:00:00"/>
    <s v="FA"/>
    <s v="1052/4812"/>
    <s v="kpl"/>
    <n v="2891"/>
    <n v="46"/>
    <n v="132"/>
    <x v="300"/>
    <n v="1396.5600000000002"/>
    <n v="7468.56"/>
    <x v="4"/>
  </r>
  <r>
    <n v="2793"/>
    <x v="9"/>
    <n v="8"/>
    <d v="2022-12-27T00:00:00"/>
    <s v="FA"/>
    <s v="1052/4813"/>
    <s v="kpl"/>
    <n v="2892"/>
    <n v="55"/>
    <n v="108"/>
    <x v="85"/>
    <n v="1366.2"/>
    <n v="7306.2"/>
    <x v="2"/>
  </r>
  <r>
    <n v="2794"/>
    <x v="25"/>
    <n v="8"/>
    <d v="2022-10-01T00:00:00"/>
    <s v="FA"/>
    <s v="1052/4814"/>
    <s v="kpl"/>
    <n v="2893"/>
    <n v="59"/>
    <n v="59"/>
    <x v="758"/>
    <n v="800.63"/>
    <n v="4281.63"/>
    <x v="5"/>
  </r>
  <r>
    <n v="2795"/>
    <x v="10"/>
    <n v="11"/>
    <d v="2022-02-25T00:00:00"/>
    <s v="FA"/>
    <s v="1052/4815"/>
    <s v="kpl"/>
    <n v="2894"/>
    <n v="55"/>
    <n v="84"/>
    <x v="42"/>
    <n v="1062.6000000000001"/>
    <n v="5682.6"/>
    <x v="9"/>
  </r>
  <r>
    <n v="2796"/>
    <x v="0"/>
    <n v="10"/>
    <d v="2022-07-27T00:00:00"/>
    <s v="FA"/>
    <s v="1052/4816"/>
    <s v="kpl"/>
    <n v="2895"/>
    <n v="43"/>
    <n v="83"/>
    <x v="0"/>
    <n v="820.87"/>
    <n v="4389.87"/>
    <x v="6"/>
  </r>
  <r>
    <n v="2797"/>
    <x v="20"/>
    <n v="8"/>
    <d v="2022-04-19T00:00:00"/>
    <s v="FA"/>
    <s v="1052/4817"/>
    <s v="kpl"/>
    <n v="2896"/>
    <n v="42"/>
    <n v="104"/>
    <x v="109"/>
    <n v="1004.6400000000001"/>
    <n v="5372.64"/>
    <x v="1"/>
  </r>
  <r>
    <n v="2798"/>
    <x v="29"/>
    <n v="10"/>
    <d v="2022-01-03T00:00:00"/>
    <s v="FA"/>
    <s v="1052/4818"/>
    <s v="kpl"/>
    <n v="2897"/>
    <n v="43"/>
    <n v="103"/>
    <x v="686"/>
    <n v="1018.6700000000001"/>
    <n v="5447.67"/>
    <x v="0"/>
  </r>
  <r>
    <n v="2799"/>
    <x v="21"/>
    <n v="10"/>
    <d v="2022-06-08T00:00:00"/>
    <s v="FA"/>
    <s v="1052/4819"/>
    <s v="kpl"/>
    <n v="2898"/>
    <n v="39"/>
    <n v="87"/>
    <x v="245"/>
    <n v="780.39"/>
    <n v="4173.3900000000003"/>
    <x v="4"/>
  </r>
  <r>
    <n v="2800"/>
    <x v="11"/>
    <n v="9"/>
    <d v="2022-06-27T00:00:00"/>
    <s v="FA"/>
    <s v="1052/4820"/>
    <s v="kpl"/>
    <n v="2899"/>
    <n v="41"/>
    <n v="93"/>
    <x v="759"/>
    <n v="876.99"/>
    <n v="4689.99"/>
    <x v="4"/>
  </r>
  <r>
    <n v="2801"/>
    <x v="14"/>
    <n v="10"/>
    <d v="2022-01-06T00:00:00"/>
    <s v="FA"/>
    <s v="1052/4821"/>
    <s v="kpl"/>
    <n v="2900"/>
    <n v="51"/>
    <n v="86"/>
    <x v="527"/>
    <n v="1008.7800000000001"/>
    <n v="5394.78"/>
    <x v="0"/>
  </r>
  <r>
    <n v="2802"/>
    <x v="2"/>
    <n v="7"/>
    <d v="2022-08-06T00:00:00"/>
    <s v="FA"/>
    <s v="1052/4822"/>
    <s v="kpl"/>
    <n v="2901"/>
    <n v="45"/>
    <n v="84"/>
    <x v="12"/>
    <n v="869.40000000000009"/>
    <n v="4649.3999999999996"/>
    <x v="11"/>
  </r>
  <r>
    <n v="2803"/>
    <x v="21"/>
    <n v="13"/>
    <d v="2022-09-07T00:00:00"/>
    <s v="FA"/>
    <s v="1052/4823"/>
    <s v="kpl"/>
    <n v="2902"/>
    <n v="49"/>
    <n v="87"/>
    <x v="96"/>
    <n v="980.49"/>
    <n v="5243.49"/>
    <x v="7"/>
  </r>
  <r>
    <n v="2804"/>
    <x v="13"/>
    <n v="9"/>
    <d v="2022-07-07T00:00:00"/>
    <s v="FA"/>
    <s v="1052/4824"/>
    <s v="kpl"/>
    <n v="2903"/>
    <n v="41"/>
    <n v="88"/>
    <x v="265"/>
    <n v="829.84"/>
    <n v="4437.84"/>
    <x v="6"/>
  </r>
  <r>
    <n v="2805"/>
    <x v="2"/>
    <n v="11"/>
    <d v="2022-05-01T00:00:00"/>
    <s v="FA"/>
    <s v="1052/4825"/>
    <s v="kpl"/>
    <n v="2904"/>
    <n v="25"/>
    <n v="84"/>
    <x v="760"/>
    <n v="483"/>
    <n v="2583"/>
    <x v="10"/>
  </r>
  <r>
    <n v="2806"/>
    <x v="25"/>
    <n v="15"/>
    <d v="2022-12-26T00:00:00"/>
    <s v="FA"/>
    <s v="1052/4826"/>
    <s v="kpl"/>
    <n v="2905"/>
    <n v="48"/>
    <n v="59"/>
    <x v="697"/>
    <n v="651.36"/>
    <n v="3483.36"/>
    <x v="2"/>
  </r>
  <r>
    <n v="2807"/>
    <x v="20"/>
    <n v="8"/>
    <d v="2022-03-18T00:00:00"/>
    <s v="FA"/>
    <s v="1052/4827"/>
    <s v="kpl"/>
    <n v="2906"/>
    <n v="45"/>
    <n v="104"/>
    <x v="422"/>
    <n v="1076.4000000000001"/>
    <n v="5756.4"/>
    <x v="3"/>
  </r>
  <r>
    <n v="2808"/>
    <x v="16"/>
    <n v="10"/>
    <d v="2022-03-19T00:00:00"/>
    <s v="FA"/>
    <s v="1052/4828"/>
    <s v="kpl"/>
    <n v="2907"/>
    <n v="23"/>
    <n v="132"/>
    <x v="761"/>
    <n v="698.28000000000009"/>
    <n v="3734.28"/>
    <x v="3"/>
  </r>
  <r>
    <n v="2809"/>
    <x v="13"/>
    <n v="8"/>
    <d v="2022-07-20T00:00:00"/>
    <s v="FA"/>
    <s v="1052/4829"/>
    <s v="kpl"/>
    <n v="2908"/>
    <n v="60"/>
    <n v="88"/>
    <x v="9"/>
    <n v="1214.4000000000001"/>
    <n v="6494.4"/>
    <x v="6"/>
  </r>
  <r>
    <n v="2810"/>
    <x v="20"/>
    <n v="7"/>
    <d v="2022-02-01T00:00:00"/>
    <s v="FA"/>
    <s v="1052/4830"/>
    <s v="kpl"/>
    <n v="2909"/>
    <n v="56"/>
    <n v="104"/>
    <x v="100"/>
    <n v="1339.52"/>
    <n v="7163.52"/>
    <x v="9"/>
  </r>
  <r>
    <n v="2811"/>
    <x v="6"/>
    <n v="9"/>
    <d v="2022-09-26T00:00:00"/>
    <s v="FA"/>
    <s v="1052/4831"/>
    <s v="kpl"/>
    <n v="2910"/>
    <n v="56"/>
    <n v="84"/>
    <x v="185"/>
    <n v="1081.92"/>
    <n v="5785.92"/>
    <x v="7"/>
  </r>
  <r>
    <n v="2812"/>
    <x v="16"/>
    <n v="9"/>
    <d v="2022-06-17T00:00:00"/>
    <s v="FA"/>
    <s v="1052/4832"/>
    <s v="kpl"/>
    <n v="2911"/>
    <n v="41"/>
    <n v="132"/>
    <x v="624"/>
    <n v="1244.76"/>
    <n v="6656.76"/>
    <x v="4"/>
  </r>
  <r>
    <n v="2813"/>
    <x v="7"/>
    <n v="9"/>
    <d v="2022-08-22T00:00:00"/>
    <s v="FA"/>
    <s v="1052/4833"/>
    <s v="kpl"/>
    <n v="2912"/>
    <n v="34"/>
    <n v="96"/>
    <x v="178"/>
    <n v="750.72"/>
    <n v="4014.7200000000003"/>
    <x v="11"/>
  </r>
  <r>
    <n v="2814"/>
    <x v="0"/>
    <n v="11"/>
    <d v="2022-05-06T00:00:00"/>
    <s v="FA"/>
    <s v="1052/4834"/>
    <s v="kpl"/>
    <n v="2913"/>
    <n v="75"/>
    <n v="83"/>
    <x v="762"/>
    <n v="1431.75"/>
    <n v="7656.75"/>
    <x v="10"/>
  </r>
  <r>
    <n v="2815"/>
    <x v="8"/>
    <n v="8"/>
    <d v="2022-10-28T00:00:00"/>
    <s v="FA"/>
    <s v="1052/4835"/>
    <s v="kpl"/>
    <n v="2914"/>
    <n v="39"/>
    <n v="89"/>
    <x v="498"/>
    <n v="798.33"/>
    <n v="4269.33"/>
    <x v="5"/>
  </r>
  <r>
    <n v="2816"/>
    <x v="5"/>
    <n v="6"/>
    <d v="2022-07-21T00:00:00"/>
    <s v="FA"/>
    <s v="1052/4836"/>
    <s v="kpl"/>
    <n v="2915"/>
    <n v="51"/>
    <n v="87"/>
    <x v="173"/>
    <n v="1020.51"/>
    <n v="5457.51"/>
    <x v="6"/>
  </r>
  <r>
    <n v="2817"/>
    <x v="6"/>
    <n v="8"/>
    <d v="2022-02-11T00:00:00"/>
    <s v="FA"/>
    <s v="1052/4837"/>
    <s v="kpl"/>
    <n v="2916"/>
    <n v="33"/>
    <n v="84"/>
    <x v="94"/>
    <n v="637.56000000000006"/>
    <n v="3409.56"/>
    <x v="9"/>
  </r>
  <r>
    <n v="2818"/>
    <x v="20"/>
    <n v="7"/>
    <d v="2022-04-17T00:00:00"/>
    <s v="FA"/>
    <s v="1052/4838"/>
    <s v="kpl"/>
    <n v="2917"/>
    <n v="51"/>
    <n v="104"/>
    <x v="426"/>
    <n v="1219.92"/>
    <n v="6523.92"/>
    <x v="1"/>
  </r>
  <r>
    <n v="2819"/>
    <x v="3"/>
    <n v="8"/>
    <d v="2022-09-14T00:00:00"/>
    <s v="FA"/>
    <s v="1052/4839"/>
    <s v="kpl"/>
    <n v="2918"/>
    <n v="57"/>
    <n v="88"/>
    <x v="156"/>
    <n v="1153.68"/>
    <n v="6169.68"/>
    <x v="7"/>
  </r>
  <r>
    <n v="2820"/>
    <x v="13"/>
    <n v="9"/>
    <d v="2022-10-18T00:00:00"/>
    <s v="FA"/>
    <s v="1052/4840"/>
    <s v="kpl"/>
    <n v="2919"/>
    <n v="63"/>
    <n v="88"/>
    <x v="65"/>
    <n v="1275.1200000000001"/>
    <n v="6819.12"/>
    <x v="5"/>
  </r>
  <r>
    <n v="2821"/>
    <x v="23"/>
    <n v="9"/>
    <d v="2022-01-26T00:00:00"/>
    <s v="FA"/>
    <s v="1052/4841"/>
    <s v="kpl"/>
    <n v="2920"/>
    <n v="66"/>
    <n v="105"/>
    <x v="763"/>
    <n v="1593.9"/>
    <n v="8523.9"/>
    <x v="0"/>
  </r>
  <r>
    <n v="2822"/>
    <x v="4"/>
    <n v="15"/>
    <d v="2022-04-14T00:00:00"/>
    <s v="FA"/>
    <s v="1052/4842"/>
    <s v="kpl"/>
    <n v="2921"/>
    <n v="51"/>
    <n v="85"/>
    <x v="700"/>
    <n v="997.05000000000007"/>
    <n v="5332.05"/>
    <x v="1"/>
  </r>
  <r>
    <n v="2823"/>
    <x v="4"/>
    <n v="15"/>
    <d v="2022-01-07T00:00:00"/>
    <s v="FA"/>
    <s v="1052/4843"/>
    <s v="kpl"/>
    <n v="2922"/>
    <n v="44"/>
    <n v="85"/>
    <x v="18"/>
    <n v="860.2"/>
    <n v="4600.2"/>
    <x v="0"/>
  </r>
  <r>
    <n v="2824"/>
    <x v="11"/>
    <n v="10"/>
    <d v="2022-08-03T00:00:00"/>
    <s v="FA"/>
    <s v="1052/4844"/>
    <s v="kpl"/>
    <n v="2923"/>
    <n v="44"/>
    <n v="93"/>
    <x v="466"/>
    <n v="941.16000000000008"/>
    <n v="5033.16"/>
    <x v="11"/>
  </r>
  <r>
    <n v="2825"/>
    <x v="14"/>
    <n v="9"/>
    <d v="2022-03-03T00:00:00"/>
    <s v="FA"/>
    <s v="1052/4845"/>
    <s v="kpl"/>
    <n v="2924"/>
    <n v="46"/>
    <n v="86"/>
    <x v="99"/>
    <n v="909.88"/>
    <n v="4865.88"/>
    <x v="3"/>
  </r>
  <r>
    <n v="2826"/>
    <x v="10"/>
    <n v="8"/>
    <d v="2022-04-01T00:00:00"/>
    <s v="FA"/>
    <s v="1052/4846"/>
    <s v="kpl"/>
    <n v="2925"/>
    <n v="32"/>
    <n v="84"/>
    <x v="733"/>
    <n v="618.24"/>
    <n v="3306.24"/>
    <x v="1"/>
  </r>
  <r>
    <n v="2827"/>
    <x v="2"/>
    <n v="8"/>
    <d v="2022-01-04T00:00:00"/>
    <s v="FA"/>
    <s v="1052/4847"/>
    <s v="kpl"/>
    <n v="2926"/>
    <n v="57"/>
    <n v="84"/>
    <x v="127"/>
    <n v="1101.24"/>
    <n v="5889.24"/>
    <x v="0"/>
  </r>
  <r>
    <n v="2828"/>
    <x v="9"/>
    <n v="9"/>
    <d v="2022-07-06T00:00:00"/>
    <s v="FA"/>
    <s v="1052/4848"/>
    <s v="kpl"/>
    <n v="2927"/>
    <n v="46"/>
    <n v="108"/>
    <x v="659"/>
    <n v="1142.6400000000001"/>
    <n v="6110.64"/>
    <x v="6"/>
  </r>
  <r>
    <n v="2829"/>
    <x v="15"/>
    <n v="10"/>
    <d v="2022-08-08T00:00:00"/>
    <s v="FA"/>
    <s v="1052/4849"/>
    <s v="kpl"/>
    <n v="2928"/>
    <n v="61"/>
    <n v="90"/>
    <x v="401"/>
    <n v="1262.7"/>
    <n v="6752.7"/>
    <x v="11"/>
  </r>
  <r>
    <n v="2830"/>
    <x v="21"/>
    <n v="11"/>
    <d v="2022-08-22T00:00:00"/>
    <s v="FA"/>
    <s v="1052/4850"/>
    <s v="kpl"/>
    <n v="2929"/>
    <n v="39"/>
    <n v="87"/>
    <x v="245"/>
    <n v="780.39"/>
    <n v="4173.3900000000003"/>
    <x v="11"/>
  </r>
  <r>
    <n v="2831"/>
    <x v="6"/>
    <n v="8"/>
    <d v="2022-02-13T00:00:00"/>
    <s v="FA"/>
    <s v="1052/4851"/>
    <s v="kpl"/>
    <n v="2930"/>
    <n v="48"/>
    <n v="84"/>
    <x v="66"/>
    <n v="927.36"/>
    <n v="4959.3599999999997"/>
    <x v="9"/>
  </r>
  <r>
    <n v="2832"/>
    <x v="24"/>
    <n v="11"/>
    <d v="2022-07-24T00:00:00"/>
    <s v="FA"/>
    <s v="1052/4852"/>
    <s v="kpl"/>
    <n v="2931"/>
    <n v="66"/>
    <n v="129"/>
    <x v="764"/>
    <n v="1958.22"/>
    <n v="10472.219999999999"/>
    <x v="6"/>
  </r>
  <r>
    <n v="2833"/>
    <x v="11"/>
    <n v="11"/>
    <d v="2022-05-11T00:00:00"/>
    <s v="FA"/>
    <s v="1052/4853"/>
    <s v="kpl"/>
    <n v="2932"/>
    <n v="45"/>
    <n v="93"/>
    <x v="305"/>
    <n v="962.55000000000007"/>
    <n v="5147.55"/>
    <x v="10"/>
  </r>
  <r>
    <n v="2834"/>
    <x v="4"/>
    <n v="9"/>
    <d v="2022-04-06T00:00:00"/>
    <s v="FA"/>
    <s v="1052/4854"/>
    <s v="kpl"/>
    <n v="2933"/>
    <n v="56"/>
    <n v="85"/>
    <x v="615"/>
    <n v="1094.8"/>
    <n v="5854.8"/>
    <x v="1"/>
  </r>
  <r>
    <n v="2835"/>
    <x v="21"/>
    <n v="10"/>
    <d v="2022-01-03T00:00:00"/>
    <s v="FA"/>
    <s v="1052/4855"/>
    <s v="kpl"/>
    <n v="2934"/>
    <n v="60"/>
    <n v="87"/>
    <x v="6"/>
    <n v="1200.6000000000001"/>
    <n v="6420.6"/>
    <x v="0"/>
  </r>
  <r>
    <n v="2836"/>
    <x v="8"/>
    <n v="9"/>
    <d v="2022-12-05T00:00:00"/>
    <s v="FA"/>
    <s v="1052/4856"/>
    <s v="kpl"/>
    <n v="2935"/>
    <n v="68"/>
    <n v="89"/>
    <x v="765"/>
    <n v="1391.96"/>
    <n v="7443.96"/>
    <x v="2"/>
  </r>
  <r>
    <n v="2837"/>
    <x v="17"/>
    <n v="10"/>
    <d v="2022-10-08T00:00:00"/>
    <s v="FA"/>
    <s v="1052/4857"/>
    <s v="kpl"/>
    <n v="2936"/>
    <n v="43"/>
    <n v="94"/>
    <x v="211"/>
    <n v="929.66000000000008"/>
    <n v="4971.66"/>
    <x v="5"/>
  </r>
  <r>
    <n v="2838"/>
    <x v="4"/>
    <n v="8"/>
    <d v="2022-04-04T00:00:00"/>
    <s v="FA"/>
    <s v="1052/4858"/>
    <s v="kpl"/>
    <n v="2937"/>
    <n v="31"/>
    <n v="85"/>
    <x v="766"/>
    <n v="606.05000000000007"/>
    <n v="3241.05"/>
    <x v="1"/>
  </r>
  <r>
    <n v="2839"/>
    <x v="29"/>
    <n v="10"/>
    <d v="2022-11-11T00:00:00"/>
    <s v="FA"/>
    <s v="1052/4859"/>
    <s v="kpl"/>
    <n v="2938"/>
    <n v="52"/>
    <n v="103"/>
    <x v="748"/>
    <n v="1231.8800000000001"/>
    <n v="6587.88"/>
    <x v="8"/>
  </r>
  <r>
    <n v="2840"/>
    <x v="22"/>
    <n v="8"/>
    <d v="2022-12-07T00:00:00"/>
    <s v="FA"/>
    <s v="1052/4860"/>
    <s v="kpl"/>
    <n v="2939"/>
    <n v="43"/>
    <n v="125"/>
    <x v="92"/>
    <n v="1236.25"/>
    <n v="6611.25"/>
    <x v="2"/>
  </r>
  <r>
    <n v="2841"/>
    <x v="25"/>
    <n v="6"/>
    <d v="2022-10-10T00:00:00"/>
    <s v="FA"/>
    <s v="1052/4861"/>
    <s v="kpl"/>
    <n v="2940"/>
    <n v="47"/>
    <n v="59"/>
    <x v="529"/>
    <n v="637.79000000000008"/>
    <n v="3410.79"/>
    <x v="5"/>
  </r>
  <r>
    <n v="2842"/>
    <x v="15"/>
    <n v="7"/>
    <d v="2022-05-07T00:00:00"/>
    <s v="FA"/>
    <s v="1052/4862"/>
    <s v="kpl"/>
    <n v="2941"/>
    <n v="48"/>
    <n v="90"/>
    <x v="312"/>
    <n v="993.6"/>
    <n v="5313.6"/>
    <x v="10"/>
  </r>
  <r>
    <n v="2843"/>
    <x v="13"/>
    <n v="3"/>
    <d v="2022-07-03T00:00:00"/>
    <s v="FA"/>
    <s v="1052/4863"/>
    <s v="kpl"/>
    <n v="2942"/>
    <n v="34"/>
    <n v="88"/>
    <x v="122"/>
    <n v="688.16000000000008"/>
    <n v="3680.16"/>
    <x v="6"/>
  </r>
  <r>
    <n v="2844"/>
    <x v="19"/>
    <n v="5"/>
    <d v="2022-08-28T00:00:00"/>
    <s v="FA"/>
    <s v="1052/4864"/>
    <s v="kpl"/>
    <n v="2943"/>
    <n v="47"/>
    <n v="121"/>
    <x v="356"/>
    <n v="1308.01"/>
    <n v="6995.01"/>
    <x v="11"/>
  </r>
  <r>
    <n v="2845"/>
    <x v="9"/>
    <n v="14"/>
    <d v="2022-04-27T00:00:00"/>
    <s v="FA"/>
    <s v="1052/4865"/>
    <s v="kpl"/>
    <n v="2944"/>
    <n v="50"/>
    <n v="108"/>
    <x v="385"/>
    <n v="1242"/>
    <n v="6642"/>
    <x v="1"/>
  </r>
  <r>
    <n v="2846"/>
    <x v="7"/>
    <n v="9"/>
    <d v="2022-12-25T00:00:00"/>
    <s v="FA"/>
    <s v="1052/4866"/>
    <s v="kpl"/>
    <n v="2945"/>
    <n v="57"/>
    <n v="96"/>
    <x v="655"/>
    <n v="1258.56"/>
    <n v="6730.5599999999995"/>
    <x v="2"/>
  </r>
  <r>
    <n v="2847"/>
    <x v="12"/>
    <n v="9"/>
    <d v="2022-10-05T00:00:00"/>
    <s v="FA"/>
    <s v="1052/4867"/>
    <s v="kpl"/>
    <n v="2946"/>
    <n v="59"/>
    <n v="91"/>
    <x v="430"/>
    <n v="1234.8700000000001"/>
    <n v="6603.87"/>
    <x v="5"/>
  </r>
  <r>
    <n v="2848"/>
    <x v="9"/>
    <n v="8"/>
    <d v="2022-06-11T00:00:00"/>
    <s v="FA"/>
    <s v="1052/4868"/>
    <s v="kpl"/>
    <n v="2947"/>
    <n v="63"/>
    <n v="108"/>
    <x v="591"/>
    <n v="1564.92"/>
    <n v="8368.92"/>
    <x v="4"/>
  </r>
  <r>
    <n v="2849"/>
    <x v="5"/>
    <n v="9"/>
    <d v="2022-06-05T00:00:00"/>
    <s v="FA"/>
    <s v="1052/4869"/>
    <s v="kpl"/>
    <n v="2948"/>
    <n v="58"/>
    <n v="87"/>
    <x v="108"/>
    <n v="1160.5800000000002"/>
    <n v="6206.58"/>
    <x v="4"/>
  </r>
  <r>
    <n v="2850"/>
    <x v="8"/>
    <n v="10"/>
    <d v="2022-03-27T00:00:00"/>
    <s v="FA"/>
    <s v="1052/4870"/>
    <s v="kpl"/>
    <n v="2949"/>
    <n v="55"/>
    <n v="89"/>
    <x v="168"/>
    <n v="1125.8500000000001"/>
    <n v="6020.85"/>
    <x v="3"/>
  </r>
  <r>
    <n v="2851"/>
    <x v="29"/>
    <n v="8"/>
    <d v="2022-11-28T00:00:00"/>
    <s v="FA"/>
    <s v="1052/4871"/>
    <s v="kpl"/>
    <n v="2950"/>
    <n v="54"/>
    <n v="103"/>
    <x v="732"/>
    <n v="1279.26"/>
    <n v="6841.26"/>
    <x v="8"/>
  </r>
  <r>
    <n v="2852"/>
    <x v="2"/>
    <n v="9"/>
    <d v="2022-01-15T00:00:00"/>
    <s v="FA"/>
    <s v="1052/4872"/>
    <s v="kpl"/>
    <n v="2951"/>
    <n v="67"/>
    <n v="84"/>
    <x v="105"/>
    <n v="1294.44"/>
    <n v="6922.4400000000005"/>
    <x v="0"/>
  </r>
  <r>
    <n v="2853"/>
    <x v="13"/>
    <n v="8"/>
    <d v="2022-12-03T00:00:00"/>
    <s v="FA"/>
    <s v="1052/4873"/>
    <s v="kpl"/>
    <n v="2952"/>
    <n v="62"/>
    <n v="88"/>
    <x v="565"/>
    <n v="1254.8800000000001"/>
    <n v="6710.88"/>
    <x v="2"/>
  </r>
  <r>
    <n v="2854"/>
    <x v="19"/>
    <n v="9"/>
    <d v="2022-09-12T00:00:00"/>
    <s v="FA"/>
    <s v="1052/4874"/>
    <s v="kpl"/>
    <n v="2953"/>
    <n v="50"/>
    <n v="121"/>
    <x v="197"/>
    <n v="1391.5"/>
    <n v="7441.5"/>
    <x v="7"/>
  </r>
  <r>
    <n v="2855"/>
    <x v="28"/>
    <n v="12"/>
    <d v="2022-11-27T00:00:00"/>
    <s v="FA"/>
    <s v="1052/4875"/>
    <s v="kpl"/>
    <n v="2954"/>
    <n v="36"/>
    <n v="105"/>
    <x v="12"/>
    <n v="869.40000000000009"/>
    <n v="4649.3999999999996"/>
    <x v="8"/>
  </r>
  <r>
    <n v="2856"/>
    <x v="21"/>
    <n v="10"/>
    <d v="2022-09-12T00:00:00"/>
    <s v="FA"/>
    <s v="1052/4876"/>
    <s v="kpl"/>
    <n v="2955"/>
    <n v="40"/>
    <n v="87"/>
    <x v="180"/>
    <n v="800.40000000000009"/>
    <n v="4280.3999999999996"/>
    <x v="7"/>
  </r>
  <r>
    <n v="2857"/>
    <x v="4"/>
    <n v="13"/>
    <d v="2022-05-12T00:00:00"/>
    <s v="FA"/>
    <s v="1052/4877"/>
    <s v="kpl"/>
    <n v="2956"/>
    <n v="51"/>
    <n v="85"/>
    <x v="700"/>
    <n v="997.05000000000007"/>
    <n v="5332.05"/>
    <x v="10"/>
  </r>
  <r>
    <n v="2858"/>
    <x v="20"/>
    <n v="8"/>
    <d v="2022-04-07T00:00:00"/>
    <s v="FA"/>
    <s v="1052/4878"/>
    <s v="kpl"/>
    <n v="2957"/>
    <n v="41"/>
    <n v="104"/>
    <x v="308"/>
    <n v="980.72"/>
    <n v="5244.72"/>
    <x v="1"/>
  </r>
  <r>
    <n v="2859"/>
    <x v="0"/>
    <n v="16"/>
    <d v="2022-03-26T00:00:00"/>
    <s v="FA"/>
    <s v="1052/4879"/>
    <s v="kpl"/>
    <n v="2958"/>
    <n v="47"/>
    <n v="83"/>
    <x v="282"/>
    <n v="897.23"/>
    <n v="4798.2299999999996"/>
    <x v="3"/>
  </r>
  <r>
    <n v="2860"/>
    <x v="22"/>
    <n v="13"/>
    <d v="2022-08-22T00:00:00"/>
    <s v="FA"/>
    <s v="1052/4880"/>
    <s v="kpl"/>
    <n v="2959"/>
    <n v="48"/>
    <n v="125"/>
    <x v="672"/>
    <n v="1380"/>
    <n v="7380"/>
    <x v="11"/>
  </r>
  <r>
    <n v="2861"/>
    <x v="11"/>
    <n v="10"/>
    <d v="2022-02-03T00:00:00"/>
    <s v="FA"/>
    <s v="1052/4881"/>
    <s v="kpl"/>
    <n v="2960"/>
    <n v="49"/>
    <n v="93"/>
    <x v="381"/>
    <n v="1048.1100000000001"/>
    <n v="5605.1100000000006"/>
    <x v="9"/>
  </r>
  <r>
    <n v="2862"/>
    <x v="23"/>
    <n v="12"/>
    <d v="2022-07-01T00:00:00"/>
    <s v="FA"/>
    <s v="1052/4882"/>
    <s v="kpl"/>
    <n v="2961"/>
    <n v="31"/>
    <n v="105"/>
    <x v="403"/>
    <n v="748.65"/>
    <n v="4003.65"/>
    <x v="6"/>
  </r>
  <r>
    <n v="2863"/>
    <x v="20"/>
    <n v="9"/>
    <d v="2022-05-18T00:00:00"/>
    <s v="FA"/>
    <s v="1052/4883"/>
    <s v="kpl"/>
    <n v="2962"/>
    <n v="72"/>
    <n v="104"/>
    <x v="767"/>
    <n v="1722.24"/>
    <n v="9210.24"/>
    <x v="10"/>
  </r>
  <r>
    <n v="2864"/>
    <x v="5"/>
    <n v="12"/>
    <d v="2022-06-07T00:00:00"/>
    <s v="FA"/>
    <s v="1052/4884"/>
    <s v="kpl"/>
    <n v="2963"/>
    <n v="45"/>
    <n v="87"/>
    <x v="139"/>
    <n v="900.45"/>
    <n v="4815.45"/>
    <x v="4"/>
  </r>
  <r>
    <n v="2865"/>
    <x v="5"/>
    <n v="10"/>
    <d v="2022-08-15T00:00:00"/>
    <s v="FA"/>
    <s v="1052/4885"/>
    <s v="kpl"/>
    <n v="2964"/>
    <n v="43"/>
    <n v="87"/>
    <x v="264"/>
    <n v="860.43000000000006"/>
    <n v="4601.43"/>
    <x v="11"/>
  </r>
  <r>
    <n v="2866"/>
    <x v="22"/>
    <n v="12"/>
    <d v="2022-10-03T00:00:00"/>
    <s v="FA"/>
    <s v="1052/4886"/>
    <s v="kpl"/>
    <n v="2965"/>
    <n v="48"/>
    <n v="125"/>
    <x v="672"/>
    <n v="1380"/>
    <n v="7380"/>
    <x v="5"/>
  </r>
  <r>
    <n v="2867"/>
    <x v="3"/>
    <n v="8"/>
    <d v="2022-06-24T00:00:00"/>
    <s v="FA"/>
    <s v="1052/4887"/>
    <s v="kpl"/>
    <n v="2966"/>
    <n v="68"/>
    <n v="88"/>
    <x v="135"/>
    <n v="1376.3200000000002"/>
    <n v="7360.32"/>
    <x v="4"/>
  </r>
  <r>
    <n v="2868"/>
    <x v="3"/>
    <n v="20"/>
    <d v="2022-07-28T00:00:00"/>
    <s v="FA"/>
    <s v="1052/4888"/>
    <s v="kpl"/>
    <n v="2967"/>
    <n v="76"/>
    <n v="88"/>
    <x v="768"/>
    <n v="1538.24"/>
    <n v="8226.24"/>
    <x v="6"/>
  </r>
  <r>
    <n v="2869"/>
    <x v="26"/>
    <n v="9"/>
    <d v="2022-06-07T00:00:00"/>
    <s v="FA"/>
    <s v="1052/4889"/>
    <s v="kpl"/>
    <n v="2968"/>
    <n v="45"/>
    <n v="99"/>
    <x v="121"/>
    <n v="1024.6500000000001"/>
    <n v="5479.65"/>
    <x v="4"/>
  </r>
  <r>
    <n v="2870"/>
    <x v="28"/>
    <n v="12"/>
    <d v="2022-01-27T00:00:00"/>
    <s v="FA"/>
    <s v="1052/4890"/>
    <s v="kpl"/>
    <n v="2969"/>
    <n v="46"/>
    <n v="105"/>
    <x v="240"/>
    <n v="1110.9000000000001"/>
    <n v="5940.9"/>
    <x v="0"/>
  </r>
  <r>
    <n v="2871"/>
    <x v="29"/>
    <n v="12"/>
    <d v="2022-07-27T00:00:00"/>
    <s v="FA"/>
    <s v="1052/4891"/>
    <s v="kpl"/>
    <n v="2970"/>
    <n v="63"/>
    <n v="103"/>
    <x v="752"/>
    <n v="1492.47"/>
    <n v="7981.47"/>
    <x v="6"/>
  </r>
  <r>
    <n v="2872"/>
    <x v="7"/>
    <n v="10"/>
    <d v="2022-12-27T00:00:00"/>
    <s v="FA"/>
    <s v="1052/4892"/>
    <s v="kpl"/>
    <n v="2971"/>
    <n v="50"/>
    <n v="96"/>
    <x v="31"/>
    <n v="1104"/>
    <n v="5904"/>
    <x v="2"/>
  </r>
  <r>
    <n v="2873"/>
    <x v="23"/>
    <n v="9"/>
    <d v="2022-05-08T00:00:00"/>
    <s v="FA"/>
    <s v="1052/4893"/>
    <s v="kpl"/>
    <n v="2972"/>
    <n v="52"/>
    <n v="105"/>
    <x v="260"/>
    <n v="1255.8"/>
    <n v="6715.8"/>
    <x v="10"/>
  </r>
  <r>
    <n v="2874"/>
    <x v="10"/>
    <n v="10"/>
    <d v="2022-10-07T00:00:00"/>
    <s v="FA"/>
    <s v="1052/4894"/>
    <s v="kpl"/>
    <n v="2973"/>
    <n v="42"/>
    <n v="84"/>
    <x v="7"/>
    <n v="811.44"/>
    <n v="4339.4400000000005"/>
    <x v="5"/>
  </r>
  <r>
    <n v="2875"/>
    <x v="7"/>
    <n v="12"/>
    <d v="2022-07-28T00:00:00"/>
    <s v="FA"/>
    <s v="1052/4895"/>
    <s v="kpl"/>
    <n v="2974"/>
    <n v="54"/>
    <n v="96"/>
    <x v="432"/>
    <n v="1192.3200000000002"/>
    <n v="6376.32"/>
    <x v="6"/>
  </r>
  <r>
    <n v="2876"/>
    <x v="9"/>
    <n v="8"/>
    <d v="2022-04-05T00:00:00"/>
    <s v="FA"/>
    <s v="1052/4896"/>
    <s v="kpl"/>
    <n v="2975"/>
    <n v="39"/>
    <n v="108"/>
    <x v="289"/>
    <n v="968.76"/>
    <n v="5180.76"/>
    <x v="1"/>
  </r>
  <r>
    <n v="2877"/>
    <x v="5"/>
    <n v="13"/>
    <d v="2022-12-21T00:00:00"/>
    <s v="FA"/>
    <s v="1052/4897"/>
    <s v="kpl"/>
    <n v="2976"/>
    <n v="52"/>
    <n v="87"/>
    <x v="453"/>
    <n v="1040.52"/>
    <n v="5564.52"/>
    <x v="2"/>
  </r>
  <r>
    <n v="2878"/>
    <x v="2"/>
    <n v="6"/>
    <d v="2022-04-04T00:00:00"/>
    <s v="FA"/>
    <s v="1052/4898"/>
    <s v="kpl"/>
    <n v="2977"/>
    <n v="39"/>
    <n v="84"/>
    <x v="104"/>
    <n v="753.48"/>
    <n v="4029.48"/>
    <x v="1"/>
  </r>
  <r>
    <n v="2879"/>
    <x v="17"/>
    <n v="6"/>
    <d v="2022-03-14T00:00:00"/>
    <s v="FA"/>
    <s v="1052/4899"/>
    <s v="kpl"/>
    <n v="2978"/>
    <n v="39"/>
    <n v="94"/>
    <x v="769"/>
    <n v="843.18000000000006"/>
    <n v="4509.18"/>
    <x v="3"/>
  </r>
  <r>
    <n v="2880"/>
    <x v="0"/>
    <n v="12"/>
    <d v="2022-11-11T00:00:00"/>
    <s v="FA"/>
    <s v="1052/4900"/>
    <s v="kpl"/>
    <n v="2979"/>
    <n v="46"/>
    <n v="83"/>
    <x v="542"/>
    <n v="878.14"/>
    <n v="4696.1400000000003"/>
    <x v="8"/>
  </r>
  <r>
    <n v="2881"/>
    <x v="8"/>
    <n v="9"/>
    <d v="2022-10-28T00:00:00"/>
    <s v="FA"/>
    <s v="1052/4901"/>
    <s v="kpl"/>
    <n v="2980"/>
    <n v="46"/>
    <n v="89"/>
    <x v="444"/>
    <n v="941.62"/>
    <n v="5035.62"/>
    <x v="5"/>
  </r>
  <r>
    <n v="2882"/>
    <x v="2"/>
    <n v="9"/>
    <d v="2022-06-01T00:00:00"/>
    <s v="FA"/>
    <s v="1052/4902"/>
    <s v="kpl"/>
    <n v="2981"/>
    <n v="66"/>
    <n v="84"/>
    <x v="65"/>
    <n v="1275.1200000000001"/>
    <n v="6819.12"/>
    <x v="4"/>
  </r>
  <r>
    <n v="2883"/>
    <x v="12"/>
    <n v="9"/>
    <d v="2022-02-25T00:00:00"/>
    <s v="FA"/>
    <s v="1052/4903"/>
    <s v="kpl"/>
    <n v="2982"/>
    <n v="72"/>
    <n v="91"/>
    <x v="280"/>
    <n v="1506.96"/>
    <n v="8058.96"/>
    <x v="9"/>
  </r>
  <r>
    <n v="2884"/>
    <x v="27"/>
    <n v="5"/>
    <d v="2022-03-23T00:00:00"/>
    <s v="FA"/>
    <s v="1052/4904"/>
    <s v="kpl"/>
    <n v="2983"/>
    <n v="59"/>
    <n v="111"/>
    <x v="654"/>
    <n v="1506.27"/>
    <n v="8055.27"/>
    <x v="3"/>
  </r>
  <r>
    <n v="2885"/>
    <x v="23"/>
    <n v="7"/>
    <d v="2022-01-06T00:00:00"/>
    <s v="FA"/>
    <s v="1052/4905"/>
    <s v="kpl"/>
    <n v="2984"/>
    <n v="36"/>
    <n v="105"/>
    <x v="12"/>
    <n v="869.40000000000009"/>
    <n v="4649.3999999999996"/>
    <x v="0"/>
  </r>
  <r>
    <n v="2886"/>
    <x v="15"/>
    <n v="11"/>
    <d v="2022-02-08T00:00:00"/>
    <s v="FA"/>
    <s v="1052/4906"/>
    <s v="kpl"/>
    <n v="2985"/>
    <n v="51"/>
    <n v="90"/>
    <x v="495"/>
    <n v="1055.7"/>
    <n v="5645.7"/>
    <x v="9"/>
  </r>
  <r>
    <n v="2887"/>
    <x v="21"/>
    <n v="9"/>
    <d v="2022-08-18T00:00:00"/>
    <s v="FA"/>
    <s v="1052/4907"/>
    <s v="kpl"/>
    <n v="2986"/>
    <n v="35"/>
    <n v="87"/>
    <x v="28"/>
    <n v="700.35"/>
    <n v="3745.35"/>
    <x v="11"/>
  </r>
  <r>
    <n v="2888"/>
    <x v="6"/>
    <n v="12"/>
    <d v="2022-02-10T00:00:00"/>
    <s v="FA"/>
    <s v="1052/4908"/>
    <s v="kpl"/>
    <n v="2987"/>
    <n v="41"/>
    <n v="84"/>
    <x v="39"/>
    <n v="792.12"/>
    <n v="4236.12"/>
    <x v="9"/>
  </r>
  <r>
    <n v="2889"/>
    <x v="9"/>
    <n v="15"/>
    <d v="2022-11-01T00:00:00"/>
    <s v="FA"/>
    <s v="1052/4909"/>
    <s v="kpl"/>
    <n v="2988"/>
    <n v="34"/>
    <n v="108"/>
    <x v="421"/>
    <n v="844.56000000000006"/>
    <n v="4516.5600000000004"/>
    <x v="8"/>
  </r>
  <r>
    <n v="2890"/>
    <x v="29"/>
    <n v="6"/>
    <d v="2022-04-08T00:00:00"/>
    <s v="FA"/>
    <s v="1052/4910"/>
    <s v="kpl"/>
    <n v="2989"/>
    <n v="37"/>
    <n v="103"/>
    <x v="726"/>
    <n v="876.53000000000009"/>
    <n v="4687.53"/>
    <x v="1"/>
  </r>
  <r>
    <n v="2891"/>
    <x v="8"/>
    <n v="13"/>
    <d v="2022-12-20T00:00:00"/>
    <s v="FA"/>
    <s v="1052/4911"/>
    <s v="kpl"/>
    <n v="2990"/>
    <n v="51"/>
    <n v="89"/>
    <x v="504"/>
    <n v="1043.97"/>
    <n v="5582.97"/>
    <x v="2"/>
  </r>
  <r>
    <n v="2892"/>
    <x v="13"/>
    <n v="3"/>
    <d v="2022-03-27T00:00:00"/>
    <s v="FA"/>
    <s v="1052/4912"/>
    <s v="kpl"/>
    <n v="2991"/>
    <n v="59"/>
    <n v="88"/>
    <x v="36"/>
    <n v="1194.1600000000001"/>
    <n v="6386.16"/>
    <x v="3"/>
  </r>
  <r>
    <n v="2893"/>
    <x v="1"/>
    <n v="5"/>
    <d v="2022-03-04T00:00:00"/>
    <s v="FA"/>
    <s v="1052/4913"/>
    <s v="kpl"/>
    <n v="2992"/>
    <n v="51"/>
    <n v="99"/>
    <x v="222"/>
    <n v="1161.27"/>
    <n v="6210.27"/>
    <x v="3"/>
  </r>
  <r>
    <n v="2894"/>
    <x v="25"/>
    <n v="11"/>
    <d v="2022-08-28T00:00:00"/>
    <s v="FA"/>
    <s v="1052/4914"/>
    <s v="kpl"/>
    <n v="2993"/>
    <n v="55"/>
    <n v="59"/>
    <x v="259"/>
    <n v="746.35"/>
    <n v="3991.35"/>
    <x v="11"/>
  </r>
  <r>
    <n v="2895"/>
    <x v="17"/>
    <n v="8"/>
    <d v="2022-10-03T00:00:00"/>
    <s v="FA"/>
    <s v="1052/4915"/>
    <s v="kpl"/>
    <n v="2994"/>
    <n v="55"/>
    <n v="94"/>
    <x v="163"/>
    <n v="1189.1000000000001"/>
    <n v="6359.1"/>
    <x v="5"/>
  </r>
  <r>
    <n v="2896"/>
    <x v="27"/>
    <n v="10"/>
    <d v="2022-07-16T00:00:00"/>
    <s v="FA"/>
    <s v="1052/4916"/>
    <s v="kpl"/>
    <n v="2995"/>
    <n v="56"/>
    <n v="111"/>
    <x v="439"/>
    <n v="1429.68"/>
    <n v="7645.68"/>
    <x v="6"/>
  </r>
  <r>
    <n v="2897"/>
    <x v="7"/>
    <n v="11"/>
    <d v="2022-08-13T00:00:00"/>
    <s v="FA"/>
    <s v="1052/4917"/>
    <s v="kpl"/>
    <n v="2996"/>
    <n v="46"/>
    <n v="96"/>
    <x v="355"/>
    <n v="1015.6800000000001"/>
    <n v="5431.68"/>
    <x v="11"/>
  </r>
  <r>
    <n v="2898"/>
    <x v="12"/>
    <n v="8"/>
    <d v="2022-03-09T00:00:00"/>
    <s v="FA"/>
    <s v="1052/4918"/>
    <s v="kpl"/>
    <n v="2997"/>
    <n v="55"/>
    <n v="91"/>
    <x v="227"/>
    <n v="1151.1500000000001"/>
    <n v="6156.15"/>
    <x v="3"/>
  </r>
  <r>
    <n v="2899"/>
    <x v="7"/>
    <n v="9"/>
    <d v="2022-11-04T00:00:00"/>
    <s v="FA"/>
    <s v="1052/4919"/>
    <s v="kpl"/>
    <n v="2998"/>
    <n v="30"/>
    <n v="96"/>
    <x v="287"/>
    <n v="662.4"/>
    <n v="3542.4"/>
    <x v="8"/>
  </r>
  <r>
    <n v="2900"/>
    <x v="3"/>
    <n v="8"/>
    <d v="2022-02-16T00:00:00"/>
    <s v="FA"/>
    <s v="1052/4920"/>
    <s v="kpl"/>
    <n v="2999"/>
    <n v="65"/>
    <n v="88"/>
    <x v="138"/>
    <n v="1315.6000000000001"/>
    <n v="7035.6"/>
    <x v="9"/>
  </r>
  <r>
    <n v="2901"/>
    <x v="19"/>
    <n v="5"/>
    <d v="2022-07-07T00:00:00"/>
    <s v="FA"/>
    <s v="1052/4921"/>
    <s v="kpl"/>
    <n v="3000"/>
    <n v="49"/>
    <n v="121"/>
    <x v="572"/>
    <n v="1363.67"/>
    <n v="7292.67"/>
    <x v="6"/>
  </r>
  <r>
    <n v="2902"/>
    <x v="26"/>
    <n v="10"/>
    <d v="2022-07-08T00:00:00"/>
    <s v="FA"/>
    <s v="1052/4922"/>
    <s v="kpl"/>
    <n v="3001"/>
    <n v="65"/>
    <n v="99"/>
    <x v="202"/>
    <n v="1480.05"/>
    <n v="7915.05"/>
    <x v="6"/>
  </r>
  <r>
    <n v="2903"/>
    <x v="0"/>
    <n v="8"/>
    <d v="2022-08-15T00:00:00"/>
    <s v="FA"/>
    <s v="1052/4923"/>
    <s v="kpl"/>
    <n v="3002"/>
    <n v="33"/>
    <n v="83"/>
    <x v="656"/>
    <n v="629.97"/>
    <n v="3368.9700000000003"/>
    <x v="11"/>
  </r>
  <r>
    <n v="2904"/>
    <x v="17"/>
    <n v="7"/>
    <d v="2022-09-13T00:00:00"/>
    <s v="FA"/>
    <s v="1052/4924"/>
    <s v="kpl"/>
    <n v="3003"/>
    <n v="55"/>
    <n v="94"/>
    <x v="163"/>
    <n v="1189.1000000000001"/>
    <n v="6359.1"/>
    <x v="7"/>
  </r>
  <r>
    <n v="2905"/>
    <x v="16"/>
    <n v="11"/>
    <d v="2022-07-18T00:00:00"/>
    <s v="FA"/>
    <s v="1052/4925"/>
    <s v="kpl"/>
    <n v="3004"/>
    <n v="59"/>
    <n v="132"/>
    <x v="34"/>
    <n v="1791.24"/>
    <n v="9579.24"/>
    <x v="6"/>
  </r>
  <r>
    <n v="2906"/>
    <x v="0"/>
    <n v="11"/>
    <d v="2022-07-19T00:00:00"/>
    <s v="FA"/>
    <s v="1052/4926"/>
    <s v="kpl"/>
    <n v="3005"/>
    <n v="45"/>
    <n v="83"/>
    <x v="251"/>
    <n v="859.05000000000007"/>
    <n v="4594.05"/>
    <x v="6"/>
  </r>
  <r>
    <n v="2907"/>
    <x v="27"/>
    <n v="14"/>
    <d v="2022-09-28T00:00:00"/>
    <s v="FA"/>
    <s v="1052/4927"/>
    <s v="kpl"/>
    <n v="3006"/>
    <n v="40"/>
    <n v="111"/>
    <x v="619"/>
    <n v="1021.2"/>
    <n v="5461.2"/>
    <x v="7"/>
  </r>
  <r>
    <n v="2908"/>
    <x v="25"/>
    <n v="10"/>
    <d v="2022-08-21T00:00:00"/>
    <s v="FA"/>
    <s v="1052/4928"/>
    <s v="kpl"/>
    <n v="3007"/>
    <n v="55"/>
    <n v="59"/>
    <x v="259"/>
    <n v="746.35"/>
    <n v="3991.35"/>
    <x v="11"/>
  </r>
  <r>
    <n v="2909"/>
    <x v="13"/>
    <n v="10"/>
    <d v="2022-09-05T00:00:00"/>
    <s v="FA"/>
    <s v="1052/4929"/>
    <s v="kpl"/>
    <n v="3008"/>
    <n v="53"/>
    <n v="88"/>
    <x v="61"/>
    <n v="1072.72"/>
    <n v="5736.72"/>
    <x v="7"/>
  </r>
  <r>
    <n v="2910"/>
    <x v="7"/>
    <n v="13"/>
    <d v="2022-07-17T00:00:00"/>
    <s v="FA"/>
    <s v="1052/4930"/>
    <s v="kpl"/>
    <n v="3009"/>
    <n v="52"/>
    <n v="96"/>
    <x v="299"/>
    <n v="1148.1600000000001"/>
    <n v="6140.16"/>
    <x v="6"/>
  </r>
  <r>
    <n v="2911"/>
    <x v="19"/>
    <n v="16"/>
    <d v="2022-09-17T00:00:00"/>
    <s v="FA"/>
    <s v="1052/4931"/>
    <s v="kpl"/>
    <n v="3010"/>
    <n v="61"/>
    <n v="121"/>
    <x v="770"/>
    <n v="1697.63"/>
    <n v="9078.630000000001"/>
    <x v="7"/>
  </r>
  <r>
    <n v="2912"/>
    <x v="5"/>
    <n v="11"/>
    <d v="2022-12-07T00:00:00"/>
    <s v="FA"/>
    <s v="1052/4932"/>
    <s v="kpl"/>
    <n v="3011"/>
    <n v="56"/>
    <n v="87"/>
    <x v="78"/>
    <n v="1120.56"/>
    <n v="5992.5599999999995"/>
    <x v="2"/>
  </r>
  <r>
    <n v="2913"/>
    <x v="9"/>
    <n v="10"/>
    <d v="2022-11-10T00:00:00"/>
    <s v="FA"/>
    <s v="1052/4933"/>
    <s v="kpl"/>
    <n v="3012"/>
    <n v="55"/>
    <n v="108"/>
    <x v="85"/>
    <n v="1366.2"/>
    <n v="7306.2"/>
    <x v="8"/>
  </r>
  <r>
    <n v="2914"/>
    <x v="6"/>
    <n v="11"/>
    <d v="2022-09-10T00:00:00"/>
    <s v="FA"/>
    <s v="1052/4934"/>
    <s v="kpl"/>
    <n v="3013"/>
    <n v="51"/>
    <n v="84"/>
    <x v="234"/>
    <n v="985.32"/>
    <n v="5269.32"/>
    <x v="7"/>
  </r>
  <r>
    <n v="2915"/>
    <x v="10"/>
    <n v="11"/>
    <d v="2022-03-17T00:00:00"/>
    <s v="FA"/>
    <s v="1052/4935"/>
    <s v="kpl"/>
    <n v="3014"/>
    <n v="35"/>
    <n v="84"/>
    <x v="132"/>
    <n v="676.2"/>
    <n v="3616.2"/>
    <x v="3"/>
  </r>
  <r>
    <n v="2916"/>
    <x v="24"/>
    <n v="6"/>
    <d v="2022-09-03T00:00:00"/>
    <s v="FA"/>
    <s v="1052/4936"/>
    <s v="kpl"/>
    <n v="3015"/>
    <n v="56"/>
    <n v="129"/>
    <x v="261"/>
    <n v="1661.52"/>
    <n v="8885.52"/>
    <x v="7"/>
  </r>
  <r>
    <n v="2917"/>
    <x v="9"/>
    <n v="12"/>
    <d v="2022-07-15T00:00:00"/>
    <s v="FA"/>
    <s v="1052/4937"/>
    <s v="kpl"/>
    <n v="3016"/>
    <n v="35"/>
    <n v="108"/>
    <x v="12"/>
    <n v="869.40000000000009"/>
    <n v="4649.3999999999996"/>
    <x v="6"/>
  </r>
  <r>
    <n v="2918"/>
    <x v="10"/>
    <n v="10"/>
    <d v="2022-05-12T00:00:00"/>
    <s v="FA"/>
    <s v="1052/4938"/>
    <s v="kpl"/>
    <n v="3017"/>
    <n v="45"/>
    <n v="84"/>
    <x v="12"/>
    <n v="869.40000000000009"/>
    <n v="4649.3999999999996"/>
    <x v="10"/>
  </r>
  <r>
    <n v="2919"/>
    <x v="11"/>
    <n v="13"/>
    <d v="2022-11-04T00:00:00"/>
    <s v="FA"/>
    <s v="1052/4939"/>
    <s v="kpl"/>
    <n v="3018"/>
    <n v="48"/>
    <n v="93"/>
    <x v="273"/>
    <n v="1026.72"/>
    <n v="5490.72"/>
    <x v="8"/>
  </r>
  <r>
    <n v="2920"/>
    <x v="2"/>
    <n v="5"/>
    <d v="2022-09-07T00:00:00"/>
    <s v="FA"/>
    <s v="1052/4940"/>
    <s v="kpl"/>
    <n v="3019"/>
    <n v="40"/>
    <n v="84"/>
    <x v="84"/>
    <n v="772.80000000000007"/>
    <n v="4132.8"/>
    <x v="7"/>
  </r>
  <r>
    <n v="2921"/>
    <x v="23"/>
    <n v="11"/>
    <d v="2022-02-26T00:00:00"/>
    <s v="FA"/>
    <s v="1052/4941"/>
    <s v="kpl"/>
    <n v="3020"/>
    <n v="58"/>
    <n v="105"/>
    <x v="172"/>
    <n v="1400.7"/>
    <n v="7490.7"/>
    <x v="9"/>
  </r>
  <r>
    <n v="2922"/>
    <x v="5"/>
    <n v="12"/>
    <d v="2022-05-14T00:00:00"/>
    <s v="FA"/>
    <s v="1052/4942"/>
    <s v="kpl"/>
    <n v="3021"/>
    <n v="46"/>
    <n v="87"/>
    <x v="281"/>
    <n v="920.46"/>
    <n v="4922.46"/>
    <x v="10"/>
  </r>
  <r>
    <n v="2923"/>
    <x v="12"/>
    <n v="12"/>
    <d v="2022-10-01T00:00:00"/>
    <s v="FA"/>
    <s v="1052/4943"/>
    <s v="kpl"/>
    <n v="3022"/>
    <n v="51"/>
    <n v="91"/>
    <x v="771"/>
    <n v="1067.43"/>
    <n v="5708.43"/>
    <x v="5"/>
  </r>
  <r>
    <n v="2924"/>
    <x v="25"/>
    <n v="8"/>
    <d v="2022-11-19T00:00:00"/>
    <s v="FA"/>
    <s v="1052/4944"/>
    <s v="kpl"/>
    <n v="3023"/>
    <n v="61"/>
    <n v="59"/>
    <x v="772"/>
    <n v="827.77"/>
    <n v="4426.7700000000004"/>
    <x v="8"/>
  </r>
  <r>
    <n v="2925"/>
    <x v="22"/>
    <n v="10"/>
    <d v="2022-11-05T00:00:00"/>
    <s v="FA"/>
    <s v="1052/4945"/>
    <s v="kpl"/>
    <n v="3024"/>
    <n v="39"/>
    <n v="125"/>
    <x v="301"/>
    <n v="1121.25"/>
    <n v="5996.25"/>
    <x v="8"/>
  </r>
  <r>
    <n v="2926"/>
    <x v="13"/>
    <n v="10"/>
    <d v="2022-07-21T00:00:00"/>
    <s v="FA"/>
    <s v="1052/4946"/>
    <s v="kpl"/>
    <n v="3025"/>
    <n v="44"/>
    <n v="88"/>
    <x v="360"/>
    <n v="890.56000000000006"/>
    <n v="4762.5600000000004"/>
    <x v="6"/>
  </r>
  <r>
    <n v="2927"/>
    <x v="27"/>
    <n v="6"/>
    <d v="2022-04-03T00:00:00"/>
    <s v="FA"/>
    <s v="1052/4947"/>
    <s v="kpl"/>
    <n v="3026"/>
    <n v="44"/>
    <n v="111"/>
    <x v="621"/>
    <n v="1123.32"/>
    <n v="6007.32"/>
    <x v="1"/>
  </r>
  <r>
    <n v="2928"/>
    <x v="15"/>
    <n v="10"/>
    <d v="2022-09-03T00:00:00"/>
    <s v="FA"/>
    <s v="1052/4948"/>
    <s v="kpl"/>
    <n v="3027"/>
    <n v="45"/>
    <n v="90"/>
    <x v="471"/>
    <n v="931.5"/>
    <n v="4981.5"/>
    <x v="7"/>
  </r>
  <r>
    <n v="2929"/>
    <x v="13"/>
    <n v="9"/>
    <d v="2022-12-23T00:00:00"/>
    <s v="FA"/>
    <s v="1052/4949"/>
    <s v="kpl"/>
    <n v="3028"/>
    <n v="53"/>
    <n v="88"/>
    <x v="61"/>
    <n v="1072.72"/>
    <n v="5736.72"/>
    <x v="2"/>
  </r>
  <r>
    <n v="2930"/>
    <x v="19"/>
    <n v="7"/>
    <d v="2022-06-06T00:00:00"/>
    <s v="FA"/>
    <s v="1052/4950"/>
    <s v="kpl"/>
    <n v="3029"/>
    <n v="61"/>
    <n v="121"/>
    <x v="770"/>
    <n v="1697.63"/>
    <n v="9078.630000000001"/>
    <x v="4"/>
  </r>
  <r>
    <n v="2931"/>
    <x v="3"/>
    <n v="7"/>
    <d v="2022-03-04T00:00:00"/>
    <s v="FA"/>
    <s v="1052/4951"/>
    <s v="kpl"/>
    <n v="3030"/>
    <n v="49"/>
    <n v="88"/>
    <x v="93"/>
    <n v="991.76"/>
    <n v="5303.76"/>
    <x v="3"/>
  </r>
  <r>
    <n v="2932"/>
    <x v="12"/>
    <n v="13"/>
    <d v="2022-02-09T00:00:00"/>
    <s v="FA"/>
    <s v="1052/4952"/>
    <s v="kpl"/>
    <n v="3031"/>
    <n v="53"/>
    <n v="91"/>
    <x v="201"/>
    <n v="1109.29"/>
    <n v="5932.29"/>
    <x v="9"/>
  </r>
  <r>
    <n v="2933"/>
    <x v="24"/>
    <n v="12"/>
    <d v="2022-09-10T00:00:00"/>
    <s v="FA"/>
    <s v="1052/4953"/>
    <s v="kpl"/>
    <n v="3032"/>
    <n v="49"/>
    <n v="129"/>
    <x v="492"/>
    <n v="1453.8300000000002"/>
    <n v="7774.83"/>
    <x v="7"/>
  </r>
  <r>
    <n v="2934"/>
    <x v="16"/>
    <n v="9"/>
    <d v="2022-06-20T00:00:00"/>
    <s v="FA"/>
    <s v="1052/4954"/>
    <s v="kpl"/>
    <n v="3033"/>
    <n v="54"/>
    <n v="132"/>
    <x v="134"/>
    <n v="1639.44"/>
    <n v="8767.44"/>
    <x v="4"/>
  </r>
  <r>
    <n v="2935"/>
    <x v="6"/>
    <n v="13"/>
    <d v="2022-05-20T00:00:00"/>
    <s v="FA"/>
    <s v="1052/4955"/>
    <s v="kpl"/>
    <n v="3034"/>
    <n v="50"/>
    <n v="84"/>
    <x v="194"/>
    <n v="966"/>
    <n v="5166"/>
    <x v="10"/>
  </r>
  <r>
    <n v="2936"/>
    <x v="18"/>
    <n v="11"/>
    <d v="2022-04-05T00:00:00"/>
    <s v="FA"/>
    <s v="1052/4956"/>
    <s v="kpl"/>
    <n v="3035"/>
    <n v="49"/>
    <n v="109"/>
    <x v="294"/>
    <n v="1228.43"/>
    <n v="6569.43"/>
    <x v="1"/>
  </r>
  <r>
    <n v="2937"/>
    <x v="19"/>
    <n v="10"/>
    <d v="2022-11-06T00:00:00"/>
    <s v="FA"/>
    <s v="1052/4957"/>
    <s v="kpl"/>
    <n v="3036"/>
    <n v="49"/>
    <n v="121"/>
    <x v="572"/>
    <n v="1363.67"/>
    <n v="7292.67"/>
    <x v="8"/>
  </r>
  <r>
    <n v="2938"/>
    <x v="14"/>
    <n v="10"/>
    <d v="2022-04-04T00:00:00"/>
    <s v="FA"/>
    <s v="1052/4958"/>
    <s v="kpl"/>
    <n v="3037"/>
    <n v="59"/>
    <n v="86"/>
    <x v="483"/>
    <n v="1167.02"/>
    <n v="6241.02"/>
    <x v="1"/>
  </r>
  <r>
    <n v="2939"/>
    <x v="0"/>
    <n v="6"/>
    <d v="2022-03-10T00:00:00"/>
    <s v="FA"/>
    <s v="1052/4959"/>
    <s v="kpl"/>
    <n v="3038"/>
    <n v="49"/>
    <n v="83"/>
    <x v="457"/>
    <n v="935.41000000000008"/>
    <n v="5002.41"/>
    <x v="3"/>
  </r>
  <r>
    <n v="2940"/>
    <x v="4"/>
    <n v="11"/>
    <d v="2022-07-12T00:00:00"/>
    <s v="FA"/>
    <s v="1052/4960"/>
    <s v="kpl"/>
    <n v="3039"/>
    <n v="51"/>
    <n v="85"/>
    <x v="700"/>
    <n v="997.05000000000007"/>
    <n v="5332.05"/>
    <x v="6"/>
  </r>
  <r>
    <n v="2941"/>
    <x v="26"/>
    <n v="7"/>
    <d v="2022-05-24T00:00:00"/>
    <s v="FA"/>
    <s v="1052/4961"/>
    <s v="kpl"/>
    <n v="3040"/>
    <n v="45"/>
    <n v="99"/>
    <x v="121"/>
    <n v="1024.6500000000001"/>
    <n v="5479.65"/>
    <x v="10"/>
  </r>
  <r>
    <n v="2942"/>
    <x v="14"/>
    <n v="9"/>
    <d v="2022-09-02T00:00:00"/>
    <s v="FA"/>
    <s v="1052/4962"/>
    <s v="kpl"/>
    <n v="3041"/>
    <n v="66"/>
    <n v="86"/>
    <x v="266"/>
    <n v="1305.48"/>
    <n v="6981.48"/>
    <x v="7"/>
  </r>
  <r>
    <n v="2943"/>
    <x v="26"/>
    <n v="6"/>
    <d v="2022-02-28T00:00:00"/>
    <s v="FA"/>
    <s v="1052/4963"/>
    <s v="kpl"/>
    <n v="3042"/>
    <n v="54"/>
    <n v="99"/>
    <x v="502"/>
    <n v="1229.5800000000002"/>
    <n v="6575.58"/>
    <x v="9"/>
  </r>
  <r>
    <n v="2944"/>
    <x v="24"/>
    <n v="7"/>
    <d v="2022-08-11T00:00:00"/>
    <s v="FA"/>
    <s v="1052/4964"/>
    <s v="kpl"/>
    <n v="3043"/>
    <n v="47"/>
    <n v="129"/>
    <x v="462"/>
    <n v="1394.49"/>
    <n v="7457.49"/>
    <x v="11"/>
  </r>
  <r>
    <n v="2945"/>
    <x v="22"/>
    <n v="9"/>
    <d v="2022-07-23T00:00:00"/>
    <s v="FA"/>
    <s v="1052/4965"/>
    <s v="kpl"/>
    <n v="3044"/>
    <n v="59"/>
    <n v="125"/>
    <x v="70"/>
    <n v="1696.25"/>
    <n v="9071.25"/>
    <x v="6"/>
  </r>
  <r>
    <n v="2946"/>
    <x v="7"/>
    <n v="8"/>
    <d v="2022-08-27T00:00:00"/>
    <s v="FA"/>
    <s v="1052/4966"/>
    <s v="kpl"/>
    <n v="3045"/>
    <n v="56"/>
    <n v="96"/>
    <x v="249"/>
    <n v="1236.48"/>
    <n v="6612.48"/>
    <x v="11"/>
  </r>
  <r>
    <n v="2947"/>
    <x v="8"/>
    <n v="11"/>
    <d v="2022-05-21T00:00:00"/>
    <s v="FA"/>
    <s v="1052/4967"/>
    <s v="kpl"/>
    <n v="3046"/>
    <n v="51"/>
    <n v="89"/>
    <x v="504"/>
    <n v="1043.97"/>
    <n v="5582.97"/>
    <x v="10"/>
  </r>
  <r>
    <n v="2948"/>
    <x v="5"/>
    <n v="7"/>
    <d v="2022-01-28T00:00:00"/>
    <s v="FA"/>
    <s v="1052/4968"/>
    <s v="kpl"/>
    <n v="3047"/>
    <n v="38"/>
    <n v="87"/>
    <x v="233"/>
    <n v="760.38"/>
    <n v="4066.38"/>
    <x v="0"/>
  </r>
  <r>
    <n v="2949"/>
    <x v="26"/>
    <n v="13"/>
    <d v="2022-09-23T00:00:00"/>
    <s v="FA"/>
    <s v="1052/4969"/>
    <s v="kpl"/>
    <n v="3048"/>
    <n v="62"/>
    <n v="99"/>
    <x v="171"/>
    <n v="1411.74"/>
    <n v="7549.74"/>
    <x v="7"/>
  </r>
  <r>
    <n v="2950"/>
    <x v="21"/>
    <n v="15"/>
    <d v="2022-03-14T00:00:00"/>
    <s v="FA"/>
    <s v="1052/4970"/>
    <s v="kpl"/>
    <n v="3049"/>
    <n v="23"/>
    <n v="87"/>
    <x v="773"/>
    <n v="460.23"/>
    <n v="2461.23"/>
    <x v="3"/>
  </r>
  <r>
    <n v="2951"/>
    <x v="25"/>
    <n v="12"/>
    <d v="2022-05-13T00:00:00"/>
    <s v="FA"/>
    <s v="1052/4971"/>
    <s v="kpl"/>
    <n v="3050"/>
    <n v="34"/>
    <n v="59"/>
    <x v="638"/>
    <n v="461.38"/>
    <n v="2467.38"/>
    <x v="10"/>
  </r>
  <r>
    <n v="2952"/>
    <x v="26"/>
    <n v="7"/>
    <d v="2022-05-04T00:00:00"/>
    <s v="FA"/>
    <s v="1052/4972"/>
    <s v="kpl"/>
    <n v="3051"/>
    <n v="49"/>
    <n v="99"/>
    <x v="374"/>
    <n v="1115.73"/>
    <n v="5966.73"/>
    <x v="10"/>
  </r>
  <r>
    <n v="2953"/>
    <x v="24"/>
    <n v="12"/>
    <d v="2022-02-22T00:00:00"/>
    <s v="FA"/>
    <s v="1052/4973"/>
    <s v="kpl"/>
    <n v="3052"/>
    <n v="53"/>
    <n v="129"/>
    <x v="677"/>
    <n v="1572.51"/>
    <n v="8409.51"/>
    <x v="9"/>
  </r>
  <r>
    <n v="2954"/>
    <x v="23"/>
    <n v="15"/>
    <d v="2022-09-06T00:00:00"/>
    <s v="FA"/>
    <s v="1052/4974"/>
    <s v="kpl"/>
    <n v="3053"/>
    <n v="51"/>
    <n v="105"/>
    <x v="316"/>
    <n v="1231.6500000000001"/>
    <n v="6586.65"/>
    <x v="7"/>
  </r>
  <r>
    <n v="2955"/>
    <x v="0"/>
    <n v="10"/>
    <d v="2022-05-05T00:00:00"/>
    <s v="FA"/>
    <s v="1052/4975"/>
    <s v="kpl"/>
    <n v="3054"/>
    <n v="65"/>
    <n v="83"/>
    <x v="447"/>
    <n v="1240.8500000000001"/>
    <n v="6635.85"/>
    <x v="10"/>
  </r>
  <r>
    <n v="2956"/>
    <x v="10"/>
    <n v="8"/>
    <d v="2022-01-13T00:00:00"/>
    <s v="FA"/>
    <s v="1052/4976"/>
    <s v="kpl"/>
    <n v="3055"/>
    <n v="40"/>
    <n v="84"/>
    <x v="84"/>
    <n v="772.80000000000007"/>
    <n v="4132.8"/>
    <x v="0"/>
  </r>
  <r>
    <n v="2957"/>
    <x v="29"/>
    <n v="8"/>
    <d v="2022-10-07T00:00:00"/>
    <s v="FA"/>
    <s v="1052/4977"/>
    <s v="kpl"/>
    <n v="3056"/>
    <n v="57"/>
    <n v="103"/>
    <x v="696"/>
    <n v="1350.3300000000002"/>
    <n v="7221.33"/>
    <x v="5"/>
  </r>
  <r>
    <n v="2958"/>
    <x v="20"/>
    <n v="5"/>
    <d v="2022-05-19T00:00:00"/>
    <s v="FA"/>
    <s v="1052/4978"/>
    <s v="kpl"/>
    <n v="3057"/>
    <n v="48"/>
    <n v="104"/>
    <x v="299"/>
    <n v="1148.1600000000001"/>
    <n v="6140.16"/>
    <x v="10"/>
  </r>
  <r>
    <n v="2959"/>
    <x v="19"/>
    <n v="12"/>
    <d v="2022-08-13T00:00:00"/>
    <s v="FA"/>
    <s v="1052/4979"/>
    <s v="kpl"/>
    <n v="3058"/>
    <n v="44"/>
    <n v="121"/>
    <x v="650"/>
    <n v="1224.52"/>
    <n v="6548.52"/>
    <x v="11"/>
  </r>
  <r>
    <n v="2960"/>
    <x v="20"/>
    <n v="10"/>
    <d v="2022-06-02T00:00:00"/>
    <s v="FA"/>
    <s v="1052/4980"/>
    <s v="kpl"/>
    <n v="3059"/>
    <n v="57"/>
    <n v="104"/>
    <x v="691"/>
    <n v="1363.44"/>
    <n v="7291.4400000000005"/>
    <x v="4"/>
  </r>
  <r>
    <n v="2961"/>
    <x v="29"/>
    <n v="11"/>
    <d v="2022-01-01T00:00:00"/>
    <s v="FA"/>
    <s v="1052/4981"/>
    <s v="kpl"/>
    <n v="3060"/>
    <n v="34"/>
    <n v="103"/>
    <x v="774"/>
    <n v="805.46"/>
    <n v="4307.46"/>
    <x v="0"/>
  </r>
  <r>
    <n v="2962"/>
    <x v="8"/>
    <n v="8"/>
    <d v="2022-03-09T00:00:00"/>
    <s v="FA"/>
    <s v="1052/4982"/>
    <s v="kpl"/>
    <n v="3061"/>
    <n v="34"/>
    <n v="89"/>
    <x v="292"/>
    <n v="695.98"/>
    <n v="3721.98"/>
    <x v="3"/>
  </r>
  <r>
    <n v="2963"/>
    <x v="19"/>
    <n v="10"/>
    <d v="2022-05-20T00:00:00"/>
    <s v="FA"/>
    <s v="1052/4983"/>
    <s v="kpl"/>
    <n v="3062"/>
    <n v="38"/>
    <n v="121"/>
    <x v="530"/>
    <n v="1057.54"/>
    <n v="5655.54"/>
    <x v="10"/>
  </r>
  <r>
    <n v="2964"/>
    <x v="22"/>
    <n v="8"/>
    <d v="2022-09-02T00:00:00"/>
    <s v="FA"/>
    <s v="1052/4984"/>
    <s v="kpl"/>
    <n v="3063"/>
    <n v="32"/>
    <n v="125"/>
    <x v="499"/>
    <n v="920"/>
    <n v="4920"/>
    <x v="7"/>
  </r>
  <r>
    <n v="2965"/>
    <x v="20"/>
    <n v="12"/>
    <d v="2022-08-06T00:00:00"/>
    <s v="FA"/>
    <s v="1052/4985"/>
    <s v="kpl"/>
    <n v="3064"/>
    <n v="54"/>
    <n v="104"/>
    <x v="460"/>
    <n v="1291.68"/>
    <n v="6907.68"/>
    <x v="11"/>
  </r>
  <r>
    <n v="2966"/>
    <x v="15"/>
    <n v="13"/>
    <d v="2022-06-05T00:00:00"/>
    <s v="FA"/>
    <s v="1052/4986"/>
    <s v="kpl"/>
    <n v="3065"/>
    <n v="59"/>
    <n v="90"/>
    <x v="210"/>
    <n v="1221.3"/>
    <n v="6531.3"/>
    <x v="4"/>
  </r>
  <r>
    <n v="2967"/>
    <x v="27"/>
    <n v="11"/>
    <d v="2022-02-01T00:00:00"/>
    <s v="FA"/>
    <s v="1052/4987"/>
    <s v="kpl"/>
    <n v="3066"/>
    <n v="54"/>
    <n v="111"/>
    <x v="536"/>
    <n v="1378.6200000000001"/>
    <n v="7372.62"/>
    <x v="9"/>
  </r>
  <r>
    <n v="2968"/>
    <x v="27"/>
    <n v="8"/>
    <d v="2022-06-22T00:00:00"/>
    <s v="FA"/>
    <s v="1052/4988"/>
    <s v="kpl"/>
    <n v="3067"/>
    <n v="36"/>
    <n v="111"/>
    <x v="555"/>
    <n v="919.08"/>
    <n v="4915.08"/>
    <x v="4"/>
  </r>
  <r>
    <n v="2969"/>
    <x v="6"/>
    <n v="10"/>
    <d v="2022-08-01T00:00:00"/>
    <s v="FA"/>
    <s v="1052/4989"/>
    <s v="kpl"/>
    <n v="3068"/>
    <n v="66"/>
    <n v="84"/>
    <x v="65"/>
    <n v="1275.1200000000001"/>
    <n v="6819.12"/>
    <x v="11"/>
  </r>
  <r>
    <n v="2970"/>
    <x v="10"/>
    <n v="8"/>
    <d v="2022-04-06T00:00:00"/>
    <s v="FA"/>
    <s v="1052/4990"/>
    <s v="kpl"/>
    <n v="3069"/>
    <n v="57"/>
    <n v="84"/>
    <x v="127"/>
    <n v="1101.24"/>
    <n v="5889.24"/>
    <x v="1"/>
  </r>
  <r>
    <n v="2971"/>
    <x v="26"/>
    <n v="12"/>
    <d v="2022-12-01T00:00:00"/>
    <s v="FA"/>
    <s v="1052/4991"/>
    <s v="kpl"/>
    <n v="3070"/>
    <n v="59"/>
    <n v="99"/>
    <x v="318"/>
    <n v="1343.43"/>
    <n v="7184.43"/>
    <x v="2"/>
  </r>
  <r>
    <n v="2972"/>
    <x v="2"/>
    <n v="10"/>
    <d v="2022-06-12T00:00:00"/>
    <s v="FA"/>
    <s v="1052/4992"/>
    <s v="kpl"/>
    <n v="3071"/>
    <n v="47"/>
    <n v="84"/>
    <x v="55"/>
    <n v="908.04000000000008"/>
    <n v="4856.04"/>
    <x v="4"/>
  </r>
  <r>
    <n v="2973"/>
    <x v="20"/>
    <n v="4"/>
    <d v="2022-02-28T00:00:00"/>
    <s v="FA"/>
    <s v="1052/4993"/>
    <s v="kpl"/>
    <n v="3072"/>
    <n v="36"/>
    <n v="104"/>
    <x v="347"/>
    <n v="861.12"/>
    <n v="4605.12"/>
    <x v="9"/>
  </r>
  <r>
    <n v="2974"/>
    <x v="12"/>
    <n v="16"/>
    <d v="2022-06-04T00:00:00"/>
    <s v="FA"/>
    <s v="1052/4994"/>
    <s v="kpl"/>
    <n v="3073"/>
    <n v="50"/>
    <n v="91"/>
    <x v="538"/>
    <n v="1046.5"/>
    <n v="5596.5"/>
    <x v="4"/>
  </r>
  <r>
    <n v="2975"/>
    <x v="21"/>
    <n v="11"/>
    <d v="2022-04-04T00:00:00"/>
    <s v="FA"/>
    <s v="1052/4995"/>
    <s v="kpl"/>
    <n v="3074"/>
    <n v="62"/>
    <n v="87"/>
    <x v="402"/>
    <n v="1240.6200000000001"/>
    <n v="6634.62"/>
    <x v="1"/>
  </r>
  <r>
    <n v="2976"/>
    <x v="15"/>
    <n v="10"/>
    <d v="2022-12-23T00:00:00"/>
    <s v="FA"/>
    <s v="1052/4996"/>
    <s v="kpl"/>
    <n v="3075"/>
    <n v="47"/>
    <n v="90"/>
    <x v="26"/>
    <n v="972.90000000000009"/>
    <n v="5202.8999999999996"/>
    <x v="2"/>
  </r>
  <r>
    <n v="2977"/>
    <x v="15"/>
    <n v="13"/>
    <d v="2022-06-09T00:00:00"/>
    <s v="FA"/>
    <s v="1052/4997"/>
    <s v="kpl"/>
    <n v="3076"/>
    <n v="57"/>
    <n v="90"/>
    <x v="230"/>
    <n v="1179.9000000000001"/>
    <n v="6309.9"/>
    <x v="4"/>
  </r>
  <r>
    <n v="2978"/>
    <x v="22"/>
    <n v="12"/>
    <d v="2022-04-25T00:00:00"/>
    <s v="FA"/>
    <s v="1052/4998"/>
    <s v="kpl"/>
    <n v="3077"/>
    <n v="53"/>
    <n v="125"/>
    <x v="633"/>
    <n v="1523.75"/>
    <n v="8148.75"/>
    <x v="1"/>
  </r>
  <r>
    <n v="2979"/>
    <x v="13"/>
    <n v="10"/>
    <d v="2022-01-17T00:00:00"/>
    <s v="FA"/>
    <s v="1052/4999"/>
    <s v="kpl"/>
    <n v="3078"/>
    <n v="44"/>
    <n v="88"/>
    <x v="360"/>
    <n v="890.56000000000006"/>
    <n v="4762.5600000000004"/>
    <x v="0"/>
  </r>
  <r>
    <n v="2980"/>
    <x v="21"/>
    <n v="9"/>
    <d v="2022-05-19T00:00:00"/>
    <s v="FA"/>
    <s v="1052/5000"/>
    <s v="kpl"/>
    <n v="3079"/>
    <n v="50"/>
    <n v="87"/>
    <x v="476"/>
    <n v="1000.5"/>
    <n v="5350.5"/>
    <x v="10"/>
  </r>
  <r>
    <n v="2981"/>
    <x v="13"/>
    <n v="7"/>
    <d v="2022-02-08T00:00:00"/>
    <s v="FA"/>
    <s v="1052/5001"/>
    <s v="kpl"/>
    <n v="3080"/>
    <n v="38"/>
    <n v="88"/>
    <x v="646"/>
    <n v="769.12"/>
    <n v="4113.12"/>
    <x v="9"/>
  </r>
  <r>
    <n v="2982"/>
    <x v="5"/>
    <n v="8"/>
    <d v="2022-11-25T00:00:00"/>
    <s v="FA"/>
    <s v="1052/5002"/>
    <s v="kpl"/>
    <n v="3081"/>
    <n v="34"/>
    <n v="87"/>
    <x v="775"/>
    <n v="680.34"/>
    <n v="3638.34"/>
    <x v="8"/>
  </r>
  <r>
    <n v="2983"/>
    <x v="11"/>
    <n v="12"/>
    <d v="2022-03-16T00:00:00"/>
    <s v="FA"/>
    <s v="1052/5003"/>
    <s v="kpl"/>
    <n v="3082"/>
    <n v="55"/>
    <n v="93"/>
    <x v="161"/>
    <n v="1176.45"/>
    <n v="6291.45"/>
    <x v="3"/>
  </r>
  <r>
    <n v="2984"/>
    <x v="18"/>
    <n v="7"/>
    <d v="2022-02-26T00:00:00"/>
    <s v="FA"/>
    <s v="1052/5004"/>
    <s v="kpl"/>
    <n v="3083"/>
    <n v="45"/>
    <n v="109"/>
    <x v="102"/>
    <n v="1128.1500000000001"/>
    <n v="6033.15"/>
    <x v="9"/>
  </r>
  <r>
    <n v="2985"/>
    <x v="0"/>
    <n v="8"/>
    <d v="2022-07-26T00:00:00"/>
    <s v="FA"/>
    <s v="1052/5005"/>
    <s v="kpl"/>
    <n v="3084"/>
    <n v="50"/>
    <n v="83"/>
    <x v="515"/>
    <n v="954.5"/>
    <n v="5104.5"/>
    <x v="6"/>
  </r>
  <r>
    <n v="2986"/>
    <x v="26"/>
    <n v="10"/>
    <d v="2022-11-21T00:00:00"/>
    <s v="FA"/>
    <s v="1052/5006"/>
    <s v="kpl"/>
    <n v="3085"/>
    <n v="40"/>
    <n v="99"/>
    <x v="291"/>
    <n v="910.80000000000007"/>
    <n v="4870.8"/>
    <x v="8"/>
  </r>
  <r>
    <n v="2987"/>
    <x v="27"/>
    <n v="8"/>
    <d v="2022-10-16T00:00:00"/>
    <s v="FA"/>
    <s v="1052/5007"/>
    <s v="kpl"/>
    <n v="3086"/>
    <n v="51"/>
    <n v="111"/>
    <x v="747"/>
    <n v="1302.03"/>
    <n v="6963.03"/>
    <x v="5"/>
  </r>
  <r>
    <n v="2988"/>
    <x v="14"/>
    <n v="10"/>
    <d v="2022-02-05T00:00:00"/>
    <s v="FA"/>
    <s v="1052/5008"/>
    <s v="kpl"/>
    <n v="3087"/>
    <n v="47"/>
    <n v="86"/>
    <x v="211"/>
    <n v="929.66000000000008"/>
    <n v="4971.66"/>
    <x v="9"/>
  </r>
  <r>
    <n v="2989"/>
    <x v="7"/>
    <n v="10"/>
    <d v="2022-01-17T00:00:00"/>
    <s v="FA"/>
    <s v="1052/5009"/>
    <s v="kpl"/>
    <n v="3088"/>
    <n v="51"/>
    <n v="96"/>
    <x v="463"/>
    <n v="1126.0800000000002"/>
    <n v="6022.08"/>
    <x v="0"/>
  </r>
  <r>
    <n v="2990"/>
    <x v="8"/>
    <n v="7"/>
    <d v="2022-02-04T00:00:00"/>
    <s v="FA"/>
    <s v="1052/5010"/>
    <s v="kpl"/>
    <n v="3089"/>
    <n v="36"/>
    <n v="89"/>
    <x v="143"/>
    <n v="736.92000000000007"/>
    <n v="3940.92"/>
    <x v="9"/>
  </r>
  <r>
    <n v="2991"/>
    <x v="10"/>
    <n v="13"/>
    <d v="2022-02-08T00:00:00"/>
    <s v="FA"/>
    <s v="1052/5011"/>
    <s v="kpl"/>
    <n v="3090"/>
    <n v="71"/>
    <n v="84"/>
    <x v="531"/>
    <n v="1371.72"/>
    <n v="7335.72"/>
    <x v="9"/>
  </r>
  <r>
    <n v="2992"/>
    <x v="19"/>
    <n v="9"/>
    <d v="2022-12-19T00:00:00"/>
    <s v="FA"/>
    <s v="1052/5012"/>
    <s v="kpl"/>
    <n v="3091"/>
    <n v="49"/>
    <n v="121"/>
    <x v="572"/>
    <n v="1363.67"/>
    <n v="7292.67"/>
    <x v="2"/>
  </r>
  <r>
    <n v="2993"/>
    <x v="24"/>
    <n v="11"/>
    <d v="2022-05-21T00:00:00"/>
    <s v="FA"/>
    <s v="1052/5013"/>
    <s v="kpl"/>
    <n v="3092"/>
    <n v="56"/>
    <n v="129"/>
    <x v="261"/>
    <n v="1661.52"/>
    <n v="8885.52"/>
    <x v="10"/>
  </r>
  <r>
    <n v="2994"/>
    <x v="8"/>
    <n v="10"/>
    <d v="2022-02-16T00:00:00"/>
    <s v="FA"/>
    <s v="1052/5014"/>
    <s v="kpl"/>
    <n v="3093"/>
    <n v="46"/>
    <n v="89"/>
    <x v="444"/>
    <n v="941.62"/>
    <n v="5035.62"/>
    <x v="9"/>
  </r>
  <r>
    <n v="2995"/>
    <x v="26"/>
    <n v="8"/>
    <d v="2022-12-08T00:00:00"/>
    <s v="FA"/>
    <s v="1052/5015"/>
    <s v="kpl"/>
    <n v="3094"/>
    <n v="67"/>
    <n v="99"/>
    <x v="776"/>
    <n v="1525.5900000000001"/>
    <n v="8158.59"/>
    <x v="2"/>
  </r>
  <r>
    <n v="2996"/>
    <x v="20"/>
    <n v="9"/>
    <d v="2022-01-12T00:00:00"/>
    <s v="FA"/>
    <s v="1052/5016"/>
    <s v="kpl"/>
    <n v="3095"/>
    <n v="44"/>
    <n v="104"/>
    <x v="14"/>
    <n v="1052.48"/>
    <n v="5628.48"/>
    <x v="0"/>
  </r>
  <r>
    <n v="2997"/>
    <x v="21"/>
    <n v="8"/>
    <d v="2022-10-10T00:00:00"/>
    <s v="FA"/>
    <s v="1052/5017"/>
    <s v="kpl"/>
    <n v="3096"/>
    <n v="62"/>
    <n v="87"/>
    <x v="402"/>
    <n v="1240.6200000000001"/>
    <n v="6634.62"/>
    <x v="5"/>
  </r>
  <r>
    <n v="2998"/>
    <x v="22"/>
    <n v="12"/>
    <d v="2022-08-20T00:00:00"/>
    <s v="FA"/>
    <s v="1052/5018"/>
    <s v="kpl"/>
    <n v="3097"/>
    <n v="40"/>
    <n v="125"/>
    <x v="477"/>
    <n v="1150"/>
    <n v="6150"/>
    <x v="11"/>
  </r>
  <r>
    <n v="2999"/>
    <x v="13"/>
    <n v="7"/>
    <d v="2022-08-11T00:00:00"/>
    <s v="FA"/>
    <s v="1052/5019"/>
    <s v="kpl"/>
    <n v="3098"/>
    <n v="53"/>
    <n v="88"/>
    <x v="61"/>
    <n v="1072.72"/>
    <n v="5736.72"/>
    <x v="11"/>
  </r>
  <r>
    <n v="3000"/>
    <x v="16"/>
    <n v="5"/>
    <d v="2022-12-08T00:00:00"/>
    <s v="FA"/>
    <s v="1052/5020"/>
    <s v="kpl"/>
    <n v="3099"/>
    <n v="49"/>
    <n v="132"/>
    <x v="313"/>
    <n v="1487.64"/>
    <n v="7955.64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97052-02D7-419E-A98E-D1F9E6B995AD}" name="Tabela przestawna1" cacheId="7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>
  <location ref="A3:N35" firstHeaderRow="1" firstDataRow="2" firstDataCol="1"/>
  <pivotFields count="14">
    <pivotField showAll="0"/>
    <pivotField axis="axisRow" showAll="0">
      <items count="31">
        <item x="2"/>
        <item x="19"/>
        <item x="8"/>
        <item x="1"/>
        <item x="12"/>
        <item x="14"/>
        <item x="20"/>
        <item x="13"/>
        <item x="7"/>
        <item x="18"/>
        <item x="0"/>
        <item x="3"/>
        <item x="17"/>
        <item x="24"/>
        <item x="4"/>
        <item x="11"/>
        <item x="10"/>
        <item x="15"/>
        <item x="6"/>
        <item x="27"/>
        <item x="28"/>
        <item x="29"/>
        <item x="16"/>
        <item x="22"/>
        <item x="9"/>
        <item x="26"/>
        <item x="5"/>
        <item x="25"/>
        <item x="23"/>
        <item x="21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showAll="0"/>
    <pivotField dataField="1" showAll="0">
      <items count="778">
        <item x="547"/>
        <item x="27"/>
        <item x="605"/>
        <item x="317"/>
        <item x="459"/>
        <item x="738"/>
        <item x="725"/>
        <item x="351"/>
        <item x="647"/>
        <item x="407"/>
        <item x="390"/>
        <item x="773"/>
        <item x="634"/>
        <item x="638"/>
        <item x="579"/>
        <item x="760"/>
        <item x="184"/>
        <item x="512"/>
        <item x="557"/>
        <item x="695"/>
        <item x="728"/>
        <item x="712"/>
        <item x="723"/>
        <item x="666"/>
        <item x="590"/>
        <item x="302"/>
        <item x="182"/>
        <item x="688"/>
        <item x="175"/>
        <item x="248"/>
        <item x="412"/>
        <item x="544"/>
        <item x="606"/>
        <item x="739"/>
        <item x="331"/>
        <item x="473"/>
        <item x="57"/>
        <item x="199"/>
        <item x="694"/>
        <item x="147"/>
        <item x="144"/>
        <item x="528"/>
        <item x="684"/>
        <item x="231"/>
        <item x="2"/>
        <item x="766"/>
        <item x="702"/>
        <item x="583"/>
        <item x="271"/>
        <item x="434"/>
        <item x="733"/>
        <item x="575"/>
        <item x="283"/>
        <item x="663"/>
        <item x="604"/>
        <item x="622"/>
        <item x="656"/>
        <item x="338"/>
        <item x="94"/>
        <item x="529"/>
        <item x="370"/>
        <item x="603"/>
        <item x="321"/>
        <item x="523"/>
        <item x="592"/>
        <item x="586"/>
        <item x="697"/>
        <item x="693"/>
        <item x="419"/>
        <item x="44"/>
        <item x="287"/>
        <item x="166"/>
        <item x="154"/>
        <item x="404"/>
        <item x="581"/>
        <item x="333"/>
        <item x="132"/>
        <item x="293"/>
        <item x="775"/>
        <item x="91"/>
        <item x="342"/>
        <item x="707"/>
        <item x="75"/>
        <item x="122"/>
        <item x="490"/>
        <item x="598"/>
        <item x="339"/>
        <item x="657"/>
        <item x="32"/>
        <item x="292"/>
        <item x="761"/>
        <item x="28"/>
        <item x="449"/>
        <item x="455"/>
        <item x="162"/>
        <item x="533"/>
        <item x="223"/>
        <item x="429"/>
        <item x="140"/>
        <item x="366"/>
        <item x="255"/>
        <item x="103"/>
        <item x="285"/>
        <item x="414"/>
        <item x="196"/>
        <item x="731"/>
        <item x="187"/>
        <item x="480"/>
        <item x="157"/>
        <item x="479"/>
        <item x="428"/>
        <item x="143"/>
        <item x="534"/>
        <item x="649"/>
        <item x="481"/>
        <item x="259"/>
        <item x="403"/>
        <item x="367"/>
        <item x="178"/>
        <item x="461"/>
        <item x="33"/>
        <item x="636"/>
        <item x="104"/>
        <item x="507"/>
        <item x="744"/>
        <item x="685"/>
        <item x="353"/>
        <item x="233"/>
        <item x="541"/>
        <item x="372"/>
        <item x="155"/>
        <item x="183"/>
        <item x="646"/>
        <item x="352"/>
        <item x="64"/>
        <item x="84"/>
        <item x="629"/>
        <item x="637"/>
        <item x="635"/>
        <item x="582"/>
        <item x="489"/>
        <item x="508"/>
        <item x="245"/>
        <item x="5"/>
        <item x="329"/>
        <item x="609"/>
        <item x="16"/>
        <item x="520"/>
        <item x="642"/>
        <item x="39"/>
        <item x="517"/>
        <item x="15"/>
        <item x="716"/>
        <item x="498"/>
        <item x="628"/>
        <item x="180"/>
        <item x="758"/>
        <item x="125"/>
        <item x="164"/>
        <item x="753"/>
        <item x="774"/>
        <item x="328"/>
        <item x="736"/>
        <item x="167"/>
        <item x="315"/>
        <item x="7"/>
        <item x="391"/>
        <item x="713"/>
        <item x="54"/>
        <item x="116"/>
        <item x="514"/>
        <item x="416"/>
        <item x="49"/>
        <item x="0"/>
        <item x="306"/>
        <item x="662"/>
        <item x="630"/>
        <item x="772"/>
        <item x="394"/>
        <item x="265"/>
        <item x="25"/>
        <item x="594"/>
        <item x="625"/>
        <item x="133"/>
        <item x="564"/>
        <item x="215"/>
        <item x="200"/>
        <item x="272"/>
        <item x="587"/>
        <item x="566"/>
        <item x="554"/>
        <item x="769"/>
        <item x="421"/>
        <item x="113"/>
        <item x="236"/>
        <item x="238"/>
        <item x="191"/>
        <item x="411"/>
        <item x="251"/>
        <item x="80"/>
        <item x="18"/>
        <item x="264"/>
        <item x="347"/>
        <item x="395"/>
        <item x="631"/>
        <item x="12"/>
        <item x="214"/>
        <item x="726"/>
        <item x="759"/>
        <item x="198"/>
        <item x="542"/>
        <item x="556"/>
        <item x="151"/>
        <item x="399"/>
        <item x="30"/>
        <item x="560"/>
        <item x="671"/>
        <item x="718"/>
        <item x="505"/>
        <item x="687"/>
        <item x="380"/>
        <item x="340"/>
        <item x="360"/>
        <item x="511"/>
        <item x="282"/>
        <item x="435"/>
        <item x="314"/>
        <item x="721"/>
        <item x="139"/>
        <item x="705"/>
        <item x="735"/>
        <item x="146"/>
        <item x="55"/>
        <item x="99"/>
        <item x="291"/>
        <item x="176"/>
        <item x="341"/>
        <item x="137"/>
        <item x="555"/>
        <item x="326"/>
        <item x="499"/>
        <item x="281"/>
        <item x="107"/>
        <item x="152"/>
        <item x="66"/>
        <item x="425"/>
        <item x="211"/>
        <item x="21"/>
        <item x="471"/>
        <item x="68"/>
        <item x="626"/>
        <item x="457"/>
        <item x="110"/>
        <item x="290"/>
        <item x="159"/>
        <item x="466"/>
        <item x="444"/>
        <item x="433"/>
        <item x="186"/>
        <item x="645"/>
        <item x="45"/>
        <item x="74"/>
        <item x="640"/>
        <item x="73"/>
        <item x="296"/>
        <item x="165"/>
        <item x="242"/>
        <item x="158"/>
        <item x="515"/>
        <item x="1"/>
        <item x="373"/>
        <item x="48"/>
        <item x="195"/>
        <item x="440"/>
        <item x="305"/>
        <item x="368"/>
        <item x="727"/>
        <item x="194"/>
        <item x="289"/>
        <item x="262"/>
        <item x="596"/>
        <item x="40"/>
        <item x="26"/>
        <item x="362"/>
        <item x="443"/>
        <item x="205"/>
        <item x="438"/>
        <item x="96"/>
        <item x="308"/>
        <item x="304"/>
        <item x="149"/>
        <item x="324"/>
        <item x="234"/>
        <item x="239"/>
        <item x="627"/>
        <item x="93"/>
        <item x="58"/>
        <item x="312"/>
        <item x="472"/>
        <item x="550"/>
        <item x="700"/>
        <item x="476"/>
        <item x="90"/>
        <item x="359"/>
        <item x="641"/>
        <item x="109"/>
        <item x="179"/>
        <item x="730"/>
        <item x="527"/>
        <item x="610"/>
        <item x="98"/>
        <item x="474"/>
        <item x="355"/>
        <item x="83"/>
        <item x="278"/>
        <item x="276"/>
        <item x="686"/>
        <item x="173"/>
        <item x="619"/>
        <item x="129"/>
        <item x="188"/>
        <item x="121"/>
        <item x="593"/>
        <item x="273"/>
        <item x="217"/>
        <item x="136"/>
        <item x="79"/>
        <item x="19"/>
        <item x="153"/>
        <item x="216"/>
        <item x="397"/>
        <item x="427"/>
        <item x="453"/>
        <item x="309"/>
        <item x="504"/>
        <item x="538"/>
        <item x="665"/>
        <item x="346"/>
        <item x="381"/>
        <item x="47"/>
        <item x="14"/>
        <item x="519"/>
        <item x="495"/>
        <item x="530"/>
        <item x="148"/>
        <item x="297"/>
        <item x="307"/>
        <item x="42"/>
        <item x="658"/>
        <item x="708"/>
        <item x="771"/>
        <item x="11"/>
        <item x="680"/>
        <item x="4"/>
        <item x="741"/>
        <item x="61"/>
        <item x="422"/>
        <item x="383"/>
        <item x="114"/>
        <item x="295"/>
        <item x="185"/>
        <item x="63"/>
        <item x="322"/>
        <item x="267"/>
        <item x="396"/>
        <item x="569"/>
        <item x="224"/>
        <item x="692"/>
        <item x="257"/>
        <item x="465"/>
        <item x="126"/>
        <item x="615"/>
        <item x="379"/>
        <item x="81"/>
        <item x="521"/>
        <item x="127"/>
        <item x="364"/>
        <item x="220"/>
        <item x="31"/>
        <item x="639"/>
        <item x="141"/>
        <item x="611"/>
        <item x="201"/>
        <item x="240"/>
        <item x="190"/>
        <item x="29"/>
        <item x="681"/>
        <item x="384"/>
        <item x="374"/>
        <item x="742"/>
        <item x="78"/>
        <item x="301"/>
        <item x="621"/>
        <item x="51"/>
        <item x="168"/>
        <item x="463"/>
        <item x="284"/>
        <item x="247"/>
        <item x="102"/>
        <item x="525"/>
        <item x="71"/>
        <item x="413"/>
        <item x="418"/>
        <item x="160"/>
        <item x="53"/>
        <item x="46"/>
        <item x="52"/>
        <item x="659"/>
        <item x="86"/>
        <item x="270"/>
        <item x="375"/>
        <item x="607"/>
        <item x="299"/>
        <item x="477"/>
        <item x="227"/>
        <item x="41"/>
        <item x="130"/>
        <item x="156"/>
        <item x="177"/>
        <item x="667"/>
        <item x="378"/>
        <item x="108"/>
        <item x="734"/>
        <item x="222"/>
        <item x="87"/>
        <item x="487"/>
        <item x="483"/>
        <item x="24"/>
        <item x="431"/>
        <item x="274"/>
        <item x="189"/>
        <item x="436"/>
        <item x="97"/>
        <item x="616"/>
        <item x="161"/>
        <item x="77"/>
        <item x="535"/>
        <item x="241"/>
        <item x="230"/>
        <item x="268"/>
        <item x="361"/>
        <item x="119"/>
        <item x="145"/>
        <item x="678"/>
        <item x="279"/>
        <item x="327"/>
        <item x="163"/>
        <item x="432"/>
        <item x="38"/>
        <item x="72"/>
        <item x="36"/>
        <item x="221"/>
        <item x="405"/>
        <item x="67"/>
        <item x="597"/>
        <item x="6"/>
        <item x="348"/>
        <item x="417"/>
        <item x="585"/>
        <item x="357"/>
        <item x="60"/>
        <item x="450"/>
        <item x="552"/>
        <item x="458"/>
        <item x="17"/>
        <item x="9"/>
        <item x="69"/>
        <item x="88"/>
        <item x="13"/>
        <item x="426"/>
        <item x="424"/>
        <item x="210"/>
        <item x="423"/>
        <item x="650"/>
        <item x="320"/>
        <item x="746"/>
        <item x="294"/>
        <item x="502"/>
        <item x="316"/>
        <item x="748"/>
        <item x="496"/>
        <item x="577"/>
        <item x="430"/>
        <item x="92"/>
        <item x="249"/>
        <item x="402"/>
        <item x="447"/>
        <item x="385"/>
        <item x="192"/>
        <item x="624"/>
        <item x="485"/>
        <item x="448"/>
        <item x="570"/>
        <item x="612"/>
        <item x="50"/>
        <item x="95"/>
        <item x="82"/>
        <item x="565"/>
        <item x="689"/>
        <item x="260"/>
        <item x="655"/>
        <item x="120"/>
        <item x="117"/>
        <item x="670"/>
        <item x="401"/>
        <item x="386"/>
        <item x="43"/>
        <item x="377"/>
        <item x="406"/>
        <item x="10"/>
        <item x="446"/>
        <item x="65"/>
        <item x="237"/>
        <item x="589"/>
        <item x="568"/>
        <item x="369"/>
        <item x="106"/>
        <item x="244"/>
        <item x="732"/>
        <item x="437"/>
        <item x="226"/>
        <item x="470"/>
        <item x="493"/>
        <item x="522"/>
        <item x="467"/>
        <item x="460"/>
        <item x="618"/>
        <item x="105"/>
        <item x="8"/>
        <item x="441"/>
        <item x="526"/>
        <item x="193"/>
        <item x="89"/>
        <item x="747"/>
        <item x="442"/>
        <item x="698"/>
        <item x="112"/>
        <item x="601"/>
        <item x="266"/>
        <item x="356"/>
        <item x="208"/>
        <item x="138"/>
        <item x="365"/>
        <item x="668"/>
        <item x="509"/>
        <item x="263"/>
        <item x="518"/>
        <item x="349"/>
        <item x="101"/>
        <item x="330"/>
        <item x="225"/>
        <item x="354"/>
        <item x="574"/>
        <item x="614"/>
        <item x="3"/>
        <item x="100"/>
        <item x="170"/>
        <item x="204"/>
        <item x="318"/>
        <item x="602"/>
        <item x="456"/>
        <item x="540"/>
        <item x="696"/>
        <item x="673"/>
        <item x="409"/>
        <item x="288"/>
        <item x="578"/>
        <item x="111"/>
        <item x="22"/>
        <item x="410"/>
        <item x="539"/>
        <item x="691"/>
        <item x="572"/>
        <item x="358"/>
        <item x="85"/>
        <item x="303"/>
        <item x="664"/>
        <item x="531"/>
        <item x="755"/>
        <item x="135"/>
        <item x="536"/>
        <item x="212"/>
        <item x="672"/>
        <item x="464"/>
        <item x="720"/>
        <item x="35"/>
        <item x="254"/>
        <item x="653"/>
        <item x="701"/>
        <item x="232"/>
        <item x="675"/>
        <item x="20"/>
        <item x="197"/>
        <item x="765"/>
        <item x="595"/>
        <item x="462"/>
        <item x="300"/>
        <item x="740"/>
        <item x="172"/>
        <item x="277"/>
        <item x="311"/>
        <item x="551"/>
        <item x="648"/>
        <item x="207"/>
        <item x="561"/>
        <item x="392"/>
        <item x="171"/>
        <item x="546"/>
        <item x="475"/>
        <item x="571"/>
        <item x="516"/>
        <item x="563"/>
        <item x="553"/>
        <item x="62"/>
        <item x="115"/>
        <item x="337"/>
        <item x="439"/>
        <item x="762"/>
        <item x="745"/>
        <item x="23"/>
        <item x="573"/>
        <item x="494"/>
        <item x="219"/>
        <item x="206"/>
        <item x="371"/>
        <item x="750"/>
        <item x="124"/>
        <item x="513"/>
        <item x="310"/>
        <item x="243"/>
        <item x="492"/>
        <item x="501"/>
        <item x="532"/>
        <item x="56"/>
        <item x="484"/>
        <item x="709"/>
        <item x="286"/>
        <item x="209"/>
        <item x="715"/>
        <item x="510"/>
        <item x="562"/>
        <item x="724"/>
        <item x="408"/>
        <item x="269"/>
        <item x="363"/>
        <item x="749"/>
        <item x="415"/>
        <item x="608"/>
        <item x="202"/>
        <item x="558"/>
        <item x="600"/>
        <item x="181"/>
        <item x="313"/>
        <item x="643"/>
        <item x="454"/>
        <item x="752"/>
        <item x="714"/>
        <item x="469"/>
        <item x="661"/>
        <item x="400"/>
        <item x="37"/>
        <item x="737"/>
        <item x="654"/>
        <item x="280"/>
        <item x="335"/>
        <item x="500"/>
        <item x="754"/>
        <item x="203"/>
        <item x="633"/>
        <item x="576"/>
        <item x="776"/>
        <item x="757"/>
        <item x="325"/>
        <item x="478"/>
        <item x="275"/>
        <item x="768"/>
        <item x="298"/>
        <item x="632"/>
        <item x="497"/>
        <item x="319"/>
        <item x="651"/>
        <item x="246"/>
        <item x="710"/>
        <item x="543"/>
        <item x="253"/>
        <item x="382"/>
        <item x="591"/>
        <item x="343"/>
        <item x="486"/>
        <item x="345"/>
        <item x="677"/>
        <item x="506"/>
        <item x="420"/>
        <item x="387"/>
        <item x="682"/>
        <item x="256"/>
        <item x="174"/>
        <item x="763"/>
        <item x="169"/>
        <item x="445"/>
        <item x="683"/>
        <item x="213"/>
        <item x="131"/>
        <item x="711"/>
        <item x="451"/>
        <item x="334"/>
        <item x="722"/>
        <item x="398"/>
        <item x="468"/>
        <item x="613"/>
        <item x="134"/>
        <item x="150"/>
        <item x="751"/>
        <item x="261"/>
        <item x="644"/>
        <item x="679"/>
        <item x="617"/>
        <item x="76"/>
        <item x="344"/>
        <item x="218"/>
        <item x="142"/>
        <item x="620"/>
        <item x="548"/>
        <item x="70"/>
        <item x="770"/>
        <item x="336"/>
        <item x="59"/>
        <item x="756"/>
        <item x="623"/>
        <item x="703"/>
        <item x="767"/>
        <item x="488"/>
        <item x="252"/>
        <item x="452"/>
        <item x="323"/>
        <item x="123"/>
        <item x="250"/>
        <item x="393"/>
        <item x="584"/>
        <item x="743"/>
        <item x="503"/>
        <item x="652"/>
        <item x="537"/>
        <item x="34"/>
        <item x="719"/>
        <item x="258"/>
        <item x="549"/>
        <item x="118"/>
        <item x="332"/>
        <item x="389"/>
        <item x="229"/>
        <item x="699"/>
        <item x="580"/>
        <item x="491"/>
        <item x="706"/>
        <item x="717"/>
        <item x="128"/>
        <item x="729"/>
        <item x="228"/>
        <item x="350"/>
        <item x="524"/>
        <item x="388"/>
        <item x="690"/>
        <item x="376"/>
        <item x="545"/>
        <item x="235"/>
        <item x="764"/>
        <item x="599"/>
        <item x="482"/>
        <item x="674"/>
        <item x="676"/>
        <item x="704"/>
        <item x="660"/>
        <item x="588"/>
        <item x="669"/>
        <item x="567"/>
        <item x="559"/>
        <item t="default"/>
      </items>
    </pivotField>
    <pivotField showAll="0"/>
    <pivotField numFmtId="4" showAll="0"/>
    <pivotField axis="axisCol" showAll="0">
      <items count="13">
        <item x="0"/>
        <item x="9"/>
        <item x="3"/>
        <item x="1"/>
        <item x="10"/>
        <item x="4"/>
        <item x="6"/>
        <item x="11"/>
        <item x="7"/>
        <item x="5"/>
        <item x="8"/>
        <item x="2"/>
        <item t="default"/>
      </items>
    </pivotField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13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a z Wartość netto" fld="10" baseField="0" baseItem="0"/>
  </dataFields>
  <formats count="36">
    <format dxfId="35">
      <pivotArea type="all" dataOnly="0" outline="0" fieldPosition="0"/>
    </format>
    <format dxfId="34">
      <pivotArea outline="0" collapsedLevelsAreSubtotals="1" fieldPosition="0"/>
    </format>
    <format dxfId="33">
      <pivotArea type="origin" dataOnly="0" labelOnly="1" outline="0" fieldPosition="0"/>
    </format>
    <format dxfId="32">
      <pivotArea field="13" type="button" dataOnly="0" labelOnly="1" outline="0" axis="axisCol" fieldPosition="0"/>
    </format>
    <format dxfId="31">
      <pivotArea type="topRight" dataOnly="0" labelOnly="1" outline="0" fieldPosition="0"/>
    </format>
    <format dxfId="30">
      <pivotArea field="1" type="button" dataOnly="0" labelOnly="1" outline="0" axis="axisRow" fieldPosition="0"/>
    </format>
    <format dxfId="29">
      <pivotArea dataOnly="0" labelOnly="1" fieldPosition="0">
        <references count="1">
          <reference field="1" count="0"/>
        </references>
      </pivotArea>
    </format>
    <format dxfId="28">
      <pivotArea dataOnly="0" labelOnly="1" grandRow="1" outline="0" fieldPosition="0"/>
    </format>
    <format dxfId="27">
      <pivotArea dataOnly="0" labelOnly="1" fieldPosition="0">
        <references count="1">
          <reference field="13" count="0"/>
        </references>
      </pivotArea>
    </format>
    <format dxfId="26">
      <pivotArea dataOnly="0" labelOnly="1" grandCol="1" outline="0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13" type="button" dataOnly="0" labelOnly="1" outline="0" axis="axisCol" fieldPosition="0"/>
    </format>
    <format dxfId="21">
      <pivotArea type="topRight" dataOnly="0" labelOnly="1" outline="0" fieldPosition="0"/>
    </format>
    <format dxfId="20">
      <pivotArea field="1" type="button" dataOnly="0" labelOnly="1" outline="0" axis="axisRow" fieldPosition="0"/>
    </format>
    <format dxfId="19">
      <pivotArea dataOnly="0" labelOnly="1" grandRow="1" outline="0" fieldPosition="0"/>
    </format>
    <format dxfId="18">
      <pivotArea dataOnly="0" labelOnly="1" fieldPosition="0">
        <references count="1">
          <reference field="13" count="0"/>
        </references>
      </pivotArea>
    </format>
    <format dxfId="17">
      <pivotArea dataOnly="0" labelOnly="1" grandCol="1" outline="0" fieldPosition="0"/>
    </format>
    <format dxfId="16">
      <pivotArea collapsedLevelsAreSubtotals="1" fieldPosition="0">
        <references count="1">
          <reference field="1" count="0"/>
        </references>
      </pivotArea>
    </format>
    <format dxfId="15">
      <pivotArea type="origin" dataOnly="0" labelOnly="1" outline="0" fieldPosition="0"/>
    </format>
    <format dxfId="14">
      <pivotArea field="13" type="button" dataOnly="0" labelOnly="1" outline="0" axis="axisCol" fieldPosition="0"/>
    </format>
    <format dxfId="13">
      <pivotArea type="topRight" dataOnly="0" labelOnly="1" outline="0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3" count="0"/>
        </references>
      </pivotArea>
    </format>
    <format dxfId="10">
      <pivotArea dataOnly="0" labelOnly="1" grandCol="1" outline="0" fieldPosition="0"/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type="origin" dataOnly="0" labelOnly="1" outline="0" fieldPosition="0"/>
    </format>
    <format dxfId="6">
      <pivotArea field="13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1" type="button" dataOnly="0" labelOnly="1" outline="0" axis="axisRow" fieldPosition="0"/>
    </format>
    <format dxfId="3">
      <pivotArea dataOnly="0" labelOnly="1" fieldPosition="0">
        <references count="1">
          <reference field="13" count="0"/>
        </references>
      </pivotArea>
    </format>
    <format dxfId="2">
      <pivotArea dataOnly="0" labelOnly="1" grandCol="1" outline="0" fieldPosition="0"/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9CFB8-A2AE-4560-ADEB-F93B97485551}">
  <sheetPr codeName="Arkusz8"/>
  <dimension ref="A4:M35"/>
  <sheetViews>
    <sheetView showGridLines="0" tabSelected="1" zoomScale="85" zoomScaleNormal="85" workbookViewId="0">
      <selection activeCell="O10" sqref="O10"/>
    </sheetView>
  </sheetViews>
  <sheetFormatPr defaultRowHeight="14" x14ac:dyDescent="0.3"/>
  <cols>
    <col min="1" max="1" width="16.08984375" style="1" customWidth="1"/>
    <col min="2" max="13" width="12.6328125" style="2" customWidth="1"/>
    <col min="14" max="16384" width="8.7265625" style="1"/>
  </cols>
  <sheetData>
    <row r="4" spans="1:13" ht="14.5" thickBot="1" x14ac:dyDescent="0.35"/>
    <row r="5" spans="1:13" ht="14.5" thickBot="1" x14ac:dyDescent="0.35">
      <c r="A5" s="3" t="s">
        <v>3</v>
      </c>
      <c r="B5" s="4" t="s">
        <v>3050</v>
      </c>
      <c r="C5" s="4" t="s">
        <v>6</v>
      </c>
      <c r="D5" s="4" t="s">
        <v>7</v>
      </c>
      <c r="E5" s="4" t="s">
        <v>3051</v>
      </c>
      <c r="F5" s="4" t="s">
        <v>8</v>
      </c>
      <c r="G5" s="4" t="s">
        <v>9</v>
      </c>
      <c r="H5" s="4" t="s">
        <v>10</v>
      </c>
      <c r="I5" s="4" t="s">
        <v>3052</v>
      </c>
      <c r="J5" s="4" t="s">
        <v>3053</v>
      </c>
      <c r="K5" s="4" t="s">
        <v>3054</v>
      </c>
      <c r="L5" s="4" t="s">
        <v>11</v>
      </c>
      <c r="M5" s="5" t="s">
        <v>3055</v>
      </c>
    </row>
    <row r="6" spans="1:13" x14ac:dyDescent="0.3">
      <c r="A6" s="61">
        <v>1</v>
      </c>
      <c r="B6" s="6">
        <v>29316</v>
      </c>
      <c r="C6" s="6">
        <v>41244</v>
      </c>
      <c r="D6" s="6">
        <v>25200</v>
      </c>
      <c r="E6" s="6">
        <v>10584</v>
      </c>
      <c r="F6" s="6">
        <v>24360</v>
      </c>
      <c r="G6" s="6">
        <v>57372</v>
      </c>
      <c r="H6" s="6">
        <v>15876</v>
      </c>
      <c r="I6" s="6">
        <v>19404</v>
      </c>
      <c r="J6" s="6">
        <v>33516</v>
      </c>
      <c r="K6" s="6">
        <v>32928</v>
      </c>
      <c r="L6" s="6">
        <v>25116</v>
      </c>
      <c r="M6" s="7">
        <v>27804</v>
      </c>
    </row>
    <row r="7" spans="1:13" x14ac:dyDescent="0.3">
      <c r="A7" s="62">
        <v>2</v>
      </c>
      <c r="B7" s="8">
        <v>46948</v>
      </c>
      <c r="C7" s="8">
        <v>25773</v>
      </c>
      <c r="D7" s="8">
        <v>30250</v>
      </c>
      <c r="E7" s="8">
        <v>45375</v>
      </c>
      <c r="F7" s="8">
        <v>35695</v>
      </c>
      <c r="G7" s="8">
        <v>54450</v>
      </c>
      <c r="H7" s="8">
        <v>58806</v>
      </c>
      <c r="I7" s="8">
        <v>23958</v>
      </c>
      <c r="J7" s="8">
        <v>62557</v>
      </c>
      <c r="K7" s="8">
        <v>39083</v>
      </c>
      <c r="L7" s="8">
        <v>85184</v>
      </c>
      <c r="M7" s="9">
        <v>82522</v>
      </c>
    </row>
    <row r="8" spans="1:13" x14ac:dyDescent="0.3">
      <c r="A8" s="62">
        <v>3</v>
      </c>
      <c r="B8" s="8">
        <v>31417</v>
      </c>
      <c r="C8" s="8">
        <v>34888</v>
      </c>
      <c r="D8" s="8">
        <v>24564</v>
      </c>
      <c r="E8" s="8">
        <v>30616</v>
      </c>
      <c r="F8" s="8">
        <v>35867</v>
      </c>
      <c r="G8" s="8">
        <v>40228</v>
      </c>
      <c r="H8" s="8">
        <v>44767</v>
      </c>
      <c r="I8" s="8">
        <v>42542</v>
      </c>
      <c r="J8" s="8">
        <v>21182</v>
      </c>
      <c r="K8" s="8">
        <v>49039</v>
      </c>
      <c r="L8" s="8">
        <v>34176</v>
      </c>
      <c r="M8" s="9">
        <v>34532</v>
      </c>
    </row>
    <row r="9" spans="1:13" x14ac:dyDescent="0.3">
      <c r="A9" s="62">
        <v>4</v>
      </c>
      <c r="B9" s="8">
        <v>16137</v>
      </c>
      <c r="C9" s="8">
        <v>19899</v>
      </c>
      <c r="D9" s="8">
        <v>45342</v>
      </c>
      <c r="E9" s="8">
        <v>64350</v>
      </c>
      <c r="F9" s="8">
        <v>38610</v>
      </c>
      <c r="G9" s="8">
        <v>48807</v>
      </c>
      <c r="H9" s="8">
        <v>12672</v>
      </c>
      <c r="I9" s="8">
        <v>18711</v>
      </c>
      <c r="J9" s="8">
        <v>21780</v>
      </c>
      <c r="K9" s="8">
        <v>34650</v>
      </c>
      <c r="L9" s="8">
        <v>40788</v>
      </c>
      <c r="M9" s="9">
        <v>32274</v>
      </c>
    </row>
    <row r="10" spans="1:13" x14ac:dyDescent="0.3">
      <c r="A10" s="62">
        <v>5</v>
      </c>
      <c r="B10" s="8">
        <v>14560</v>
      </c>
      <c r="C10" s="8">
        <v>38584</v>
      </c>
      <c r="D10" s="8">
        <v>29211</v>
      </c>
      <c r="E10" s="8">
        <v>68341</v>
      </c>
      <c r="F10" s="8">
        <v>35945</v>
      </c>
      <c r="G10" s="8">
        <v>38220</v>
      </c>
      <c r="H10" s="8">
        <v>36127</v>
      </c>
      <c r="I10" s="8">
        <v>14105</v>
      </c>
      <c r="J10" s="8">
        <v>31122</v>
      </c>
      <c r="K10" s="8">
        <v>29302</v>
      </c>
      <c r="L10" s="8">
        <v>30212</v>
      </c>
      <c r="M10" s="9">
        <v>19838</v>
      </c>
    </row>
    <row r="11" spans="1:13" x14ac:dyDescent="0.3">
      <c r="A11" s="62">
        <v>6</v>
      </c>
      <c r="B11" s="8">
        <v>35432</v>
      </c>
      <c r="C11" s="8">
        <v>39388</v>
      </c>
      <c r="D11" s="8">
        <v>31132</v>
      </c>
      <c r="E11" s="8">
        <v>38442</v>
      </c>
      <c r="F11" s="8">
        <v>15480</v>
      </c>
      <c r="G11" s="8">
        <v>28466</v>
      </c>
      <c r="H11" s="8">
        <v>63382</v>
      </c>
      <c r="I11" s="8">
        <v>39474</v>
      </c>
      <c r="J11" s="8">
        <v>38012</v>
      </c>
      <c r="K11" s="8">
        <v>56846</v>
      </c>
      <c r="L11" s="8">
        <v>45064</v>
      </c>
      <c r="M11" s="9">
        <v>68284</v>
      </c>
    </row>
    <row r="12" spans="1:13" x14ac:dyDescent="0.3">
      <c r="A12" s="62">
        <v>7</v>
      </c>
      <c r="B12" s="8">
        <v>39624</v>
      </c>
      <c r="C12" s="8">
        <v>45864</v>
      </c>
      <c r="D12" s="8">
        <v>30784</v>
      </c>
      <c r="E12" s="8">
        <v>27872</v>
      </c>
      <c r="F12" s="8">
        <v>15704</v>
      </c>
      <c r="G12" s="8">
        <v>36816</v>
      </c>
      <c r="H12" s="8">
        <v>44408</v>
      </c>
      <c r="I12" s="8">
        <v>47944</v>
      </c>
      <c r="J12" s="8">
        <v>66456</v>
      </c>
      <c r="K12" s="8">
        <v>47840</v>
      </c>
      <c r="L12" s="8">
        <v>87256</v>
      </c>
      <c r="M12" s="9">
        <v>29848</v>
      </c>
    </row>
    <row r="13" spans="1:13" x14ac:dyDescent="0.3">
      <c r="A13" s="62">
        <v>8</v>
      </c>
      <c r="B13" s="8">
        <v>51920</v>
      </c>
      <c r="C13" s="8">
        <v>15752</v>
      </c>
      <c r="D13" s="8">
        <v>15488</v>
      </c>
      <c r="E13" s="8">
        <v>55440</v>
      </c>
      <c r="F13" s="8">
        <v>39864</v>
      </c>
      <c r="G13" s="8">
        <v>64768</v>
      </c>
      <c r="H13" s="8">
        <v>44792</v>
      </c>
      <c r="I13" s="8">
        <v>42240</v>
      </c>
      <c r="J13" s="8">
        <v>38544</v>
      </c>
      <c r="K13" s="8">
        <v>42504</v>
      </c>
      <c r="L13" s="8">
        <v>50336</v>
      </c>
      <c r="M13" s="9">
        <v>32648</v>
      </c>
    </row>
    <row r="14" spans="1:13" x14ac:dyDescent="0.3">
      <c r="A14" s="62">
        <v>9</v>
      </c>
      <c r="B14" s="8">
        <v>53760</v>
      </c>
      <c r="C14" s="8">
        <v>42144</v>
      </c>
      <c r="D14" s="8">
        <v>36384</v>
      </c>
      <c r="E14" s="8">
        <v>56928</v>
      </c>
      <c r="F14" s="8">
        <v>52128</v>
      </c>
      <c r="G14" s="8">
        <v>82080</v>
      </c>
      <c r="H14" s="8">
        <v>61248</v>
      </c>
      <c r="I14" s="8">
        <v>43776</v>
      </c>
      <c r="J14" s="8">
        <v>56544</v>
      </c>
      <c r="K14" s="8">
        <v>76896</v>
      </c>
      <c r="L14" s="8">
        <v>20640</v>
      </c>
      <c r="M14" s="9">
        <v>29472</v>
      </c>
    </row>
    <row r="15" spans="1:13" x14ac:dyDescent="0.3">
      <c r="A15" s="62">
        <v>10</v>
      </c>
      <c r="B15" s="8">
        <v>69106</v>
      </c>
      <c r="C15" s="8">
        <v>40330</v>
      </c>
      <c r="D15" s="8">
        <v>72376</v>
      </c>
      <c r="E15" s="8">
        <v>53192</v>
      </c>
      <c r="F15" s="8">
        <v>66054</v>
      </c>
      <c r="G15" s="8">
        <v>59187</v>
      </c>
      <c r="H15" s="8">
        <v>65509</v>
      </c>
      <c r="I15" s="8">
        <v>53301</v>
      </c>
      <c r="J15" s="8">
        <v>108564</v>
      </c>
      <c r="K15" s="8">
        <v>44581</v>
      </c>
      <c r="L15" s="8">
        <v>58969</v>
      </c>
      <c r="M15" s="9">
        <v>57552</v>
      </c>
    </row>
    <row r="16" spans="1:13" x14ac:dyDescent="0.3">
      <c r="A16" s="62">
        <v>11</v>
      </c>
      <c r="B16" s="8">
        <v>45484</v>
      </c>
      <c r="C16" s="8">
        <v>43824</v>
      </c>
      <c r="D16" s="8">
        <v>49302</v>
      </c>
      <c r="E16" s="8">
        <v>49800</v>
      </c>
      <c r="F16" s="8">
        <v>50132</v>
      </c>
      <c r="G16" s="8">
        <v>48140</v>
      </c>
      <c r="H16" s="8">
        <v>86569</v>
      </c>
      <c r="I16" s="8">
        <v>71214</v>
      </c>
      <c r="J16" s="8">
        <v>48555</v>
      </c>
      <c r="K16" s="8">
        <v>48140</v>
      </c>
      <c r="L16" s="8">
        <v>36852</v>
      </c>
      <c r="M16" s="9">
        <v>41749</v>
      </c>
    </row>
    <row r="17" spans="1:13" x14ac:dyDescent="0.3">
      <c r="A17" s="62">
        <v>12</v>
      </c>
      <c r="B17" s="8">
        <v>99616</v>
      </c>
      <c r="C17" s="8">
        <v>41008</v>
      </c>
      <c r="D17" s="8">
        <v>44880</v>
      </c>
      <c r="E17" s="8">
        <v>48400</v>
      </c>
      <c r="F17" s="8">
        <v>47168</v>
      </c>
      <c r="G17" s="8">
        <v>83512</v>
      </c>
      <c r="H17" s="8">
        <v>86944</v>
      </c>
      <c r="I17" s="8">
        <v>53152</v>
      </c>
      <c r="J17" s="8">
        <v>77704</v>
      </c>
      <c r="K17" s="8">
        <v>62040</v>
      </c>
      <c r="L17" s="8">
        <v>48312</v>
      </c>
      <c r="M17" s="9">
        <v>61688</v>
      </c>
    </row>
    <row r="18" spans="1:13" x14ac:dyDescent="0.3">
      <c r="A18" s="62">
        <v>13</v>
      </c>
      <c r="B18" s="8">
        <v>57434</v>
      </c>
      <c r="C18" s="8">
        <v>50102</v>
      </c>
      <c r="D18" s="8">
        <v>36002</v>
      </c>
      <c r="E18" s="8">
        <v>43522</v>
      </c>
      <c r="F18" s="8">
        <v>44086</v>
      </c>
      <c r="G18" s="8">
        <v>34498</v>
      </c>
      <c r="H18" s="8">
        <v>60160</v>
      </c>
      <c r="I18" s="8">
        <v>36660</v>
      </c>
      <c r="J18" s="8">
        <v>48034</v>
      </c>
      <c r="K18" s="8">
        <v>43616</v>
      </c>
      <c r="L18" s="8">
        <v>37130</v>
      </c>
      <c r="M18" s="9">
        <v>41360</v>
      </c>
    </row>
    <row r="19" spans="1:13" x14ac:dyDescent="0.3">
      <c r="A19" s="62">
        <v>14</v>
      </c>
      <c r="B19" s="8">
        <v>43215</v>
      </c>
      <c r="C19" s="8">
        <v>23607</v>
      </c>
      <c r="D19" s="8">
        <v>58437</v>
      </c>
      <c r="E19" s="8">
        <v>62307</v>
      </c>
      <c r="F19" s="8">
        <v>54954</v>
      </c>
      <c r="G19" s="8">
        <v>67467</v>
      </c>
      <c r="H19" s="8">
        <v>85140</v>
      </c>
      <c r="I19" s="8">
        <v>49536</v>
      </c>
      <c r="J19" s="8">
        <v>38700</v>
      </c>
      <c r="K19" s="8">
        <v>69015</v>
      </c>
      <c r="L19" s="8">
        <v>37410</v>
      </c>
      <c r="M19" s="9">
        <v>34830</v>
      </c>
    </row>
    <row r="20" spans="1:13" x14ac:dyDescent="0.3">
      <c r="A20" s="62">
        <v>15</v>
      </c>
      <c r="B20" s="8">
        <v>41735</v>
      </c>
      <c r="C20" s="8">
        <v>41735</v>
      </c>
      <c r="D20" s="8">
        <v>40205</v>
      </c>
      <c r="E20" s="8">
        <v>46750</v>
      </c>
      <c r="F20" s="8">
        <v>48620</v>
      </c>
      <c r="G20" s="8">
        <v>28645</v>
      </c>
      <c r="H20" s="8">
        <v>46325</v>
      </c>
      <c r="I20" s="8">
        <v>15470</v>
      </c>
      <c r="J20" s="8">
        <v>30430</v>
      </c>
      <c r="K20" s="8">
        <v>12495</v>
      </c>
      <c r="L20" s="8">
        <v>25925</v>
      </c>
      <c r="M20" s="9">
        <v>61285</v>
      </c>
    </row>
    <row r="21" spans="1:13" x14ac:dyDescent="0.3">
      <c r="A21" s="62">
        <v>16</v>
      </c>
      <c r="B21" s="8">
        <v>34131</v>
      </c>
      <c r="C21" s="8">
        <v>25668</v>
      </c>
      <c r="D21" s="8">
        <v>16833</v>
      </c>
      <c r="E21" s="8">
        <v>12276</v>
      </c>
      <c r="F21" s="8">
        <v>29388</v>
      </c>
      <c r="G21" s="8">
        <v>37014</v>
      </c>
      <c r="H21" s="8">
        <v>44640</v>
      </c>
      <c r="I21" s="8">
        <v>49104</v>
      </c>
      <c r="J21" s="8">
        <v>14973</v>
      </c>
      <c r="K21" s="8">
        <v>62682</v>
      </c>
      <c r="L21" s="8">
        <v>49290</v>
      </c>
      <c r="M21" s="9">
        <v>42780</v>
      </c>
    </row>
    <row r="22" spans="1:13" x14ac:dyDescent="0.3">
      <c r="A22" s="62">
        <v>17</v>
      </c>
      <c r="B22" s="8">
        <v>23100</v>
      </c>
      <c r="C22" s="8">
        <v>49980</v>
      </c>
      <c r="D22" s="8">
        <v>43680</v>
      </c>
      <c r="E22" s="8">
        <v>39396</v>
      </c>
      <c r="F22" s="8">
        <v>39312</v>
      </c>
      <c r="G22" s="8">
        <v>50736</v>
      </c>
      <c r="H22" s="8">
        <v>29400</v>
      </c>
      <c r="I22" s="8">
        <v>39060</v>
      </c>
      <c r="J22" s="8">
        <v>27636</v>
      </c>
      <c r="K22" s="8">
        <v>27804</v>
      </c>
      <c r="L22" s="8">
        <v>42084</v>
      </c>
      <c r="M22" s="9">
        <v>16212</v>
      </c>
    </row>
    <row r="23" spans="1:13" x14ac:dyDescent="0.3">
      <c r="A23" s="62">
        <v>18</v>
      </c>
      <c r="B23" s="8">
        <v>26010</v>
      </c>
      <c r="C23" s="8">
        <v>18810</v>
      </c>
      <c r="D23" s="8">
        <v>24570</v>
      </c>
      <c r="E23" s="8">
        <v>33750</v>
      </c>
      <c r="F23" s="8">
        <v>25290</v>
      </c>
      <c r="G23" s="8">
        <v>40230</v>
      </c>
      <c r="H23" s="8">
        <v>37080</v>
      </c>
      <c r="I23" s="8">
        <v>47340</v>
      </c>
      <c r="J23" s="8">
        <v>30240</v>
      </c>
      <c r="K23" s="8">
        <v>48780</v>
      </c>
      <c r="L23" s="8">
        <v>28620</v>
      </c>
      <c r="M23" s="9">
        <v>20250</v>
      </c>
    </row>
    <row r="24" spans="1:13" x14ac:dyDescent="0.3">
      <c r="A24" s="62">
        <v>19</v>
      </c>
      <c r="B24" s="8">
        <v>27384</v>
      </c>
      <c r="C24" s="8">
        <v>9912</v>
      </c>
      <c r="D24" s="8">
        <v>37212</v>
      </c>
      <c r="E24" s="8">
        <v>37968</v>
      </c>
      <c r="F24" s="8">
        <v>29904</v>
      </c>
      <c r="G24" s="8">
        <v>38388</v>
      </c>
      <c r="H24" s="8">
        <v>54516</v>
      </c>
      <c r="I24" s="8">
        <v>52080</v>
      </c>
      <c r="J24" s="8">
        <v>61992</v>
      </c>
      <c r="K24" s="8">
        <v>49056</v>
      </c>
      <c r="L24" s="8">
        <v>21168</v>
      </c>
      <c r="M24" s="9">
        <v>29484</v>
      </c>
    </row>
    <row r="25" spans="1:13" x14ac:dyDescent="0.3">
      <c r="A25" s="62">
        <v>20</v>
      </c>
      <c r="B25" s="8">
        <v>34521</v>
      </c>
      <c r="C25" s="8">
        <v>10656</v>
      </c>
      <c r="D25" s="8">
        <v>17094</v>
      </c>
      <c r="E25" s="8">
        <v>14874</v>
      </c>
      <c r="F25" s="8">
        <v>34632</v>
      </c>
      <c r="G25" s="8">
        <v>15540</v>
      </c>
      <c r="H25" s="8">
        <v>11433</v>
      </c>
      <c r="I25" s="8">
        <v>33078</v>
      </c>
      <c r="J25" s="8">
        <v>20424</v>
      </c>
      <c r="K25" s="8">
        <v>8658</v>
      </c>
      <c r="L25" s="8">
        <v>17205</v>
      </c>
      <c r="M25" s="9">
        <v>33855</v>
      </c>
    </row>
    <row r="26" spans="1:13" x14ac:dyDescent="0.3">
      <c r="A26" s="62">
        <v>21</v>
      </c>
      <c r="B26" s="8">
        <v>18795</v>
      </c>
      <c r="C26" s="8">
        <v>25200</v>
      </c>
      <c r="D26" s="8">
        <v>5670</v>
      </c>
      <c r="E26" s="8">
        <v>22995</v>
      </c>
      <c r="F26" s="8">
        <v>26145</v>
      </c>
      <c r="G26" s="8">
        <v>49455</v>
      </c>
      <c r="H26" s="8">
        <v>20265</v>
      </c>
      <c r="I26" s="8">
        <v>19635</v>
      </c>
      <c r="J26" s="8">
        <v>21315</v>
      </c>
      <c r="K26" s="8">
        <v>37065</v>
      </c>
      <c r="L26" s="8">
        <v>29295</v>
      </c>
      <c r="M26" s="9">
        <v>13965</v>
      </c>
    </row>
    <row r="27" spans="1:13" x14ac:dyDescent="0.3">
      <c r="A27" s="62">
        <v>22</v>
      </c>
      <c r="B27" s="8">
        <v>14420</v>
      </c>
      <c r="C27" s="8">
        <v>5356</v>
      </c>
      <c r="D27" s="8">
        <v>13287</v>
      </c>
      <c r="E27" s="8">
        <v>11227</v>
      </c>
      <c r="F27" s="8">
        <v>4429</v>
      </c>
      <c r="G27" s="8">
        <v>20394</v>
      </c>
      <c r="H27" s="8">
        <v>30076</v>
      </c>
      <c r="I27" s="8">
        <v>21939</v>
      </c>
      <c r="J27" s="8">
        <v>20291</v>
      </c>
      <c r="K27" s="8">
        <v>11948</v>
      </c>
      <c r="L27" s="8">
        <v>40376</v>
      </c>
      <c r="M27" s="9">
        <v>20909</v>
      </c>
    </row>
    <row r="28" spans="1:13" x14ac:dyDescent="0.3">
      <c r="A28" s="62">
        <v>23</v>
      </c>
      <c r="B28" s="8">
        <v>92664</v>
      </c>
      <c r="C28" s="8">
        <v>57420</v>
      </c>
      <c r="D28" s="8">
        <v>20064</v>
      </c>
      <c r="E28" s="8">
        <v>60720</v>
      </c>
      <c r="F28" s="8">
        <v>78540</v>
      </c>
      <c r="G28" s="8">
        <v>42768</v>
      </c>
      <c r="H28" s="8">
        <v>46464</v>
      </c>
      <c r="I28" s="8">
        <v>43032</v>
      </c>
      <c r="J28" s="8">
        <v>74844</v>
      </c>
      <c r="K28" s="8">
        <v>73656</v>
      </c>
      <c r="L28" s="8">
        <v>69168</v>
      </c>
      <c r="M28" s="9">
        <v>58344</v>
      </c>
    </row>
    <row r="29" spans="1:13" x14ac:dyDescent="0.3">
      <c r="A29" s="62">
        <v>24</v>
      </c>
      <c r="B29" s="8">
        <v>73000</v>
      </c>
      <c r="C29" s="8">
        <v>61125</v>
      </c>
      <c r="D29" s="8">
        <v>34500</v>
      </c>
      <c r="E29" s="8">
        <v>48625</v>
      </c>
      <c r="F29" s="8">
        <v>61375</v>
      </c>
      <c r="G29" s="8">
        <v>73250</v>
      </c>
      <c r="H29" s="8">
        <v>55375</v>
      </c>
      <c r="I29" s="8">
        <v>24875</v>
      </c>
      <c r="J29" s="8">
        <v>31250</v>
      </c>
      <c r="K29" s="8">
        <v>97625</v>
      </c>
      <c r="L29" s="8">
        <v>72250</v>
      </c>
      <c r="M29" s="9">
        <v>45875</v>
      </c>
    </row>
    <row r="30" spans="1:13" x14ac:dyDescent="0.3">
      <c r="A30" s="62">
        <v>25</v>
      </c>
      <c r="B30" s="8">
        <v>60264</v>
      </c>
      <c r="C30" s="8">
        <v>26568</v>
      </c>
      <c r="D30" s="8">
        <v>41904</v>
      </c>
      <c r="E30" s="8">
        <v>58320</v>
      </c>
      <c r="F30" s="8">
        <v>42768</v>
      </c>
      <c r="G30" s="8">
        <v>18036</v>
      </c>
      <c r="H30" s="8">
        <v>35100</v>
      </c>
      <c r="I30" s="8">
        <v>66744</v>
      </c>
      <c r="J30" s="8">
        <v>75168</v>
      </c>
      <c r="K30" s="8">
        <v>72900</v>
      </c>
      <c r="L30" s="8">
        <v>33696</v>
      </c>
      <c r="M30" s="9">
        <v>36504</v>
      </c>
    </row>
    <row r="31" spans="1:13" x14ac:dyDescent="0.3">
      <c r="A31" s="62">
        <v>26</v>
      </c>
      <c r="B31" s="8">
        <v>33165</v>
      </c>
      <c r="C31" s="8">
        <v>43659</v>
      </c>
      <c r="D31" s="8">
        <v>41184</v>
      </c>
      <c r="E31" s="8">
        <v>25938</v>
      </c>
      <c r="F31" s="8">
        <v>29502</v>
      </c>
      <c r="G31" s="8">
        <v>55440</v>
      </c>
      <c r="H31" s="8">
        <v>45936</v>
      </c>
      <c r="I31" s="8">
        <v>30987</v>
      </c>
      <c r="J31" s="8">
        <v>51678</v>
      </c>
      <c r="K31" s="8">
        <v>59796</v>
      </c>
      <c r="L31" s="8">
        <v>51975</v>
      </c>
      <c r="M31" s="9">
        <v>40788</v>
      </c>
    </row>
    <row r="32" spans="1:13" x14ac:dyDescent="0.3">
      <c r="A32" s="62">
        <v>27</v>
      </c>
      <c r="B32" s="8">
        <v>36453</v>
      </c>
      <c r="C32" s="8">
        <v>36279</v>
      </c>
      <c r="D32" s="8">
        <v>19662</v>
      </c>
      <c r="E32" s="8">
        <v>26535</v>
      </c>
      <c r="F32" s="8">
        <v>28362</v>
      </c>
      <c r="G32" s="8">
        <v>40629</v>
      </c>
      <c r="H32" s="8">
        <v>32799</v>
      </c>
      <c r="I32" s="8">
        <v>32016</v>
      </c>
      <c r="J32" s="8">
        <v>20967</v>
      </c>
      <c r="K32" s="8">
        <v>38280</v>
      </c>
      <c r="L32" s="8">
        <v>24969</v>
      </c>
      <c r="M32" s="9">
        <v>21054</v>
      </c>
    </row>
    <row r="33" spans="1:13" x14ac:dyDescent="0.3">
      <c r="A33" s="62">
        <v>28</v>
      </c>
      <c r="B33" s="8">
        <v>27022</v>
      </c>
      <c r="C33" s="8">
        <v>17818</v>
      </c>
      <c r="D33" s="8">
        <v>13334</v>
      </c>
      <c r="E33" s="8">
        <v>23600</v>
      </c>
      <c r="F33" s="8">
        <v>15222</v>
      </c>
      <c r="G33" s="8">
        <v>5310</v>
      </c>
      <c r="H33" s="8">
        <v>23305</v>
      </c>
      <c r="I33" s="8">
        <v>15281</v>
      </c>
      <c r="J33" s="8">
        <v>16284</v>
      </c>
      <c r="K33" s="8">
        <v>34161</v>
      </c>
      <c r="L33" s="8">
        <v>12744</v>
      </c>
      <c r="M33" s="9">
        <v>20178</v>
      </c>
    </row>
    <row r="34" spans="1:13" x14ac:dyDescent="0.3">
      <c r="A34" s="62">
        <v>29</v>
      </c>
      <c r="B34" s="8">
        <v>38640</v>
      </c>
      <c r="C34" s="8">
        <v>51555</v>
      </c>
      <c r="D34" s="8">
        <v>28140</v>
      </c>
      <c r="E34" s="8">
        <v>21420</v>
      </c>
      <c r="F34" s="8">
        <v>70770</v>
      </c>
      <c r="G34" s="8">
        <v>35175</v>
      </c>
      <c r="H34" s="8">
        <v>34335</v>
      </c>
      <c r="I34" s="8">
        <v>60375</v>
      </c>
      <c r="J34" s="8">
        <v>38640</v>
      </c>
      <c r="K34" s="8">
        <v>33285</v>
      </c>
      <c r="L34" s="8">
        <v>31605</v>
      </c>
      <c r="M34" s="9">
        <v>37170</v>
      </c>
    </row>
    <row r="35" spans="1:13" ht="14.5" thickBot="1" x14ac:dyDescent="0.35">
      <c r="A35" s="63">
        <v>30</v>
      </c>
      <c r="B35" s="10">
        <v>19053</v>
      </c>
      <c r="C35" s="10">
        <v>47328</v>
      </c>
      <c r="D35" s="10">
        <v>29406</v>
      </c>
      <c r="E35" s="10">
        <v>42543</v>
      </c>
      <c r="F35" s="10">
        <v>37323</v>
      </c>
      <c r="G35" s="10">
        <v>47328</v>
      </c>
      <c r="H35" s="10">
        <v>38367</v>
      </c>
      <c r="I35" s="10">
        <v>57072</v>
      </c>
      <c r="J35" s="10">
        <v>31842</v>
      </c>
      <c r="K35" s="10">
        <v>42021</v>
      </c>
      <c r="L35" s="10">
        <v>26448</v>
      </c>
      <c r="M35" s="11">
        <v>52635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729B4-0F62-4F71-A4A5-990D72D1EA93}">
  <sheetPr codeName="Arkusz1"/>
  <dimension ref="E2:J29"/>
  <sheetViews>
    <sheetView showGridLines="0" zoomScaleNormal="100" workbookViewId="0">
      <selection activeCell="C6" sqref="C6"/>
    </sheetView>
  </sheetViews>
  <sheetFormatPr defaultRowHeight="14" x14ac:dyDescent="0.3"/>
  <cols>
    <col min="1" max="16384" width="8.7265625" style="1"/>
  </cols>
  <sheetData>
    <row r="2" spans="5:10" ht="14.5" thickBot="1" x14ac:dyDescent="0.35"/>
    <row r="3" spans="5:10" ht="14.5" thickBot="1" x14ac:dyDescent="0.35">
      <c r="E3" s="68" t="s">
        <v>0</v>
      </c>
      <c r="F3" s="69"/>
      <c r="G3" s="69"/>
      <c r="H3" s="69"/>
      <c r="I3" s="69"/>
      <c r="J3" s="70"/>
    </row>
    <row r="4" spans="5:10" ht="14.5" thickBot="1" x14ac:dyDescent="0.35"/>
    <row r="5" spans="5:10" ht="14.5" thickBot="1" x14ac:dyDescent="0.35">
      <c r="E5" s="68" t="s">
        <v>1</v>
      </c>
      <c r="F5" s="69"/>
      <c r="G5" s="70"/>
      <c r="H5" s="68" t="s">
        <v>2</v>
      </c>
      <c r="I5" s="69"/>
      <c r="J5" s="70"/>
    </row>
    <row r="6" spans="5:10" x14ac:dyDescent="0.3">
      <c r="E6" s="80"/>
      <c r="F6" s="81"/>
      <c r="G6" s="82"/>
      <c r="H6" s="71"/>
      <c r="I6" s="72"/>
      <c r="J6" s="73"/>
    </row>
    <row r="7" spans="5:10" x14ac:dyDescent="0.3">
      <c r="E7" s="83"/>
      <c r="F7" s="84"/>
      <c r="G7" s="85"/>
      <c r="H7" s="74"/>
      <c r="I7" s="75"/>
      <c r="J7" s="76"/>
    </row>
    <row r="8" spans="5:10" x14ac:dyDescent="0.3">
      <c r="E8" s="83"/>
      <c r="F8" s="84"/>
      <c r="G8" s="85"/>
      <c r="H8" s="74"/>
      <c r="I8" s="75"/>
      <c r="J8" s="76"/>
    </row>
    <row r="9" spans="5:10" x14ac:dyDescent="0.3">
      <c r="E9" s="83"/>
      <c r="F9" s="84"/>
      <c r="G9" s="85"/>
      <c r="H9" s="74"/>
      <c r="I9" s="75"/>
      <c r="J9" s="76"/>
    </row>
    <row r="10" spans="5:10" x14ac:dyDescent="0.3">
      <c r="E10" s="83"/>
      <c r="F10" s="84"/>
      <c r="G10" s="85"/>
      <c r="H10" s="74"/>
      <c r="I10" s="75"/>
      <c r="J10" s="76"/>
    </row>
    <row r="11" spans="5:10" x14ac:dyDescent="0.3">
      <c r="E11" s="83"/>
      <c r="F11" s="84"/>
      <c r="G11" s="85"/>
      <c r="H11" s="74"/>
      <c r="I11" s="75"/>
      <c r="J11" s="76"/>
    </row>
    <row r="12" spans="5:10" x14ac:dyDescent="0.3">
      <c r="E12" s="83"/>
      <c r="F12" s="84"/>
      <c r="G12" s="85"/>
      <c r="H12" s="74"/>
      <c r="I12" s="75"/>
      <c r="J12" s="76"/>
    </row>
    <row r="13" spans="5:10" x14ac:dyDescent="0.3">
      <c r="E13" s="83"/>
      <c r="F13" s="84"/>
      <c r="G13" s="85"/>
      <c r="H13" s="74"/>
      <c r="I13" s="75"/>
      <c r="J13" s="76"/>
    </row>
    <row r="14" spans="5:10" x14ac:dyDescent="0.3">
      <c r="E14" s="83"/>
      <c r="F14" s="84"/>
      <c r="G14" s="85"/>
      <c r="H14" s="74"/>
      <c r="I14" s="75"/>
      <c r="J14" s="76"/>
    </row>
    <row r="15" spans="5:10" x14ac:dyDescent="0.3">
      <c r="E15" s="83"/>
      <c r="F15" s="84"/>
      <c r="G15" s="85"/>
      <c r="H15" s="74"/>
      <c r="I15" s="75"/>
      <c r="J15" s="76"/>
    </row>
    <row r="16" spans="5:10" x14ac:dyDescent="0.3">
      <c r="E16" s="83"/>
      <c r="F16" s="84"/>
      <c r="G16" s="85"/>
      <c r="H16" s="74"/>
      <c r="I16" s="75"/>
      <c r="J16" s="76"/>
    </row>
    <row r="17" spans="5:10" x14ac:dyDescent="0.3">
      <c r="E17" s="83"/>
      <c r="F17" s="84"/>
      <c r="G17" s="85"/>
      <c r="H17" s="74"/>
      <c r="I17" s="75"/>
      <c r="J17" s="76"/>
    </row>
    <row r="18" spans="5:10" x14ac:dyDescent="0.3">
      <c r="E18" s="83"/>
      <c r="F18" s="84"/>
      <c r="G18" s="85"/>
      <c r="H18" s="74"/>
      <c r="I18" s="75"/>
      <c r="J18" s="76"/>
    </row>
    <row r="19" spans="5:10" x14ac:dyDescent="0.3">
      <c r="E19" s="83"/>
      <c r="F19" s="84"/>
      <c r="G19" s="85"/>
      <c r="H19" s="74"/>
      <c r="I19" s="75"/>
      <c r="J19" s="76"/>
    </row>
    <row r="20" spans="5:10" x14ac:dyDescent="0.3">
      <c r="E20" s="83"/>
      <c r="F20" s="84"/>
      <c r="G20" s="85"/>
      <c r="H20" s="74"/>
      <c r="I20" s="75"/>
      <c r="J20" s="76"/>
    </row>
    <row r="21" spans="5:10" x14ac:dyDescent="0.3">
      <c r="E21" s="83"/>
      <c r="F21" s="84"/>
      <c r="G21" s="85"/>
      <c r="H21" s="74"/>
      <c r="I21" s="75"/>
      <c r="J21" s="76"/>
    </row>
    <row r="22" spans="5:10" x14ac:dyDescent="0.3">
      <c r="E22" s="83"/>
      <c r="F22" s="84"/>
      <c r="G22" s="85"/>
      <c r="H22" s="74"/>
      <c r="I22" s="75"/>
      <c r="J22" s="76"/>
    </row>
    <row r="23" spans="5:10" x14ac:dyDescent="0.3">
      <c r="E23" s="83"/>
      <c r="F23" s="84"/>
      <c r="G23" s="85"/>
      <c r="H23" s="74"/>
      <c r="I23" s="75"/>
      <c r="J23" s="76"/>
    </row>
    <row r="24" spans="5:10" x14ac:dyDescent="0.3">
      <c r="E24" s="83"/>
      <c r="F24" s="84"/>
      <c r="G24" s="85"/>
      <c r="H24" s="74"/>
      <c r="I24" s="75"/>
      <c r="J24" s="76"/>
    </row>
    <row r="25" spans="5:10" x14ac:dyDescent="0.3">
      <c r="E25" s="83"/>
      <c r="F25" s="84"/>
      <c r="G25" s="85"/>
      <c r="H25" s="74"/>
      <c r="I25" s="75"/>
      <c r="J25" s="76"/>
    </row>
    <row r="26" spans="5:10" x14ac:dyDescent="0.3">
      <c r="E26" s="83"/>
      <c r="F26" s="84"/>
      <c r="G26" s="85"/>
      <c r="H26" s="74"/>
      <c r="I26" s="75"/>
      <c r="J26" s="76"/>
    </row>
    <row r="27" spans="5:10" x14ac:dyDescent="0.3">
      <c r="E27" s="83"/>
      <c r="F27" s="84"/>
      <c r="G27" s="85"/>
      <c r="H27" s="74"/>
      <c r="I27" s="75"/>
      <c r="J27" s="76"/>
    </row>
    <row r="28" spans="5:10" x14ac:dyDescent="0.3">
      <c r="E28" s="83"/>
      <c r="F28" s="84"/>
      <c r="G28" s="85"/>
      <c r="H28" s="74"/>
      <c r="I28" s="75"/>
      <c r="J28" s="76"/>
    </row>
    <row r="29" spans="5:10" ht="14.5" thickBot="1" x14ac:dyDescent="0.35">
      <c r="E29" s="86"/>
      <c r="F29" s="87"/>
      <c r="G29" s="88"/>
      <c r="H29" s="77"/>
      <c r="I29" s="78"/>
      <c r="J29" s="79"/>
    </row>
  </sheetData>
  <mergeCells count="5">
    <mergeCell ref="E3:J3"/>
    <mergeCell ref="E5:G5"/>
    <mergeCell ref="H5:J5"/>
    <mergeCell ref="H6:J29"/>
    <mergeCell ref="E6:G2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84FE0-650B-44DA-90D2-9350B0AA23A8}">
  <sheetPr codeName="Arkusz4"/>
  <dimension ref="C1:G35"/>
  <sheetViews>
    <sheetView showGridLines="0" workbookViewId="0">
      <selection activeCell="B8" sqref="B8"/>
    </sheetView>
  </sheetViews>
  <sheetFormatPr defaultRowHeight="14" x14ac:dyDescent="0.3"/>
  <cols>
    <col min="1" max="2" width="8.7265625" style="1"/>
    <col min="3" max="3" width="11.08984375" style="26" customWidth="1"/>
    <col min="4" max="6" width="16.6328125" style="1" customWidth="1"/>
    <col min="7" max="7" width="14.6328125" style="1" customWidth="1"/>
    <col min="8" max="10" width="8.7265625" style="1"/>
    <col min="11" max="11" width="22.1796875" style="1" customWidth="1"/>
    <col min="12" max="16384" width="8.7265625" style="1"/>
  </cols>
  <sheetData>
    <row r="1" spans="3:7" ht="14.5" thickBot="1" x14ac:dyDescent="0.35"/>
    <row r="2" spans="3:7" ht="14.5" thickBot="1" x14ac:dyDescent="0.35">
      <c r="D2" s="89" t="s">
        <v>1</v>
      </c>
      <c r="E2" s="90"/>
      <c r="F2" s="91"/>
      <c r="G2" s="52"/>
    </row>
    <row r="4" spans="3:7" ht="14.5" thickBot="1" x14ac:dyDescent="0.35"/>
    <row r="5" spans="3:7" ht="42.5" thickBot="1" x14ac:dyDescent="0.35">
      <c r="C5" s="3" t="s">
        <v>3</v>
      </c>
      <c r="D5" s="4" t="s">
        <v>3059</v>
      </c>
      <c r="E5" s="4" t="s">
        <v>3060</v>
      </c>
      <c r="F5" s="4" t="s">
        <v>3061</v>
      </c>
      <c r="G5" s="5" t="s">
        <v>5</v>
      </c>
    </row>
    <row r="6" spans="3:7" x14ac:dyDescent="0.3">
      <c r="C6" s="64">
        <v>12</v>
      </c>
      <c r="D6" s="38">
        <v>754424</v>
      </c>
      <c r="E6" s="53">
        <v>5.2296886021925171E-2</v>
      </c>
      <c r="F6" s="54">
        <v>5.2296886021925171E-2</v>
      </c>
      <c r="G6" s="40" t="s">
        <v>3040</v>
      </c>
    </row>
    <row r="7" spans="3:7" x14ac:dyDescent="0.3">
      <c r="C7" s="65">
        <v>10</v>
      </c>
      <c r="D7" s="41">
        <v>748721</v>
      </c>
      <c r="E7" s="55">
        <v>5.1901552441626773E-2</v>
      </c>
      <c r="F7" s="56">
        <v>0.10419843846355195</v>
      </c>
      <c r="G7" s="43" t="s">
        <v>3040</v>
      </c>
    </row>
    <row r="8" spans="3:7" x14ac:dyDescent="0.3">
      <c r="C8" s="65">
        <v>23</v>
      </c>
      <c r="D8" s="41">
        <v>717684</v>
      </c>
      <c r="E8" s="55">
        <v>4.9750058783600927E-2</v>
      </c>
      <c r="F8" s="56">
        <v>0.15394849724715287</v>
      </c>
      <c r="G8" s="43" t="s">
        <v>3040</v>
      </c>
    </row>
    <row r="9" spans="3:7" x14ac:dyDescent="0.3">
      <c r="C9" s="65">
        <v>24</v>
      </c>
      <c r="D9" s="41">
        <v>679125</v>
      </c>
      <c r="E9" s="55">
        <v>4.7077137948474512E-2</v>
      </c>
      <c r="F9" s="56">
        <v>0.20102563519562738</v>
      </c>
      <c r="G9" s="43" t="s">
        <v>3040</v>
      </c>
    </row>
    <row r="10" spans="3:7" x14ac:dyDescent="0.3">
      <c r="C10" s="65">
        <v>14</v>
      </c>
      <c r="D10" s="41">
        <v>624618</v>
      </c>
      <c r="E10" s="55">
        <v>4.3298697222308488E-2</v>
      </c>
      <c r="F10" s="56">
        <v>0.24432433241793589</v>
      </c>
      <c r="G10" s="43" t="s">
        <v>3040</v>
      </c>
    </row>
    <row r="11" spans="3:7" x14ac:dyDescent="0.3">
      <c r="C11" s="65">
        <v>11</v>
      </c>
      <c r="D11" s="41">
        <v>619761</v>
      </c>
      <c r="E11" s="55">
        <v>4.2962008602369976E-2</v>
      </c>
      <c r="F11" s="56">
        <v>0.28728634102030587</v>
      </c>
      <c r="G11" s="43" t="s">
        <v>3040</v>
      </c>
    </row>
    <row r="12" spans="3:7" x14ac:dyDescent="0.3">
      <c r="C12" s="65">
        <v>9</v>
      </c>
      <c r="D12" s="41">
        <v>612000</v>
      </c>
      <c r="E12" s="55">
        <v>4.2424013877366315E-2</v>
      </c>
      <c r="F12" s="56">
        <v>0.3297103548976722</v>
      </c>
      <c r="G12" s="43" t="s">
        <v>3040</v>
      </c>
    </row>
    <row r="13" spans="3:7" x14ac:dyDescent="0.3">
      <c r="C13" s="65">
        <v>2</v>
      </c>
      <c r="D13" s="41">
        <v>590601</v>
      </c>
      <c r="E13" s="55">
        <v>4.0940629117624874E-2</v>
      </c>
      <c r="F13" s="56">
        <v>0.37065098401529706</v>
      </c>
      <c r="G13" s="43" t="s">
        <v>3040</v>
      </c>
    </row>
    <row r="14" spans="3:7" x14ac:dyDescent="0.3">
      <c r="C14" s="65">
        <v>25</v>
      </c>
      <c r="D14" s="41">
        <v>567972</v>
      </c>
      <c r="E14" s="55">
        <v>3.9371980408424025E-2</v>
      </c>
      <c r="F14" s="56">
        <v>0.4100229644237211</v>
      </c>
      <c r="G14" s="43" t="s">
        <v>3040</v>
      </c>
    </row>
    <row r="15" spans="3:7" x14ac:dyDescent="0.3">
      <c r="C15" s="65">
        <v>13</v>
      </c>
      <c r="D15" s="41">
        <v>532604</v>
      </c>
      <c r="E15" s="55">
        <v>3.6920260599903283E-2</v>
      </c>
      <c r="F15" s="56">
        <v>0.44694322502362438</v>
      </c>
      <c r="G15" s="43" t="s">
        <v>3040</v>
      </c>
    </row>
    <row r="16" spans="3:7" x14ac:dyDescent="0.3">
      <c r="C16" s="65">
        <v>7</v>
      </c>
      <c r="D16" s="41">
        <v>520416</v>
      </c>
      <c r="E16" s="55">
        <v>3.6075384977129851E-2</v>
      </c>
      <c r="F16" s="56">
        <v>0.48301861000075424</v>
      </c>
      <c r="G16" s="43" t="s">
        <v>3040</v>
      </c>
    </row>
    <row r="17" spans="3:7" x14ac:dyDescent="0.3">
      <c r="C17" s="65">
        <v>26</v>
      </c>
      <c r="D17" s="41">
        <v>510048</v>
      </c>
      <c r="E17" s="55">
        <v>3.5356672271442707E-2</v>
      </c>
      <c r="F17" s="56">
        <v>0.51837528227219698</v>
      </c>
      <c r="G17" s="43" t="s">
        <v>3040</v>
      </c>
    </row>
    <row r="18" spans="3:7" x14ac:dyDescent="0.3">
      <c r="C18" s="65">
        <v>6</v>
      </c>
      <c r="D18" s="41">
        <v>499402</v>
      </c>
      <c r="E18" s="55">
        <v>3.4618688526772051E-2</v>
      </c>
      <c r="F18" s="56">
        <v>0.55299397079896906</v>
      </c>
      <c r="G18" s="43" t="s">
        <v>3040</v>
      </c>
    </row>
    <row r="19" spans="3:7" x14ac:dyDescent="0.3">
      <c r="C19" s="65">
        <v>8</v>
      </c>
      <c r="D19" s="41">
        <v>494296</v>
      </c>
      <c r="E19" s="55">
        <v>3.4264739156089317E-2</v>
      </c>
      <c r="F19" s="56">
        <v>0.58725870995505836</v>
      </c>
      <c r="G19" s="43" t="s">
        <v>3040</v>
      </c>
    </row>
    <row r="20" spans="3:7" x14ac:dyDescent="0.3">
      <c r="C20" s="65">
        <v>29</v>
      </c>
      <c r="D20" s="41">
        <v>481110</v>
      </c>
      <c r="E20" s="55">
        <v>3.3350681889770764E-2</v>
      </c>
      <c r="F20" s="56">
        <v>0.62060939184482911</v>
      </c>
      <c r="G20" s="43" t="s">
        <v>3040</v>
      </c>
    </row>
    <row r="21" spans="3:7" x14ac:dyDescent="0.3">
      <c r="C21" s="65">
        <v>30</v>
      </c>
      <c r="D21" s="41">
        <v>471366</v>
      </c>
      <c r="E21" s="55">
        <v>3.2675225041370347E-2</v>
      </c>
      <c r="F21" s="56">
        <v>0.65328461688619943</v>
      </c>
      <c r="G21" s="43" t="s">
        <v>3040</v>
      </c>
    </row>
    <row r="22" spans="3:7" x14ac:dyDescent="0.3">
      <c r="C22" s="65">
        <v>19</v>
      </c>
      <c r="D22" s="41">
        <v>449064</v>
      </c>
      <c r="E22" s="55">
        <v>3.1129244065074554E-2</v>
      </c>
      <c r="F22" s="56">
        <v>0.68441386095127399</v>
      </c>
      <c r="G22" s="43" t="s">
        <v>3040</v>
      </c>
    </row>
    <row r="23" spans="3:7" x14ac:dyDescent="0.3">
      <c r="C23" s="65">
        <v>15</v>
      </c>
      <c r="D23" s="41">
        <v>439620</v>
      </c>
      <c r="E23" s="55">
        <v>3.0474583301908137E-2</v>
      </c>
      <c r="F23" s="56">
        <v>0.7148884442531821</v>
      </c>
      <c r="G23" s="43" t="s">
        <v>3040</v>
      </c>
    </row>
    <row r="24" spans="3:7" x14ac:dyDescent="0.3">
      <c r="C24" s="65">
        <v>17</v>
      </c>
      <c r="D24" s="41">
        <v>428400</v>
      </c>
      <c r="E24" s="55">
        <v>2.9696809714156423E-2</v>
      </c>
      <c r="F24" s="56">
        <v>0.74458525396733855</v>
      </c>
      <c r="G24" s="43" t="s">
        <v>3040</v>
      </c>
    </row>
    <row r="25" spans="3:7" x14ac:dyDescent="0.3">
      <c r="C25" s="65">
        <v>3</v>
      </c>
      <c r="D25" s="41">
        <v>423818</v>
      </c>
      <c r="E25" s="55">
        <v>2.9379184172349082E-2</v>
      </c>
      <c r="F25" s="56">
        <v>0.77396443813968763</v>
      </c>
      <c r="G25" s="43" t="s">
        <v>3040</v>
      </c>
    </row>
    <row r="26" spans="3:7" x14ac:dyDescent="0.3">
      <c r="C26" s="65">
        <v>16</v>
      </c>
      <c r="D26" s="41">
        <v>418779</v>
      </c>
      <c r="E26" s="55">
        <v>2.9029879260701944E-2</v>
      </c>
      <c r="F26" s="56">
        <v>0.80299431740038962</v>
      </c>
      <c r="G26" s="43" t="s">
        <v>3041</v>
      </c>
    </row>
    <row r="27" spans="3:7" x14ac:dyDescent="0.3">
      <c r="C27" s="65">
        <v>4</v>
      </c>
      <c r="D27" s="41">
        <v>394020</v>
      </c>
      <c r="E27" s="55">
        <v>2.7313578346339667E-2</v>
      </c>
      <c r="F27" s="56">
        <v>0.83030789574672925</v>
      </c>
      <c r="G27" s="43" t="s">
        <v>3041</v>
      </c>
    </row>
    <row r="28" spans="3:7" x14ac:dyDescent="0.3">
      <c r="C28" s="65">
        <v>5</v>
      </c>
      <c r="D28" s="41">
        <v>385567</v>
      </c>
      <c r="E28" s="55">
        <v>2.6727613984729573E-2</v>
      </c>
      <c r="F28" s="56">
        <v>0.85703550973145881</v>
      </c>
      <c r="G28" s="43" t="s">
        <v>3041</v>
      </c>
    </row>
    <row r="29" spans="3:7" x14ac:dyDescent="0.3">
      <c r="C29" s="65">
        <v>18</v>
      </c>
      <c r="D29" s="41">
        <v>380970</v>
      </c>
      <c r="E29" s="55">
        <v>2.6408948638660532E-2</v>
      </c>
      <c r="F29" s="57">
        <v>0.88344445837011931</v>
      </c>
      <c r="G29" s="43" t="s">
        <v>3041</v>
      </c>
    </row>
    <row r="30" spans="3:7" x14ac:dyDescent="0.3">
      <c r="C30" s="65">
        <v>27</v>
      </c>
      <c r="D30" s="41">
        <v>358005</v>
      </c>
      <c r="E30" s="55">
        <v>2.4817008313997597E-2</v>
      </c>
      <c r="F30" s="57">
        <v>0.90826146668411689</v>
      </c>
      <c r="G30" s="43" t="s">
        <v>3041</v>
      </c>
    </row>
    <row r="31" spans="3:7" x14ac:dyDescent="0.3">
      <c r="C31" s="65">
        <v>1</v>
      </c>
      <c r="D31" s="41">
        <v>342720</v>
      </c>
      <c r="E31" s="55">
        <v>2.3757447771325137E-2</v>
      </c>
      <c r="F31" s="57">
        <v>0.93201891445544205</v>
      </c>
      <c r="G31" s="43" t="s">
        <v>3041</v>
      </c>
    </row>
    <row r="32" spans="3:7" x14ac:dyDescent="0.3">
      <c r="C32" s="65">
        <v>21</v>
      </c>
      <c r="D32" s="41">
        <v>289800</v>
      </c>
      <c r="E32" s="55">
        <v>2.0089018336046992E-2</v>
      </c>
      <c r="F32" s="57">
        <v>0.95210793279148909</v>
      </c>
      <c r="G32" s="43" t="s">
        <v>3042</v>
      </c>
    </row>
    <row r="33" spans="3:7" x14ac:dyDescent="0.3">
      <c r="C33" s="65">
        <v>20</v>
      </c>
      <c r="D33" s="41">
        <v>251970</v>
      </c>
      <c r="E33" s="55">
        <v>1.7466631988039202E-2</v>
      </c>
      <c r="F33" s="57">
        <v>0.9695745647795283</v>
      </c>
      <c r="G33" s="43" t="s">
        <v>3042</v>
      </c>
    </row>
    <row r="34" spans="3:7" x14ac:dyDescent="0.3">
      <c r="C34" s="65">
        <v>28</v>
      </c>
      <c r="D34" s="41">
        <v>224259</v>
      </c>
      <c r="E34" s="55">
        <v>1.5545697594974334E-2</v>
      </c>
      <c r="F34" s="58">
        <v>0.98512026237450268</v>
      </c>
      <c r="G34" s="43" t="s">
        <v>3042</v>
      </c>
    </row>
    <row r="35" spans="3:7" ht="14.5" thickBot="1" x14ac:dyDescent="0.35">
      <c r="C35" s="66">
        <v>22</v>
      </c>
      <c r="D35" s="44">
        <v>214652</v>
      </c>
      <c r="E35" s="59">
        <v>1.4879737625497443E-2</v>
      </c>
      <c r="F35" s="60">
        <v>1.0000000000000002</v>
      </c>
      <c r="G35" s="46" t="s">
        <v>3042</v>
      </c>
    </row>
  </sheetData>
  <sortState xmlns:xlrd2="http://schemas.microsoft.com/office/spreadsheetml/2017/richdata2" ref="C6:E35">
    <sortCondition descending="1" ref="E6:E35"/>
  </sortState>
  <mergeCells count="1">
    <mergeCell ref="D2:F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9A02F-67BE-42BB-AB43-3D01748C31A7}">
  <sheetPr codeName="Arkusz3"/>
  <dimension ref="A1:M35"/>
  <sheetViews>
    <sheetView showGridLines="0" workbookViewId="0">
      <selection activeCell="D5" sqref="D5"/>
    </sheetView>
  </sheetViews>
  <sheetFormatPr defaultRowHeight="14" x14ac:dyDescent="0.3"/>
  <cols>
    <col min="1" max="1" width="15.6328125" style="26" customWidth="1"/>
    <col min="2" max="10" width="11.6328125" style="1" customWidth="1"/>
    <col min="11" max="11" width="14" style="1" customWidth="1"/>
    <col min="12" max="13" width="11.6328125" style="1" customWidth="1"/>
    <col min="14" max="16384" width="8.7265625" style="1"/>
  </cols>
  <sheetData>
    <row r="1" spans="1:13" s="37" customFormat="1" ht="14.5" thickBot="1" x14ac:dyDescent="0.35">
      <c r="A1" s="26"/>
      <c r="B1" s="1"/>
    </row>
    <row r="2" spans="1:13" ht="14.5" thickBot="1" x14ac:dyDescent="0.35">
      <c r="E2" s="89" t="s">
        <v>2</v>
      </c>
      <c r="F2" s="90"/>
      <c r="G2" s="91"/>
    </row>
    <row r="4" spans="1:13" ht="14.5" thickBot="1" x14ac:dyDescent="0.35"/>
    <row r="5" spans="1:13" ht="14.5" thickBot="1" x14ac:dyDescent="0.35">
      <c r="A5" s="3" t="s">
        <v>3</v>
      </c>
      <c r="B5" s="47" t="s">
        <v>3050</v>
      </c>
      <c r="C5" s="47" t="s">
        <v>6</v>
      </c>
      <c r="D5" s="47" t="s">
        <v>7</v>
      </c>
      <c r="E5" s="47" t="s">
        <v>3051</v>
      </c>
      <c r="F5" s="47" t="s">
        <v>8</v>
      </c>
      <c r="G5" s="47" t="s">
        <v>9</v>
      </c>
      <c r="H5" s="47" t="s">
        <v>10</v>
      </c>
      <c r="I5" s="47" t="s">
        <v>3052</v>
      </c>
      <c r="J5" s="47" t="s">
        <v>3053</v>
      </c>
      <c r="K5" s="47" t="s">
        <v>3054</v>
      </c>
      <c r="L5" s="47" t="s">
        <v>11</v>
      </c>
      <c r="M5" s="48" t="s">
        <v>3055</v>
      </c>
    </row>
    <row r="6" spans="1:13" x14ac:dyDescent="0.3">
      <c r="A6" s="61">
        <v>1</v>
      </c>
      <c r="B6" s="38">
        <v>29316</v>
      </c>
      <c r="C6" s="38">
        <v>41244</v>
      </c>
      <c r="D6" s="38">
        <v>25200</v>
      </c>
      <c r="E6" s="38">
        <v>10584</v>
      </c>
      <c r="F6" s="38">
        <v>24360</v>
      </c>
      <c r="G6" s="38">
        <v>57372</v>
      </c>
      <c r="H6" s="38">
        <v>15876</v>
      </c>
      <c r="I6" s="38">
        <v>19404</v>
      </c>
      <c r="J6" s="38">
        <v>33516</v>
      </c>
      <c r="K6" s="38">
        <v>32928</v>
      </c>
      <c r="L6" s="38">
        <v>25116</v>
      </c>
      <c r="M6" s="49">
        <v>27804</v>
      </c>
    </row>
    <row r="7" spans="1:13" x14ac:dyDescent="0.3">
      <c r="A7" s="62">
        <v>2</v>
      </c>
      <c r="B7" s="41">
        <v>46948</v>
      </c>
      <c r="C7" s="41">
        <v>25773</v>
      </c>
      <c r="D7" s="41">
        <v>30250</v>
      </c>
      <c r="E7" s="41">
        <v>45375</v>
      </c>
      <c r="F7" s="41">
        <v>35695</v>
      </c>
      <c r="G7" s="41">
        <v>54450</v>
      </c>
      <c r="H7" s="41">
        <v>58806</v>
      </c>
      <c r="I7" s="41">
        <v>23958</v>
      </c>
      <c r="J7" s="41">
        <v>62557</v>
      </c>
      <c r="K7" s="41">
        <v>39083</v>
      </c>
      <c r="L7" s="41">
        <v>85184</v>
      </c>
      <c r="M7" s="50">
        <v>82522</v>
      </c>
    </row>
    <row r="8" spans="1:13" x14ac:dyDescent="0.3">
      <c r="A8" s="62">
        <v>3</v>
      </c>
      <c r="B8" s="41">
        <v>31417</v>
      </c>
      <c r="C8" s="41">
        <v>34888</v>
      </c>
      <c r="D8" s="41">
        <v>24564</v>
      </c>
      <c r="E8" s="41">
        <v>30616</v>
      </c>
      <c r="F8" s="41">
        <v>35867</v>
      </c>
      <c r="G8" s="41">
        <v>40228</v>
      </c>
      <c r="H8" s="41">
        <v>44767</v>
      </c>
      <c r="I8" s="41">
        <v>42542</v>
      </c>
      <c r="J8" s="41">
        <v>21182</v>
      </c>
      <c r="K8" s="41">
        <v>49039</v>
      </c>
      <c r="L8" s="41">
        <v>34176</v>
      </c>
      <c r="M8" s="50">
        <v>34532</v>
      </c>
    </row>
    <row r="9" spans="1:13" x14ac:dyDescent="0.3">
      <c r="A9" s="62">
        <v>4</v>
      </c>
      <c r="B9" s="41">
        <v>16137</v>
      </c>
      <c r="C9" s="41">
        <v>19899</v>
      </c>
      <c r="D9" s="41">
        <v>45342</v>
      </c>
      <c r="E9" s="41">
        <v>64350</v>
      </c>
      <c r="F9" s="41">
        <v>38610</v>
      </c>
      <c r="G9" s="41">
        <v>48807</v>
      </c>
      <c r="H9" s="41">
        <v>12672</v>
      </c>
      <c r="I9" s="41">
        <v>18711</v>
      </c>
      <c r="J9" s="41">
        <v>21780</v>
      </c>
      <c r="K9" s="41">
        <v>34650</v>
      </c>
      <c r="L9" s="41">
        <v>40788</v>
      </c>
      <c r="M9" s="50">
        <v>32274</v>
      </c>
    </row>
    <row r="10" spans="1:13" x14ac:dyDescent="0.3">
      <c r="A10" s="62">
        <v>5</v>
      </c>
      <c r="B10" s="41">
        <v>14560</v>
      </c>
      <c r="C10" s="41">
        <v>38584</v>
      </c>
      <c r="D10" s="41">
        <v>29211</v>
      </c>
      <c r="E10" s="41">
        <v>68341</v>
      </c>
      <c r="F10" s="41">
        <v>35945</v>
      </c>
      <c r="G10" s="41">
        <v>38220</v>
      </c>
      <c r="H10" s="41">
        <v>36127</v>
      </c>
      <c r="I10" s="41">
        <v>14105</v>
      </c>
      <c r="J10" s="41">
        <v>31122</v>
      </c>
      <c r="K10" s="41">
        <v>29302</v>
      </c>
      <c r="L10" s="41">
        <v>30212</v>
      </c>
      <c r="M10" s="50">
        <v>19838</v>
      </c>
    </row>
    <row r="11" spans="1:13" x14ac:dyDescent="0.3">
      <c r="A11" s="62">
        <v>6</v>
      </c>
      <c r="B11" s="41">
        <v>35432</v>
      </c>
      <c r="C11" s="41">
        <v>39388</v>
      </c>
      <c r="D11" s="41">
        <v>31132</v>
      </c>
      <c r="E11" s="41">
        <v>38442</v>
      </c>
      <c r="F11" s="41">
        <v>15480</v>
      </c>
      <c r="G11" s="41">
        <v>28466</v>
      </c>
      <c r="H11" s="41">
        <v>63382</v>
      </c>
      <c r="I11" s="41">
        <v>39474</v>
      </c>
      <c r="J11" s="41">
        <v>38012</v>
      </c>
      <c r="K11" s="41">
        <v>56846</v>
      </c>
      <c r="L11" s="41">
        <v>45064</v>
      </c>
      <c r="M11" s="50">
        <v>68284</v>
      </c>
    </row>
    <row r="12" spans="1:13" x14ac:dyDescent="0.3">
      <c r="A12" s="62">
        <v>7</v>
      </c>
      <c r="B12" s="41">
        <v>39624</v>
      </c>
      <c r="C12" s="41">
        <v>45864</v>
      </c>
      <c r="D12" s="41">
        <v>30784</v>
      </c>
      <c r="E12" s="41">
        <v>27872</v>
      </c>
      <c r="F12" s="41">
        <v>15704</v>
      </c>
      <c r="G12" s="41">
        <v>36816</v>
      </c>
      <c r="H12" s="41">
        <v>44408</v>
      </c>
      <c r="I12" s="41">
        <v>47944</v>
      </c>
      <c r="J12" s="41">
        <v>66456</v>
      </c>
      <c r="K12" s="41">
        <v>47840</v>
      </c>
      <c r="L12" s="41">
        <v>87256</v>
      </c>
      <c r="M12" s="50">
        <v>29848</v>
      </c>
    </row>
    <row r="13" spans="1:13" x14ac:dyDescent="0.3">
      <c r="A13" s="62">
        <v>8</v>
      </c>
      <c r="B13" s="41">
        <v>51920</v>
      </c>
      <c r="C13" s="41">
        <v>15752</v>
      </c>
      <c r="D13" s="41">
        <v>15488</v>
      </c>
      <c r="E13" s="41">
        <v>55440</v>
      </c>
      <c r="F13" s="41">
        <v>39864</v>
      </c>
      <c r="G13" s="41">
        <v>64768</v>
      </c>
      <c r="H13" s="41">
        <v>44792</v>
      </c>
      <c r="I13" s="41">
        <v>42240</v>
      </c>
      <c r="J13" s="41">
        <v>38544</v>
      </c>
      <c r="K13" s="41">
        <v>42504</v>
      </c>
      <c r="L13" s="41">
        <v>50336</v>
      </c>
      <c r="M13" s="50">
        <v>32648</v>
      </c>
    </row>
    <row r="14" spans="1:13" x14ac:dyDescent="0.3">
      <c r="A14" s="62">
        <v>9</v>
      </c>
      <c r="B14" s="41">
        <v>53760</v>
      </c>
      <c r="C14" s="41">
        <v>42144</v>
      </c>
      <c r="D14" s="41">
        <v>36384</v>
      </c>
      <c r="E14" s="41">
        <v>56928</v>
      </c>
      <c r="F14" s="41">
        <v>52128</v>
      </c>
      <c r="G14" s="41">
        <v>82080</v>
      </c>
      <c r="H14" s="41">
        <v>61248</v>
      </c>
      <c r="I14" s="41">
        <v>43776</v>
      </c>
      <c r="J14" s="41">
        <v>56544</v>
      </c>
      <c r="K14" s="41">
        <v>76896</v>
      </c>
      <c r="L14" s="41">
        <v>20640</v>
      </c>
      <c r="M14" s="50">
        <v>29472</v>
      </c>
    </row>
    <row r="15" spans="1:13" x14ac:dyDescent="0.3">
      <c r="A15" s="62">
        <v>10</v>
      </c>
      <c r="B15" s="41">
        <v>69106</v>
      </c>
      <c r="C15" s="41">
        <v>40330</v>
      </c>
      <c r="D15" s="41">
        <v>72376</v>
      </c>
      <c r="E15" s="41">
        <v>53192</v>
      </c>
      <c r="F15" s="41">
        <v>66054</v>
      </c>
      <c r="G15" s="41">
        <v>59187</v>
      </c>
      <c r="H15" s="41">
        <v>65509</v>
      </c>
      <c r="I15" s="41">
        <v>53301</v>
      </c>
      <c r="J15" s="41">
        <v>108564</v>
      </c>
      <c r="K15" s="41">
        <v>44581</v>
      </c>
      <c r="L15" s="41">
        <v>58969</v>
      </c>
      <c r="M15" s="50">
        <v>57552</v>
      </c>
    </row>
    <row r="16" spans="1:13" x14ac:dyDescent="0.3">
      <c r="A16" s="62">
        <v>11</v>
      </c>
      <c r="B16" s="41">
        <v>45484</v>
      </c>
      <c r="C16" s="41">
        <v>43824</v>
      </c>
      <c r="D16" s="41">
        <v>49302</v>
      </c>
      <c r="E16" s="41">
        <v>49800</v>
      </c>
      <c r="F16" s="41">
        <v>50132</v>
      </c>
      <c r="G16" s="41">
        <v>48140</v>
      </c>
      <c r="H16" s="41">
        <v>86569</v>
      </c>
      <c r="I16" s="41">
        <v>71214</v>
      </c>
      <c r="J16" s="41">
        <v>48555</v>
      </c>
      <c r="K16" s="41">
        <v>48140</v>
      </c>
      <c r="L16" s="41">
        <v>36852</v>
      </c>
      <c r="M16" s="50">
        <v>41749</v>
      </c>
    </row>
    <row r="17" spans="1:13" x14ac:dyDescent="0.3">
      <c r="A17" s="62">
        <v>12</v>
      </c>
      <c r="B17" s="41">
        <v>99616</v>
      </c>
      <c r="C17" s="41">
        <v>41008</v>
      </c>
      <c r="D17" s="41">
        <v>44880</v>
      </c>
      <c r="E17" s="41">
        <v>48400</v>
      </c>
      <c r="F17" s="41">
        <v>47168</v>
      </c>
      <c r="G17" s="41">
        <v>83512</v>
      </c>
      <c r="H17" s="41">
        <v>86944</v>
      </c>
      <c r="I17" s="41">
        <v>53152</v>
      </c>
      <c r="J17" s="41">
        <v>77704</v>
      </c>
      <c r="K17" s="41">
        <v>62040</v>
      </c>
      <c r="L17" s="41">
        <v>48312</v>
      </c>
      <c r="M17" s="50">
        <v>61688</v>
      </c>
    </row>
    <row r="18" spans="1:13" x14ac:dyDescent="0.3">
      <c r="A18" s="62">
        <v>13</v>
      </c>
      <c r="B18" s="41">
        <v>57434</v>
      </c>
      <c r="C18" s="41">
        <v>50102</v>
      </c>
      <c r="D18" s="41">
        <v>36002</v>
      </c>
      <c r="E18" s="41">
        <v>43522</v>
      </c>
      <c r="F18" s="41">
        <v>44086</v>
      </c>
      <c r="G18" s="41">
        <v>34498</v>
      </c>
      <c r="H18" s="41">
        <v>60160</v>
      </c>
      <c r="I18" s="41">
        <v>36660</v>
      </c>
      <c r="J18" s="41">
        <v>48034</v>
      </c>
      <c r="K18" s="41">
        <v>43616</v>
      </c>
      <c r="L18" s="41">
        <v>37130</v>
      </c>
      <c r="M18" s="50">
        <v>41360</v>
      </c>
    </row>
    <row r="19" spans="1:13" x14ac:dyDescent="0.3">
      <c r="A19" s="62">
        <v>14</v>
      </c>
      <c r="B19" s="41">
        <v>43215</v>
      </c>
      <c r="C19" s="41">
        <v>23607</v>
      </c>
      <c r="D19" s="41">
        <v>58437</v>
      </c>
      <c r="E19" s="41">
        <v>62307</v>
      </c>
      <c r="F19" s="41">
        <v>54954</v>
      </c>
      <c r="G19" s="41">
        <v>67467</v>
      </c>
      <c r="H19" s="41">
        <v>85140</v>
      </c>
      <c r="I19" s="41">
        <v>49536</v>
      </c>
      <c r="J19" s="41">
        <v>38700</v>
      </c>
      <c r="K19" s="41">
        <v>69015</v>
      </c>
      <c r="L19" s="41">
        <v>37410</v>
      </c>
      <c r="M19" s="50">
        <v>34830</v>
      </c>
    </row>
    <row r="20" spans="1:13" x14ac:dyDescent="0.3">
      <c r="A20" s="62">
        <v>15</v>
      </c>
      <c r="B20" s="41">
        <v>41735</v>
      </c>
      <c r="C20" s="41">
        <v>41735</v>
      </c>
      <c r="D20" s="41">
        <v>40205</v>
      </c>
      <c r="E20" s="41">
        <v>46750</v>
      </c>
      <c r="F20" s="41">
        <v>48620</v>
      </c>
      <c r="G20" s="41">
        <v>28645</v>
      </c>
      <c r="H20" s="41">
        <v>46325</v>
      </c>
      <c r="I20" s="41">
        <v>15470</v>
      </c>
      <c r="J20" s="41">
        <v>30430</v>
      </c>
      <c r="K20" s="41">
        <v>12495</v>
      </c>
      <c r="L20" s="41">
        <v>25925</v>
      </c>
      <c r="M20" s="50">
        <v>61285</v>
      </c>
    </row>
    <row r="21" spans="1:13" x14ac:dyDescent="0.3">
      <c r="A21" s="62">
        <v>16</v>
      </c>
      <c r="B21" s="41">
        <v>34131</v>
      </c>
      <c r="C21" s="41">
        <v>25668</v>
      </c>
      <c r="D21" s="41">
        <v>16833</v>
      </c>
      <c r="E21" s="41">
        <v>12276</v>
      </c>
      <c r="F21" s="41">
        <v>29388</v>
      </c>
      <c r="G21" s="41">
        <v>37014</v>
      </c>
      <c r="H21" s="41">
        <v>44640</v>
      </c>
      <c r="I21" s="41">
        <v>49104</v>
      </c>
      <c r="J21" s="41">
        <v>14973</v>
      </c>
      <c r="K21" s="41">
        <v>62682</v>
      </c>
      <c r="L21" s="41">
        <v>49290</v>
      </c>
      <c r="M21" s="50">
        <v>42780</v>
      </c>
    </row>
    <row r="22" spans="1:13" x14ac:dyDescent="0.3">
      <c r="A22" s="62">
        <v>17</v>
      </c>
      <c r="B22" s="41">
        <v>23100</v>
      </c>
      <c r="C22" s="41">
        <v>49980</v>
      </c>
      <c r="D22" s="41">
        <v>43680</v>
      </c>
      <c r="E22" s="41">
        <v>39396</v>
      </c>
      <c r="F22" s="41">
        <v>39312</v>
      </c>
      <c r="G22" s="41">
        <v>50736</v>
      </c>
      <c r="H22" s="41">
        <v>29400</v>
      </c>
      <c r="I22" s="41">
        <v>39060</v>
      </c>
      <c r="J22" s="41">
        <v>27636</v>
      </c>
      <c r="K22" s="41">
        <v>27804</v>
      </c>
      <c r="L22" s="41">
        <v>42084</v>
      </c>
      <c r="M22" s="50">
        <v>16212</v>
      </c>
    </row>
    <row r="23" spans="1:13" x14ac:dyDescent="0.3">
      <c r="A23" s="62">
        <v>18</v>
      </c>
      <c r="B23" s="41">
        <v>26010</v>
      </c>
      <c r="C23" s="41">
        <v>18810</v>
      </c>
      <c r="D23" s="41">
        <v>24570</v>
      </c>
      <c r="E23" s="41">
        <v>33750</v>
      </c>
      <c r="F23" s="41">
        <v>25290</v>
      </c>
      <c r="G23" s="41">
        <v>40230</v>
      </c>
      <c r="H23" s="41">
        <v>37080</v>
      </c>
      <c r="I23" s="41">
        <v>47340</v>
      </c>
      <c r="J23" s="41">
        <v>30240</v>
      </c>
      <c r="K23" s="41">
        <v>48780</v>
      </c>
      <c r="L23" s="41">
        <v>28620</v>
      </c>
      <c r="M23" s="50">
        <v>20250</v>
      </c>
    </row>
    <row r="24" spans="1:13" x14ac:dyDescent="0.3">
      <c r="A24" s="62">
        <v>19</v>
      </c>
      <c r="B24" s="41">
        <v>27384</v>
      </c>
      <c r="C24" s="41">
        <v>9912</v>
      </c>
      <c r="D24" s="41">
        <v>37212</v>
      </c>
      <c r="E24" s="41">
        <v>37968</v>
      </c>
      <c r="F24" s="41">
        <v>29904</v>
      </c>
      <c r="G24" s="41">
        <v>38388</v>
      </c>
      <c r="H24" s="41">
        <v>54516</v>
      </c>
      <c r="I24" s="41">
        <v>52080</v>
      </c>
      <c r="J24" s="41">
        <v>61992</v>
      </c>
      <c r="K24" s="41">
        <v>49056</v>
      </c>
      <c r="L24" s="41">
        <v>21168</v>
      </c>
      <c r="M24" s="50">
        <v>29484</v>
      </c>
    </row>
    <row r="25" spans="1:13" x14ac:dyDescent="0.3">
      <c r="A25" s="62">
        <v>20</v>
      </c>
      <c r="B25" s="41">
        <v>34521</v>
      </c>
      <c r="C25" s="41">
        <v>10656</v>
      </c>
      <c r="D25" s="41">
        <v>17094</v>
      </c>
      <c r="E25" s="41">
        <v>14874</v>
      </c>
      <c r="F25" s="41">
        <v>34632</v>
      </c>
      <c r="G25" s="41">
        <v>15540</v>
      </c>
      <c r="H25" s="41">
        <v>11433</v>
      </c>
      <c r="I25" s="41">
        <v>33078</v>
      </c>
      <c r="J25" s="41">
        <v>20424</v>
      </c>
      <c r="K25" s="41">
        <v>8658</v>
      </c>
      <c r="L25" s="41">
        <v>17205</v>
      </c>
      <c r="M25" s="50">
        <v>33855</v>
      </c>
    </row>
    <row r="26" spans="1:13" x14ac:dyDescent="0.3">
      <c r="A26" s="62">
        <v>21</v>
      </c>
      <c r="B26" s="41">
        <v>18795</v>
      </c>
      <c r="C26" s="41">
        <v>25200</v>
      </c>
      <c r="D26" s="41">
        <v>5670</v>
      </c>
      <c r="E26" s="41">
        <v>22995</v>
      </c>
      <c r="F26" s="41">
        <v>26145</v>
      </c>
      <c r="G26" s="41">
        <v>49455</v>
      </c>
      <c r="H26" s="41">
        <v>20265</v>
      </c>
      <c r="I26" s="41">
        <v>19635</v>
      </c>
      <c r="J26" s="41">
        <v>21315</v>
      </c>
      <c r="K26" s="41">
        <v>37065</v>
      </c>
      <c r="L26" s="41">
        <v>29295</v>
      </c>
      <c r="M26" s="50">
        <v>13965</v>
      </c>
    </row>
    <row r="27" spans="1:13" x14ac:dyDescent="0.3">
      <c r="A27" s="62">
        <v>22</v>
      </c>
      <c r="B27" s="41">
        <v>14420</v>
      </c>
      <c r="C27" s="41">
        <v>5356</v>
      </c>
      <c r="D27" s="41">
        <v>13287</v>
      </c>
      <c r="E27" s="41">
        <v>11227</v>
      </c>
      <c r="F27" s="41">
        <v>4429</v>
      </c>
      <c r="G27" s="41">
        <v>20394</v>
      </c>
      <c r="H27" s="41">
        <v>30076</v>
      </c>
      <c r="I27" s="41">
        <v>21939</v>
      </c>
      <c r="J27" s="41">
        <v>20291</v>
      </c>
      <c r="K27" s="41">
        <v>11948</v>
      </c>
      <c r="L27" s="41">
        <v>40376</v>
      </c>
      <c r="M27" s="50">
        <v>20909</v>
      </c>
    </row>
    <row r="28" spans="1:13" x14ac:dyDescent="0.3">
      <c r="A28" s="62">
        <v>23</v>
      </c>
      <c r="B28" s="41">
        <v>92664</v>
      </c>
      <c r="C28" s="41">
        <v>57420</v>
      </c>
      <c r="D28" s="41">
        <v>20064</v>
      </c>
      <c r="E28" s="41">
        <v>60720</v>
      </c>
      <c r="F28" s="41">
        <v>78540</v>
      </c>
      <c r="G28" s="41">
        <v>42768</v>
      </c>
      <c r="H28" s="41">
        <v>46464</v>
      </c>
      <c r="I28" s="41">
        <v>43032</v>
      </c>
      <c r="J28" s="41">
        <v>74844</v>
      </c>
      <c r="K28" s="41">
        <v>73656</v>
      </c>
      <c r="L28" s="41">
        <v>69168</v>
      </c>
      <c r="M28" s="50">
        <v>58344</v>
      </c>
    </row>
    <row r="29" spans="1:13" x14ac:dyDescent="0.3">
      <c r="A29" s="62">
        <v>24</v>
      </c>
      <c r="B29" s="41">
        <v>73000</v>
      </c>
      <c r="C29" s="41">
        <v>61125</v>
      </c>
      <c r="D29" s="41">
        <v>34500</v>
      </c>
      <c r="E29" s="41">
        <v>48625</v>
      </c>
      <c r="F29" s="41">
        <v>61375</v>
      </c>
      <c r="G29" s="41">
        <v>73250</v>
      </c>
      <c r="H29" s="41">
        <v>55375</v>
      </c>
      <c r="I29" s="41">
        <v>24875</v>
      </c>
      <c r="J29" s="41">
        <v>31250</v>
      </c>
      <c r="K29" s="41">
        <v>97625</v>
      </c>
      <c r="L29" s="41">
        <v>72250</v>
      </c>
      <c r="M29" s="50">
        <v>45875</v>
      </c>
    </row>
    <row r="30" spans="1:13" x14ac:dyDescent="0.3">
      <c r="A30" s="62">
        <v>25</v>
      </c>
      <c r="B30" s="41">
        <v>60264</v>
      </c>
      <c r="C30" s="41">
        <v>26568</v>
      </c>
      <c r="D30" s="41">
        <v>41904</v>
      </c>
      <c r="E30" s="41">
        <v>58320</v>
      </c>
      <c r="F30" s="41">
        <v>42768</v>
      </c>
      <c r="G30" s="41">
        <v>18036</v>
      </c>
      <c r="H30" s="41">
        <v>35100</v>
      </c>
      <c r="I30" s="41">
        <v>66744</v>
      </c>
      <c r="J30" s="41">
        <v>75168</v>
      </c>
      <c r="K30" s="41">
        <v>72900</v>
      </c>
      <c r="L30" s="41">
        <v>33696</v>
      </c>
      <c r="M30" s="50">
        <v>36504</v>
      </c>
    </row>
    <row r="31" spans="1:13" x14ac:dyDescent="0.3">
      <c r="A31" s="62">
        <v>26</v>
      </c>
      <c r="B31" s="41">
        <v>33165</v>
      </c>
      <c r="C31" s="41">
        <v>43659</v>
      </c>
      <c r="D31" s="41">
        <v>41184</v>
      </c>
      <c r="E31" s="41">
        <v>25938</v>
      </c>
      <c r="F31" s="41">
        <v>29502</v>
      </c>
      <c r="G31" s="41">
        <v>55440</v>
      </c>
      <c r="H31" s="41">
        <v>45936</v>
      </c>
      <c r="I31" s="41">
        <v>30987</v>
      </c>
      <c r="J31" s="41">
        <v>51678</v>
      </c>
      <c r="K31" s="41">
        <v>59796</v>
      </c>
      <c r="L31" s="41">
        <v>51975</v>
      </c>
      <c r="M31" s="50">
        <v>40788</v>
      </c>
    </row>
    <row r="32" spans="1:13" x14ac:dyDescent="0.3">
      <c r="A32" s="62">
        <v>27</v>
      </c>
      <c r="B32" s="41">
        <v>36453</v>
      </c>
      <c r="C32" s="41">
        <v>36279</v>
      </c>
      <c r="D32" s="41">
        <v>19662</v>
      </c>
      <c r="E32" s="41">
        <v>26535</v>
      </c>
      <c r="F32" s="41">
        <v>28362</v>
      </c>
      <c r="G32" s="41">
        <v>40629</v>
      </c>
      <c r="H32" s="41">
        <v>32799</v>
      </c>
      <c r="I32" s="41">
        <v>32016</v>
      </c>
      <c r="J32" s="41">
        <v>20967</v>
      </c>
      <c r="K32" s="41">
        <v>38280</v>
      </c>
      <c r="L32" s="41">
        <v>24969</v>
      </c>
      <c r="M32" s="50">
        <v>21054</v>
      </c>
    </row>
    <row r="33" spans="1:13" x14ac:dyDescent="0.3">
      <c r="A33" s="62">
        <v>28</v>
      </c>
      <c r="B33" s="41">
        <v>27022</v>
      </c>
      <c r="C33" s="41">
        <v>17818</v>
      </c>
      <c r="D33" s="41">
        <v>13334</v>
      </c>
      <c r="E33" s="41">
        <v>23600</v>
      </c>
      <c r="F33" s="41">
        <v>15222</v>
      </c>
      <c r="G33" s="41">
        <v>5310</v>
      </c>
      <c r="H33" s="41">
        <v>23305</v>
      </c>
      <c r="I33" s="41">
        <v>15281</v>
      </c>
      <c r="J33" s="41">
        <v>16284</v>
      </c>
      <c r="K33" s="41">
        <v>34161</v>
      </c>
      <c r="L33" s="41">
        <v>12744</v>
      </c>
      <c r="M33" s="50">
        <v>20178</v>
      </c>
    </row>
    <row r="34" spans="1:13" x14ac:dyDescent="0.3">
      <c r="A34" s="62">
        <v>29</v>
      </c>
      <c r="B34" s="41">
        <v>38640</v>
      </c>
      <c r="C34" s="41">
        <v>51555</v>
      </c>
      <c r="D34" s="41">
        <v>28140</v>
      </c>
      <c r="E34" s="41">
        <v>21420</v>
      </c>
      <c r="F34" s="41">
        <v>70770</v>
      </c>
      <c r="G34" s="41">
        <v>35175</v>
      </c>
      <c r="H34" s="41">
        <v>34335</v>
      </c>
      <c r="I34" s="41">
        <v>60375</v>
      </c>
      <c r="J34" s="41">
        <v>38640</v>
      </c>
      <c r="K34" s="41">
        <v>33285</v>
      </c>
      <c r="L34" s="41">
        <v>31605</v>
      </c>
      <c r="M34" s="50">
        <v>37170</v>
      </c>
    </row>
    <row r="35" spans="1:13" ht="14.5" thickBot="1" x14ac:dyDescent="0.35">
      <c r="A35" s="63">
        <v>30</v>
      </c>
      <c r="B35" s="44">
        <v>19053</v>
      </c>
      <c r="C35" s="44">
        <v>47328</v>
      </c>
      <c r="D35" s="44">
        <v>29406</v>
      </c>
      <c r="E35" s="44">
        <v>42543</v>
      </c>
      <c r="F35" s="44">
        <v>37323</v>
      </c>
      <c r="G35" s="44">
        <v>47328</v>
      </c>
      <c r="H35" s="44">
        <v>38367</v>
      </c>
      <c r="I35" s="44">
        <v>57072</v>
      </c>
      <c r="J35" s="44">
        <v>31842</v>
      </c>
      <c r="K35" s="44">
        <v>42021</v>
      </c>
      <c r="L35" s="44">
        <v>26448</v>
      </c>
      <c r="M35" s="51">
        <v>52635</v>
      </c>
    </row>
  </sheetData>
  <mergeCells count="1">
    <mergeCell ref="E2:G2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E85BE-59A0-45A7-88F4-7F1037BA1826}">
  <sheetPr codeName="Arkusz2"/>
  <dimension ref="C2:G35"/>
  <sheetViews>
    <sheetView showGridLines="0" workbookViewId="0">
      <selection activeCell="D18" sqref="D18"/>
    </sheetView>
  </sheetViews>
  <sheetFormatPr defaultRowHeight="14" x14ac:dyDescent="0.3"/>
  <cols>
    <col min="1" max="2" width="8.7265625" style="1"/>
    <col min="3" max="3" width="12" style="26" customWidth="1"/>
    <col min="4" max="6" width="16.6328125" style="1" customWidth="1"/>
    <col min="7" max="7" width="14" style="1" customWidth="1"/>
    <col min="8" max="16384" width="8.7265625" style="1"/>
  </cols>
  <sheetData>
    <row r="2" spans="3:7" ht="14.5" thickBot="1" x14ac:dyDescent="0.35"/>
    <row r="3" spans="3:7" ht="14.5" thickBot="1" x14ac:dyDescent="0.35">
      <c r="C3" s="89" t="s">
        <v>12</v>
      </c>
      <c r="D3" s="90"/>
      <c r="E3" s="90"/>
      <c r="F3" s="90"/>
      <c r="G3" s="91"/>
    </row>
    <row r="4" spans="3:7" ht="14.5" thickBot="1" x14ac:dyDescent="0.35">
      <c r="D4" s="37"/>
      <c r="E4" s="37"/>
      <c r="F4" s="37"/>
      <c r="G4" s="37"/>
    </row>
    <row r="5" spans="3:7" ht="28.5" thickBot="1" x14ac:dyDescent="0.35">
      <c r="C5" s="3" t="s">
        <v>3</v>
      </c>
      <c r="D5" s="4" t="s">
        <v>3057</v>
      </c>
      <c r="E5" s="4" t="s">
        <v>3029</v>
      </c>
      <c r="F5" s="4" t="s">
        <v>3056</v>
      </c>
      <c r="G5" s="5" t="s">
        <v>5</v>
      </c>
    </row>
    <row r="6" spans="3:7" x14ac:dyDescent="0.3">
      <c r="C6" s="64">
        <v>13</v>
      </c>
      <c r="D6" s="38">
        <v>44383.666666666664</v>
      </c>
      <c r="E6" s="38">
        <v>8290.413733872876</v>
      </c>
      <c r="F6" s="39">
        <v>0.18678974398704201</v>
      </c>
      <c r="G6" s="40" t="s">
        <v>3049</v>
      </c>
    </row>
    <row r="7" spans="3:7" x14ac:dyDescent="0.3">
      <c r="C7" s="65">
        <v>3</v>
      </c>
      <c r="D7" s="41">
        <v>35318.166666666664</v>
      </c>
      <c r="E7" s="41">
        <v>8028.6622663977296</v>
      </c>
      <c r="F7" s="42">
        <v>0.22732386825659306</v>
      </c>
      <c r="G7" s="43" t="s">
        <v>3043</v>
      </c>
    </row>
    <row r="8" spans="3:7" x14ac:dyDescent="0.3">
      <c r="C8" s="65">
        <v>27</v>
      </c>
      <c r="D8" s="41">
        <v>29833.75</v>
      </c>
      <c r="E8" s="41">
        <v>7278.0401848174879</v>
      </c>
      <c r="F8" s="42">
        <v>0.24395324707143715</v>
      </c>
      <c r="G8" s="43" t="s">
        <v>3043</v>
      </c>
    </row>
    <row r="9" spans="3:7" x14ac:dyDescent="0.3">
      <c r="C9" s="65">
        <v>26</v>
      </c>
      <c r="D9" s="41">
        <v>42504</v>
      </c>
      <c r="E9" s="41">
        <v>10960.083576323677</v>
      </c>
      <c r="F9" s="42">
        <v>0.25786005026170894</v>
      </c>
      <c r="G9" s="43" t="s">
        <v>3043</v>
      </c>
    </row>
    <row r="10" spans="3:7" x14ac:dyDescent="0.3">
      <c r="C10" s="65">
        <v>11</v>
      </c>
      <c r="D10" s="41">
        <v>51646.75</v>
      </c>
      <c r="E10" s="41">
        <v>13697.45205321048</v>
      </c>
      <c r="F10" s="42">
        <v>0.2652142110241299</v>
      </c>
      <c r="G10" s="43" t="s">
        <v>3043</v>
      </c>
    </row>
    <row r="11" spans="3:7" x14ac:dyDescent="0.3">
      <c r="C11" s="65">
        <v>10</v>
      </c>
      <c r="D11" s="41">
        <v>62393.416666666664</v>
      </c>
      <c r="E11" s="41">
        <v>17363.498665347226</v>
      </c>
      <c r="F11" s="42">
        <v>0.27829055680843295</v>
      </c>
      <c r="G11" s="43" t="s">
        <v>3043</v>
      </c>
    </row>
    <row r="12" spans="3:7" x14ac:dyDescent="0.3">
      <c r="C12" s="65">
        <v>30</v>
      </c>
      <c r="D12" s="41">
        <v>39280.5</v>
      </c>
      <c r="E12" s="41">
        <v>11175.814125317062</v>
      </c>
      <c r="F12" s="42">
        <v>0.28451303128313188</v>
      </c>
      <c r="G12" s="43" t="s">
        <v>3043</v>
      </c>
    </row>
    <row r="13" spans="3:7" x14ac:dyDescent="0.3">
      <c r="C13" s="65">
        <v>17</v>
      </c>
      <c r="D13" s="41">
        <v>35700</v>
      </c>
      <c r="E13" s="41">
        <v>10778.932178518005</v>
      </c>
      <c r="F13" s="42">
        <v>0.3019308733478433</v>
      </c>
      <c r="G13" s="43" t="s">
        <v>3043</v>
      </c>
    </row>
    <row r="14" spans="3:7" x14ac:dyDescent="0.3">
      <c r="C14" s="65">
        <v>12</v>
      </c>
      <c r="D14" s="41">
        <v>62868.666666666664</v>
      </c>
      <c r="E14" s="41">
        <v>19404.656073564744</v>
      </c>
      <c r="F14" s="42">
        <v>0.30865385099463555</v>
      </c>
      <c r="G14" s="43" t="s">
        <v>3043</v>
      </c>
    </row>
    <row r="15" spans="3:7" x14ac:dyDescent="0.3">
      <c r="C15" s="65">
        <v>18</v>
      </c>
      <c r="D15" s="41">
        <v>31747.5</v>
      </c>
      <c r="E15" s="41">
        <v>9887.505545338061</v>
      </c>
      <c r="F15" s="42">
        <v>0.31144202048470149</v>
      </c>
      <c r="G15" s="43" t="s">
        <v>3043</v>
      </c>
    </row>
    <row r="16" spans="3:7" x14ac:dyDescent="0.3">
      <c r="C16" s="65">
        <v>23</v>
      </c>
      <c r="D16" s="41">
        <v>59807</v>
      </c>
      <c r="E16" s="41">
        <v>19711.518967344957</v>
      </c>
      <c r="F16" s="42">
        <v>0.32958548275862287</v>
      </c>
      <c r="G16" s="43" t="s">
        <v>3043</v>
      </c>
    </row>
    <row r="17" spans="3:7" x14ac:dyDescent="0.3">
      <c r="C17" s="65">
        <v>14</v>
      </c>
      <c r="D17" s="41">
        <v>52051.5</v>
      </c>
      <c r="E17" s="41">
        <v>17470.334312771465</v>
      </c>
      <c r="F17" s="42">
        <v>0.33563555925903127</v>
      </c>
      <c r="G17" s="43" t="s">
        <v>3043</v>
      </c>
    </row>
    <row r="18" spans="3:7" x14ac:dyDescent="0.3">
      <c r="C18" s="65">
        <v>29</v>
      </c>
      <c r="D18" s="41">
        <v>40092.5</v>
      </c>
      <c r="E18" s="41">
        <v>14025.538638173904</v>
      </c>
      <c r="F18" s="42">
        <v>0.34982948526966151</v>
      </c>
      <c r="G18" s="43" t="s">
        <v>3043</v>
      </c>
    </row>
    <row r="19" spans="3:7" x14ac:dyDescent="0.3">
      <c r="C19" s="65">
        <v>9</v>
      </c>
      <c r="D19" s="41">
        <v>51000</v>
      </c>
      <c r="E19" s="41">
        <v>17953.942529807664</v>
      </c>
      <c r="F19" s="42">
        <v>0.35203808881975812</v>
      </c>
      <c r="G19" s="43" t="s">
        <v>3043</v>
      </c>
    </row>
    <row r="20" spans="3:7" x14ac:dyDescent="0.3">
      <c r="C20" s="65">
        <v>8</v>
      </c>
      <c r="D20" s="41">
        <v>41191.333333333336</v>
      </c>
      <c r="E20" s="41">
        <v>14656.615889533759</v>
      </c>
      <c r="F20" s="42">
        <v>0.35581795255151794</v>
      </c>
      <c r="G20" s="43" t="s">
        <v>3043</v>
      </c>
    </row>
    <row r="21" spans="3:7" x14ac:dyDescent="0.3">
      <c r="C21" s="65">
        <v>6</v>
      </c>
      <c r="D21" s="41">
        <v>41616.833333333336</v>
      </c>
      <c r="E21" s="41">
        <v>14971.387631280566</v>
      </c>
      <c r="F21" s="42">
        <v>0.35974355644424089</v>
      </c>
      <c r="G21" s="43" t="s">
        <v>3043</v>
      </c>
    </row>
    <row r="22" spans="3:7" x14ac:dyDescent="0.3">
      <c r="C22" s="65">
        <v>24</v>
      </c>
      <c r="D22" s="41">
        <v>56593.75</v>
      </c>
      <c r="E22" s="41">
        <v>20965.483335169563</v>
      </c>
      <c r="F22" s="42">
        <v>0.37045580713717619</v>
      </c>
      <c r="G22" s="43" t="s">
        <v>3043</v>
      </c>
    </row>
    <row r="23" spans="3:7" x14ac:dyDescent="0.3">
      <c r="C23" s="65">
        <v>15</v>
      </c>
      <c r="D23" s="41">
        <v>36635</v>
      </c>
      <c r="E23" s="41">
        <v>14333.622266291493</v>
      </c>
      <c r="F23" s="42">
        <v>0.39125487283448868</v>
      </c>
      <c r="G23" s="43" t="s">
        <v>3043</v>
      </c>
    </row>
    <row r="24" spans="3:7" x14ac:dyDescent="0.3">
      <c r="C24" s="65">
        <v>25</v>
      </c>
      <c r="D24" s="41">
        <v>47331</v>
      </c>
      <c r="E24" s="41">
        <v>18795.223077831626</v>
      </c>
      <c r="F24" s="42">
        <v>0.39710175313920321</v>
      </c>
      <c r="G24" s="43" t="s">
        <v>3043</v>
      </c>
    </row>
    <row r="25" spans="3:7" x14ac:dyDescent="0.3">
      <c r="C25" s="65">
        <v>19</v>
      </c>
      <c r="D25" s="41">
        <v>37422</v>
      </c>
      <c r="E25" s="41">
        <v>15041.331710868011</v>
      </c>
      <c r="F25" s="42">
        <v>0.40193821043418337</v>
      </c>
      <c r="G25" s="43" t="s">
        <v>3043</v>
      </c>
    </row>
    <row r="26" spans="3:7" x14ac:dyDescent="0.3">
      <c r="C26" s="65">
        <v>28</v>
      </c>
      <c r="D26" s="41">
        <v>18688.25</v>
      </c>
      <c r="E26" s="41">
        <v>7565.8207164613914</v>
      </c>
      <c r="F26" s="42">
        <v>0.40484372354080189</v>
      </c>
      <c r="G26" s="43" t="s">
        <v>3043</v>
      </c>
    </row>
    <row r="27" spans="3:7" x14ac:dyDescent="0.3">
      <c r="C27" s="65">
        <v>2</v>
      </c>
      <c r="D27" s="41">
        <v>49216.75</v>
      </c>
      <c r="E27" s="41">
        <v>20344.697755189187</v>
      </c>
      <c r="F27" s="42">
        <v>0.41336938654399541</v>
      </c>
      <c r="G27" s="43" t="s">
        <v>3043</v>
      </c>
    </row>
    <row r="28" spans="3:7" x14ac:dyDescent="0.3">
      <c r="C28" s="65">
        <v>1</v>
      </c>
      <c r="D28" s="41">
        <v>28560</v>
      </c>
      <c r="E28" s="41">
        <v>12226.807864093331</v>
      </c>
      <c r="F28" s="42">
        <v>0.42810951905088696</v>
      </c>
      <c r="G28" s="43" t="s">
        <v>3043</v>
      </c>
    </row>
    <row r="29" spans="3:7" x14ac:dyDescent="0.3">
      <c r="C29" s="65">
        <v>7</v>
      </c>
      <c r="D29" s="41">
        <v>43368</v>
      </c>
      <c r="E29" s="41">
        <v>18855.862536622397</v>
      </c>
      <c r="F29" s="42">
        <v>0.43478745933919932</v>
      </c>
      <c r="G29" s="43" t="s">
        <v>3043</v>
      </c>
    </row>
    <row r="30" spans="3:7" x14ac:dyDescent="0.3">
      <c r="C30" s="65">
        <v>5</v>
      </c>
      <c r="D30" s="41">
        <v>32130.583333333332</v>
      </c>
      <c r="E30" s="41">
        <v>14226.801496141217</v>
      </c>
      <c r="F30" s="42">
        <v>0.44278067872430632</v>
      </c>
      <c r="G30" s="43" t="s">
        <v>3043</v>
      </c>
    </row>
    <row r="31" spans="3:7" x14ac:dyDescent="0.3">
      <c r="C31" s="65">
        <v>16</v>
      </c>
      <c r="D31" s="41">
        <v>34898.25</v>
      </c>
      <c r="E31" s="41">
        <v>15648.545451574724</v>
      </c>
      <c r="F31" s="42">
        <v>0.44840487564776815</v>
      </c>
      <c r="G31" s="43" t="s">
        <v>3043</v>
      </c>
    </row>
    <row r="32" spans="3:7" x14ac:dyDescent="0.3">
      <c r="C32" s="65">
        <v>21</v>
      </c>
      <c r="D32" s="41">
        <v>24150</v>
      </c>
      <c r="E32" s="41">
        <v>11108.817750696147</v>
      </c>
      <c r="F32" s="42">
        <v>0.45999245344497502</v>
      </c>
      <c r="G32" s="43" t="s">
        <v>3043</v>
      </c>
    </row>
    <row r="33" spans="3:7" x14ac:dyDescent="0.3">
      <c r="C33" s="65">
        <v>4</v>
      </c>
      <c r="D33" s="41">
        <v>32835</v>
      </c>
      <c r="E33" s="41">
        <v>15606.948068088135</v>
      </c>
      <c r="F33" s="42">
        <v>0.47531439220612565</v>
      </c>
      <c r="G33" s="43" t="s">
        <v>3043</v>
      </c>
    </row>
    <row r="34" spans="3:7" x14ac:dyDescent="0.3">
      <c r="C34" s="65">
        <v>20</v>
      </c>
      <c r="D34" s="41">
        <v>20997.5</v>
      </c>
      <c r="E34" s="41">
        <v>10126.288025817663</v>
      </c>
      <c r="F34" s="42">
        <v>0.48226160380129363</v>
      </c>
      <c r="G34" s="43" t="s">
        <v>3043</v>
      </c>
    </row>
    <row r="35" spans="3:7" ht="14.5" thickBot="1" x14ac:dyDescent="0.35">
      <c r="C35" s="66">
        <v>22</v>
      </c>
      <c r="D35" s="44">
        <v>17887.666666666668</v>
      </c>
      <c r="E35" s="44">
        <v>10193.105623038753</v>
      </c>
      <c r="F35" s="45">
        <v>0.56983986860809599</v>
      </c>
      <c r="G35" s="46" t="s">
        <v>3043</v>
      </c>
    </row>
  </sheetData>
  <sortState xmlns:xlrd2="http://schemas.microsoft.com/office/spreadsheetml/2017/richdata2" ref="C6:G35">
    <sortCondition ref="F6:F35"/>
  </sortState>
  <mergeCells count="1">
    <mergeCell ref="C3:G3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FF70-2E6F-4F65-BF18-71F419CDE8FF}">
  <sheetPr codeName="Arkusz5"/>
  <dimension ref="A2:N16"/>
  <sheetViews>
    <sheetView showGridLines="0" topLeftCell="A10" zoomScale="85" zoomScaleNormal="85" workbookViewId="0">
      <selection activeCell="B20" sqref="B20"/>
    </sheetView>
  </sheetViews>
  <sheetFormatPr defaultRowHeight="14" x14ac:dyDescent="0.3"/>
  <cols>
    <col min="1" max="1" width="20" style="1" customWidth="1"/>
    <col min="2" max="14" width="11.6328125" style="1" customWidth="1"/>
    <col min="15" max="16384" width="8.7265625" style="1"/>
  </cols>
  <sheetData>
    <row r="2" spans="1:14" x14ac:dyDescent="0.3">
      <c r="A2" s="92" t="s">
        <v>13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</row>
    <row r="3" spans="1:14" x14ac:dyDescent="0.3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</row>
    <row r="4" spans="1:14" x14ac:dyDescent="0.3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</row>
    <row r="5" spans="1:14" s="26" customFormat="1" x14ac:dyDescent="0.3">
      <c r="A5" s="23" t="s">
        <v>3044</v>
      </c>
      <c r="B5" s="24"/>
      <c r="C5" s="25">
        <v>1</v>
      </c>
      <c r="D5" s="25">
        <v>2</v>
      </c>
      <c r="E5" s="25">
        <v>3</v>
      </c>
      <c r="F5" s="25">
        <v>4</v>
      </c>
      <c r="G5" s="25">
        <v>5</v>
      </c>
      <c r="H5" s="25">
        <v>6</v>
      </c>
      <c r="I5" s="25">
        <v>7</v>
      </c>
      <c r="J5" s="25">
        <v>8</v>
      </c>
      <c r="K5" s="25">
        <v>9</v>
      </c>
      <c r="L5" s="25">
        <v>10</v>
      </c>
      <c r="M5" s="25">
        <v>11</v>
      </c>
      <c r="N5" s="25">
        <v>12</v>
      </c>
    </row>
    <row r="6" spans="1:14" x14ac:dyDescent="0.3">
      <c r="A6" s="25" t="s">
        <v>3045</v>
      </c>
      <c r="B6" s="27">
        <v>13</v>
      </c>
      <c r="C6" s="27">
        <v>57434</v>
      </c>
      <c r="D6" s="27">
        <v>50102</v>
      </c>
      <c r="E6" s="27">
        <v>36002</v>
      </c>
      <c r="F6" s="27">
        <v>43522</v>
      </c>
      <c r="G6" s="27">
        <v>44086</v>
      </c>
      <c r="H6" s="27">
        <v>34498</v>
      </c>
      <c r="I6" s="27">
        <v>60160</v>
      </c>
      <c r="J6" s="27">
        <v>36660</v>
      </c>
      <c r="K6" s="27">
        <v>48034</v>
      </c>
      <c r="L6" s="27">
        <v>43616</v>
      </c>
      <c r="M6" s="27">
        <v>37130</v>
      </c>
      <c r="N6" s="27">
        <v>41360</v>
      </c>
    </row>
    <row r="7" spans="1:14" x14ac:dyDescent="0.3">
      <c r="A7" s="25" t="s">
        <v>3058</v>
      </c>
      <c r="B7" s="28">
        <v>49254.575757575753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</row>
    <row r="8" spans="1:14" x14ac:dyDescent="0.3">
      <c r="A8" s="30" t="s">
        <v>3046</v>
      </c>
      <c r="B8" s="31">
        <v>-749.37062937062933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</row>
    <row r="9" spans="1:14" x14ac:dyDescent="0.3">
      <c r="A9" s="32" t="s">
        <v>3047</v>
      </c>
      <c r="B9" s="33"/>
      <c r="C9" s="28">
        <v>48505.205128205125</v>
      </c>
      <c r="D9" s="28">
        <v>47755.834498834491</v>
      </c>
      <c r="E9" s="28">
        <v>47006.463869463863</v>
      </c>
      <c r="F9" s="28">
        <v>46257.093240093236</v>
      </c>
      <c r="G9" s="28">
        <v>45507.722610722609</v>
      </c>
      <c r="H9" s="28">
        <v>44758.351981351974</v>
      </c>
      <c r="I9" s="28">
        <v>44008.981351981347</v>
      </c>
      <c r="J9" s="28">
        <v>43259.61072261072</v>
      </c>
      <c r="K9" s="28">
        <v>42510.240093240092</v>
      </c>
      <c r="L9" s="28">
        <v>41760.869463869458</v>
      </c>
      <c r="M9" s="28">
        <v>41011.498834498831</v>
      </c>
      <c r="N9" s="28">
        <v>40262.128205128203</v>
      </c>
    </row>
    <row r="10" spans="1:14" x14ac:dyDescent="0.3"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</row>
    <row r="11" spans="1:14" x14ac:dyDescent="0.3"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</row>
    <row r="12" spans="1:14" s="26" customFormat="1" x14ac:dyDescent="0.3">
      <c r="A12" s="23" t="s">
        <v>3044</v>
      </c>
      <c r="B12" s="35"/>
      <c r="C12" s="36">
        <v>1</v>
      </c>
      <c r="D12" s="36">
        <v>2</v>
      </c>
      <c r="E12" s="36">
        <v>3</v>
      </c>
      <c r="F12" s="36">
        <v>4</v>
      </c>
      <c r="G12" s="36">
        <v>5</v>
      </c>
      <c r="H12" s="36">
        <v>6</v>
      </c>
      <c r="I12" s="36">
        <v>7</v>
      </c>
      <c r="J12" s="36">
        <v>8</v>
      </c>
      <c r="K12" s="36">
        <v>9</v>
      </c>
      <c r="L12" s="36">
        <v>10</v>
      </c>
      <c r="M12" s="36">
        <v>11</v>
      </c>
      <c r="N12" s="36">
        <v>12</v>
      </c>
    </row>
    <row r="13" spans="1:14" x14ac:dyDescent="0.3">
      <c r="A13" s="25" t="s">
        <v>3048</v>
      </c>
      <c r="B13" s="27">
        <v>29</v>
      </c>
      <c r="C13" s="27">
        <v>38640</v>
      </c>
      <c r="D13" s="27">
        <v>51555</v>
      </c>
      <c r="E13" s="27">
        <v>28140</v>
      </c>
      <c r="F13" s="27">
        <v>21420</v>
      </c>
      <c r="G13" s="27">
        <v>70770</v>
      </c>
      <c r="H13" s="27">
        <v>35175</v>
      </c>
      <c r="I13" s="27">
        <v>34335</v>
      </c>
      <c r="J13" s="27">
        <v>60375</v>
      </c>
      <c r="K13" s="27">
        <v>38640</v>
      </c>
      <c r="L13" s="27">
        <v>33285</v>
      </c>
      <c r="M13" s="27">
        <v>31605</v>
      </c>
      <c r="N13" s="27">
        <v>37170</v>
      </c>
    </row>
    <row r="14" spans="1:14" x14ac:dyDescent="0.3">
      <c r="A14" s="25" t="s">
        <v>3058</v>
      </c>
      <c r="B14" s="28">
        <v>42493.181818181816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1:14" x14ac:dyDescent="0.3">
      <c r="A15" s="30" t="s">
        <v>3046</v>
      </c>
      <c r="B15" s="31">
        <v>-369.33566433566432</v>
      </c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</row>
    <row r="16" spans="1:14" x14ac:dyDescent="0.3">
      <c r="A16" s="32" t="s">
        <v>3047</v>
      </c>
      <c r="B16" s="33"/>
      <c r="C16" s="28">
        <v>42123.846153846149</v>
      </c>
      <c r="D16" s="28">
        <v>41754.510489510489</v>
      </c>
      <c r="E16" s="28">
        <v>41385.174825174821</v>
      </c>
      <c r="F16" s="28">
        <v>41015.839160839161</v>
      </c>
      <c r="G16" s="28">
        <v>40646.503496503494</v>
      </c>
      <c r="H16" s="28">
        <v>40277.167832167834</v>
      </c>
      <c r="I16" s="28">
        <v>39907.832167832166</v>
      </c>
      <c r="J16" s="28">
        <v>39538.496503496499</v>
      </c>
      <c r="K16" s="28">
        <v>39169.160839160839</v>
      </c>
      <c r="L16" s="28">
        <v>38799.825174825171</v>
      </c>
      <c r="M16" s="28">
        <v>38430.489510489511</v>
      </c>
      <c r="N16" s="28">
        <v>38061.153846153844</v>
      </c>
    </row>
  </sheetData>
  <mergeCells count="1">
    <mergeCell ref="A2:N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83F8A-042E-49B9-8C52-226432557D2C}">
  <sheetPr codeName="Arkusz7"/>
  <dimension ref="A1:R3001"/>
  <sheetViews>
    <sheetView showGridLines="0" zoomScale="85" zoomScaleNormal="85" workbookViewId="0">
      <selection activeCell="D11" sqref="D11"/>
    </sheetView>
  </sheetViews>
  <sheetFormatPr defaultRowHeight="14" x14ac:dyDescent="0.3"/>
  <cols>
    <col min="1" max="1" width="10.6328125" style="26" customWidth="1"/>
    <col min="2" max="3" width="10.6328125" style="1" customWidth="1"/>
    <col min="4" max="4" width="14.08984375" style="1" customWidth="1"/>
    <col min="5" max="18" width="10.6328125" style="1" customWidth="1"/>
    <col min="19" max="16384" width="8.7265625" style="1"/>
  </cols>
  <sheetData>
    <row r="1" spans="1:18" s="20" customFormat="1" ht="28" x14ac:dyDescent="0.35">
      <c r="A1" s="18" t="s">
        <v>14</v>
      </c>
      <c r="B1" s="18" t="s">
        <v>29</v>
      </c>
      <c r="C1" s="18" t="s">
        <v>30</v>
      </c>
      <c r="D1" s="18" t="s">
        <v>15</v>
      </c>
      <c r="E1" s="18" t="s">
        <v>16</v>
      </c>
      <c r="F1" s="18" t="s">
        <v>17</v>
      </c>
      <c r="G1" s="18" t="s">
        <v>18</v>
      </c>
      <c r="H1" s="18" t="s">
        <v>19</v>
      </c>
      <c r="I1" s="18" t="s">
        <v>20</v>
      </c>
      <c r="J1" s="18" t="s">
        <v>21</v>
      </c>
      <c r="K1" s="18" t="s">
        <v>22</v>
      </c>
      <c r="L1" s="18" t="s">
        <v>23</v>
      </c>
      <c r="M1" s="18" t="s">
        <v>24</v>
      </c>
      <c r="N1" s="18" t="s">
        <v>25</v>
      </c>
      <c r="O1" s="19"/>
      <c r="P1" s="18" t="s">
        <v>3035</v>
      </c>
      <c r="Q1" s="18"/>
      <c r="R1" s="19" t="s">
        <v>3034</v>
      </c>
    </row>
    <row r="2" spans="1:18" x14ac:dyDescent="0.3">
      <c r="A2" s="26">
        <v>1</v>
      </c>
      <c r="B2" s="1">
        <v>11</v>
      </c>
      <c r="C2" s="1">
        <f>INT(R2)</f>
        <v>11</v>
      </c>
      <c r="D2" s="21">
        <f t="shared" ref="D2:D65" ca="1" si="0">DATE(2022,RANDBETWEEN(1,12),RANDBETWEEN(1,28))</f>
        <v>44693</v>
      </c>
      <c r="E2" s="1" t="s">
        <v>26</v>
      </c>
      <c r="F2" s="1" t="s">
        <v>27</v>
      </c>
      <c r="G2" s="1" t="s">
        <v>28</v>
      </c>
      <c r="H2" s="1">
        <v>100</v>
      </c>
      <c r="I2" s="1">
        <f>INT(P2)</f>
        <v>43</v>
      </c>
      <c r="J2" s="1">
        <f>VLOOKUP(B2,Cena!$A$2:$B$101,2)</f>
        <v>83</v>
      </c>
      <c r="K2" s="1">
        <f>I2*J2</f>
        <v>3569</v>
      </c>
      <c r="L2" s="1">
        <f>K2*23%</f>
        <v>820.87</v>
      </c>
      <c r="M2" s="22">
        <f>K2+L2</f>
        <v>4389.87</v>
      </c>
      <c r="N2" s="1">
        <f ca="1">MONTH(D2)</f>
        <v>5</v>
      </c>
      <c r="P2" s="1">
        <v>43.633741723897401</v>
      </c>
      <c r="Q2" s="1">
        <f ca="1">RANDBETWEEN(1,30)</f>
        <v>21</v>
      </c>
      <c r="R2" s="1">
        <v>11.735958221615874</v>
      </c>
    </row>
    <row r="3" spans="1:18" x14ac:dyDescent="0.3">
      <c r="A3" s="26">
        <v>2</v>
      </c>
      <c r="B3" s="1">
        <v>4</v>
      </c>
      <c r="C3" s="1">
        <f t="shared" ref="C3:C66" si="1">INT(R3)</f>
        <v>8</v>
      </c>
      <c r="D3" s="21">
        <f t="shared" ca="1" si="0"/>
        <v>44906</v>
      </c>
      <c r="E3" s="1" t="s">
        <v>26</v>
      </c>
      <c r="F3" s="1" t="s">
        <v>31</v>
      </c>
      <c r="G3" s="1" t="s">
        <v>28</v>
      </c>
      <c r="H3" s="1">
        <v>101</v>
      </c>
      <c r="I3" s="1">
        <f t="shared" ref="I3:I66" si="2">INT(P3)</f>
        <v>42</v>
      </c>
      <c r="J3" s="1">
        <f>VLOOKUP(B3,Cena!$A$2:$B$101,2)</f>
        <v>99</v>
      </c>
      <c r="K3" s="1">
        <f t="shared" ref="K3:K30" si="3">I3*J3</f>
        <v>4158</v>
      </c>
      <c r="L3" s="1">
        <f t="shared" ref="L3:L66" si="4">K3*23%</f>
        <v>956.34</v>
      </c>
      <c r="M3" s="22">
        <f t="shared" ref="M3:M30" si="5">K3+L3</f>
        <v>5114.34</v>
      </c>
      <c r="N3" s="1">
        <f t="shared" ref="N3:N66" ca="1" si="6">MONTH(D3)</f>
        <v>12</v>
      </c>
      <c r="P3" s="1">
        <v>42.343100529978983</v>
      </c>
      <c r="Q3" s="1">
        <f t="shared" ref="Q3:Q66" ca="1" si="7">RANDBETWEEN(1,30)</f>
        <v>21</v>
      </c>
      <c r="R3" s="1">
        <v>8.2506324158748612</v>
      </c>
    </row>
    <row r="4" spans="1:18" x14ac:dyDescent="0.3">
      <c r="A4" s="26">
        <v>3</v>
      </c>
      <c r="B4" s="1">
        <v>1</v>
      </c>
      <c r="C4" s="1">
        <f t="shared" si="1"/>
        <v>5</v>
      </c>
      <c r="D4" s="21">
        <f t="shared" ca="1" si="0"/>
        <v>44844</v>
      </c>
      <c r="E4" s="1" t="s">
        <v>26</v>
      </c>
      <c r="F4" s="1" t="s">
        <v>32</v>
      </c>
      <c r="G4" s="1" t="s">
        <v>28</v>
      </c>
      <c r="H4" s="1">
        <v>102</v>
      </c>
      <c r="I4" s="1">
        <f t="shared" si="2"/>
        <v>31</v>
      </c>
      <c r="J4" s="1">
        <f>VLOOKUP(B4,Cena!$A$2:$B$101,2)</f>
        <v>84</v>
      </c>
      <c r="K4" s="1">
        <f t="shared" si="3"/>
        <v>2604</v>
      </c>
      <c r="L4" s="1">
        <f t="shared" si="4"/>
        <v>598.92000000000007</v>
      </c>
      <c r="M4" s="22">
        <f t="shared" si="5"/>
        <v>3202.92</v>
      </c>
      <c r="N4" s="1">
        <f t="shared" ca="1" si="6"/>
        <v>10</v>
      </c>
      <c r="P4" s="1">
        <v>31.254495651228353</v>
      </c>
      <c r="Q4" s="1">
        <f t="shared" ca="1" si="7"/>
        <v>1</v>
      </c>
      <c r="R4" s="1">
        <v>5.7086401991546154</v>
      </c>
    </row>
    <row r="5" spans="1:18" x14ac:dyDescent="0.3">
      <c r="A5" s="26">
        <v>4</v>
      </c>
      <c r="B5" s="1">
        <v>12</v>
      </c>
      <c r="C5" s="1">
        <f t="shared" si="1"/>
        <v>14</v>
      </c>
      <c r="D5" s="21">
        <f t="shared" ca="1" si="0"/>
        <v>44690</v>
      </c>
      <c r="E5" s="1" t="s">
        <v>26</v>
      </c>
      <c r="F5" s="1" t="s">
        <v>33</v>
      </c>
      <c r="G5" s="1" t="s">
        <v>28</v>
      </c>
      <c r="H5" s="1">
        <v>103</v>
      </c>
      <c r="I5" s="1">
        <f t="shared" si="2"/>
        <v>66</v>
      </c>
      <c r="J5" s="1">
        <f>VLOOKUP(B5,Cena!$A$2:$B$101,2)</f>
        <v>88</v>
      </c>
      <c r="K5" s="1">
        <f t="shared" si="3"/>
        <v>5808</v>
      </c>
      <c r="L5" s="1">
        <f t="shared" si="4"/>
        <v>1335.8400000000001</v>
      </c>
      <c r="M5" s="22">
        <f t="shared" si="5"/>
        <v>7143.84</v>
      </c>
      <c r="N5" s="1">
        <f t="shared" ca="1" si="6"/>
        <v>5</v>
      </c>
      <c r="P5" s="1">
        <v>66.978219719021581</v>
      </c>
      <c r="Q5" s="1">
        <f t="shared" ca="1" si="7"/>
        <v>22</v>
      </c>
      <c r="R5" s="1">
        <v>14.325988811615389</v>
      </c>
    </row>
    <row r="6" spans="1:18" x14ac:dyDescent="0.3">
      <c r="A6" s="26">
        <v>5</v>
      </c>
      <c r="B6" s="1">
        <v>4</v>
      </c>
      <c r="C6" s="1">
        <f t="shared" si="1"/>
        <v>9</v>
      </c>
      <c r="D6" s="21">
        <f t="shared" ca="1" si="0"/>
        <v>44879</v>
      </c>
      <c r="E6" s="1" t="s">
        <v>26</v>
      </c>
      <c r="F6" s="1" t="s">
        <v>34</v>
      </c>
      <c r="G6" s="1" t="s">
        <v>28</v>
      </c>
      <c r="H6" s="1">
        <v>104</v>
      </c>
      <c r="I6" s="1">
        <f t="shared" si="2"/>
        <v>47</v>
      </c>
      <c r="J6" s="1">
        <f>VLOOKUP(B6,Cena!$A$2:$B$101,2)</f>
        <v>99</v>
      </c>
      <c r="K6" s="1">
        <f t="shared" si="3"/>
        <v>4653</v>
      </c>
      <c r="L6" s="1">
        <f t="shared" si="4"/>
        <v>1070.19</v>
      </c>
      <c r="M6" s="22">
        <f t="shared" si="5"/>
        <v>5723.1900000000005</v>
      </c>
      <c r="N6" s="1">
        <f t="shared" ca="1" si="6"/>
        <v>11</v>
      </c>
      <c r="P6" s="1">
        <v>47.188410816306714</v>
      </c>
      <c r="Q6" s="1">
        <f t="shared" ca="1" si="7"/>
        <v>11</v>
      </c>
      <c r="R6" s="1">
        <v>9.8653947841376066</v>
      </c>
    </row>
    <row r="7" spans="1:18" x14ac:dyDescent="0.3">
      <c r="A7" s="26">
        <v>6</v>
      </c>
      <c r="B7" s="1">
        <v>15</v>
      </c>
      <c r="C7" s="1">
        <f t="shared" si="1"/>
        <v>14</v>
      </c>
      <c r="D7" s="21">
        <f t="shared" ca="1" si="0"/>
        <v>44654</v>
      </c>
      <c r="E7" s="1" t="s">
        <v>26</v>
      </c>
      <c r="F7" s="1" t="s">
        <v>35</v>
      </c>
      <c r="G7" s="1" t="s">
        <v>28</v>
      </c>
      <c r="H7" s="1">
        <v>105</v>
      </c>
      <c r="I7" s="1">
        <f t="shared" si="2"/>
        <v>40</v>
      </c>
      <c r="J7" s="1">
        <f>VLOOKUP(B7,Cena!$A$2:$B$101,2)</f>
        <v>85</v>
      </c>
      <c r="K7" s="1">
        <f t="shared" si="3"/>
        <v>3400</v>
      </c>
      <c r="L7" s="1">
        <f t="shared" si="4"/>
        <v>782</v>
      </c>
      <c r="M7" s="22">
        <f t="shared" si="5"/>
        <v>4182</v>
      </c>
      <c r="N7" s="1">
        <f t="shared" ca="1" si="6"/>
        <v>4</v>
      </c>
      <c r="P7" s="1">
        <v>40.998730936553329</v>
      </c>
      <c r="Q7" s="1">
        <f t="shared" ca="1" si="7"/>
        <v>7</v>
      </c>
      <c r="R7" s="1">
        <v>14.365847416920587</v>
      </c>
    </row>
    <row r="8" spans="1:18" x14ac:dyDescent="0.3">
      <c r="A8" s="26">
        <v>7</v>
      </c>
      <c r="B8" s="1">
        <v>27</v>
      </c>
      <c r="C8" s="1">
        <f t="shared" si="1"/>
        <v>9</v>
      </c>
      <c r="D8" s="21">
        <f t="shared" ca="1" si="0"/>
        <v>44607</v>
      </c>
      <c r="E8" s="1" t="s">
        <v>26</v>
      </c>
      <c r="F8" s="1" t="s">
        <v>36</v>
      </c>
      <c r="G8" s="1" t="s">
        <v>28</v>
      </c>
      <c r="H8" s="1">
        <v>106</v>
      </c>
      <c r="I8" s="1">
        <f t="shared" si="2"/>
        <v>60</v>
      </c>
      <c r="J8" s="1">
        <f>VLOOKUP(B8,Cena!$A$2:$B$101,2)</f>
        <v>87</v>
      </c>
      <c r="K8" s="1">
        <f t="shared" si="3"/>
        <v>5220</v>
      </c>
      <c r="L8" s="1">
        <f t="shared" si="4"/>
        <v>1200.6000000000001</v>
      </c>
      <c r="M8" s="22">
        <f t="shared" si="5"/>
        <v>6420.6</v>
      </c>
      <c r="N8" s="1">
        <f t="shared" ca="1" si="6"/>
        <v>2</v>
      </c>
      <c r="P8" s="1">
        <v>60.040002962341532</v>
      </c>
      <c r="Q8" s="1">
        <f t="shared" ca="1" si="7"/>
        <v>10</v>
      </c>
      <c r="R8" s="1">
        <v>9.1839359836376389</v>
      </c>
    </row>
    <row r="9" spans="1:18" x14ac:dyDescent="0.3">
      <c r="A9" s="26">
        <v>8</v>
      </c>
      <c r="B9" s="1">
        <v>19</v>
      </c>
      <c r="C9" s="1">
        <f t="shared" si="1"/>
        <v>7</v>
      </c>
      <c r="D9" s="21">
        <f t="shared" ca="1" si="0"/>
        <v>44751</v>
      </c>
      <c r="E9" s="1" t="s">
        <v>26</v>
      </c>
      <c r="F9" s="1" t="s">
        <v>37</v>
      </c>
      <c r="G9" s="1" t="s">
        <v>28</v>
      </c>
      <c r="H9" s="1">
        <v>107</v>
      </c>
      <c r="I9" s="1">
        <f t="shared" si="2"/>
        <v>42</v>
      </c>
      <c r="J9" s="1">
        <f>VLOOKUP(B9,Cena!$A$2:$B$101,2)</f>
        <v>84</v>
      </c>
      <c r="K9" s="1">
        <f t="shared" si="3"/>
        <v>3528</v>
      </c>
      <c r="L9" s="1">
        <f t="shared" si="4"/>
        <v>811.44</v>
      </c>
      <c r="M9" s="22">
        <f t="shared" si="5"/>
        <v>4339.4400000000005</v>
      </c>
      <c r="N9" s="1">
        <f t="shared" ca="1" si="6"/>
        <v>7</v>
      </c>
      <c r="P9" s="1">
        <v>42.925108927011024</v>
      </c>
      <c r="Q9" s="1">
        <f t="shared" ca="1" si="7"/>
        <v>7</v>
      </c>
      <c r="R9" s="1">
        <v>7.0875421695382101</v>
      </c>
    </row>
    <row r="10" spans="1:18" x14ac:dyDescent="0.3">
      <c r="A10" s="26">
        <v>9</v>
      </c>
      <c r="B10" s="1">
        <v>12</v>
      </c>
      <c r="C10" s="1">
        <f t="shared" si="1"/>
        <v>11</v>
      </c>
      <c r="D10" s="21">
        <f t="shared" ca="1" si="0"/>
        <v>44662</v>
      </c>
      <c r="E10" s="1" t="s">
        <v>26</v>
      </c>
      <c r="F10" s="1" t="s">
        <v>38</v>
      </c>
      <c r="G10" s="1" t="s">
        <v>28</v>
      </c>
      <c r="H10" s="1">
        <v>108</v>
      </c>
      <c r="I10" s="1">
        <f t="shared" si="2"/>
        <v>64</v>
      </c>
      <c r="J10" s="1">
        <f>VLOOKUP(B10,Cena!$A$2:$B$101,2)</f>
        <v>88</v>
      </c>
      <c r="K10" s="1">
        <f t="shared" si="3"/>
        <v>5632</v>
      </c>
      <c r="L10" s="1">
        <f t="shared" si="4"/>
        <v>1295.3600000000001</v>
      </c>
      <c r="M10" s="22">
        <f t="shared" si="5"/>
        <v>6927.3600000000006</v>
      </c>
      <c r="N10" s="1">
        <f t="shared" ca="1" si="6"/>
        <v>4</v>
      </c>
      <c r="P10" s="1">
        <v>64.960232874727808</v>
      </c>
      <c r="Q10" s="1">
        <f t="shared" ca="1" si="7"/>
        <v>12</v>
      </c>
      <c r="R10" s="1">
        <v>11.666529669819283</v>
      </c>
    </row>
    <row r="11" spans="1:18" x14ac:dyDescent="0.3">
      <c r="A11" s="26">
        <v>10</v>
      </c>
      <c r="B11" s="1">
        <v>9</v>
      </c>
      <c r="C11" s="1">
        <f t="shared" si="1"/>
        <v>8</v>
      </c>
      <c r="D11" s="21">
        <f t="shared" ca="1" si="0"/>
        <v>44783</v>
      </c>
      <c r="E11" s="1" t="s">
        <v>26</v>
      </c>
      <c r="F11" s="1" t="s">
        <v>39</v>
      </c>
      <c r="G11" s="1" t="s">
        <v>28</v>
      </c>
      <c r="H11" s="1">
        <v>109</v>
      </c>
      <c r="I11" s="1">
        <f t="shared" si="2"/>
        <v>55</v>
      </c>
      <c r="J11" s="1">
        <f>VLOOKUP(B11,Cena!$A$2:$B$101,2)</f>
        <v>96</v>
      </c>
      <c r="K11" s="1">
        <f t="shared" si="3"/>
        <v>5280</v>
      </c>
      <c r="L11" s="1">
        <f t="shared" si="4"/>
        <v>1214.4000000000001</v>
      </c>
      <c r="M11" s="22">
        <f t="shared" si="5"/>
        <v>6494.4</v>
      </c>
      <c r="N11" s="1">
        <f t="shared" ca="1" si="6"/>
        <v>8</v>
      </c>
      <c r="P11" s="1">
        <v>55.07455979459337</v>
      </c>
      <c r="Q11" s="1">
        <f t="shared" ca="1" si="7"/>
        <v>10</v>
      </c>
      <c r="R11" s="1">
        <v>8.1755706812691642</v>
      </c>
    </row>
    <row r="12" spans="1:18" x14ac:dyDescent="0.3">
      <c r="A12" s="26">
        <v>11</v>
      </c>
      <c r="B12" s="1">
        <v>3</v>
      </c>
      <c r="C12" s="1">
        <f t="shared" si="1"/>
        <v>8</v>
      </c>
      <c r="D12" s="21">
        <f t="shared" ca="1" si="0"/>
        <v>44807</v>
      </c>
      <c r="E12" s="1" t="s">
        <v>26</v>
      </c>
      <c r="F12" s="1" t="s">
        <v>40</v>
      </c>
      <c r="G12" s="1" t="s">
        <v>28</v>
      </c>
      <c r="H12" s="1">
        <v>110</v>
      </c>
      <c r="I12" s="1">
        <f t="shared" si="2"/>
        <v>62</v>
      </c>
      <c r="J12" s="1">
        <f>VLOOKUP(B12,Cena!$A$2:$B$101,2)</f>
        <v>89</v>
      </c>
      <c r="K12" s="1">
        <f t="shared" si="3"/>
        <v>5518</v>
      </c>
      <c r="L12" s="1">
        <f t="shared" si="4"/>
        <v>1269.1400000000001</v>
      </c>
      <c r="M12" s="22">
        <f t="shared" si="5"/>
        <v>6787.14</v>
      </c>
      <c r="N12" s="1">
        <f t="shared" ca="1" si="6"/>
        <v>9</v>
      </c>
      <c r="P12" s="1">
        <v>62.904183677164838</v>
      </c>
      <c r="Q12" s="1">
        <f t="shared" ca="1" si="7"/>
        <v>22</v>
      </c>
      <c r="R12" s="1">
        <v>8.1414532612689072</v>
      </c>
    </row>
    <row r="13" spans="1:18" x14ac:dyDescent="0.3">
      <c r="A13" s="26">
        <v>12</v>
      </c>
      <c r="B13" s="1">
        <v>25</v>
      </c>
      <c r="C13" s="1">
        <f t="shared" si="1"/>
        <v>11</v>
      </c>
      <c r="D13" s="21">
        <f t="shared" ca="1" si="0"/>
        <v>44763</v>
      </c>
      <c r="E13" s="1" t="s">
        <v>26</v>
      </c>
      <c r="F13" s="1" t="s">
        <v>41</v>
      </c>
      <c r="G13" s="1" t="s">
        <v>28</v>
      </c>
      <c r="H13" s="1">
        <v>111</v>
      </c>
      <c r="I13" s="1">
        <f t="shared" si="2"/>
        <v>43</v>
      </c>
      <c r="J13" s="1">
        <f>VLOOKUP(B13,Cena!$A$2:$B$101,2)</f>
        <v>108</v>
      </c>
      <c r="K13" s="1">
        <f t="shared" si="3"/>
        <v>4644</v>
      </c>
      <c r="L13" s="1">
        <f t="shared" si="4"/>
        <v>1068.1200000000001</v>
      </c>
      <c r="M13" s="22">
        <f t="shared" si="5"/>
        <v>5712.12</v>
      </c>
      <c r="N13" s="1">
        <f t="shared" ca="1" si="6"/>
        <v>7</v>
      </c>
      <c r="P13" s="1">
        <v>43.700123468443053</v>
      </c>
      <c r="Q13" s="1">
        <f t="shared" ca="1" si="7"/>
        <v>8</v>
      </c>
      <c r="R13" s="1">
        <v>11.896069079521112</v>
      </c>
    </row>
    <row r="14" spans="1:18" x14ac:dyDescent="0.3">
      <c r="A14" s="26">
        <v>13</v>
      </c>
      <c r="B14" s="1">
        <v>17</v>
      </c>
      <c r="C14" s="1">
        <f t="shared" si="1"/>
        <v>9</v>
      </c>
      <c r="D14" s="21">
        <f t="shared" ca="1" si="0"/>
        <v>44696</v>
      </c>
      <c r="E14" s="1" t="s">
        <v>26</v>
      </c>
      <c r="F14" s="1" t="s">
        <v>42</v>
      </c>
      <c r="G14" s="1" t="s">
        <v>28</v>
      </c>
      <c r="H14" s="1">
        <v>112</v>
      </c>
      <c r="I14" s="1">
        <f t="shared" si="2"/>
        <v>45</v>
      </c>
      <c r="J14" s="1">
        <f>VLOOKUP(B14,Cena!$A$2:$B$101,2)</f>
        <v>84</v>
      </c>
      <c r="K14" s="1">
        <f t="shared" si="3"/>
        <v>3780</v>
      </c>
      <c r="L14" s="1">
        <f t="shared" si="4"/>
        <v>869.40000000000009</v>
      </c>
      <c r="M14" s="22">
        <f t="shared" si="5"/>
        <v>4649.3999999999996</v>
      </c>
      <c r="N14" s="1">
        <f t="shared" ca="1" si="6"/>
        <v>5</v>
      </c>
      <c r="P14" s="1">
        <v>45.849714196083369</v>
      </c>
      <c r="Q14" s="1">
        <f t="shared" ca="1" si="7"/>
        <v>22</v>
      </c>
      <c r="R14" s="1">
        <v>9.0989323350731866</v>
      </c>
    </row>
    <row r="15" spans="1:18" x14ac:dyDescent="0.3">
      <c r="A15" s="26">
        <v>14</v>
      </c>
      <c r="B15" s="1">
        <v>16</v>
      </c>
      <c r="C15" s="1">
        <f t="shared" si="1"/>
        <v>13</v>
      </c>
      <c r="D15" s="21">
        <f t="shared" ca="1" si="0"/>
        <v>44893</v>
      </c>
      <c r="E15" s="1" t="s">
        <v>26</v>
      </c>
      <c r="F15" s="1" t="s">
        <v>43</v>
      </c>
      <c r="G15" s="1" t="s">
        <v>28</v>
      </c>
      <c r="H15" s="1">
        <v>113</v>
      </c>
      <c r="I15" s="1">
        <f t="shared" si="2"/>
        <v>57</v>
      </c>
      <c r="J15" s="1">
        <f>VLOOKUP(B15,Cena!$A$2:$B$101,2)</f>
        <v>93</v>
      </c>
      <c r="K15" s="1">
        <f t="shared" si="3"/>
        <v>5301</v>
      </c>
      <c r="L15" s="1">
        <f t="shared" si="4"/>
        <v>1219.23</v>
      </c>
      <c r="M15" s="22">
        <f t="shared" si="5"/>
        <v>6520.23</v>
      </c>
      <c r="N15" s="1">
        <f t="shared" ca="1" si="6"/>
        <v>11</v>
      </c>
      <c r="P15" s="1">
        <v>57.374819688266143</v>
      </c>
      <c r="Q15" s="1">
        <f t="shared" ca="1" si="7"/>
        <v>17</v>
      </c>
      <c r="R15" s="1">
        <v>13.993557129433611</v>
      </c>
    </row>
    <row r="16" spans="1:18" x14ac:dyDescent="0.3">
      <c r="A16" s="26">
        <v>15</v>
      </c>
      <c r="B16" s="1">
        <v>12</v>
      </c>
      <c r="C16" s="1">
        <f t="shared" si="1"/>
        <v>10</v>
      </c>
      <c r="D16" s="21">
        <f t="shared" ca="1" si="0"/>
        <v>44716</v>
      </c>
      <c r="E16" s="1" t="s">
        <v>26</v>
      </c>
      <c r="F16" s="1" t="s">
        <v>44</v>
      </c>
      <c r="G16" s="1" t="s">
        <v>28</v>
      </c>
      <c r="H16" s="1">
        <v>114</v>
      </c>
      <c r="I16" s="1">
        <f t="shared" si="2"/>
        <v>52</v>
      </c>
      <c r="J16" s="1">
        <f>VLOOKUP(B16,Cena!$A$2:$B$101,2)</f>
        <v>88</v>
      </c>
      <c r="K16" s="1">
        <f t="shared" si="3"/>
        <v>4576</v>
      </c>
      <c r="L16" s="1">
        <f t="shared" si="4"/>
        <v>1052.48</v>
      </c>
      <c r="M16" s="22">
        <f t="shared" si="5"/>
        <v>5628.48</v>
      </c>
      <c r="N16" s="1">
        <f t="shared" ca="1" si="6"/>
        <v>6</v>
      </c>
      <c r="P16" s="1">
        <v>52.071385551971616</v>
      </c>
      <c r="Q16" s="1">
        <f t="shared" ca="1" si="7"/>
        <v>10</v>
      </c>
      <c r="R16" s="1">
        <v>10.942623046285007</v>
      </c>
    </row>
    <row r="17" spans="1:18" x14ac:dyDescent="0.3">
      <c r="A17" s="26">
        <v>16</v>
      </c>
      <c r="B17" s="1">
        <v>5</v>
      </c>
      <c r="C17" s="1">
        <f t="shared" si="1"/>
        <v>8</v>
      </c>
      <c r="D17" s="21">
        <f t="shared" ca="1" si="0"/>
        <v>44871</v>
      </c>
      <c r="E17" s="1" t="s">
        <v>26</v>
      </c>
      <c r="F17" s="1" t="s">
        <v>45</v>
      </c>
      <c r="G17" s="1" t="s">
        <v>28</v>
      </c>
      <c r="H17" s="1">
        <v>115</v>
      </c>
      <c r="I17" s="1">
        <f t="shared" si="2"/>
        <v>38</v>
      </c>
      <c r="J17" s="1">
        <f>VLOOKUP(B17,Cena!$A$2:$B$101,2)</f>
        <v>91</v>
      </c>
      <c r="K17" s="1">
        <f t="shared" si="3"/>
        <v>3458</v>
      </c>
      <c r="L17" s="1">
        <f t="shared" si="4"/>
        <v>795.34</v>
      </c>
      <c r="M17" s="22">
        <f t="shared" si="5"/>
        <v>4253.34</v>
      </c>
      <c r="N17" s="1">
        <f t="shared" ca="1" si="6"/>
        <v>11</v>
      </c>
      <c r="P17" s="1">
        <v>38.685863172577228</v>
      </c>
      <c r="Q17" s="1">
        <f t="shared" ca="1" si="7"/>
        <v>20</v>
      </c>
      <c r="R17" s="1">
        <v>8.430857317543996</v>
      </c>
    </row>
    <row r="18" spans="1:18" x14ac:dyDescent="0.3">
      <c r="A18" s="26">
        <v>17</v>
      </c>
      <c r="B18" s="1">
        <v>12</v>
      </c>
      <c r="C18" s="1">
        <f t="shared" si="1"/>
        <v>9</v>
      </c>
      <c r="D18" s="21">
        <f t="shared" ca="1" si="0"/>
        <v>44731</v>
      </c>
      <c r="E18" s="1" t="s">
        <v>26</v>
      </c>
      <c r="F18" s="1" t="s">
        <v>46</v>
      </c>
      <c r="G18" s="1" t="s">
        <v>28</v>
      </c>
      <c r="H18" s="1">
        <v>116</v>
      </c>
      <c r="I18" s="1">
        <f t="shared" si="2"/>
        <v>39</v>
      </c>
      <c r="J18" s="1">
        <f>VLOOKUP(B18,Cena!$A$2:$B$101,2)</f>
        <v>88</v>
      </c>
      <c r="K18" s="1">
        <f t="shared" si="3"/>
        <v>3432</v>
      </c>
      <c r="L18" s="1">
        <f t="shared" si="4"/>
        <v>789.36</v>
      </c>
      <c r="M18" s="22">
        <f t="shared" si="5"/>
        <v>4221.3599999999997</v>
      </c>
      <c r="N18" s="1">
        <f t="shared" ca="1" si="6"/>
        <v>6</v>
      </c>
      <c r="P18" s="1">
        <v>39.467914929264225</v>
      </c>
      <c r="Q18" s="1">
        <f t="shared" ca="1" si="7"/>
        <v>9</v>
      </c>
      <c r="R18" s="1">
        <v>9.5876265757033252</v>
      </c>
    </row>
    <row r="19" spans="1:18" x14ac:dyDescent="0.3">
      <c r="A19" s="26">
        <v>18</v>
      </c>
      <c r="B19" s="1">
        <v>5</v>
      </c>
      <c r="C19" s="1">
        <f t="shared" si="1"/>
        <v>11</v>
      </c>
      <c r="D19" s="21">
        <f t="shared" ca="1" si="0"/>
        <v>44830</v>
      </c>
      <c r="E19" s="1" t="s">
        <v>26</v>
      </c>
      <c r="F19" s="1" t="s">
        <v>47</v>
      </c>
      <c r="G19" s="1" t="s">
        <v>28</v>
      </c>
      <c r="H19" s="1">
        <v>117</v>
      </c>
      <c r="I19" s="1">
        <f t="shared" si="2"/>
        <v>58</v>
      </c>
      <c r="J19" s="1">
        <f>VLOOKUP(B19,Cena!$A$2:$B$101,2)</f>
        <v>91</v>
      </c>
      <c r="K19" s="1">
        <f t="shared" si="3"/>
        <v>5278</v>
      </c>
      <c r="L19" s="1">
        <f t="shared" si="4"/>
        <v>1213.94</v>
      </c>
      <c r="M19" s="22">
        <f t="shared" si="5"/>
        <v>6491.9400000000005</v>
      </c>
      <c r="N19" s="1">
        <f t="shared" ca="1" si="6"/>
        <v>9</v>
      </c>
      <c r="P19" s="1">
        <v>58.005122253962327</v>
      </c>
      <c r="Q19" s="1">
        <f t="shared" ca="1" si="7"/>
        <v>29</v>
      </c>
      <c r="R19" s="1">
        <v>11.798815674192156</v>
      </c>
    </row>
    <row r="20" spans="1:18" x14ac:dyDescent="0.3">
      <c r="A20" s="26">
        <v>19</v>
      </c>
      <c r="B20" s="1">
        <v>15</v>
      </c>
      <c r="C20" s="1">
        <f t="shared" si="1"/>
        <v>5</v>
      </c>
      <c r="D20" s="21">
        <f t="shared" ca="1" si="0"/>
        <v>44807</v>
      </c>
      <c r="E20" s="1" t="s">
        <v>26</v>
      </c>
      <c r="F20" s="1" t="s">
        <v>48</v>
      </c>
      <c r="G20" s="1" t="s">
        <v>28</v>
      </c>
      <c r="H20" s="1">
        <v>118</v>
      </c>
      <c r="I20" s="1">
        <f t="shared" si="2"/>
        <v>44</v>
      </c>
      <c r="J20" s="1">
        <f>VLOOKUP(B20,Cena!$A$2:$B$101,2)</f>
        <v>85</v>
      </c>
      <c r="K20" s="1">
        <f t="shared" si="3"/>
        <v>3740</v>
      </c>
      <c r="L20" s="1">
        <f t="shared" si="4"/>
        <v>860.2</v>
      </c>
      <c r="M20" s="22">
        <f t="shared" si="5"/>
        <v>4600.2</v>
      </c>
      <c r="N20" s="1">
        <f t="shared" ca="1" si="6"/>
        <v>9</v>
      </c>
      <c r="P20" s="1">
        <v>44.119139046233613</v>
      </c>
      <c r="Q20" s="1">
        <f t="shared" ca="1" si="7"/>
        <v>7</v>
      </c>
      <c r="R20" s="1">
        <v>5.4139411784126423</v>
      </c>
    </row>
    <row r="21" spans="1:18" x14ac:dyDescent="0.3">
      <c r="A21" s="26">
        <v>20</v>
      </c>
      <c r="B21" s="1">
        <v>12</v>
      </c>
      <c r="C21" s="1">
        <f t="shared" si="1"/>
        <v>10</v>
      </c>
      <c r="D21" s="21">
        <f t="shared" ca="1" si="0"/>
        <v>44600</v>
      </c>
      <c r="E21" s="1" t="s">
        <v>26</v>
      </c>
      <c r="F21" s="1" t="s">
        <v>49</v>
      </c>
      <c r="G21" s="1" t="s">
        <v>28</v>
      </c>
      <c r="H21" s="1">
        <v>119</v>
      </c>
      <c r="I21" s="1">
        <f t="shared" si="2"/>
        <v>51</v>
      </c>
      <c r="J21" s="1">
        <f>VLOOKUP(B21,Cena!$A$2:$B$101,2)</f>
        <v>88</v>
      </c>
      <c r="K21" s="1">
        <f t="shared" si="3"/>
        <v>4488</v>
      </c>
      <c r="L21" s="1">
        <f t="shared" si="4"/>
        <v>1032.24</v>
      </c>
      <c r="M21" s="22">
        <f t="shared" si="5"/>
        <v>5520.24</v>
      </c>
      <c r="N21" s="1">
        <f t="shared" ca="1" si="6"/>
        <v>2</v>
      </c>
      <c r="P21" s="1">
        <v>51.677415184531128</v>
      </c>
      <c r="Q21" s="1">
        <f t="shared" ca="1" si="7"/>
        <v>21</v>
      </c>
      <c r="R21" s="1">
        <v>10.887609985511517</v>
      </c>
    </row>
    <row r="22" spans="1:18" x14ac:dyDescent="0.3">
      <c r="A22" s="26">
        <v>21</v>
      </c>
      <c r="B22" s="1">
        <v>9</v>
      </c>
      <c r="C22" s="1">
        <f t="shared" si="1"/>
        <v>10</v>
      </c>
      <c r="D22" s="21">
        <f t="shared" ca="1" si="0"/>
        <v>44882</v>
      </c>
      <c r="E22" s="1" t="s">
        <v>26</v>
      </c>
      <c r="F22" s="1" t="s">
        <v>50</v>
      </c>
      <c r="G22" s="1" t="s">
        <v>28</v>
      </c>
      <c r="H22" s="1">
        <v>120</v>
      </c>
      <c r="I22" s="1">
        <f t="shared" si="2"/>
        <v>63</v>
      </c>
      <c r="J22" s="1">
        <f>VLOOKUP(B22,Cena!$A$2:$B$101,2)</f>
        <v>96</v>
      </c>
      <c r="K22" s="1">
        <f t="shared" si="3"/>
        <v>6048</v>
      </c>
      <c r="L22" s="1">
        <f t="shared" si="4"/>
        <v>1391.04</v>
      </c>
      <c r="M22" s="22">
        <f t="shared" si="5"/>
        <v>7439.04</v>
      </c>
      <c r="N22" s="1">
        <f t="shared" ca="1" si="6"/>
        <v>11</v>
      </c>
      <c r="P22" s="1">
        <v>63.100134310661815</v>
      </c>
      <c r="Q22" s="1">
        <f t="shared" ca="1" si="7"/>
        <v>25</v>
      </c>
      <c r="R22" s="1">
        <v>10.139203848448233</v>
      </c>
    </row>
    <row r="23" spans="1:18" x14ac:dyDescent="0.3">
      <c r="A23" s="26">
        <v>22</v>
      </c>
      <c r="B23" s="1">
        <v>8</v>
      </c>
      <c r="C23" s="1">
        <f t="shared" si="1"/>
        <v>9</v>
      </c>
      <c r="D23" s="21">
        <f t="shared" ca="1" si="0"/>
        <v>44887</v>
      </c>
      <c r="E23" s="1" t="s">
        <v>26</v>
      </c>
      <c r="F23" s="1" t="s">
        <v>51</v>
      </c>
      <c r="G23" s="1" t="s">
        <v>28</v>
      </c>
      <c r="H23" s="1">
        <v>121</v>
      </c>
      <c r="I23" s="1">
        <f t="shared" si="2"/>
        <v>46</v>
      </c>
      <c r="J23" s="1">
        <f>VLOOKUP(B23,Cena!$A$2:$B$101,2)</f>
        <v>88</v>
      </c>
      <c r="K23" s="1">
        <f t="shared" si="3"/>
        <v>4048</v>
      </c>
      <c r="L23" s="1">
        <f t="shared" si="4"/>
        <v>931.04000000000008</v>
      </c>
      <c r="M23" s="22">
        <f t="shared" si="5"/>
        <v>4979.04</v>
      </c>
      <c r="N23" s="1">
        <f t="shared" ca="1" si="6"/>
        <v>11</v>
      </c>
      <c r="P23" s="1">
        <v>46.034944160783198</v>
      </c>
      <c r="Q23" s="1">
        <f t="shared" ca="1" si="7"/>
        <v>7</v>
      </c>
      <c r="R23" s="1">
        <v>9.7222175807110034</v>
      </c>
    </row>
    <row r="24" spans="1:18" x14ac:dyDescent="0.3">
      <c r="A24" s="26">
        <v>23</v>
      </c>
      <c r="B24" s="1">
        <v>12</v>
      </c>
      <c r="C24" s="1">
        <f t="shared" si="1"/>
        <v>9</v>
      </c>
      <c r="D24" s="21">
        <f t="shared" ca="1" si="0"/>
        <v>44723</v>
      </c>
      <c r="E24" s="1" t="s">
        <v>26</v>
      </c>
      <c r="F24" s="1" t="s">
        <v>52</v>
      </c>
      <c r="G24" s="1" t="s">
        <v>28</v>
      </c>
      <c r="H24" s="1">
        <v>122</v>
      </c>
      <c r="I24" s="1">
        <f t="shared" si="2"/>
        <v>67</v>
      </c>
      <c r="J24" s="1">
        <f>VLOOKUP(B24,Cena!$A$2:$B$101,2)</f>
        <v>88</v>
      </c>
      <c r="K24" s="1">
        <f t="shared" si="3"/>
        <v>5896</v>
      </c>
      <c r="L24" s="1">
        <f t="shared" si="4"/>
        <v>1356.0800000000002</v>
      </c>
      <c r="M24" s="22">
        <f t="shared" si="5"/>
        <v>7252.08</v>
      </c>
      <c r="N24" s="1">
        <f t="shared" ca="1" si="6"/>
        <v>6</v>
      </c>
      <c r="P24" s="1">
        <v>67.229194781975821</v>
      </c>
      <c r="Q24" s="1">
        <f t="shared" ca="1" si="7"/>
        <v>7</v>
      </c>
      <c r="R24" s="1">
        <v>9.0606625033251476</v>
      </c>
    </row>
    <row r="25" spans="1:18" x14ac:dyDescent="0.3">
      <c r="A25" s="26">
        <v>24</v>
      </c>
      <c r="B25" s="1">
        <v>4</v>
      </c>
      <c r="C25" s="1">
        <f t="shared" si="1"/>
        <v>11</v>
      </c>
      <c r="D25" s="21">
        <f t="shared" ca="1" si="0"/>
        <v>44627</v>
      </c>
      <c r="E25" s="1" t="s">
        <v>26</v>
      </c>
      <c r="F25" s="1" t="s">
        <v>53</v>
      </c>
      <c r="G25" s="1" t="s">
        <v>28</v>
      </c>
      <c r="H25" s="1">
        <v>123</v>
      </c>
      <c r="I25" s="1">
        <f t="shared" si="2"/>
        <v>63</v>
      </c>
      <c r="J25" s="1">
        <f>VLOOKUP(B25,Cena!$A$2:$B$101,2)</f>
        <v>99</v>
      </c>
      <c r="K25" s="1">
        <f t="shared" si="3"/>
        <v>6237</v>
      </c>
      <c r="L25" s="1">
        <f t="shared" si="4"/>
        <v>1434.51</v>
      </c>
      <c r="M25" s="22">
        <f t="shared" si="5"/>
        <v>7671.51</v>
      </c>
      <c r="N25" s="1">
        <f t="shared" ca="1" si="6"/>
        <v>3</v>
      </c>
      <c r="P25" s="1">
        <v>63.528870113077573</v>
      </c>
      <c r="Q25" s="1">
        <f t="shared" ca="1" si="7"/>
        <v>11</v>
      </c>
      <c r="R25" s="1">
        <v>11.402767679792305</v>
      </c>
    </row>
    <row r="26" spans="1:18" x14ac:dyDescent="0.3">
      <c r="A26" s="26">
        <v>25</v>
      </c>
      <c r="B26" s="1">
        <v>25</v>
      </c>
      <c r="C26" s="1">
        <f t="shared" si="1"/>
        <v>10</v>
      </c>
      <c r="D26" s="21">
        <f t="shared" ca="1" si="0"/>
        <v>44836</v>
      </c>
      <c r="E26" s="1" t="s">
        <v>26</v>
      </c>
      <c r="F26" s="1" t="s">
        <v>54</v>
      </c>
      <c r="G26" s="1" t="s">
        <v>28</v>
      </c>
      <c r="H26" s="1">
        <v>124</v>
      </c>
      <c r="I26" s="1">
        <f t="shared" si="2"/>
        <v>47</v>
      </c>
      <c r="J26" s="1">
        <f>VLOOKUP(B26,Cena!$A$2:$B$101,2)</f>
        <v>108</v>
      </c>
      <c r="K26" s="1">
        <f t="shared" si="3"/>
        <v>5076</v>
      </c>
      <c r="L26" s="1">
        <f t="shared" si="4"/>
        <v>1167.48</v>
      </c>
      <c r="M26" s="22">
        <f t="shared" si="5"/>
        <v>6243.48</v>
      </c>
      <c r="N26" s="1">
        <f t="shared" ca="1" si="6"/>
        <v>10</v>
      </c>
      <c r="P26" s="1">
        <v>47.488009739754489</v>
      </c>
      <c r="Q26" s="1">
        <f t="shared" ca="1" si="7"/>
        <v>14</v>
      </c>
      <c r="R26" s="1">
        <v>10.213978523788683</v>
      </c>
    </row>
    <row r="27" spans="1:18" x14ac:dyDescent="0.3">
      <c r="A27" s="26">
        <v>26</v>
      </c>
      <c r="B27" s="1">
        <v>6</v>
      </c>
      <c r="C27" s="1">
        <f t="shared" si="1"/>
        <v>11</v>
      </c>
      <c r="D27" s="21">
        <f t="shared" ca="1" si="0"/>
        <v>44602</v>
      </c>
      <c r="E27" s="1" t="s">
        <v>26</v>
      </c>
      <c r="F27" s="1" t="s">
        <v>55</v>
      </c>
      <c r="G27" s="1" t="s">
        <v>28</v>
      </c>
      <c r="H27" s="1">
        <v>125</v>
      </c>
      <c r="I27" s="1">
        <f t="shared" si="2"/>
        <v>42</v>
      </c>
      <c r="J27" s="1">
        <f>VLOOKUP(B27,Cena!$A$2:$B$101,2)</f>
        <v>86</v>
      </c>
      <c r="K27" s="1">
        <f t="shared" si="3"/>
        <v>3612</v>
      </c>
      <c r="L27" s="1">
        <f t="shared" si="4"/>
        <v>830.76</v>
      </c>
      <c r="M27" s="22">
        <f t="shared" si="5"/>
        <v>4442.76</v>
      </c>
      <c r="N27" s="1">
        <f t="shared" ca="1" si="6"/>
        <v>2</v>
      </c>
      <c r="P27" s="1">
        <v>42.174855378834764</v>
      </c>
      <c r="Q27" s="1">
        <f t="shared" ca="1" si="7"/>
        <v>6</v>
      </c>
      <c r="R27" s="1">
        <v>11.348695377600961</v>
      </c>
    </row>
    <row r="28" spans="1:18" x14ac:dyDescent="0.3">
      <c r="A28" s="26">
        <v>27</v>
      </c>
      <c r="B28" s="1">
        <v>18</v>
      </c>
      <c r="C28" s="1">
        <f t="shared" si="1"/>
        <v>12</v>
      </c>
      <c r="D28" s="21">
        <f t="shared" ca="1" si="0"/>
        <v>44600</v>
      </c>
      <c r="E28" s="1" t="s">
        <v>26</v>
      </c>
      <c r="F28" s="1" t="s">
        <v>56</v>
      </c>
      <c r="G28" s="1" t="s">
        <v>28</v>
      </c>
      <c r="H28" s="1">
        <v>126</v>
      </c>
      <c r="I28" s="1">
        <f t="shared" si="2"/>
        <v>47</v>
      </c>
      <c r="J28" s="1">
        <f>VLOOKUP(B28,Cena!$A$2:$B$101,2)</f>
        <v>90</v>
      </c>
      <c r="K28" s="1">
        <f t="shared" si="3"/>
        <v>4230</v>
      </c>
      <c r="L28" s="1">
        <f t="shared" si="4"/>
        <v>972.90000000000009</v>
      </c>
      <c r="M28" s="22">
        <f t="shared" si="5"/>
        <v>5202.8999999999996</v>
      </c>
      <c r="N28" s="1">
        <f t="shared" ca="1" si="6"/>
        <v>2</v>
      </c>
      <c r="P28" s="1">
        <v>47.519580574589781</v>
      </c>
      <c r="Q28" s="1">
        <f t="shared" ca="1" si="7"/>
        <v>27</v>
      </c>
      <c r="R28" s="1">
        <v>12.022431999648688</v>
      </c>
    </row>
    <row r="29" spans="1:18" x14ac:dyDescent="0.3">
      <c r="A29" s="26">
        <v>28</v>
      </c>
      <c r="B29" s="1">
        <v>17</v>
      </c>
      <c r="C29" s="1">
        <f t="shared" si="1"/>
        <v>11</v>
      </c>
      <c r="D29" s="21">
        <f t="shared" ca="1" si="0"/>
        <v>44873</v>
      </c>
      <c r="E29" s="1" t="s">
        <v>26</v>
      </c>
      <c r="F29" s="1" t="s">
        <v>57</v>
      </c>
      <c r="G29" s="1" t="s">
        <v>28</v>
      </c>
      <c r="H29" s="1">
        <v>127</v>
      </c>
      <c r="I29" s="1">
        <f t="shared" si="2"/>
        <v>17</v>
      </c>
      <c r="J29" s="1">
        <f>VLOOKUP(B29,Cena!$A$2:$B$101,2)</f>
        <v>84</v>
      </c>
      <c r="K29" s="1">
        <f t="shared" si="3"/>
        <v>1428</v>
      </c>
      <c r="L29" s="1">
        <f t="shared" si="4"/>
        <v>328.44</v>
      </c>
      <c r="M29" s="22">
        <f t="shared" si="5"/>
        <v>1756.44</v>
      </c>
      <c r="N29" s="1">
        <f t="shared" ca="1" si="6"/>
        <v>11</v>
      </c>
      <c r="P29" s="1">
        <v>17.933399602770805</v>
      </c>
      <c r="Q29" s="1">
        <f t="shared" ca="1" si="7"/>
        <v>20</v>
      </c>
      <c r="R29" s="1">
        <v>11.469305743739824</v>
      </c>
    </row>
    <row r="30" spans="1:18" x14ac:dyDescent="0.3">
      <c r="A30" s="26">
        <v>29</v>
      </c>
      <c r="B30" s="1">
        <v>27</v>
      </c>
      <c r="C30" s="1">
        <f t="shared" si="1"/>
        <v>13</v>
      </c>
      <c r="D30" s="21">
        <f t="shared" ca="1" si="0"/>
        <v>44664</v>
      </c>
      <c r="E30" s="1" t="s">
        <v>26</v>
      </c>
      <c r="F30" s="1" t="s">
        <v>58</v>
      </c>
      <c r="G30" s="1" t="s">
        <v>28</v>
      </c>
      <c r="H30" s="1">
        <v>128</v>
      </c>
      <c r="I30" s="1">
        <f t="shared" si="2"/>
        <v>35</v>
      </c>
      <c r="J30" s="1">
        <f>VLOOKUP(B30,Cena!$A$2:$B$101,2)</f>
        <v>87</v>
      </c>
      <c r="K30" s="1">
        <f t="shared" si="3"/>
        <v>3045</v>
      </c>
      <c r="L30" s="1">
        <f t="shared" si="4"/>
        <v>700.35</v>
      </c>
      <c r="M30" s="22">
        <f t="shared" si="5"/>
        <v>3745.35</v>
      </c>
      <c r="N30" s="1">
        <f t="shared" ca="1" si="6"/>
        <v>4</v>
      </c>
      <c r="P30" s="1">
        <v>35.991507855942473</v>
      </c>
      <c r="Q30" s="1">
        <f t="shared" ca="1" si="7"/>
        <v>11</v>
      </c>
      <c r="R30" s="1">
        <v>13.4330582820985</v>
      </c>
    </row>
    <row r="31" spans="1:18" x14ac:dyDescent="0.3">
      <c r="A31" s="26">
        <v>30</v>
      </c>
      <c r="B31" s="1">
        <v>12</v>
      </c>
      <c r="C31" s="1">
        <f t="shared" si="1"/>
        <v>8</v>
      </c>
      <c r="D31" s="21">
        <f t="shared" ca="1" si="0"/>
        <v>44784</v>
      </c>
      <c r="E31" s="1" t="s">
        <v>26</v>
      </c>
      <c r="F31" s="1" t="s">
        <v>59</v>
      </c>
      <c r="G31" s="1" t="s">
        <v>28</v>
      </c>
      <c r="H31" s="1">
        <v>129</v>
      </c>
      <c r="I31" s="1">
        <f t="shared" si="2"/>
        <v>55</v>
      </c>
      <c r="J31" s="1">
        <f>VLOOKUP(B31,Cena!$A$2:$B$101,2)</f>
        <v>88</v>
      </c>
      <c r="K31" s="1">
        <f t="shared" ref="K31:K94" si="8">I31*J31</f>
        <v>4840</v>
      </c>
      <c r="L31" s="1">
        <f t="shared" si="4"/>
        <v>1113.2</v>
      </c>
      <c r="M31" s="22">
        <f t="shared" ref="M31:M94" si="9">K31+L31</f>
        <v>5953.2</v>
      </c>
      <c r="N31" s="1">
        <f t="shared" ca="1" si="6"/>
        <v>8</v>
      </c>
      <c r="P31" s="1">
        <v>55.270442215987714</v>
      </c>
      <c r="Q31" s="1">
        <f t="shared" ca="1" si="7"/>
        <v>1</v>
      </c>
      <c r="R31" s="1">
        <v>8.1600581122620497</v>
      </c>
    </row>
    <row r="32" spans="1:18" x14ac:dyDescent="0.3">
      <c r="A32" s="26">
        <v>31</v>
      </c>
      <c r="B32" s="1">
        <v>27</v>
      </c>
      <c r="C32" s="1">
        <f t="shared" si="1"/>
        <v>10</v>
      </c>
      <c r="D32" s="21">
        <f t="shared" ca="1" si="0"/>
        <v>44655</v>
      </c>
      <c r="E32" s="1" t="s">
        <v>26</v>
      </c>
      <c r="F32" s="1" t="s">
        <v>60</v>
      </c>
      <c r="G32" s="1" t="s">
        <v>28</v>
      </c>
      <c r="H32" s="1">
        <v>130</v>
      </c>
      <c r="I32" s="1">
        <f t="shared" si="2"/>
        <v>44</v>
      </c>
      <c r="J32" s="1">
        <f>VLOOKUP(B32,Cena!$A$2:$B$101,2)</f>
        <v>87</v>
      </c>
      <c r="K32" s="1">
        <f t="shared" si="8"/>
        <v>3828</v>
      </c>
      <c r="L32" s="1">
        <f t="shared" si="4"/>
        <v>880.44</v>
      </c>
      <c r="M32" s="22">
        <f t="shared" si="9"/>
        <v>4708.4400000000005</v>
      </c>
      <c r="N32" s="1">
        <f t="shared" ca="1" si="6"/>
        <v>4</v>
      </c>
      <c r="P32" s="1">
        <v>44.647635048750089</v>
      </c>
      <c r="Q32" s="1">
        <f t="shared" ca="1" si="7"/>
        <v>4</v>
      </c>
      <c r="R32" s="1">
        <v>10.186733473128697</v>
      </c>
    </row>
    <row r="33" spans="1:18" x14ac:dyDescent="0.3">
      <c r="A33" s="26">
        <v>32</v>
      </c>
      <c r="B33" s="1">
        <v>9</v>
      </c>
      <c r="C33" s="1">
        <f t="shared" si="1"/>
        <v>10</v>
      </c>
      <c r="D33" s="21">
        <f t="shared" ca="1" si="0"/>
        <v>44860</v>
      </c>
      <c r="E33" s="1" t="s">
        <v>26</v>
      </c>
      <c r="F33" s="1" t="s">
        <v>61</v>
      </c>
      <c r="G33" s="1" t="s">
        <v>28</v>
      </c>
      <c r="H33" s="1">
        <v>131</v>
      </c>
      <c r="I33" s="1">
        <f t="shared" si="2"/>
        <v>50</v>
      </c>
      <c r="J33" s="1">
        <f>VLOOKUP(B33,Cena!$A$2:$B$101,2)</f>
        <v>96</v>
      </c>
      <c r="K33" s="1">
        <f t="shared" si="8"/>
        <v>4800</v>
      </c>
      <c r="L33" s="1">
        <f t="shared" si="4"/>
        <v>1104</v>
      </c>
      <c r="M33" s="22">
        <f t="shared" si="9"/>
        <v>5904</v>
      </c>
      <c r="N33" s="1">
        <f t="shared" ca="1" si="6"/>
        <v>10</v>
      </c>
      <c r="P33" s="1">
        <v>50.800650923338253</v>
      </c>
      <c r="Q33" s="1">
        <f t="shared" ca="1" si="7"/>
        <v>27</v>
      </c>
      <c r="R33" s="1">
        <v>10.56601265896461</v>
      </c>
    </row>
    <row r="34" spans="1:18" x14ac:dyDescent="0.3">
      <c r="A34" s="26">
        <v>33</v>
      </c>
      <c r="B34" s="1">
        <v>17</v>
      </c>
      <c r="C34" s="1">
        <f t="shared" si="1"/>
        <v>14</v>
      </c>
      <c r="D34" s="21">
        <f t="shared" ca="1" si="0"/>
        <v>44685</v>
      </c>
      <c r="E34" s="1" t="s">
        <v>26</v>
      </c>
      <c r="F34" s="1" t="s">
        <v>62</v>
      </c>
      <c r="G34" s="1" t="s">
        <v>28</v>
      </c>
      <c r="H34" s="1">
        <v>132</v>
      </c>
      <c r="I34" s="1">
        <f t="shared" si="2"/>
        <v>36</v>
      </c>
      <c r="J34" s="1">
        <f>VLOOKUP(B34,Cena!$A$2:$B$101,2)</f>
        <v>84</v>
      </c>
      <c r="K34" s="1">
        <f t="shared" si="8"/>
        <v>3024</v>
      </c>
      <c r="L34" s="1">
        <f t="shared" si="4"/>
        <v>695.52</v>
      </c>
      <c r="M34" s="22">
        <f t="shared" si="9"/>
        <v>3719.52</v>
      </c>
      <c r="N34" s="1">
        <f t="shared" ca="1" si="6"/>
        <v>5</v>
      </c>
      <c r="P34" s="1">
        <v>36.566035659052432</v>
      </c>
      <c r="Q34" s="1">
        <f t="shared" ca="1" si="7"/>
        <v>12</v>
      </c>
      <c r="R34" s="1">
        <v>14.279729637346463</v>
      </c>
    </row>
    <row r="35" spans="1:18" x14ac:dyDescent="0.3">
      <c r="A35" s="26">
        <v>34</v>
      </c>
      <c r="B35" s="1">
        <v>6</v>
      </c>
      <c r="C35" s="1">
        <f t="shared" si="1"/>
        <v>9</v>
      </c>
      <c r="D35" s="21">
        <f t="shared" ca="1" si="0"/>
        <v>44715</v>
      </c>
      <c r="E35" s="1" t="s">
        <v>26</v>
      </c>
      <c r="F35" s="1" t="s">
        <v>63</v>
      </c>
      <c r="G35" s="1" t="s">
        <v>28</v>
      </c>
      <c r="H35" s="1">
        <v>133</v>
      </c>
      <c r="I35" s="1">
        <f t="shared" si="2"/>
        <v>38</v>
      </c>
      <c r="J35" s="1">
        <f>VLOOKUP(B35,Cena!$A$2:$B$101,2)</f>
        <v>86</v>
      </c>
      <c r="K35" s="1">
        <f t="shared" si="8"/>
        <v>3268</v>
      </c>
      <c r="L35" s="1">
        <f t="shared" si="4"/>
        <v>751.64</v>
      </c>
      <c r="M35" s="22">
        <f t="shared" si="9"/>
        <v>4019.64</v>
      </c>
      <c r="N35" s="1">
        <f t="shared" ca="1" si="6"/>
        <v>6</v>
      </c>
      <c r="P35" s="1">
        <v>38.907961778750177</v>
      </c>
      <c r="Q35" s="1">
        <f t="shared" ca="1" si="7"/>
        <v>30</v>
      </c>
      <c r="R35" s="1">
        <v>9.8121154476393713</v>
      </c>
    </row>
    <row r="36" spans="1:18" x14ac:dyDescent="0.3">
      <c r="A36" s="26">
        <v>35</v>
      </c>
      <c r="B36" s="1">
        <v>23</v>
      </c>
      <c r="C36" s="1">
        <f t="shared" si="1"/>
        <v>12</v>
      </c>
      <c r="D36" s="21">
        <f t="shared" ca="1" si="0"/>
        <v>44636</v>
      </c>
      <c r="E36" s="1" t="s">
        <v>26</v>
      </c>
      <c r="F36" s="1" t="s">
        <v>64</v>
      </c>
      <c r="G36" s="1" t="s">
        <v>28</v>
      </c>
      <c r="H36" s="1">
        <v>134</v>
      </c>
      <c r="I36" s="1">
        <f t="shared" si="2"/>
        <v>59</v>
      </c>
      <c r="J36" s="1">
        <f>VLOOKUP(B36,Cena!$A$2:$B$101,2)</f>
        <v>132</v>
      </c>
      <c r="K36" s="1">
        <f t="shared" si="8"/>
        <v>7788</v>
      </c>
      <c r="L36" s="1">
        <f t="shared" si="4"/>
        <v>1791.24</v>
      </c>
      <c r="M36" s="22">
        <f t="shared" si="9"/>
        <v>9579.24</v>
      </c>
      <c r="N36" s="1">
        <f t="shared" ca="1" si="6"/>
        <v>3</v>
      </c>
      <c r="P36" s="1">
        <v>59.015025170810986</v>
      </c>
      <c r="Q36" s="1">
        <f t="shared" ca="1" si="7"/>
        <v>28</v>
      </c>
      <c r="R36" s="1">
        <v>12.344245331187267</v>
      </c>
    </row>
    <row r="37" spans="1:18" x14ac:dyDescent="0.3">
      <c r="A37" s="26">
        <v>36</v>
      </c>
      <c r="B37" s="1">
        <v>13</v>
      </c>
      <c r="C37" s="1">
        <f t="shared" si="1"/>
        <v>9</v>
      </c>
      <c r="D37" s="21">
        <f t="shared" ca="1" si="0"/>
        <v>44601</v>
      </c>
      <c r="E37" s="1" t="s">
        <v>26</v>
      </c>
      <c r="F37" s="1" t="s">
        <v>65</v>
      </c>
      <c r="G37" s="1" t="s">
        <v>28</v>
      </c>
      <c r="H37" s="1">
        <v>135</v>
      </c>
      <c r="I37" s="1">
        <f t="shared" si="2"/>
        <v>64</v>
      </c>
      <c r="J37" s="1">
        <f>VLOOKUP(B37,Cena!$A$2:$B$101,2)</f>
        <v>94</v>
      </c>
      <c r="K37" s="1">
        <f t="shared" si="8"/>
        <v>6016</v>
      </c>
      <c r="L37" s="1">
        <f t="shared" si="4"/>
        <v>1383.68</v>
      </c>
      <c r="M37" s="22">
        <f t="shared" si="9"/>
        <v>7399.68</v>
      </c>
      <c r="N37" s="1">
        <f t="shared" ca="1" si="6"/>
        <v>2</v>
      </c>
      <c r="P37" s="1">
        <v>64.379202184500173</v>
      </c>
      <c r="Q37" s="1">
        <f t="shared" ca="1" si="7"/>
        <v>5</v>
      </c>
      <c r="R37" s="1">
        <v>9.0405171956808772</v>
      </c>
    </row>
    <row r="38" spans="1:18" x14ac:dyDescent="0.3">
      <c r="A38" s="26">
        <v>37</v>
      </c>
      <c r="B38" s="1">
        <v>12</v>
      </c>
      <c r="C38" s="1">
        <f t="shared" si="1"/>
        <v>11</v>
      </c>
      <c r="D38" s="21">
        <f t="shared" ca="1" si="0"/>
        <v>44597</v>
      </c>
      <c r="E38" s="1" t="s">
        <v>26</v>
      </c>
      <c r="F38" s="1" t="s">
        <v>66</v>
      </c>
      <c r="G38" s="1" t="s">
        <v>28</v>
      </c>
      <c r="H38" s="1">
        <v>136</v>
      </c>
      <c r="I38" s="1">
        <f t="shared" si="2"/>
        <v>59</v>
      </c>
      <c r="J38" s="1">
        <f>VLOOKUP(B38,Cena!$A$2:$B$101,2)</f>
        <v>88</v>
      </c>
      <c r="K38" s="1">
        <f t="shared" si="8"/>
        <v>5192</v>
      </c>
      <c r="L38" s="1">
        <f t="shared" si="4"/>
        <v>1194.1600000000001</v>
      </c>
      <c r="M38" s="22">
        <f t="shared" si="9"/>
        <v>6386.16</v>
      </c>
      <c r="N38" s="1">
        <f t="shared" ca="1" si="6"/>
        <v>2</v>
      </c>
      <c r="P38" s="1">
        <v>59.428163139091339</v>
      </c>
      <c r="Q38" s="1">
        <f t="shared" ca="1" si="7"/>
        <v>19</v>
      </c>
      <c r="R38" s="1">
        <v>11.016346118376532</v>
      </c>
    </row>
    <row r="39" spans="1:18" x14ac:dyDescent="0.3">
      <c r="A39" s="26">
        <v>38</v>
      </c>
      <c r="B39" s="1">
        <v>10</v>
      </c>
      <c r="C39" s="1">
        <f t="shared" si="1"/>
        <v>10</v>
      </c>
      <c r="D39" s="21">
        <f t="shared" ca="1" si="0"/>
        <v>44562</v>
      </c>
      <c r="E39" s="1" t="s">
        <v>26</v>
      </c>
      <c r="F39" s="1" t="s">
        <v>67</v>
      </c>
      <c r="G39" s="1" t="s">
        <v>28</v>
      </c>
      <c r="H39" s="1">
        <v>137</v>
      </c>
      <c r="I39" s="1">
        <f t="shared" si="2"/>
        <v>60</v>
      </c>
      <c r="J39" s="1">
        <f>VLOOKUP(B39,Cena!$A$2:$B$101,2)</f>
        <v>109</v>
      </c>
      <c r="K39" s="1">
        <f t="shared" si="8"/>
        <v>6540</v>
      </c>
      <c r="L39" s="1">
        <f t="shared" si="4"/>
        <v>1504.2</v>
      </c>
      <c r="M39" s="22">
        <f t="shared" si="9"/>
        <v>8044.2</v>
      </c>
      <c r="N39" s="1">
        <f t="shared" ca="1" si="6"/>
        <v>1</v>
      </c>
      <c r="P39" s="1">
        <v>60.233088687527925</v>
      </c>
      <c r="Q39" s="1">
        <f t="shared" ca="1" si="7"/>
        <v>2</v>
      </c>
      <c r="R39" s="1">
        <v>10.75058039783471</v>
      </c>
    </row>
    <row r="40" spans="1:18" x14ac:dyDescent="0.3">
      <c r="A40" s="26">
        <v>39</v>
      </c>
      <c r="B40" s="1">
        <v>15</v>
      </c>
      <c r="C40" s="1">
        <f t="shared" si="1"/>
        <v>4</v>
      </c>
      <c r="D40" s="21">
        <f t="shared" ca="1" si="0"/>
        <v>44586</v>
      </c>
      <c r="E40" s="1" t="s">
        <v>26</v>
      </c>
      <c r="F40" s="1" t="s">
        <v>68</v>
      </c>
      <c r="G40" s="1" t="s">
        <v>28</v>
      </c>
      <c r="H40" s="1">
        <v>138</v>
      </c>
      <c r="I40" s="1">
        <f t="shared" si="2"/>
        <v>61</v>
      </c>
      <c r="J40" s="1">
        <f>VLOOKUP(B40,Cena!$A$2:$B$101,2)</f>
        <v>85</v>
      </c>
      <c r="K40" s="1">
        <f t="shared" si="8"/>
        <v>5185</v>
      </c>
      <c r="L40" s="1">
        <f t="shared" si="4"/>
        <v>1192.55</v>
      </c>
      <c r="M40" s="22">
        <f t="shared" si="9"/>
        <v>6377.55</v>
      </c>
      <c r="N40" s="1">
        <f t="shared" ca="1" si="6"/>
        <v>1</v>
      </c>
      <c r="P40" s="1">
        <v>61.649831321847159</v>
      </c>
      <c r="Q40" s="1">
        <f t="shared" ca="1" si="7"/>
        <v>19</v>
      </c>
      <c r="R40" s="1">
        <v>4.2938302410766482</v>
      </c>
    </row>
    <row r="41" spans="1:18" x14ac:dyDescent="0.3">
      <c r="A41" s="26">
        <v>40</v>
      </c>
      <c r="B41" s="1">
        <v>19</v>
      </c>
      <c r="C41" s="1">
        <f t="shared" si="1"/>
        <v>11</v>
      </c>
      <c r="D41" s="21">
        <f t="shared" ca="1" si="0"/>
        <v>44572</v>
      </c>
      <c r="E41" s="1" t="s">
        <v>26</v>
      </c>
      <c r="F41" s="1" t="s">
        <v>69</v>
      </c>
      <c r="G41" s="1" t="s">
        <v>28</v>
      </c>
      <c r="H41" s="1">
        <v>139</v>
      </c>
      <c r="I41" s="1">
        <f t="shared" si="2"/>
        <v>41</v>
      </c>
      <c r="J41" s="1">
        <f>VLOOKUP(B41,Cena!$A$2:$B$101,2)</f>
        <v>84</v>
      </c>
      <c r="K41" s="1">
        <f t="shared" si="8"/>
        <v>3444</v>
      </c>
      <c r="L41" s="1">
        <f t="shared" si="4"/>
        <v>792.12</v>
      </c>
      <c r="M41" s="22">
        <f t="shared" si="9"/>
        <v>4236.12</v>
      </c>
      <c r="N41" s="1">
        <f t="shared" ca="1" si="6"/>
        <v>1</v>
      </c>
      <c r="P41" s="1">
        <v>41.594245329906698</v>
      </c>
      <c r="Q41" s="1">
        <f t="shared" ca="1" si="7"/>
        <v>25</v>
      </c>
      <c r="R41" s="1">
        <v>11.701079099802882</v>
      </c>
    </row>
    <row r="42" spans="1:18" x14ac:dyDescent="0.3">
      <c r="A42" s="26">
        <v>41</v>
      </c>
      <c r="B42" s="1">
        <v>12</v>
      </c>
      <c r="C42" s="1">
        <f t="shared" si="1"/>
        <v>5</v>
      </c>
      <c r="D42" s="21">
        <f t="shared" ca="1" si="0"/>
        <v>44599</v>
      </c>
      <c r="E42" s="1" t="s">
        <v>26</v>
      </c>
      <c r="F42" s="1" t="s">
        <v>70</v>
      </c>
      <c r="G42" s="1" t="s">
        <v>28</v>
      </c>
      <c r="H42" s="1">
        <v>140</v>
      </c>
      <c r="I42" s="1">
        <f t="shared" si="2"/>
        <v>48</v>
      </c>
      <c r="J42" s="1">
        <f>VLOOKUP(B42,Cena!$A$2:$B$101,2)</f>
        <v>88</v>
      </c>
      <c r="K42" s="1">
        <f t="shared" si="8"/>
        <v>4224</v>
      </c>
      <c r="L42" s="1">
        <f t="shared" si="4"/>
        <v>971.5200000000001</v>
      </c>
      <c r="M42" s="22">
        <f t="shared" si="9"/>
        <v>5195.5200000000004</v>
      </c>
      <c r="N42" s="1">
        <f t="shared" ca="1" si="6"/>
        <v>2</v>
      </c>
      <c r="P42" s="1">
        <v>48.125963429629337</v>
      </c>
      <c r="Q42" s="1">
        <f t="shared" ca="1" si="7"/>
        <v>19</v>
      </c>
      <c r="R42" s="1">
        <v>5.7285353957558982</v>
      </c>
    </row>
    <row r="43" spans="1:18" x14ac:dyDescent="0.3">
      <c r="A43" s="26">
        <v>42</v>
      </c>
      <c r="B43" s="1">
        <v>10</v>
      </c>
      <c r="C43" s="1">
        <f t="shared" si="1"/>
        <v>8</v>
      </c>
      <c r="D43" s="21">
        <f t="shared" ca="1" si="0"/>
        <v>44759</v>
      </c>
      <c r="E43" s="1" t="s">
        <v>26</v>
      </c>
      <c r="F43" s="1" t="s">
        <v>71</v>
      </c>
      <c r="G43" s="1" t="s">
        <v>28</v>
      </c>
      <c r="H43" s="1">
        <v>141</v>
      </c>
      <c r="I43" s="1">
        <f t="shared" si="2"/>
        <v>46</v>
      </c>
      <c r="J43" s="1">
        <f>VLOOKUP(B43,Cena!$A$2:$B$101,2)</f>
        <v>109</v>
      </c>
      <c r="K43" s="1">
        <f t="shared" si="8"/>
        <v>5014</v>
      </c>
      <c r="L43" s="1">
        <f t="shared" si="4"/>
        <v>1153.22</v>
      </c>
      <c r="M43" s="22">
        <f t="shared" si="9"/>
        <v>6167.22</v>
      </c>
      <c r="N43" s="1">
        <f t="shared" ca="1" si="6"/>
        <v>7</v>
      </c>
      <c r="P43" s="1">
        <v>46.297594861971447</v>
      </c>
      <c r="Q43" s="1">
        <f t="shared" ca="1" si="7"/>
        <v>28</v>
      </c>
      <c r="R43" s="1">
        <v>8.7036574111698428</v>
      </c>
    </row>
    <row r="44" spans="1:18" x14ac:dyDescent="0.3">
      <c r="A44" s="26">
        <v>43</v>
      </c>
      <c r="B44" s="1">
        <v>19</v>
      </c>
      <c r="C44" s="1">
        <f t="shared" si="1"/>
        <v>10</v>
      </c>
      <c r="D44" s="21">
        <f t="shared" ca="1" si="0"/>
        <v>44593</v>
      </c>
      <c r="E44" s="1" t="s">
        <v>26</v>
      </c>
      <c r="F44" s="1" t="s">
        <v>72</v>
      </c>
      <c r="G44" s="1" t="s">
        <v>28</v>
      </c>
      <c r="H44" s="1">
        <v>142</v>
      </c>
      <c r="I44" s="1">
        <f t="shared" si="2"/>
        <v>55</v>
      </c>
      <c r="J44" s="1">
        <f>VLOOKUP(B44,Cena!$A$2:$B$101,2)</f>
        <v>84</v>
      </c>
      <c r="K44" s="1">
        <f t="shared" si="8"/>
        <v>4620</v>
      </c>
      <c r="L44" s="1">
        <f t="shared" si="4"/>
        <v>1062.6000000000001</v>
      </c>
      <c r="M44" s="22">
        <f t="shared" si="9"/>
        <v>5682.6</v>
      </c>
      <c r="N44" s="1">
        <f t="shared" ca="1" si="6"/>
        <v>2</v>
      </c>
      <c r="P44" s="1">
        <v>55.198501185077475</v>
      </c>
      <c r="Q44" s="1">
        <f t="shared" ca="1" si="7"/>
        <v>21</v>
      </c>
      <c r="R44" s="1">
        <v>10.628787688583543</v>
      </c>
    </row>
    <row r="45" spans="1:18" x14ac:dyDescent="0.3">
      <c r="A45" s="26">
        <v>44</v>
      </c>
      <c r="B45" s="1">
        <v>6</v>
      </c>
      <c r="C45" s="1">
        <f t="shared" si="1"/>
        <v>10</v>
      </c>
      <c r="D45" s="21">
        <f t="shared" ca="1" si="0"/>
        <v>44754</v>
      </c>
      <c r="E45" s="1" t="s">
        <v>26</v>
      </c>
      <c r="F45" s="1" t="s">
        <v>73</v>
      </c>
      <c r="G45" s="1" t="s">
        <v>28</v>
      </c>
      <c r="H45" s="1">
        <v>143</v>
      </c>
      <c r="I45" s="1">
        <f t="shared" si="2"/>
        <v>64</v>
      </c>
      <c r="J45" s="1">
        <f>VLOOKUP(B45,Cena!$A$2:$B$101,2)</f>
        <v>86</v>
      </c>
      <c r="K45" s="1">
        <f t="shared" si="8"/>
        <v>5504</v>
      </c>
      <c r="L45" s="1">
        <f t="shared" si="4"/>
        <v>1265.92</v>
      </c>
      <c r="M45" s="22">
        <f t="shared" si="9"/>
        <v>6769.92</v>
      </c>
      <c r="N45" s="1">
        <f t="shared" ca="1" si="6"/>
        <v>7</v>
      </c>
      <c r="P45" s="1">
        <v>64.06583578500431</v>
      </c>
      <c r="Q45" s="1">
        <f t="shared" ca="1" si="7"/>
        <v>7</v>
      </c>
      <c r="R45" s="1">
        <v>10.434488356404472</v>
      </c>
    </row>
    <row r="46" spans="1:18" x14ac:dyDescent="0.3">
      <c r="A46" s="26">
        <v>45</v>
      </c>
      <c r="B46" s="1">
        <v>1</v>
      </c>
      <c r="C46" s="1">
        <f t="shared" si="1"/>
        <v>8</v>
      </c>
      <c r="D46" s="21">
        <f t="shared" ca="1" si="0"/>
        <v>44729</v>
      </c>
      <c r="E46" s="1" t="s">
        <v>26</v>
      </c>
      <c r="F46" s="1" t="s">
        <v>74</v>
      </c>
      <c r="G46" s="1" t="s">
        <v>28</v>
      </c>
      <c r="H46" s="1">
        <v>144</v>
      </c>
      <c r="I46" s="1">
        <f t="shared" si="2"/>
        <v>34</v>
      </c>
      <c r="J46" s="1">
        <f>VLOOKUP(B46,Cena!$A$2:$B$101,2)</f>
        <v>84</v>
      </c>
      <c r="K46" s="1">
        <f t="shared" si="8"/>
        <v>2856</v>
      </c>
      <c r="L46" s="1">
        <f t="shared" si="4"/>
        <v>656.88</v>
      </c>
      <c r="M46" s="22">
        <f t="shared" si="9"/>
        <v>3512.88</v>
      </c>
      <c r="N46" s="1">
        <f t="shared" ca="1" si="6"/>
        <v>6</v>
      </c>
      <c r="P46" s="1">
        <v>34.470105118816718</v>
      </c>
      <c r="Q46" s="1">
        <f t="shared" ca="1" si="7"/>
        <v>26</v>
      </c>
      <c r="R46" s="1">
        <v>8.9880137718500919</v>
      </c>
    </row>
    <row r="47" spans="1:18" x14ac:dyDescent="0.3">
      <c r="A47" s="26">
        <v>46</v>
      </c>
      <c r="B47" s="1">
        <v>2</v>
      </c>
      <c r="C47" s="1">
        <f t="shared" si="1"/>
        <v>11</v>
      </c>
      <c r="D47" s="21">
        <f t="shared" ca="1" si="0"/>
        <v>44783</v>
      </c>
      <c r="E47" s="1" t="s">
        <v>26</v>
      </c>
      <c r="F47" s="1" t="s">
        <v>75</v>
      </c>
      <c r="G47" s="1" t="s">
        <v>28</v>
      </c>
      <c r="H47" s="1">
        <v>145</v>
      </c>
      <c r="I47" s="1">
        <f t="shared" si="2"/>
        <v>34</v>
      </c>
      <c r="J47" s="1">
        <f>VLOOKUP(B47,Cena!$A$2:$B$101,2)</f>
        <v>121</v>
      </c>
      <c r="K47" s="1">
        <f t="shared" si="8"/>
        <v>4114</v>
      </c>
      <c r="L47" s="1">
        <f t="shared" si="4"/>
        <v>946.22</v>
      </c>
      <c r="M47" s="22">
        <f t="shared" si="9"/>
        <v>5060.22</v>
      </c>
      <c r="N47" s="1">
        <f t="shared" ca="1" si="6"/>
        <v>8</v>
      </c>
      <c r="P47" s="1">
        <v>34.05583028215915</v>
      </c>
      <c r="Q47" s="1">
        <f t="shared" ca="1" si="7"/>
        <v>12</v>
      </c>
      <c r="R47" s="1">
        <v>11.10992743884708</v>
      </c>
    </row>
    <row r="48" spans="1:18" x14ac:dyDescent="0.3">
      <c r="A48" s="26">
        <v>47</v>
      </c>
      <c r="B48" s="1">
        <v>17</v>
      </c>
      <c r="C48" s="1">
        <f t="shared" si="1"/>
        <v>7</v>
      </c>
      <c r="D48" s="21">
        <f t="shared" ca="1" si="0"/>
        <v>44844</v>
      </c>
      <c r="E48" s="1" t="s">
        <v>26</v>
      </c>
      <c r="F48" s="1" t="s">
        <v>76</v>
      </c>
      <c r="G48" s="1" t="s">
        <v>28</v>
      </c>
      <c r="H48" s="1">
        <v>146</v>
      </c>
      <c r="I48" s="1">
        <f t="shared" si="2"/>
        <v>59</v>
      </c>
      <c r="J48" s="1">
        <f>VLOOKUP(B48,Cena!$A$2:$B$101,2)</f>
        <v>84</v>
      </c>
      <c r="K48" s="1">
        <f t="shared" si="8"/>
        <v>4956</v>
      </c>
      <c r="L48" s="1">
        <f t="shared" si="4"/>
        <v>1139.8800000000001</v>
      </c>
      <c r="M48" s="22">
        <f t="shared" si="9"/>
        <v>6095.88</v>
      </c>
      <c r="N48" s="1">
        <f t="shared" ca="1" si="6"/>
        <v>10</v>
      </c>
      <c r="P48" s="1">
        <v>59.514428711554501</v>
      </c>
      <c r="Q48" s="1">
        <f t="shared" ca="1" si="7"/>
        <v>3</v>
      </c>
      <c r="R48" s="1">
        <v>7.2853174767806195</v>
      </c>
    </row>
    <row r="49" spans="1:18" x14ac:dyDescent="0.3">
      <c r="A49" s="26">
        <v>48</v>
      </c>
      <c r="B49" s="1">
        <v>11</v>
      </c>
      <c r="C49" s="1">
        <f t="shared" si="1"/>
        <v>11</v>
      </c>
      <c r="D49" s="21">
        <f t="shared" ca="1" si="0"/>
        <v>44815</v>
      </c>
      <c r="E49" s="1" t="s">
        <v>26</v>
      </c>
      <c r="F49" s="1" t="s">
        <v>77</v>
      </c>
      <c r="G49" s="1" t="s">
        <v>28</v>
      </c>
      <c r="H49" s="1">
        <v>147</v>
      </c>
      <c r="I49" s="1">
        <f t="shared" si="2"/>
        <v>55</v>
      </c>
      <c r="J49" s="1">
        <f>VLOOKUP(B49,Cena!$A$2:$B$101,2)</f>
        <v>83</v>
      </c>
      <c r="K49" s="1">
        <f t="shared" si="8"/>
        <v>4565</v>
      </c>
      <c r="L49" s="1">
        <f t="shared" si="4"/>
        <v>1049.95</v>
      </c>
      <c r="M49" s="22">
        <f t="shared" si="9"/>
        <v>5614.95</v>
      </c>
      <c r="N49" s="1">
        <f t="shared" ca="1" si="6"/>
        <v>9</v>
      </c>
      <c r="P49" s="1">
        <v>55.627191512758145</v>
      </c>
      <c r="Q49" s="1">
        <f t="shared" ca="1" si="7"/>
        <v>20</v>
      </c>
      <c r="R49" s="1">
        <v>11.069969357558875</v>
      </c>
    </row>
    <row r="50" spans="1:18" x14ac:dyDescent="0.3">
      <c r="A50" s="26">
        <v>49</v>
      </c>
      <c r="B50" s="1">
        <v>15</v>
      </c>
      <c r="C50" s="1">
        <f t="shared" si="1"/>
        <v>13</v>
      </c>
      <c r="D50" s="21">
        <f t="shared" ca="1" si="0"/>
        <v>44674</v>
      </c>
      <c r="E50" s="1" t="s">
        <v>26</v>
      </c>
      <c r="F50" s="1" t="s">
        <v>78</v>
      </c>
      <c r="G50" s="1" t="s">
        <v>28</v>
      </c>
      <c r="H50" s="1">
        <v>148</v>
      </c>
      <c r="I50" s="1">
        <f t="shared" si="2"/>
        <v>49</v>
      </c>
      <c r="J50" s="1">
        <f>VLOOKUP(B50,Cena!$A$2:$B$101,2)</f>
        <v>85</v>
      </c>
      <c r="K50" s="1">
        <f t="shared" si="8"/>
        <v>4165</v>
      </c>
      <c r="L50" s="1">
        <f t="shared" si="4"/>
        <v>957.95</v>
      </c>
      <c r="M50" s="22">
        <f t="shared" si="9"/>
        <v>5122.95</v>
      </c>
      <c r="N50" s="1">
        <f t="shared" ca="1" si="6"/>
        <v>4</v>
      </c>
      <c r="P50" s="1">
        <v>49.838962594367331</v>
      </c>
      <c r="Q50" s="1">
        <f t="shared" ca="1" si="7"/>
        <v>15</v>
      </c>
      <c r="R50" s="1">
        <v>13.744162313523702</v>
      </c>
    </row>
    <row r="51" spans="1:18" x14ac:dyDescent="0.3">
      <c r="A51" s="26">
        <v>50</v>
      </c>
      <c r="B51" s="1">
        <v>27</v>
      </c>
      <c r="C51" s="1">
        <f t="shared" si="1"/>
        <v>7</v>
      </c>
      <c r="D51" s="21">
        <f t="shared" ca="1" si="0"/>
        <v>44776</v>
      </c>
      <c r="E51" s="1" t="s">
        <v>26</v>
      </c>
      <c r="F51" s="1" t="s">
        <v>79</v>
      </c>
      <c r="G51" s="1" t="s">
        <v>28</v>
      </c>
      <c r="H51" s="1">
        <v>149</v>
      </c>
      <c r="I51" s="1">
        <f t="shared" si="2"/>
        <v>41</v>
      </c>
      <c r="J51" s="1">
        <f>VLOOKUP(B51,Cena!$A$2:$B$101,2)</f>
        <v>87</v>
      </c>
      <c r="K51" s="1">
        <f t="shared" si="8"/>
        <v>3567</v>
      </c>
      <c r="L51" s="1">
        <f t="shared" si="4"/>
        <v>820.41000000000008</v>
      </c>
      <c r="M51" s="22">
        <f t="shared" si="9"/>
        <v>4387.41</v>
      </c>
      <c r="N51" s="1">
        <f t="shared" ca="1" si="6"/>
        <v>8</v>
      </c>
      <c r="P51" s="1">
        <v>41.980121194501407</v>
      </c>
      <c r="Q51" s="1">
        <f t="shared" ca="1" si="7"/>
        <v>19</v>
      </c>
      <c r="R51" s="1">
        <v>7.7557024521956919</v>
      </c>
    </row>
    <row r="52" spans="1:18" x14ac:dyDescent="0.3">
      <c r="A52" s="26">
        <v>51</v>
      </c>
      <c r="B52" s="1">
        <v>2</v>
      </c>
      <c r="C52" s="1">
        <f t="shared" si="1"/>
        <v>15</v>
      </c>
      <c r="D52" s="21">
        <f t="shared" ca="1" si="0"/>
        <v>44614</v>
      </c>
      <c r="E52" s="1" t="s">
        <v>26</v>
      </c>
      <c r="F52" s="1" t="s">
        <v>80</v>
      </c>
      <c r="G52" s="1" t="s">
        <v>28</v>
      </c>
      <c r="H52" s="1">
        <v>150</v>
      </c>
      <c r="I52" s="1">
        <f t="shared" si="2"/>
        <v>45</v>
      </c>
      <c r="J52" s="1">
        <f>VLOOKUP(B52,Cena!$A$2:$B$101,2)</f>
        <v>121</v>
      </c>
      <c r="K52" s="1">
        <f t="shared" si="8"/>
        <v>5445</v>
      </c>
      <c r="L52" s="1">
        <f t="shared" si="4"/>
        <v>1252.3500000000001</v>
      </c>
      <c r="M52" s="22">
        <f t="shared" si="9"/>
        <v>6697.35</v>
      </c>
      <c r="N52" s="1">
        <f t="shared" ca="1" si="6"/>
        <v>2</v>
      </c>
      <c r="P52" s="1">
        <v>45.225130078324582</v>
      </c>
      <c r="Q52" s="1">
        <f t="shared" ca="1" si="7"/>
        <v>3</v>
      </c>
      <c r="R52" s="1">
        <v>15.011997927795164</v>
      </c>
    </row>
    <row r="53" spans="1:18" x14ac:dyDescent="0.3">
      <c r="A53" s="26">
        <v>52</v>
      </c>
      <c r="B53" s="1">
        <v>7</v>
      </c>
      <c r="C53" s="1">
        <f t="shared" si="1"/>
        <v>8</v>
      </c>
      <c r="D53" s="21">
        <f t="shared" ca="1" si="0"/>
        <v>44699</v>
      </c>
      <c r="E53" s="1" t="s">
        <v>26</v>
      </c>
      <c r="F53" s="1" t="s">
        <v>81</v>
      </c>
      <c r="G53" s="1" t="s">
        <v>28</v>
      </c>
      <c r="H53" s="1">
        <v>151</v>
      </c>
      <c r="I53" s="1">
        <f t="shared" si="2"/>
        <v>47</v>
      </c>
      <c r="J53" s="1">
        <f>VLOOKUP(B53,Cena!$A$2:$B$101,2)</f>
        <v>104</v>
      </c>
      <c r="K53" s="1">
        <f t="shared" si="8"/>
        <v>4888</v>
      </c>
      <c r="L53" s="1">
        <f t="shared" si="4"/>
        <v>1124.24</v>
      </c>
      <c r="M53" s="22">
        <f t="shared" si="9"/>
        <v>6012.24</v>
      </c>
      <c r="N53" s="1">
        <f t="shared" ca="1" si="6"/>
        <v>5</v>
      </c>
      <c r="P53" s="1">
        <v>47.996565070934594</v>
      </c>
      <c r="Q53" s="1">
        <f t="shared" ca="1" si="7"/>
        <v>12</v>
      </c>
      <c r="R53" s="1">
        <v>8.8930255767627386</v>
      </c>
    </row>
    <row r="54" spans="1:18" x14ac:dyDescent="0.3">
      <c r="A54" s="26">
        <v>53</v>
      </c>
      <c r="B54" s="1">
        <v>30</v>
      </c>
      <c r="C54" s="1">
        <f t="shared" si="1"/>
        <v>9</v>
      </c>
      <c r="D54" s="21">
        <f t="shared" ca="1" si="0"/>
        <v>44815</v>
      </c>
      <c r="E54" s="1" t="s">
        <v>26</v>
      </c>
      <c r="F54" s="1" t="s">
        <v>82</v>
      </c>
      <c r="G54" s="1" t="s">
        <v>28</v>
      </c>
      <c r="H54" s="1">
        <v>152</v>
      </c>
      <c r="I54" s="1">
        <f t="shared" si="2"/>
        <v>57</v>
      </c>
      <c r="J54" s="1">
        <f>VLOOKUP(B54,Cena!$A$2:$B$101,2)</f>
        <v>87</v>
      </c>
      <c r="K54" s="1">
        <f t="shared" si="8"/>
        <v>4959</v>
      </c>
      <c r="L54" s="1">
        <f t="shared" si="4"/>
        <v>1140.57</v>
      </c>
      <c r="M54" s="22">
        <f t="shared" si="9"/>
        <v>6099.57</v>
      </c>
      <c r="N54" s="1">
        <f t="shared" ca="1" si="6"/>
        <v>9</v>
      </c>
      <c r="P54" s="1">
        <v>57.209155228338204</v>
      </c>
      <c r="Q54" s="1">
        <f t="shared" ca="1" si="7"/>
        <v>22</v>
      </c>
      <c r="R54" s="1">
        <v>9.7566362708312226</v>
      </c>
    </row>
    <row r="55" spans="1:18" x14ac:dyDescent="0.3">
      <c r="A55" s="26">
        <v>54</v>
      </c>
      <c r="B55" s="1">
        <v>4</v>
      </c>
      <c r="C55" s="1">
        <f t="shared" si="1"/>
        <v>12</v>
      </c>
      <c r="D55" s="21">
        <f t="shared" ca="1" si="0"/>
        <v>44580</v>
      </c>
      <c r="E55" s="1" t="s">
        <v>26</v>
      </c>
      <c r="F55" s="1" t="s">
        <v>83</v>
      </c>
      <c r="G55" s="1" t="s">
        <v>28</v>
      </c>
      <c r="H55" s="1">
        <v>153</v>
      </c>
      <c r="I55" s="1">
        <f t="shared" si="2"/>
        <v>50</v>
      </c>
      <c r="J55" s="1">
        <f>VLOOKUP(B55,Cena!$A$2:$B$101,2)</f>
        <v>99</v>
      </c>
      <c r="K55" s="1">
        <f t="shared" si="8"/>
        <v>4950</v>
      </c>
      <c r="L55" s="1">
        <f t="shared" si="4"/>
        <v>1138.5</v>
      </c>
      <c r="M55" s="22">
        <f t="shared" si="9"/>
        <v>6088.5</v>
      </c>
      <c r="N55" s="1">
        <f t="shared" ca="1" si="6"/>
        <v>1</v>
      </c>
      <c r="P55" s="1">
        <v>50.444219949713442</v>
      </c>
      <c r="Q55" s="1">
        <f t="shared" ca="1" si="7"/>
        <v>27</v>
      </c>
      <c r="R55" s="1">
        <v>12.87619741357048</v>
      </c>
    </row>
    <row r="56" spans="1:18" x14ac:dyDescent="0.3">
      <c r="A56" s="26">
        <v>55</v>
      </c>
      <c r="B56" s="1">
        <v>5</v>
      </c>
      <c r="C56" s="1">
        <f t="shared" si="1"/>
        <v>10</v>
      </c>
      <c r="D56" s="21">
        <f t="shared" ca="1" si="0"/>
        <v>44671</v>
      </c>
      <c r="E56" s="1" t="s">
        <v>26</v>
      </c>
      <c r="F56" s="1" t="s">
        <v>84</v>
      </c>
      <c r="G56" s="1" t="s">
        <v>28</v>
      </c>
      <c r="H56" s="1">
        <v>154</v>
      </c>
      <c r="I56" s="1">
        <f t="shared" si="2"/>
        <v>39</v>
      </c>
      <c r="J56" s="1">
        <f>VLOOKUP(B56,Cena!$A$2:$B$101,2)</f>
        <v>91</v>
      </c>
      <c r="K56" s="1">
        <f t="shared" si="8"/>
        <v>3549</v>
      </c>
      <c r="L56" s="1">
        <f t="shared" si="4"/>
        <v>816.27</v>
      </c>
      <c r="M56" s="22">
        <f t="shared" si="9"/>
        <v>4365.2700000000004</v>
      </c>
      <c r="N56" s="1">
        <f t="shared" ca="1" si="6"/>
        <v>4</v>
      </c>
      <c r="P56" s="1">
        <v>39.335105965437833</v>
      </c>
      <c r="Q56" s="1">
        <f t="shared" ca="1" si="7"/>
        <v>6</v>
      </c>
      <c r="R56" s="1">
        <v>10.569542635275866</v>
      </c>
    </row>
    <row r="57" spans="1:18" x14ac:dyDescent="0.3">
      <c r="A57" s="26">
        <v>56</v>
      </c>
      <c r="B57" s="1">
        <v>17</v>
      </c>
      <c r="C57" s="1">
        <f t="shared" si="1"/>
        <v>13</v>
      </c>
      <c r="D57" s="21">
        <f t="shared" ca="1" si="0"/>
        <v>44571</v>
      </c>
      <c r="E57" s="1" t="s">
        <v>26</v>
      </c>
      <c r="F57" s="1" t="s">
        <v>85</v>
      </c>
      <c r="G57" s="1" t="s">
        <v>28</v>
      </c>
      <c r="H57" s="1">
        <v>155</v>
      </c>
      <c r="I57" s="1">
        <f t="shared" si="2"/>
        <v>47</v>
      </c>
      <c r="J57" s="1">
        <f>VLOOKUP(B57,Cena!$A$2:$B$101,2)</f>
        <v>84</v>
      </c>
      <c r="K57" s="1">
        <f t="shared" si="8"/>
        <v>3948</v>
      </c>
      <c r="L57" s="1">
        <f t="shared" si="4"/>
        <v>908.04000000000008</v>
      </c>
      <c r="M57" s="22">
        <f t="shared" si="9"/>
        <v>4856.04</v>
      </c>
      <c r="N57" s="1">
        <f t="shared" ca="1" si="6"/>
        <v>1</v>
      </c>
      <c r="P57" s="1">
        <v>47.274244378786534</v>
      </c>
      <c r="Q57" s="1">
        <f t="shared" ca="1" si="7"/>
        <v>2</v>
      </c>
      <c r="R57" s="1">
        <v>13.365573775226949</v>
      </c>
    </row>
    <row r="58" spans="1:18" x14ac:dyDescent="0.3">
      <c r="A58" s="26">
        <v>57</v>
      </c>
      <c r="B58" s="1">
        <v>23</v>
      </c>
      <c r="C58" s="1">
        <f t="shared" si="1"/>
        <v>5</v>
      </c>
      <c r="D58" s="21">
        <f t="shared" ca="1" si="0"/>
        <v>44601</v>
      </c>
      <c r="E58" s="1" t="s">
        <v>26</v>
      </c>
      <c r="F58" s="1" t="s">
        <v>86</v>
      </c>
      <c r="G58" s="1" t="s">
        <v>28</v>
      </c>
      <c r="H58" s="1">
        <v>156</v>
      </c>
      <c r="I58" s="1">
        <f t="shared" si="2"/>
        <v>48</v>
      </c>
      <c r="J58" s="1">
        <f>VLOOKUP(B58,Cena!$A$2:$B$101,2)</f>
        <v>132</v>
      </c>
      <c r="K58" s="1">
        <f t="shared" si="8"/>
        <v>6336</v>
      </c>
      <c r="L58" s="1">
        <f t="shared" si="4"/>
        <v>1457.28</v>
      </c>
      <c r="M58" s="22">
        <f t="shared" si="9"/>
        <v>7793.28</v>
      </c>
      <c r="N58" s="1">
        <f t="shared" ca="1" si="6"/>
        <v>2</v>
      </c>
      <c r="P58" s="1">
        <v>48.103385223657824</v>
      </c>
      <c r="Q58" s="1">
        <f t="shared" ca="1" si="7"/>
        <v>30</v>
      </c>
      <c r="R58" s="1">
        <v>5.7400063976820093</v>
      </c>
    </row>
    <row r="59" spans="1:18" x14ac:dyDescent="0.3">
      <c r="A59" s="26">
        <v>58</v>
      </c>
      <c r="B59" s="1">
        <v>16</v>
      </c>
      <c r="C59" s="1">
        <f t="shared" si="1"/>
        <v>9</v>
      </c>
      <c r="D59" s="21">
        <f t="shared" ca="1" si="0"/>
        <v>44571</v>
      </c>
      <c r="E59" s="1" t="s">
        <v>26</v>
      </c>
      <c r="F59" s="1" t="s">
        <v>87</v>
      </c>
      <c r="G59" s="1" t="s">
        <v>28</v>
      </c>
      <c r="H59" s="1">
        <v>157</v>
      </c>
      <c r="I59" s="1">
        <f t="shared" si="2"/>
        <v>27</v>
      </c>
      <c r="J59" s="1">
        <f>VLOOKUP(B59,Cena!$A$2:$B$101,2)</f>
        <v>93</v>
      </c>
      <c r="K59" s="1">
        <f t="shared" si="8"/>
        <v>2511</v>
      </c>
      <c r="L59" s="1">
        <f t="shared" si="4"/>
        <v>577.53</v>
      </c>
      <c r="M59" s="22">
        <f t="shared" si="9"/>
        <v>3088.5299999999997</v>
      </c>
      <c r="N59" s="1">
        <f t="shared" ca="1" si="6"/>
        <v>1</v>
      </c>
      <c r="P59" s="1">
        <v>27.819425112102181</v>
      </c>
      <c r="Q59" s="1">
        <f t="shared" ca="1" si="7"/>
        <v>18</v>
      </c>
      <c r="R59" s="1">
        <v>9.2121217928797705</v>
      </c>
    </row>
    <row r="60" spans="1:18" x14ac:dyDescent="0.3">
      <c r="A60" s="26">
        <v>59</v>
      </c>
      <c r="B60" s="1">
        <v>11</v>
      </c>
      <c r="C60" s="1">
        <f t="shared" si="1"/>
        <v>10</v>
      </c>
      <c r="D60" s="21">
        <f t="shared" ca="1" si="0"/>
        <v>44845</v>
      </c>
      <c r="E60" s="1" t="s">
        <v>26</v>
      </c>
      <c r="F60" s="1" t="s">
        <v>88</v>
      </c>
      <c r="G60" s="1" t="s">
        <v>28</v>
      </c>
      <c r="H60" s="1">
        <v>158</v>
      </c>
      <c r="I60" s="1">
        <f t="shared" si="2"/>
        <v>52</v>
      </c>
      <c r="J60" s="1">
        <f>VLOOKUP(B60,Cena!$A$2:$B$101,2)</f>
        <v>83</v>
      </c>
      <c r="K60" s="1">
        <f t="shared" si="8"/>
        <v>4316</v>
      </c>
      <c r="L60" s="1">
        <f t="shared" si="4"/>
        <v>992.68000000000006</v>
      </c>
      <c r="M60" s="22">
        <f t="shared" si="9"/>
        <v>5308.68</v>
      </c>
      <c r="N60" s="1">
        <f t="shared" ca="1" si="6"/>
        <v>10</v>
      </c>
      <c r="P60" s="1">
        <v>52.841056812030729</v>
      </c>
      <c r="Q60" s="1">
        <f t="shared" ca="1" si="7"/>
        <v>21</v>
      </c>
      <c r="R60" s="1">
        <v>10.806187472335296</v>
      </c>
    </row>
    <row r="61" spans="1:18" x14ac:dyDescent="0.3">
      <c r="A61" s="26">
        <v>60</v>
      </c>
      <c r="B61" s="1">
        <v>10</v>
      </c>
      <c r="C61" s="1">
        <f t="shared" si="1"/>
        <v>8</v>
      </c>
      <c r="D61" s="21">
        <f t="shared" ca="1" si="0"/>
        <v>44604</v>
      </c>
      <c r="E61" s="1" t="s">
        <v>26</v>
      </c>
      <c r="F61" s="1" t="s">
        <v>89</v>
      </c>
      <c r="G61" s="1" t="s">
        <v>28</v>
      </c>
      <c r="H61" s="1">
        <v>159</v>
      </c>
      <c r="I61" s="1">
        <f t="shared" si="2"/>
        <v>68</v>
      </c>
      <c r="J61" s="1">
        <f>VLOOKUP(B61,Cena!$A$2:$B$101,2)</f>
        <v>109</v>
      </c>
      <c r="K61" s="1">
        <f t="shared" si="8"/>
        <v>7412</v>
      </c>
      <c r="L61" s="1">
        <f t="shared" si="4"/>
        <v>1704.76</v>
      </c>
      <c r="M61" s="22">
        <f t="shared" si="9"/>
        <v>9116.76</v>
      </c>
      <c r="N61" s="1">
        <f t="shared" ca="1" si="6"/>
        <v>2</v>
      </c>
      <c r="P61" s="1">
        <v>68.198079487774521</v>
      </c>
      <c r="Q61" s="1">
        <f t="shared" ca="1" si="7"/>
        <v>16</v>
      </c>
      <c r="R61" s="1">
        <v>8.7459148087509675</v>
      </c>
    </row>
    <row r="62" spans="1:18" x14ac:dyDescent="0.3">
      <c r="A62" s="26">
        <v>61</v>
      </c>
      <c r="B62" s="1">
        <v>24</v>
      </c>
      <c r="C62" s="1">
        <f t="shared" si="1"/>
        <v>14</v>
      </c>
      <c r="D62" s="21">
        <f t="shared" ca="1" si="0"/>
        <v>44631</v>
      </c>
      <c r="E62" s="1" t="s">
        <v>26</v>
      </c>
      <c r="F62" s="1" t="s">
        <v>90</v>
      </c>
      <c r="G62" s="1" t="s">
        <v>28</v>
      </c>
      <c r="H62" s="1">
        <v>160</v>
      </c>
      <c r="I62" s="1">
        <f t="shared" si="2"/>
        <v>42</v>
      </c>
      <c r="J62" s="1">
        <f>VLOOKUP(B62,Cena!$A$2:$B$101,2)</f>
        <v>125</v>
      </c>
      <c r="K62" s="1">
        <f t="shared" si="8"/>
        <v>5250</v>
      </c>
      <c r="L62" s="1">
        <f t="shared" si="4"/>
        <v>1207.5</v>
      </c>
      <c r="M62" s="22">
        <f t="shared" si="9"/>
        <v>6457.5</v>
      </c>
      <c r="N62" s="1">
        <f t="shared" ca="1" si="6"/>
        <v>3</v>
      </c>
      <c r="P62" s="1">
        <v>42.648258739791345</v>
      </c>
      <c r="Q62" s="1">
        <f t="shared" ca="1" si="7"/>
        <v>1</v>
      </c>
      <c r="R62" s="1">
        <v>14.199182512820698</v>
      </c>
    </row>
    <row r="63" spans="1:18" x14ac:dyDescent="0.3">
      <c r="A63" s="26">
        <v>62</v>
      </c>
      <c r="B63" s="1">
        <v>12</v>
      </c>
      <c r="C63" s="1">
        <f t="shared" si="1"/>
        <v>9</v>
      </c>
      <c r="D63" s="21">
        <f t="shared" ca="1" si="0"/>
        <v>44743</v>
      </c>
      <c r="E63" s="1" t="s">
        <v>26</v>
      </c>
      <c r="F63" s="1" t="s">
        <v>91</v>
      </c>
      <c r="G63" s="1" t="s">
        <v>28</v>
      </c>
      <c r="H63" s="1">
        <v>161</v>
      </c>
      <c r="I63" s="1">
        <f t="shared" si="2"/>
        <v>53</v>
      </c>
      <c r="J63" s="1">
        <f>VLOOKUP(B63,Cena!$A$2:$B$101,2)</f>
        <v>88</v>
      </c>
      <c r="K63" s="1">
        <f t="shared" si="8"/>
        <v>4664</v>
      </c>
      <c r="L63" s="1">
        <f t="shared" si="4"/>
        <v>1072.72</v>
      </c>
      <c r="M63" s="22">
        <f t="shared" si="9"/>
        <v>5736.72</v>
      </c>
      <c r="N63" s="1">
        <f t="shared" ca="1" si="6"/>
        <v>7</v>
      </c>
      <c r="P63" s="1">
        <v>53.307059159851633</v>
      </c>
      <c r="Q63" s="1">
        <f t="shared" ca="1" si="7"/>
        <v>30</v>
      </c>
      <c r="R63" s="1">
        <v>9.9331521394196898</v>
      </c>
    </row>
    <row r="64" spans="1:18" x14ac:dyDescent="0.3">
      <c r="A64" s="26">
        <v>63</v>
      </c>
      <c r="B64" s="1">
        <v>29</v>
      </c>
      <c r="C64" s="1">
        <f t="shared" si="1"/>
        <v>8</v>
      </c>
      <c r="D64" s="21">
        <f t="shared" ca="1" si="0"/>
        <v>44918</v>
      </c>
      <c r="E64" s="1" t="s">
        <v>26</v>
      </c>
      <c r="F64" s="1" t="s">
        <v>92</v>
      </c>
      <c r="G64" s="1" t="s">
        <v>28</v>
      </c>
      <c r="H64" s="1">
        <v>162</v>
      </c>
      <c r="I64" s="1">
        <f t="shared" si="2"/>
        <v>59</v>
      </c>
      <c r="J64" s="1">
        <f>VLOOKUP(B64,Cena!$A$2:$B$101,2)</f>
        <v>105</v>
      </c>
      <c r="K64" s="1">
        <f t="shared" si="8"/>
        <v>6195</v>
      </c>
      <c r="L64" s="1">
        <f t="shared" si="4"/>
        <v>1424.8500000000001</v>
      </c>
      <c r="M64" s="22">
        <f t="shared" si="9"/>
        <v>7619.85</v>
      </c>
      <c r="N64" s="1">
        <f t="shared" ca="1" si="6"/>
        <v>12</v>
      </c>
      <c r="P64" s="1">
        <v>59.276527634938248</v>
      </c>
      <c r="Q64" s="1">
        <f t="shared" ca="1" si="7"/>
        <v>29</v>
      </c>
      <c r="R64" s="1">
        <v>8.9490731877594953</v>
      </c>
    </row>
    <row r="65" spans="1:18" x14ac:dyDescent="0.3">
      <c r="A65" s="26">
        <v>64</v>
      </c>
      <c r="B65" s="1">
        <v>3</v>
      </c>
      <c r="C65" s="1">
        <f t="shared" si="1"/>
        <v>8</v>
      </c>
      <c r="D65" s="21">
        <f t="shared" ca="1" si="0"/>
        <v>44769</v>
      </c>
      <c r="E65" s="1" t="s">
        <v>26</v>
      </c>
      <c r="F65" s="1" t="s">
        <v>93</v>
      </c>
      <c r="G65" s="1" t="s">
        <v>28</v>
      </c>
      <c r="H65" s="1">
        <v>163</v>
      </c>
      <c r="I65" s="1">
        <f t="shared" si="2"/>
        <v>53</v>
      </c>
      <c r="J65" s="1">
        <f>VLOOKUP(B65,Cena!$A$2:$B$101,2)</f>
        <v>89</v>
      </c>
      <c r="K65" s="1">
        <f t="shared" si="8"/>
        <v>4717</v>
      </c>
      <c r="L65" s="1">
        <f t="shared" si="4"/>
        <v>1084.9100000000001</v>
      </c>
      <c r="M65" s="22">
        <f t="shared" si="9"/>
        <v>5801.91</v>
      </c>
      <c r="N65" s="1">
        <f t="shared" ca="1" si="6"/>
        <v>7</v>
      </c>
      <c r="P65" s="1">
        <v>53.934451342502143</v>
      </c>
      <c r="Q65" s="1">
        <f t="shared" ca="1" si="7"/>
        <v>17</v>
      </c>
      <c r="R65" s="1">
        <v>8.7617229635361582</v>
      </c>
    </row>
    <row r="66" spans="1:18" x14ac:dyDescent="0.3">
      <c r="A66" s="26">
        <v>65</v>
      </c>
      <c r="B66" s="1">
        <v>11</v>
      </c>
      <c r="C66" s="1">
        <f t="shared" si="1"/>
        <v>11</v>
      </c>
      <c r="D66" s="21">
        <f t="shared" ref="D66:D129" ca="1" si="10">DATE(2022,RANDBETWEEN(1,12),RANDBETWEEN(1,28))</f>
        <v>44713</v>
      </c>
      <c r="E66" s="1" t="s">
        <v>26</v>
      </c>
      <c r="F66" s="1" t="s">
        <v>94</v>
      </c>
      <c r="G66" s="1" t="s">
        <v>28</v>
      </c>
      <c r="H66" s="1">
        <v>164</v>
      </c>
      <c r="I66" s="1">
        <f t="shared" si="2"/>
        <v>55</v>
      </c>
      <c r="J66" s="1">
        <f>VLOOKUP(B66,Cena!$A$2:$B$101,2)</f>
        <v>83</v>
      </c>
      <c r="K66" s="1">
        <f t="shared" si="8"/>
        <v>4565</v>
      </c>
      <c r="L66" s="1">
        <f t="shared" si="4"/>
        <v>1049.95</v>
      </c>
      <c r="M66" s="22">
        <f t="shared" si="9"/>
        <v>5614.95</v>
      </c>
      <c r="N66" s="1">
        <f t="shared" ca="1" si="6"/>
        <v>6</v>
      </c>
      <c r="P66" s="1">
        <v>55.202878128329758</v>
      </c>
      <c r="Q66" s="1">
        <f t="shared" ca="1" si="7"/>
        <v>21</v>
      </c>
      <c r="R66" s="1">
        <v>11.273207317353808</v>
      </c>
    </row>
    <row r="67" spans="1:18" x14ac:dyDescent="0.3">
      <c r="A67" s="26">
        <v>66</v>
      </c>
      <c r="B67" s="1">
        <v>6</v>
      </c>
      <c r="C67" s="1">
        <f t="shared" ref="C67:C130" si="11">INT(R67)</f>
        <v>10</v>
      </c>
      <c r="D67" s="21">
        <f t="shared" ca="1" si="10"/>
        <v>44661</v>
      </c>
      <c r="E67" s="1" t="s">
        <v>26</v>
      </c>
      <c r="F67" s="1" t="s">
        <v>95</v>
      </c>
      <c r="G67" s="1" t="s">
        <v>28</v>
      </c>
      <c r="H67" s="1">
        <v>165</v>
      </c>
      <c r="I67" s="1">
        <f t="shared" ref="I67:I130" si="12">INT(P67)</f>
        <v>39</v>
      </c>
      <c r="J67" s="1">
        <f>VLOOKUP(B67,Cena!$A$2:$B$101,2)</f>
        <v>86</v>
      </c>
      <c r="K67" s="1">
        <f t="shared" si="8"/>
        <v>3354</v>
      </c>
      <c r="L67" s="1">
        <f t="shared" ref="L67:L130" si="13">K67*23%</f>
        <v>771.42000000000007</v>
      </c>
      <c r="M67" s="22">
        <f t="shared" si="9"/>
        <v>4125.42</v>
      </c>
      <c r="N67" s="1">
        <f t="shared" ref="N67:N130" ca="1" si="14">MONTH(D67)</f>
        <v>4</v>
      </c>
      <c r="P67" s="1">
        <v>39.883713169547264</v>
      </c>
      <c r="Q67" s="1">
        <f t="shared" ref="Q67:Q130" ca="1" si="15">RANDBETWEEN(1,30)</f>
        <v>25</v>
      </c>
      <c r="R67" s="1">
        <v>10.444782699560164</v>
      </c>
    </row>
    <row r="68" spans="1:18" x14ac:dyDescent="0.3">
      <c r="A68" s="26">
        <v>67</v>
      </c>
      <c r="B68" s="1">
        <v>12</v>
      </c>
      <c r="C68" s="1">
        <f t="shared" si="11"/>
        <v>10</v>
      </c>
      <c r="D68" s="21">
        <f t="shared" ca="1" si="10"/>
        <v>44585</v>
      </c>
      <c r="E68" s="1" t="s">
        <v>26</v>
      </c>
      <c r="F68" s="1" t="s">
        <v>96</v>
      </c>
      <c r="G68" s="1" t="s">
        <v>28</v>
      </c>
      <c r="H68" s="1">
        <v>166</v>
      </c>
      <c r="I68" s="1">
        <f t="shared" si="12"/>
        <v>63</v>
      </c>
      <c r="J68" s="1">
        <f>VLOOKUP(B68,Cena!$A$2:$B$101,2)</f>
        <v>88</v>
      </c>
      <c r="K68" s="1">
        <f t="shared" si="8"/>
        <v>5544</v>
      </c>
      <c r="L68" s="1">
        <f t="shared" si="13"/>
        <v>1275.1200000000001</v>
      </c>
      <c r="M68" s="22">
        <f t="shared" si="9"/>
        <v>6819.12</v>
      </c>
      <c r="N68" s="1">
        <f t="shared" ca="1" si="14"/>
        <v>1</v>
      </c>
      <c r="P68" s="1">
        <v>63.143562682671472</v>
      </c>
      <c r="Q68" s="1">
        <f t="shared" ca="1" si="15"/>
        <v>25</v>
      </c>
      <c r="R68" s="1">
        <v>10.199585770133126</v>
      </c>
    </row>
    <row r="69" spans="1:18" x14ac:dyDescent="0.3">
      <c r="A69" s="26">
        <v>68</v>
      </c>
      <c r="B69" s="1">
        <v>30</v>
      </c>
      <c r="C69" s="1">
        <f t="shared" si="11"/>
        <v>9</v>
      </c>
      <c r="D69" s="21">
        <f t="shared" ca="1" si="10"/>
        <v>44740</v>
      </c>
      <c r="E69" s="1" t="s">
        <v>26</v>
      </c>
      <c r="F69" s="1" t="s">
        <v>97</v>
      </c>
      <c r="G69" s="1" t="s">
        <v>28</v>
      </c>
      <c r="H69" s="1">
        <v>167</v>
      </c>
      <c r="I69" s="1">
        <f t="shared" si="12"/>
        <v>35</v>
      </c>
      <c r="J69" s="1">
        <f>VLOOKUP(B69,Cena!$A$2:$B$101,2)</f>
        <v>87</v>
      </c>
      <c r="K69" s="1">
        <f t="shared" si="8"/>
        <v>3045</v>
      </c>
      <c r="L69" s="1">
        <f t="shared" si="13"/>
        <v>700.35</v>
      </c>
      <c r="M69" s="22">
        <f t="shared" si="9"/>
        <v>3745.35</v>
      </c>
      <c r="N69" s="1">
        <f t="shared" ca="1" si="14"/>
        <v>6</v>
      </c>
      <c r="P69" s="1">
        <v>35.93416421499569</v>
      </c>
      <c r="Q69" s="1">
        <f t="shared" ca="1" si="15"/>
        <v>20</v>
      </c>
      <c r="R69" s="1">
        <v>9.0366063684632536</v>
      </c>
    </row>
    <row r="70" spans="1:18" x14ac:dyDescent="0.3">
      <c r="A70" s="26">
        <v>69</v>
      </c>
      <c r="B70" s="1">
        <v>1</v>
      </c>
      <c r="C70" s="1">
        <f t="shared" si="11"/>
        <v>13</v>
      </c>
      <c r="D70" s="21">
        <f t="shared" ca="1" si="10"/>
        <v>44577</v>
      </c>
      <c r="E70" s="1" t="s">
        <v>26</v>
      </c>
      <c r="F70" s="1" t="s">
        <v>98</v>
      </c>
      <c r="G70" s="1" t="s">
        <v>28</v>
      </c>
      <c r="H70" s="1">
        <v>168</v>
      </c>
      <c r="I70" s="1">
        <f t="shared" si="12"/>
        <v>48</v>
      </c>
      <c r="J70" s="1">
        <f>VLOOKUP(B70,Cena!$A$2:$B$101,2)</f>
        <v>84</v>
      </c>
      <c r="K70" s="1">
        <f t="shared" si="8"/>
        <v>4032</v>
      </c>
      <c r="L70" s="1">
        <f t="shared" si="13"/>
        <v>927.36</v>
      </c>
      <c r="M70" s="22">
        <f t="shared" si="9"/>
        <v>4959.3599999999997</v>
      </c>
      <c r="N70" s="1">
        <f t="shared" ca="1" si="14"/>
        <v>1</v>
      </c>
      <c r="P70" s="1">
        <v>48.015300661791116</v>
      </c>
      <c r="Q70" s="1">
        <f t="shared" ca="1" si="15"/>
        <v>24</v>
      </c>
      <c r="R70" s="1">
        <v>13.00333908853645</v>
      </c>
    </row>
    <row r="71" spans="1:18" x14ac:dyDescent="0.3">
      <c r="A71" s="26">
        <v>70</v>
      </c>
      <c r="B71" s="1">
        <v>19</v>
      </c>
      <c r="C71" s="1">
        <f t="shared" si="11"/>
        <v>10</v>
      </c>
      <c r="D71" s="21">
        <f t="shared" ca="1" si="10"/>
        <v>44575</v>
      </c>
      <c r="E71" s="1" t="s">
        <v>26</v>
      </c>
      <c r="F71" s="1" t="s">
        <v>99</v>
      </c>
      <c r="G71" s="1" t="s">
        <v>28</v>
      </c>
      <c r="H71" s="1">
        <v>169</v>
      </c>
      <c r="I71" s="1">
        <f t="shared" si="12"/>
        <v>62</v>
      </c>
      <c r="J71" s="1">
        <f>VLOOKUP(B71,Cena!$A$2:$B$101,2)</f>
        <v>84</v>
      </c>
      <c r="K71" s="1">
        <f t="shared" si="8"/>
        <v>5208</v>
      </c>
      <c r="L71" s="1">
        <f t="shared" si="13"/>
        <v>1197.8400000000001</v>
      </c>
      <c r="M71" s="22">
        <f t="shared" si="9"/>
        <v>6405.84</v>
      </c>
      <c r="N71" s="1">
        <f t="shared" ca="1" si="14"/>
        <v>1</v>
      </c>
      <c r="P71" s="1">
        <v>62.916507330373861</v>
      </c>
      <c r="Q71" s="1">
        <f t="shared" ca="1" si="15"/>
        <v>8</v>
      </c>
      <c r="R71" s="1">
        <v>10.155102952703601</v>
      </c>
    </row>
    <row r="72" spans="1:18" x14ac:dyDescent="0.3">
      <c r="A72" s="26">
        <v>71</v>
      </c>
      <c r="B72" s="1">
        <v>7</v>
      </c>
      <c r="C72" s="1">
        <f t="shared" si="11"/>
        <v>11</v>
      </c>
      <c r="D72" s="21">
        <f t="shared" ca="1" si="10"/>
        <v>44805</v>
      </c>
      <c r="E72" s="1" t="s">
        <v>26</v>
      </c>
      <c r="F72" s="1" t="s">
        <v>100</v>
      </c>
      <c r="G72" s="1" t="s">
        <v>28</v>
      </c>
      <c r="H72" s="1">
        <v>170</v>
      </c>
      <c r="I72" s="1">
        <f t="shared" si="12"/>
        <v>39</v>
      </c>
      <c r="J72" s="1">
        <f>VLOOKUP(B72,Cena!$A$2:$B$101,2)</f>
        <v>104</v>
      </c>
      <c r="K72" s="1">
        <f t="shared" si="8"/>
        <v>4056</v>
      </c>
      <c r="L72" s="1">
        <f t="shared" si="13"/>
        <v>932.88</v>
      </c>
      <c r="M72" s="22">
        <f t="shared" si="9"/>
        <v>4988.88</v>
      </c>
      <c r="N72" s="1">
        <f t="shared" ca="1" si="14"/>
        <v>9</v>
      </c>
      <c r="P72" s="1">
        <v>39.793991517217364</v>
      </c>
      <c r="Q72" s="1">
        <f t="shared" ca="1" si="15"/>
        <v>6</v>
      </c>
      <c r="R72" s="1">
        <v>11.5150135368458</v>
      </c>
    </row>
    <row r="73" spans="1:18" x14ac:dyDescent="0.3">
      <c r="A73" s="26">
        <v>72</v>
      </c>
      <c r="B73" s="1">
        <v>14</v>
      </c>
      <c r="C73" s="1">
        <f t="shared" si="11"/>
        <v>11</v>
      </c>
      <c r="D73" s="21">
        <f t="shared" ca="1" si="10"/>
        <v>44807</v>
      </c>
      <c r="E73" s="1" t="s">
        <v>26</v>
      </c>
      <c r="F73" s="1" t="s">
        <v>101</v>
      </c>
      <c r="G73" s="1" t="s">
        <v>28</v>
      </c>
      <c r="H73" s="1">
        <v>171</v>
      </c>
      <c r="I73" s="1">
        <f t="shared" si="12"/>
        <v>41</v>
      </c>
      <c r="J73" s="1">
        <f>VLOOKUP(B73,Cena!$A$2:$B$101,2)</f>
        <v>129</v>
      </c>
      <c r="K73" s="1">
        <f t="shared" si="8"/>
        <v>5289</v>
      </c>
      <c r="L73" s="1">
        <f t="shared" si="13"/>
        <v>1216.47</v>
      </c>
      <c r="M73" s="22">
        <f t="shared" si="9"/>
        <v>6505.47</v>
      </c>
      <c r="N73" s="1">
        <f t="shared" ca="1" si="14"/>
        <v>9</v>
      </c>
      <c r="P73" s="1">
        <v>41.318759384739678</v>
      </c>
      <c r="Q73" s="1">
        <f t="shared" ca="1" si="15"/>
        <v>21</v>
      </c>
      <c r="R73" s="1">
        <v>11.190932152894675</v>
      </c>
    </row>
    <row r="74" spans="1:18" x14ac:dyDescent="0.3">
      <c r="A74" s="26">
        <v>73</v>
      </c>
      <c r="B74" s="1">
        <v>12</v>
      </c>
      <c r="C74" s="1">
        <f t="shared" si="11"/>
        <v>12</v>
      </c>
      <c r="D74" s="21">
        <f t="shared" ca="1" si="10"/>
        <v>44853</v>
      </c>
      <c r="E74" s="1" t="s">
        <v>26</v>
      </c>
      <c r="F74" s="1" t="s">
        <v>102</v>
      </c>
      <c r="G74" s="1" t="s">
        <v>28</v>
      </c>
      <c r="H74" s="1">
        <v>172</v>
      </c>
      <c r="I74" s="1">
        <f t="shared" si="12"/>
        <v>51</v>
      </c>
      <c r="J74" s="1">
        <f>VLOOKUP(B74,Cena!$A$2:$B$101,2)</f>
        <v>88</v>
      </c>
      <c r="K74" s="1">
        <f t="shared" si="8"/>
        <v>4488</v>
      </c>
      <c r="L74" s="1">
        <f t="shared" si="13"/>
        <v>1032.24</v>
      </c>
      <c r="M74" s="22">
        <f t="shared" si="9"/>
        <v>5520.24</v>
      </c>
      <c r="N74" s="1">
        <f t="shared" ca="1" si="14"/>
        <v>10</v>
      </c>
      <c r="P74" s="1">
        <v>51.706121111055836</v>
      </c>
      <c r="Q74" s="1">
        <f t="shared" ca="1" si="15"/>
        <v>9</v>
      </c>
      <c r="R74" s="1">
        <v>12.448706482027774</v>
      </c>
    </row>
    <row r="75" spans="1:18" x14ac:dyDescent="0.3">
      <c r="A75" s="26">
        <v>74</v>
      </c>
      <c r="B75" s="1">
        <v>24</v>
      </c>
      <c r="C75" s="1">
        <f t="shared" si="11"/>
        <v>11</v>
      </c>
      <c r="D75" s="21">
        <f t="shared" ca="1" si="10"/>
        <v>44753</v>
      </c>
      <c r="E75" s="1" t="s">
        <v>26</v>
      </c>
      <c r="F75" s="1" t="s">
        <v>103</v>
      </c>
      <c r="G75" s="1" t="s">
        <v>28</v>
      </c>
      <c r="H75" s="1">
        <v>173</v>
      </c>
      <c r="I75" s="1">
        <f t="shared" si="12"/>
        <v>59</v>
      </c>
      <c r="J75" s="1">
        <f>VLOOKUP(B75,Cena!$A$2:$B$101,2)</f>
        <v>125</v>
      </c>
      <c r="K75" s="1">
        <f t="shared" si="8"/>
        <v>7375</v>
      </c>
      <c r="L75" s="1">
        <f t="shared" si="13"/>
        <v>1696.25</v>
      </c>
      <c r="M75" s="22">
        <f t="shared" si="9"/>
        <v>9071.25</v>
      </c>
      <c r="N75" s="1">
        <f t="shared" ca="1" si="14"/>
        <v>7</v>
      </c>
      <c r="P75" s="1">
        <v>59.845621207205113</v>
      </c>
      <c r="Q75" s="1">
        <f t="shared" ca="1" si="15"/>
        <v>5</v>
      </c>
      <c r="R75" s="1">
        <v>11.179591890831944</v>
      </c>
    </row>
    <row r="76" spans="1:18" x14ac:dyDescent="0.3">
      <c r="A76" s="26">
        <v>75</v>
      </c>
      <c r="B76" s="1">
        <v>12</v>
      </c>
      <c r="C76" s="1">
        <f t="shared" si="11"/>
        <v>10</v>
      </c>
      <c r="D76" s="21">
        <f t="shared" ca="1" si="10"/>
        <v>44872</v>
      </c>
      <c r="E76" s="1" t="s">
        <v>26</v>
      </c>
      <c r="F76" s="1" t="s">
        <v>104</v>
      </c>
      <c r="G76" s="1" t="s">
        <v>28</v>
      </c>
      <c r="H76" s="1">
        <v>174</v>
      </c>
      <c r="I76" s="1">
        <f t="shared" si="12"/>
        <v>56</v>
      </c>
      <c r="J76" s="1">
        <f>VLOOKUP(B76,Cena!$A$2:$B$101,2)</f>
        <v>88</v>
      </c>
      <c r="K76" s="1">
        <f t="shared" si="8"/>
        <v>4928</v>
      </c>
      <c r="L76" s="1">
        <f t="shared" si="13"/>
        <v>1133.44</v>
      </c>
      <c r="M76" s="22">
        <f t="shared" si="9"/>
        <v>6061.4400000000005</v>
      </c>
      <c r="N76" s="1">
        <f t="shared" ca="1" si="14"/>
        <v>11</v>
      </c>
      <c r="P76" s="1">
        <v>56.162395038700197</v>
      </c>
      <c r="Q76" s="1">
        <f t="shared" ca="1" si="15"/>
        <v>9</v>
      </c>
      <c r="R76" s="1">
        <v>10.917003717404441</v>
      </c>
    </row>
    <row r="77" spans="1:18" x14ac:dyDescent="0.3">
      <c r="A77" s="26">
        <v>76</v>
      </c>
      <c r="B77" s="1">
        <v>5</v>
      </c>
      <c r="C77" s="1">
        <f t="shared" si="11"/>
        <v>10</v>
      </c>
      <c r="D77" s="21">
        <f t="shared" ca="1" si="10"/>
        <v>44719</v>
      </c>
      <c r="E77" s="1" t="s">
        <v>26</v>
      </c>
      <c r="F77" s="1" t="s">
        <v>105</v>
      </c>
      <c r="G77" s="1" t="s">
        <v>28</v>
      </c>
      <c r="H77" s="1">
        <v>175</v>
      </c>
      <c r="I77" s="1">
        <f t="shared" si="12"/>
        <v>57</v>
      </c>
      <c r="J77" s="1">
        <f>VLOOKUP(B77,Cena!$A$2:$B$101,2)</f>
        <v>91</v>
      </c>
      <c r="K77" s="1">
        <f t="shared" si="8"/>
        <v>5187</v>
      </c>
      <c r="L77" s="1">
        <f t="shared" si="13"/>
        <v>1193.01</v>
      </c>
      <c r="M77" s="22">
        <f t="shared" si="9"/>
        <v>6380.01</v>
      </c>
      <c r="N77" s="1">
        <f t="shared" ca="1" si="14"/>
        <v>6</v>
      </c>
      <c r="P77" s="1">
        <v>57.612857189087663</v>
      </c>
      <c r="Q77" s="1">
        <f t="shared" ca="1" si="15"/>
        <v>6</v>
      </c>
      <c r="R77" s="1">
        <v>10.201504235519678</v>
      </c>
    </row>
    <row r="78" spans="1:18" x14ac:dyDescent="0.3">
      <c r="A78" s="26">
        <v>77</v>
      </c>
      <c r="B78" s="1">
        <v>6</v>
      </c>
      <c r="C78" s="1">
        <f t="shared" si="11"/>
        <v>8</v>
      </c>
      <c r="D78" s="21">
        <f t="shared" ca="1" si="10"/>
        <v>44699</v>
      </c>
      <c r="E78" s="1" t="s">
        <v>26</v>
      </c>
      <c r="F78" s="1" t="s">
        <v>106</v>
      </c>
      <c r="G78" s="1" t="s">
        <v>28</v>
      </c>
      <c r="H78" s="1">
        <v>176</v>
      </c>
      <c r="I78" s="1">
        <f t="shared" si="12"/>
        <v>48</v>
      </c>
      <c r="J78" s="1">
        <f>VLOOKUP(B78,Cena!$A$2:$B$101,2)</f>
        <v>86</v>
      </c>
      <c r="K78" s="1">
        <f t="shared" si="8"/>
        <v>4128</v>
      </c>
      <c r="L78" s="1">
        <f t="shared" si="13"/>
        <v>949.44</v>
      </c>
      <c r="M78" s="22">
        <f t="shared" si="9"/>
        <v>5077.4400000000005</v>
      </c>
      <c r="N78" s="1">
        <f t="shared" ca="1" si="14"/>
        <v>5</v>
      </c>
      <c r="P78" s="1">
        <v>48.864234385109739</v>
      </c>
      <c r="Q78" s="1">
        <f t="shared" ca="1" si="15"/>
        <v>27</v>
      </c>
      <c r="R78" s="1">
        <v>8.2962663125363179</v>
      </c>
    </row>
    <row r="79" spans="1:18" x14ac:dyDescent="0.3">
      <c r="A79" s="26">
        <v>78</v>
      </c>
      <c r="B79" s="1">
        <v>1</v>
      </c>
      <c r="C79" s="1">
        <f t="shared" si="11"/>
        <v>8</v>
      </c>
      <c r="D79" s="21">
        <f t="shared" ca="1" si="10"/>
        <v>44918</v>
      </c>
      <c r="E79" s="1" t="s">
        <v>26</v>
      </c>
      <c r="F79" s="1" t="s">
        <v>107</v>
      </c>
      <c r="G79" s="1" t="s">
        <v>28</v>
      </c>
      <c r="H79" s="1">
        <v>177</v>
      </c>
      <c r="I79" s="1">
        <f t="shared" si="12"/>
        <v>49</v>
      </c>
      <c r="J79" s="1">
        <f>VLOOKUP(B79,Cena!$A$2:$B$101,2)</f>
        <v>84</v>
      </c>
      <c r="K79" s="1">
        <f t="shared" si="8"/>
        <v>4116</v>
      </c>
      <c r="L79" s="1">
        <f t="shared" si="13"/>
        <v>946.68000000000006</v>
      </c>
      <c r="M79" s="22">
        <f t="shared" si="9"/>
        <v>5062.68</v>
      </c>
      <c r="N79" s="1">
        <f t="shared" ca="1" si="14"/>
        <v>12</v>
      </c>
      <c r="P79" s="1">
        <v>49.876445144764148</v>
      </c>
      <c r="Q79" s="1">
        <f t="shared" ca="1" si="15"/>
        <v>14</v>
      </c>
      <c r="R79" s="1">
        <v>8.9605527161984355</v>
      </c>
    </row>
    <row r="80" spans="1:18" x14ac:dyDescent="0.3">
      <c r="A80" s="26">
        <v>79</v>
      </c>
      <c r="B80" s="1">
        <v>11</v>
      </c>
      <c r="C80" s="1">
        <f t="shared" si="11"/>
        <v>11</v>
      </c>
      <c r="D80" s="21">
        <f t="shared" ca="1" si="10"/>
        <v>44624</v>
      </c>
      <c r="E80" s="1" t="s">
        <v>26</v>
      </c>
      <c r="F80" s="1" t="s">
        <v>108</v>
      </c>
      <c r="G80" s="1" t="s">
        <v>28</v>
      </c>
      <c r="H80" s="1">
        <v>178</v>
      </c>
      <c r="I80" s="1">
        <f t="shared" si="12"/>
        <v>36</v>
      </c>
      <c r="J80" s="1">
        <f>VLOOKUP(B80,Cena!$A$2:$B$101,2)</f>
        <v>83</v>
      </c>
      <c r="K80" s="1">
        <f t="shared" si="8"/>
        <v>2988</v>
      </c>
      <c r="L80" s="1">
        <f t="shared" si="13"/>
        <v>687.24</v>
      </c>
      <c r="M80" s="22">
        <f t="shared" si="9"/>
        <v>3675.24</v>
      </c>
      <c r="N80" s="1">
        <f t="shared" ca="1" si="14"/>
        <v>3</v>
      </c>
      <c r="P80" s="1">
        <v>36.821876518661156</v>
      </c>
      <c r="Q80" s="1">
        <f t="shared" ca="1" si="15"/>
        <v>2</v>
      </c>
      <c r="R80" s="1">
        <v>11.261247462025494</v>
      </c>
    </row>
    <row r="81" spans="1:18" x14ac:dyDescent="0.3">
      <c r="A81" s="26">
        <v>80</v>
      </c>
      <c r="B81" s="1">
        <v>24</v>
      </c>
      <c r="C81" s="1">
        <f t="shared" si="11"/>
        <v>8</v>
      </c>
      <c r="D81" s="21">
        <f t="shared" ca="1" si="10"/>
        <v>44744</v>
      </c>
      <c r="E81" s="1" t="s">
        <v>26</v>
      </c>
      <c r="F81" s="1" t="s">
        <v>109</v>
      </c>
      <c r="G81" s="1" t="s">
        <v>28</v>
      </c>
      <c r="H81" s="1">
        <v>179</v>
      </c>
      <c r="I81" s="1">
        <f t="shared" si="12"/>
        <v>58</v>
      </c>
      <c r="J81" s="1">
        <f>VLOOKUP(B81,Cena!$A$2:$B$101,2)</f>
        <v>125</v>
      </c>
      <c r="K81" s="1">
        <f t="shared" si="8"/>
        <v>7250</v>
      </c>
      <c r="L81" s="1">
        <f t="shared" si="13"/>
        <v>1667.5</v>
      </c>
      <c r="M81" s="22">
        <f t="shared" si="9"/>
        <v>8917.5</v>
      </c>
      <c r="N81" s="1">
        <f t="shared" ca="1" si="14"/>
        <v>7</v>
      </c>
      <c r="P81" s="1">
        <v>58.784286364971194</v>
      </c>
      <c r="Q81" s="1">
        <f t="shared" ca="1" si="15"/>
        <v>14</v>
      </c>
      <c r="R81" s="1">
        <v>8.1077507982263342</v>
      </c>
    </row>
    <row r="82" spans="1:18" x14ac:dyDescent="0.3">
      <c r="A82" s="26">
        <v>81</v>
      </c>
      <c r="B82" s="1">
        <v>13</v>
      </c>
      <c r="C82" s="1">
        <f t="shared" si="11"/>
        <v>13</v>
      </c>
      <c r="D82" s="21">
        <f t="shared" ca="1" si="10"/>
        <v>44858</v>
      </c>
      <c r="E82" s="1" t="s">
        <v>26</v>
      </c>
      <c r="F82" s="1" t="s">
        <v>110</v>
      </c>
      <c r="G82" s="1" t="s">
        <v>28</v>
      </c>
      <c r="H82" s="1">
        <v>180</v>
      </c>
      <c r="I82" s="1">
        <f t="shared" si="12"/>
        <v>52</v>
      </c>
      <c r="J82" s="1">
        <f>VLOOKUP(B82,Cena!$A$2:$B$101,2)</f>
        <v>94</v>
      </c>
      <c r="K82" s="1">
        <f t="shared" si="8"/>
        <v>4888</v>
      </c>
      <c r="L82" s="1">
        <f t="shared" si="13"/>
        <v>1124.24</v>
      </c>
      <c r="M82" s="22">
        <f t="shared" si="9"/>
        <v>6012.24</v>
      </c>
      <c r="N82" s="1">
        <f t="shared" ca="1" si="14"/>
        <v>10</v>
      </c>
      <c r="P82" s="1">
        <v>52.779779606498778</v>
      </c>
      <c r="Q82" s="1">
        <f t="shared" ca="1" si="15"/>
        <v>23</v>
      </c>
      <c r="R82" s="1">
        <v>13.496006684144959</v>
      </c>
    </row>
    <row r="83" spans="1:18" x14ac:dyDescent="0.3">
      <c r="A83" s="26">
        <v>82</v>
      </c>
      <c r="B83" s="1">
        <v>10</v>
      </c>
      <c r="C83" s="1">
        <f t="shared" si="11"/>
        <v>8</v>
      </c>
      <c r="D83" s="21">
        <f t="shared" ca="1" si="10"/>
        <v>44780</v>
      </c>
      <c r="E83" s="1" t="s">
        <v>26</v>
      </c>
      <c r="F83" s="1" t="s">
        <v>111</v>
      </c>
      <c r="G83" s="1" t="s">
        <v>28</v>
      </c>
      <c r="H83" s="1">
        <v>181</v>
      </c>
      <c r="I83" s="1">
        <f t="shared" si="12"/>
        <v>47</v>
      </c>
      <c r="J83" s="1">
        <f>VLOOKUP(B83,Cena!$A$2:$B$101,2)</f>
        <v>109</v>
      </c>
      <c r="K83" s="1">
        <f t="shared" si="8"/>
        <v>5123</v>
      </c>
      <c r="L83" s="1">
        <f t="shared" si="13"/>
        <v>1178.29</v>
      </c>
      <c r="M83" s="22">
        <f t="shared" si="9"/>
        <v>6301.29</v>
      </c>
      <c r="N83" s="1">
        <f t="shared" ca="1" si="14"/>
        <v>8</v>
      </c>
      <c r="P83" s="1">
        <v>47.696693299076287</v>
      </c>
      <c r="Q83" s="1">
        <f t="shared" ca="1" si="15"/>
        <v>19</v>
      </c>
      <c r="R83" s="1">
        <v>8.3399163738795323</v>
      </c>
    </row>
    <row r="84" spans="1:18" x14ac:dyDescent="0.3">
      <c r="A84" s="26">
        <v>83</v>
      </c>
      <c r="B84" s="1">
        <v>19</v>
      </c>
      <c r="C84" s="1">
        <f t="shared" si="11"/>
        <v>10</v>
      </c>
      <c r="D84" s="21">
        <f t="shared" ca="1" si="10"/>
        <v>44668</v>
      </c>
      <c r="E84" s="1" t="s">
        <v>26</v>
      </c>
      <c r="F84" s="1" t="s">
        <v>112</v>
      </c>
      <c r="G84" s="1" t="s">
        <v>28</v>
      </c>
      <c r="H84" s="1">
        <v>182</v>
      </c>
      <c r="I84" s="1">
        <f t="shared" si="12"/>
        <v>58</v>
      </c>
      <c r="J84" s="1">
        <f>VLOOKUP(B84,Cena!$A$2:$B$101,2)</f>
        <v>84</v>
      </c>
      <c r="K84" s="1">
        <f t="shared" si="8"/>
        <v>4872</v>
      </c>
      <c r="L84" s="1">
        <f t="shared" si="13"/>
        <v>1120.56</v>
      </c>
      <c r="M84" s="22">
        <f t="shared" si="9"/>
        <v>5992.5599999999995</v>
      </c>
      <c r="N84" s="1">
        <f t="shared" ca="1" si="14"/>
        <v>4</v>
      </c>
      <c r="P84" s="1">
        <v>58.086544767138548</v>
      </c>
      <c r="Q84" s="1">
        <f t="shared" ca="1" si="15"/>
        <v>13</v>
      </c>
      <c r="R84" s="1">
        <v>10.919254716791329</v>
      </c>
    </row>
    <row r="85" spans="1:18" x14ac:dyDescent="0.3">
      <c r="A85" s="26">
        <v>84</v>
      </c>
      <c r="B85" s="1">
        <v>11</v>
      </c>
      <c r="C85" s="1">
        <f t="shared" si="11"/>
        <v>12</v>
      </c>
      <c r="D85" s="21">
        <f t="shared" ca="1" si="10"/>
        <v>44885</v>
      </c>
      <c r="E85" s="1" t="s">
        <v>26</v>
      </c>
      <c r="F85" s="1" t="s">
        <v>113</v>
      </c>
      <c r="G85" s="1" t="s">
        <v>28</v>
      </c>
      <c r="H85" s="1">
        <v>183</v>
      </c>
      <c r="I85" s="1">
        <f t="shared" si="12"/>
        <v>54</v>
      </c>
      <c r="J85" s="1">
        <f>VLOOKUP(B85,Cena!$A$2:$B$101,2)</f>
        <v>83</v>
      </c>
      <c r="K85" s="1">
        <f t="shared" si="8"/>
        <v>4482</v>
      </c>
      <c r="L85" s="1">
        <f t="shared" si="13"/>
        <v>1030.8600000000001</v>
      </c>
      <c r="M85" s="22">
        <f t="shared" si="9"/>
        <v>5512.8600000000006</v>
      </c>
      <c r="N85" s="1">
        <f t="shared" ca="1" si="14"/>
        <v>11</v>
      </c>
      <c r="P85" s="1">
        <v>54.895252914138837</v>
      </c>
      <c r="Q85" s="1">
        <f t="shared" ca="1" si="15"/>
        <v>11</v>
      </c>
      <c r="R85" s="1">
        <v>12.654769559740089</v>
      </c>
    </row>
    <row r="86" spans="1:18" x14ac:dyDescent="0.3">
      <c r="A86" s="26">
        <v>85</v>
      </c>
      <c r="B86" s="1">
        <v>3</v>
      </c>
      <c r="C86" s="1">
        <f t="shared" si="11"/>
        <v>12</v>
      </c>
      <c r="D86" s="21">
        <f t="shared" ca="1" si="10"/>
        <v>44565</v>
      </c>
      <c r="E86" s="1" t="s">
        <v>26</v>
      </c>
      <c r="F86" s="1" t="s">
        <v>114</v>
      </c>
      <c r="G86" s="1" t="s">
        <v>28</v>
      </c>
      <c r="H86" s="1">
        <v>184</v>
      </c>
      <c r="I86" s="1">
        <f t="shared" si="12"/>
        <v>42</v>
      </c>
      <c r="J86" s="1">
        <f>VLOOKUP(B86,Cena!$A$2:$B$101,2)</f>
        <v>89</v>
      </c>
      <c r="K86" s="1">
        <f t="shared" si="8"/>
        <v>3738</v>
      </c>
      <c r="L86" s="1">
        <f t="shared" si="13"/>
        <v>859.74</v>
      </c>
      <c r="M86" s="22">
        <f t="shared" si="9"/>
        <v>4597.74</v>
      </c>
      <c r="N86" s="1">
        <f t="shared" ca="1" si="14"/>
        <v>1</v>
      </c>
      <c r="P86" s="1">
        <v>42.364632817043457</v>
      </c>
      <c r="Q86" s="1">
        <f t="shared" ca="1" si="15"/>
        <v>27</v>
      </c>
      <c r="R86" s="1">
        <v>12.994306669279467</v>
      </c>
    </row>
    <row r="87" spans="1:18" x14ac:dyDescent="0.3">
      <c r="A87" s="26">
        <v>86</v>
      </c>
      <c r="B87" s="1">
        <v>7</v>
      </c>
      <c r="C87" s="1">
        <f t="shared" si="11"/>
        <v>12</v>
      </c>
      <c r="D87" s="21">
        <f t="shared" ca="1" si="10"/>
        <v>44608</v>
      </c>
      <c r="E87" s="1" t="s">
        <v>26</v>
      </c>
      <c r="F87" s="1" t="s">
        <v>115</v>
      </c>
      <c r="G87" s="1" t="s">
        <v>28</v>
      </c>
      <c r="H87" s="1">
        <v>185</v>
      </c>
      <c r="I87" s="1">
        <f t="shared" si="12"/>
        <v>46</v>
      </c>
      <c r="J87" s="1">
        <f>VLOOKUP(B87,Cena!$A$2:$B$101,2)</f>
        <v>104</v>
      </c>
      <c r="K87" s="1">
        <f t="shared" si="8"/>
        <v>4784</v>
      </c>
      <c r="L87" s="1">
        <f t="shared" si="13"/>
        <v>1100.32</v>
      </c>
      <c r="M87" s="22">
        <f t="shared" si="9"/>
        <v>5884.32</v>
      </c>
      <c r="N87" s="1">
        <f t="shared" ca="1" si="14"/>
        <v>2</v>
      </c>
      <c r="P87" s="1">
        <v>46.956842096551554</v>
      </c>
      <c r="Q87" s="1">
        <f t="shared" ca="1" si="15"/>
        <v>22</v>
      </c>
      <c r="R87" s="1">
        <v>12.691007239263854</v>
      </c>
    </row>
    <row r="88" spans="1:18" x14ac:dyDescent="0.3">
      <c r="A88" s="26">
        <v>87</v>
      </c>
      <c r="B88" s="1">
        <v>13</v>
      </c>
      <c r="C88" s="1">
        <f t="shared" si="11"/>
        <v>6</v>
      </c>
      <c r="D88" s="21">
        <f t="shared" ca="1" si="10"/>
        <v>44648</v>
      </c>
      <c r="E88" s="1" t="s">
        <v>26</v>
      </c>
      <c r="F88" s="1" t="s">
        <v>116</v>
      </c>
      <c r="G88" s="1" t="s">
        <v>28</v>
      </c>
      <c r="H88" s="1">
        <v>186</v>
      </c>
      <c r="I88" s="1">
        <f t="shared" si="12"/>
        <v>58</v>
      </c>
      <c r="J88" s="1">
        <f>VLOOKUP(B88,Cena!$A$2:$B$101,2)</f>
        <v>94</v>
      </c>
      <c r="K88" s="1">
        <f t="shared" si="8"/>
        <v>5452</v>
      </c>
      <c r="L88" s="1">
        <f t="shared" si="13"/>
        <v>1253.96</v>
      </c>
      <c r="M88" s="22">
        <f t="shared" si="9"/>
        <v>6705.96</v>
      </c>
      <c r="N88" s="1">
        <f t="shared" ca="1" si="14"/>
        <v>3</v>
      </c>
      <c r="P88" s="1">
        <v>58.308120413857978</v>
      </c>
      <c r="Q88" s="1">
        <f t="shared" ca="1" si="15"/>
        <v>13</v>
      </c>
      <c r="R88" s="1">
        <v>6.4752873893303331</v>
      </c>
    </row>
    <row r="89" spans="1:18" x14ac:dyDescent="0.3">
      <c r="A89" s="26">
        <v>88</v>
      </c>
      <c r="B89" s="1">
        <v>10</v>
      </c>
      <c r="C89" s="1">
        <f t="shared" si="11"/>
        <v>10</v>
      </c>
      <c r="D89" s="21">
        <f t="shared" ca="1" si="10"/>
        <v>44891</v>
      </c>
      <c r="E89" s="1" t="s">
        <v>26</v>
      </c>
      <c r="F89" s="1" t="s">
        <v>117</v>
      </c>
      <c r="G89" s="1" t="s">
        <v>28</v>
      </c>
      <c r="H89" s="1">
        <v>187</v>
      </c>
      <c r="I89" s="1">
        <f t="shared" si="12"/>
        <v>60</v>
      </c>
      <c r="J89" s="1">
        <f>VLOOKUP(B89,Cena!$A$2:$B$101,2)</f>
        <v>109</v>
      </c>
      <c r="K89" s="1">
        <f t="shared" si="8"/>
        <v>6540</v>
      </c>
      <c r="L89" s="1">
        <f t="shared" si="13"/>
        <v>1504.2</v>
      </c>
      <c r="M89" s="22">
        <f t="shared" si="9"/>
        <v>8044.2</v>
      </c>
      <c r="N89" s="1">
        <f t="shared" ca="1" si="14"/>
        <v>11</v>
      </c>
      <c r="P89" s="1">
        <v>60.172584552492481</v>
      </c>
      <c r="Q89" s="1">
        <f t="shared" ca="1" si="15"/>
        <v>2</v>
      </c>
      <c r="R89" s="1">
        <v>10.05785523171653</v>
      </c>
    </row>
    <row r="90" spans="1:18" x14ac:dyDescent="0.3">
      <c r="A90" s="26">
        <v>89</v>
      </c>
      <c r="B90" s="1">
        <v>13</v>
      </c>
      <c r="C90" s="1">
        <f t="shared" si="11"/>
        <v>12</v>
      </c>
      <c r="D90" s="21">
        <f t="shared" ca="1" si="10"/>
        <v>44571</v>
      </c>
      <c r="E90" s="1" t="s">
        <v>26</v>
      </c>
      <c r="F90" s="1" t="s">
        <v>118</v>
      </c>
      <c r="G90" s="1" t="s">
        <v>28</v>
      </c>
      <c r="H90" s="1">
        <v>188</v>
      </c>
      <c r="I90" s="1">
        <f t="shared" si="12"/>
        <v>47</v>
      </c>
      <c r="J90" s="1">
        <f>VLOOKUP(B90,Cena!$A$2:$B$101,2)</f>
        <v>94</v>
      </c>
      <c r="K90" s="1">
        <f t="shared" si="8"/>
        <v>4418</v>
      </c>
      <c r="L90" s="1">
        <f t="shared" si="13"/>
        <v>1016.1400000000001</v>
      </c>
      <c r="M90" s="22">
        <f t="shared" si="9"/>
        <v>5434.14</v>
      </c>
      <c r="N90" s="1">
        <f t="shared" ca="1" si="14"/>
        <v>1</v>
      </c>
      <c r="P90" s="1">
        <v>47.494319359248038</v>
      </c>
      <c r="Q90" s="1">
        <f t="shared" ca="1" si="15"/>
        <v>17</v>
      </c>
      <c r="R90" s="1">
        <v>12.928345566033386</v>
      </c>
    </row>
    <row r="91" spans="1:18" x14ac:dyDescent="0.3">
      <c r="A91" s="26">
        <v>90</v>
      </c>
      <c r="B91" s="1">
        <v>7</v>
      </c>
      <c r="C91" s="1">
        <f t="shared" si="11"/>
        <v>9</v>
      </c>
      <c r="D91" s="21">
        <f t="shared" ca="1" si="10"/>
        <v>44913</v>
      </c>
      <c r="E91" s="1" t="s">
        <v>26</v>
      </c>
      <c r="F91" s="1" t="s">
        <v>119</v>
      </c>
      <c r="G91" s="1" t="s">
        <v>28</v>
      </c>
      <c r="H91" s="1">
        <v>189</v>
      </c>
      <c r="I91" s="1">
        <f t="shared" si="12"/>
        <v>46</v>
      </c>
      <c r="J91" s="1">
        <f>VLOOKUP(B91,Cena!$A$2:$B$101,2)</f>
        <v>104</v>
      </c>
      <c r="K91" s="1">
        <f t="shared" si="8"/>
        <v>4784</v>
      </c>
      <c r="L91" s="1">
        <f t="shared" si="13"/>
        <v>1100.32</v>
      </c>
      <c r="M91" s="22">
        <f t="shared" si="9"/>
        <v>5884.32</v>
      </c>
      <c r="N91" s="1">
        <f t="shared" ca="1" si="14"/>
        <v>12</v>
      </c>
      <c r="P91" s="1">
        <v>46.012593328487128</v>
      </c>
      <c r="Q91" s="1">
        <f t="shared" ca="1" si="15"/>
        <v>4</v>
      </c>
      <c r="R91" s="1">
        <v>9.9769556779938284</v>
      </c>
    </row>
    <row r="92" spans="1:18" x14ac:dyDescent="0.3">
      <c r="A92" s="26">
        <v>91</v>
      </c>
      <c r="B92" s="1">
        <v>29</v>
      </c>
      <c r="C92" s="1">
        <f t="shared" si="11"/>
        <v>12</v>
      </c>
      <c r="D92" s="21">
        <f t="shared" ca="1" si="10"/>
        <v>44840</v>
      </c>
      <c r="E92" s="1" t="s">
        <v>26</v>
      </c>
      <c r="F92" s="1" t="s">
        <v>120</v>
      </c>
      <c r="G92" s="1" t="s">
        <v>28</v>
      </c>
      <c r="H92" s="1">
        <v>190</v>
      </c>
      <c r="I92" s="1">
        <f t="shared" si="12"/>
        <v>32</v>
      </c>
      <c r="J92" s="1">
        <f>VLOOKUP(B92,Cena!$A$2:$B$101,2)</f>
        <v>105</v>
      </c>
      <c r="K92" s="1">
        <f t="shared" si="8"/>
        <v>3360</v>
      </c>
      <c r="L92" s="1">
        <f t="shared" si="13"/>
        <v>772.80000000000007</v>
      </c>
      <c r="M92" s="22">
        <f t="shared" si="9"/>
        <v>4132.8</v>
      </c>
      <c r="N92" s="1">
        <f t="shared" ca="1" si="14"/>
        <v>10</v>
      </c>
      <c r="P92" s="1">
        <v>32.203735271468759</v>
      </c>
      <c r="Q92" s="1">
        <f t="shared" ca="1" si="15"/>
        <v>19</v>
      </c>
      <c r="R92" s="1">
        <v>12.527156084397575</v>
      </c>
    </row>
    <row r="93" spans="1:18" x14ac:dyDescent="0.3">
      <c r="A93" s="26">
        <v>92</v>
      </c>
      <c r="B93" s="1">
        <v>1</v>
      </c>
      <c r="C93" s="1">
        <f t="shared" si="11"/>
        <v>10</v>
      </c>
      <c r="D93" s="21">
        <f t="shared" ca="1" si="10"/>
        <v>44717</v>
      </c>
      <c r="E93" s="1" t="s">
        <v>26</v>
      </c>
      <c r="F93" s="1" t="s">
        <v>121</v>
      </c>
      <c r="G93" s="1" t="s">
        <v>28</v>
      </c>
      <c r="H93" s="1">
        <v>191</v>
      </c>
      <c r="I93" s="1">
        <f t="shared" si="12"/>
        <v>58</v>
      </c>
      <c r="J93" s="1">
        <f>VLOOKUP(B93,Cena!$A$2:$B$101,2)</f>
        <v>84</v>
      </c>
      <c r="K93" s="1">
        <f t="shared" si="8"/>
        <v>4872</v>
      </c>
      <c r="L93" s="1">
        <f t="shared" si="13"/>
        <v>1120.56</v>
      </c>
      <c r="M93" s="22">
        <f t="shared" si="9"/>
        <v>5992.5599999999995</v>
      </c>
      <c r="N93" s="1">
        <f t="shared" ca="1" si="14"/>
        <v>6</v>
      </c>
      <c r="P93" s="1">
        <v>58.996676115202717</v>
      </c>
      <c r="Q93" s="1">
        <f t="shared" ca="1" si="15"/>
        <v>18</v>
      </c>
      <c r="R93" s="1">
        <v>10.39977692267712</v>
      </c>
    </row>
    <row r="94" spans="1:18" x14ac:dyDescent="0.3">
      <c r="A94" s="26">
        <v>93</v>
      </c>
      <c r="B94" s="1">
        <v>5</v>
      </c>
      <c r="C94" s="1">
        <f t="shared" si="11"/>
        <v>10</v>
      </c>
      <c r="D94" s="21">
        <f t="shared" ca="1" si="10"/>
        <v>44618</v>
      </c>
      <c r="E94" s="1" t="s">
        <v>26</v>
      </c>
      <c r="F94" s="1" t="s">
        <v>122</v>
      </c>
      <c r="G94" s="1" t="s">
        <v>28</v>
      </c>
      <c r="H94" s="1">
        <v>192</v>
      </c>
      <c r="I94" s="1">
        <f t="shared" si="12"/>
        <v>38</v>
      </c>
      <c r="J94" s="1">
        <f>VLOOKUP(B94,Cena!$A$2:$B$101,2)</f>
        <v>91</v>
      </c>
      <c r="K94" s="1">
        <f t="shared" si="8"/>
        <v>3458</v>
      </c>
      <c r="L94" s="1">
        <f t="shared" si="13"/>
        <v>795.34</v>
      </c>
      <c r="M94" s="22">
        <f t="shared" si="9"/>
        <v>4253.34</v>
      </c>
      <c r="N94" s="1">
        <f t="shared" ca="1" si="14"/>
        <v>2</v>
      </c>
      <c r="P94" s="1">
        <v>38.538093020906672</v>
      </c>
      <c r="Q94" s="1">
        <f t="shared" ca="1" si="15"/>
        <v>21</v>
      </c>
      <c r="R94" s="1">
        <v>10.256432031164877</v>
      </c>
    </row>
    <row r="95" spans="1:18" x14ac:dyDescent="0.3">
      <c r="A95" s="26">
        <v>94</v>
      </c>
      <c r="B95" s="1">
        <v>6</v>
      </c>
      <c r="C95" s="1">
        <f t="shared" si="11"/>
        <v>9</v>
      </c>
      <c r="D95" s="21">
        <f t="shared" ca="1" si="10"/>
        <v>44922</v>
      </c>
      <c r="E95" s="1" t="s">
        <v>26</v>
      </c>
      <c r="F95" s="1" t="s">
        <v>123</v>
      </c>
      <c r="G95" s="1" t="s">
        <v>28</v>
      </c>
      <c r="H95" s="1">
        <v>193</v>
      </c>
      <c r="I95" s="1">
        <f t="shared" si="12"/>
        <v>38</v>
      </c>
      <c r="J95" s="1">
        <f>VLOOKUP(B95,Cena!$A$2:$B$101,2)</f>
        <v>86</v>
      </c>
      <c r="K95" s="1">
        <f t="shared" ref="K95:K158" si="16">I95*J95</f>
        <v>3268</v>
      </c>
      <c r="L95" s="1">
        <f t="shared" si="13"/>
        <v>751.64</v>
      </c>
      <c r="M95" s="22">
        <f t="shared" ref="M95:M158" si="17">K95+L95</f>
        <v>4019.64</v>
      </c>
      <c r="N95" s="1">
        <f t="shared" ca="1" si="14"/>
        <v>12</v>
      </c>
      <c r="P95" s="1">
        <v>38.456556820892729</v>
      </c>
      <c r="Q95" s="1">
        <f t="shared" ca="1" si="15"/>
        <v>7</v>
      </c>
      <c r="R95" s="1">
        <v>9.564539621133008</v>
      </c>
    </row>
    <row r="96" spans="1:18" x14ac:dyDescent="0.3">
      <c r="A96" s="26">
        <v>95</v>
      </c>
      <c r="B96" s="1">
        <v>11</v>
      </c>
      <c r="C96" s="1">
        <f t="shared" si="11"/>
        <v>6</v>
      </c>
      <c r="D96" s="21">
        <f t="shared" ca="1" si="10"/>
        <v>44607</v>
      </c>
      <c r="E96" s="1" t="s">
        <v>26</v>
      </c>
      <c r="F96" s="1" t="s">
        <v>124</v>
      </c>
      <c r="G96" s="1" t="s">
        <v>28</v>
      </c>
      <c r="H96" s="1">
        <v>194</v>
      </c>
      <c r="I96" s="1">
        <f t="shared" si="12"/>
        <v>43</v>
      </c>
      <c r="J96" s="1">
        <f>VLOOKUP(B96,Cena!$A$2:$B$101,2)</f>
        <v>83</v>
      </c>
      <c r="K96" s="1">
        <f t="shared" si="16"/>
        <v>3569</v>
      </c>
      <c r="L96" s="1">
        <f t="shared" si="13"/>
        <v>820.87</v>
      </c>
      <c r="M96" s="22">
        <f t="shared" si="17"/>
        <v>4389.87</v>
      </c>
      <c r="N96" s="1">
        <f t="shared" ca="1" si="14"/>
        <v>2</v>
      </c>
      <c r="P96" s="1">
        <v>43.433857525815256</v>
      </c>
      <c r="Q96" s="1">
        <f t="shared" ca="1" si="15"/>
        <v>13</v>
      </c>
      <c r="R96" s="1">
        <v>6.8650229220656911</v>
      </c>
    </row>
    <row r="97" spans="1:18" x14ac:dyDescent="0.3">
      <c r="A97" s="26">
        <v>96</v>
      </c>
      <c r="B97" s="1">
        <v>17</v>
      </c>
      <c r="C97" s="1">
        <f t="shared" si="11"/>
        <v>7</v>
      </c>
      <c r="D97" s="21">
        <f t="shared" ca="1" si="10"/>
        <v>44845</v>
      </c>
      <c r="E97" s="1" t="s">
        <v>26</v>
      </c>
      <c r="F97" s="1" t="s">
        <v>125</v>
      </c>
      <c r="G97" s="1" t="s">
        <v>28</v>
      </c>
      <c r="H97" s="1">
        <v>195</v>
      </c>
      <c r="I97" s="1">
        <f t="shared" si="12"/>
        <v>43</v>
      </c>
      <c r="J97" s="1">
        <f>VLOOKUP(B97,Cena!$A$2:$B$101,2)</f>
        <v>84</v>
      </c>
      <c r="K97" s="1">
        <f t="shared" si="16"/>
        <v>3612</v>
      </c>
      <c r="L97" s="1">
        <f t="shared" si="13"/>
        <v>830.76</v>
      </c>
      <c r="M97" s="22">
        <f t="shared" si="17"/>
        <v>4442.76</v>
      </c>
      <c r="N97" s="1">
        <f t="shared" ca="1" si="14"/>
        <v>10</v>
      </c>
      <c r="P97" s="1">
        <v>43.156097843893804</v>
      </c>
      <c r="Q97" s="1">
        <f t="shared" ca="1" si="15"/>
        <v>20</v>
      </c>
      <c r="R97" s="1">
        <v>7.0625140122137964</v>
      </c>
    </row>
    <row r="98" spans="1:18" x14ac:dyDescent="0.3">
      <c r="A98" s="26">
        <v>97</v>
      </c>
      <c r="B98" s="1">
        <v>23</v>
      </c>
      <c r="C98" s="1">
        <f t="shared" si="11"/>
        <v>8</v>
      </c>
      <c r="D98" s="21">
        <f t="shared" ca="1" si="10"/>
        <v>44799</v>
      </c>
      <c r="E98" s="1" t="s">
        <v>26</v>
      </c>
      <c r="F98" s="1" t="s">
        <v>126</v>
      </c>
      <c r="G98" s="1" t="s">
        <v>28</v>
      </c>
      <c r="H98" s="1">
        <v>196</v>
      </c>
      <c r="I98" s="1">
        <f t="shared" si="12"/>
        <v>45</v>
      </c>
      <c r="J98" s="1">
        <f>VLOOKUP(B98,Cena!$A$2:$B$101,2)</f>
        <v>132</v>
      </c>
      <c r="K98" s="1">
        <f t="shared" si="16"/>
        <v>5940</v>
      </c>
      <c r="L98" s="1">
        <f t="shared" si="13"/>
        <v>1366.2</v>
      </c>
      <c r="M98" s="22">
        <f t="shared" si="17"/>
        <v>7306.2</v>
      </c>
      <c r="N98" s="1">
        <f t="shared" ca="1" si="14"/>
        <v>8</v>
      </c>
      <c r="P98" s="1">
        <v>45.343955561111216</v>
      </c>
      <c r="Q98" s="1">
        <f t="shared" ca="1" si="15"/>
        <v>20</v>
      </c>
      <c r="R98" s="1">
        <v>8.3396776315203169</v>
      </c>
    </row>
    <row r="99" spans="1:18" x14ac:dyDescent="0.3">
      <c r="A99" s="26">
        <v>98</v>
      </c>
      <c r="B99" s="1">
        <v>11</v>
      </c>
      <c r="C99" s="1">
        <f t="shared" si="11"/>
        <v>14</v>
      </c>
      <c r="D99" s="21">
        <f t="shared" ca="1" si="10"/>
        <v>44809</v>
      </c>
      <c r="E99" s="1" t="s">
        <v>26</v>
      </c>
      <c r="F99" s="1" t="s">
        <v>127</v>
      </c>
      <c r="G99" s="1" t="s">
        <v>28</v>
      </c>
      <c r="H99" s="1">
        <v>197</v>
      </c>
      <c r="I99" s="1">
        <f t="shared" si="12"/>
        <v>60</v>
      </c>
      <c r="J99" s="1">
        <f>VLOOKUP(B99,Cena!$A$2:$B$101,2)</f>
        <v>83</v>
      </c>
      <c r="K99" s="1">
        <f t="shared" si="16"/>
        <v>4980</v>
      </c>
      <c r="L99" s="1">
        <f t="shared" si="13"/>
        <v>1145.4000000000001</v>
      </c>
      <c r="M99" s="22">
        <f t="shared" si="17"/>
        <v>6125.4</v>
      </c>
      <c r="N99" s="1">
        <f t="shared" ca="1" si="14"/>
        <v>9</v>
      </c>
      <c r="P99" s="1">
        <v>60.088251656270586</v>
      </c>
      <c r="Q99" s="1">
        <f t="shared" ca="1" si="15"/>
        <v>1</v>
      </c>
      <c r="R99" s="1">
        <v>14.025389443995664</v>
      </c>
    </row>
    <row r="100" spans="1:18" x14ac:dyDescent="0.3">
      <c r="A100" s="26">
        <v>99</v>
      </c>
      <c r="B100" s="1">
        <v>11</v>
      </c>
      <c r="C100" s="1">
        <f t="shared" si="11"/>
        <v>7</v>
      </c>
      <c r="D100" s="21">
        <f t="shared" ca="1" si="10"/>
        <v>44563</v>
      </c>
      <c r="E100" s="1" t="s">
        <v>26</v>
      </c>
      <c r="F100" s="1" t="s">
        <v>128</v>
      </c>
      <c r="G100" s="1" t="s">
        <v>28</v>
      </c>
      <c r="H100" s="1">
        <v>198</v>
      </c>
      <c r="I100" s="1">
        <f t="shared" si="12"/>
        <v>61</v>
      </c>
      <c r="J100" s="1">
        <f>VLOOKUP(B100,Cena!$A$2:$B$101,2)</f>
        <v>83</v>
      </c>
      <c r="K100" s="1">
        <f t="shared" si="16"/>
        <v>5063</v>
      </c>
      <c r="L100" s="1">
        <f t="shared" si="13"/>
        <v>1164.49</v>
      </c>
      <c r="M100" s="22">
        <f t="shared" si="17"/>
        <v>6227.49</v>
      </c>
      <c r="N100" s="1">
        <f t="shared" ca="1" si="14"/>
        <v>1</v>
      </c>
      <c r="P100" s="1">
        <v>61.928773346880917</v>
      </c>
      <c r="Q100" s="1">
        <f t="shared" ca="1" si="15"/>
        <v>16</v>
      </c>
      <c r="R100" s="1">
        <v>7.9259371230000397</v>
      </c>
    </row>
    <row r="101" spans="1:18" x14ac:dyDescent="0.3">
      <c r="A101" s="26">
        <v>100</v>
      </c>
      <c r="B101" s="1">
        <v>1</v>
      </c>
      <c r="C101" s="1">
        <f t="shared" si="11"/>
        <v>6</v>
      </c>
      <c r="D101" s="21">
        <f t="shared" ca="1" si="10"/>
        <v>44576</v>
      </c>
      <c r="E101" s="1" t="s">
        <v>26</v>
      </c>
      <c r="F101" s="1" t="s">
        <v>129</v>
      </c>
      <c r="G101" s="1" t="s">
        <v>28</v>
      </c>
      <c r="H101" s="1">
        <v>199</v>
      </c>
      <c r="I101" s="1">
        <f t="shared" si="12"/>
        <v>63</v>
      </c>
      <c r="J101" s="1">
        <f>VLOOKUP(B101,Cena!$A$2:$B$101,2)</f>
        <v>84</v>
      </c>
      <c r="K101" s="1">
        <f t="shared" si="16"/>
        <v>5292</v>
      </c>
      <c r="L101" s="1">
        <f t="shared" si="13"/>
        <v>1217.1600000000001</v>
      </c>
      <c r="M101" s="22">
        <f t="shared" si="17"/>
        <v>6509.16</v>
      </c>
      <c r="N101" s="1">
        <f t="shared" ca="1" si="14"/>
        <v>1</v>
      </c>
      <c r="P101" s="1">
        <v>63.70283371215919</v>
      </c>
      <c r="Q101" s="1">
        <f t="shared" ca="1" si="15"/>
        <v>30</v>
      </c>
      <c r="R101" s="1">
        <v>6.4825065035256557</v>
      </c>
    </row>
    <row r="102" spans="1:18" x14ac:dyDescent="0.3">
      <c r="A102" s="26">
        <v>101</v>
      </c>
      <c r="B102" s="1">
        <v>30</v>
      </c>
      <c r="C102" s="1">
        <f t="shared" si="11"/>
        <v>5</v>
      </c>
      <c r="D102" s="21">
        <f t="shared" ca="1" si="10"/>
        <v>44626</v>
      </c>
      <c r="E102" s="1" t="s">
        <v>26</v>
      </c>
      <c r="F102" s="1" t="s">
        <v>130</v>
      </c>
      <c r="G102" s="1" t="s">
        <v>28</v>
      </c>
      <c r="H102" s="1">
        <v>200</v>
      </c>
      <c r="I102" s="1">
        <f t="shared" si="12"/>
        <v>65</v>
      </c>
      <c r="J102" s="1">
        <f>VLOOKUP(B102,Cena!$A$2:$B$101,2)</f>
        <v>87</v>
      </c>
      <c r="K102" s="1">
        <f t="shared" si="16"/>
        <v>5655</v>
      </c>
      <c r="L102" s="1">
        <f t="shared" si="13"/>
        <v>1300.6500000000001</v>
      </c>
      <c r="M102" s="22">
        <f t="shared" si="17"/>
        <v>6955.65</v>
      </c>
      <c r="N102" s="1">
        <f t="shared" ca="1" si="14"/>
        <v>3</v>
      </c>
      <c r="P102" s="1">
        <v>65.456225810339674</v>
      </c>
      <c r="Q102" s="1">
        <f t="shared" ca="1" si="15"/>
        <v>19</v>
      </c>
      <c r="R102" s="1">
        <v>5.6446572468848899</v>
      </c>
    </row>
    <row r="103" spans="1:18" x14ac:dyDescent="0.3">
      <c r="A103" s="26">
        <v>102</v>
      </c>
      <c r="B103" s="1">
        <v>4</v>
      </c>
      <c r="C103" s="1">
        <f t="shared" si="11"/>
        <v>8</v>
      </c>
      <c r="D103" s="21">
        <f t="shared" ca="1" si="10"/>
        <v>44737</v>
      </c>
      <c r="E103" s="1" t="s">
        <v>26</v>
      </c>
      <c r="F103" s="1" t="s">
        <v>131</v>
      </c>
      <c r="G103" s="1" t="s">
        <v>28</v>
      </c>
      <c r="H103" s="1">
        <v>201</v>
      </c>
      <c r="I103" s="1">
        <f t="shared" si="12"/>
        <v>44</v>
      </c>
      <c r="J103" s="1">
        <f>VLOOKUP(B103,Cena!$A$2:$B$101,2)</f>
        <v>99</v>
      </c>
      <c r="K103" s="1">
        <f t="shared" si="16"/>
        <v>4356</v>
      </c>
      <c r="L103" s="1">
        <f t="shared" si="13"/>
        <v>1001.88</v>
      </c>
      <c r="M103" s="22">
        <f t="shared" si="17"/>
        <v>5357.88</v>
      </c>
      <c r="N103" s="1">
        <f t="shared" ca="1" si="14"/>
        <v>6</v>
      </c>
      <c r="P103" s="1">
        <v>44.699646777007729</v>
      </c>
      <c r="Q103" s="1">
        <f t="shared" ca="1" si="15"/>
        <v>9</v>
      </c>
      <c r="R103" s="1">
        <v>8.6122077189065749</v>
      </c>
    </row>
    <row r="104" spans="1:18" x14ac:dyDescent="0.3">
      <c r="A104" s="26">
        <v>103</v>
      </c>
      <c r="B104" s="1">
        <v>15</v>
      </c>
      <c r="C104" s="1">
        <f t="shared" si="11"/>
        <v>13</v>
      </c>
      <c r="D104" s="21">
        <f t="shared" ca="1" si="10"/>
        <v>44580</v>
      </c>
      <c r="E104" s="1" t="s">
        <v>26</v>
      </c>
      <c r="F104" s="1" t="s">
        <v>132</v>
      </c>
      <c r="G104" s="1" t="s">
        <v>28</v>
      </c>
      <c r="H104" s="1">
        <v>202</v>
      </c>
      <c r="I104" s="1">
        <f t="shared" si="12"/>
        <v>35</v>
      </c>
      <c r="J104" s="1">
        <f>VLOOKUP(B104,Cena!$A$2:$B$101,2)</f>
        <v>85</v>
      </c>
      <c r="K104" s="1">
        <f t="shared" si="16"/>
        <v>2975</v>
      </c>
      <c r="L104" s="1">
        <f t="shared" si="13"/>
        <v>684.25</v>
      </c>
      <c r="M104" s="22">
        <f t="shared" si="17"/>
        <v>3659.25</v>
      </c>
      <c r="N104" s="1">
        <f t="shared" ca="1" si="14"/>
        <v>1</v>
      </c>
      <c r="P104" s="1">
        <v>35.330850904574618</v>
      </c>
      <c r="Q104" s="1">
        <f t="shared" ca="1" si="15"/>
        <v>14</v>
      </c>
      <c r="R104" s="1">
        <v>13.943000592698809</v>
      </c>
    </row>
    <row r="105" spans="1:18" x14ac:dyDescent="0.3">
      <c r="A105" s="26">
        <v>104</v>
      </c>
      <c r="B105" s="1">
        <v>24</v>
      </c>
      <c r="C105" s="1">
        <f t="shared" si="11"/>
        <v>13</v>
      </c>
      <c r="D105" s="21">
        <f t="shared" ca="1" si="10"/>
        <v>44709</v>
      </c>
      <c r="E105" s="1" t="s">
        <v>26</v>
      </c>
      <c r="F105" s="1" t="s">
        <v>133</v>
      </c>
      <c r="G105" s="1" t="s">
        <v>28</v>
      </c>
      <c r="H105" s="1">
        <v>203</v>
      </c>
      <c r="I105" s="1">
        <f t="shared" si="12"/>
        <v>43</v>
      </c>
      <c r="J105" s="1">
        <f>VLOOKUP(B105,Cena!$A$2:$B$101,2)</f>
        <v>125</v>
      </c>
      <c r="K105" s="1">
        <f t="shared" si="16"/>
        <v>5375</v>
      </c>
      <c r="L105" s="1">
        <f t="shared" si="13"/>
        <v>1236.25</v>
      </c>
      <c r="M105" s="22">
        <f t="shared" si="17"/>
        <v>6611.25</v>
      </c>
      <c r="N105" s="1">
        <f t="shared" ca="1" si="14"/>
        <v>5</v>
      </c>
      <c r="P105" s="1">
        <v>43.625317529222229</v>
      </c>
      <c r="Q105" s="1">
        <f t="shared" ca="1" si="15"/>
        <v>6</v>
      </c>
      <c r="R105" s="1">
        <v>13.236630163883092</v>
      </c>
    </row>
    <row r="106" spans="1:18" x14ac:dyDescent="0.3">
      <c r="A106" s="26">
        <v>105</v>
      </c>
      <c r="B106" s="1">
        <v>8</v>
      </c>
      <c r="C106" s="1">
        <f t="shared" si="11"/>
        <v>9</v>
      </c>
      <c r="D106" s="21">
        <f t="shared" ca="1" si="10"/>
        <v>44776</v>
      </c>
      <c r="E106" s="1" t="s">
        <v>26</v>
      </c>
      <c r="F106" s="1" t="s">
        <v>134</v>
      </c>
      <c r="G106" s="1" t="s">
        <v>28</v>
      </c>
      <c r="H106" s="1">
        <v>204</v>
      </c>
      <c r="I106" s="1">
        <f t="shared" si="12"/>
        <v>49</v>
      </c>
      <c r="J106" s="1">
        <f>VLOOKUP(B106,Cena!$A$2:$B$101,2)</f>
        <v>88</v>
      </c>
      <c r="K106" s="1">
        <f t="shared" si="16"/>
        <v>4312</v>
      </c>
      <c r="L106" s="1">
        <f t="shared" si="13"/>
        <v>991.76</v>
      </c>
      <c r="M106" s="22">
        <f t="shared" si="17"/>
        <v>5303.76</v>
      </c>
      <c r="N106" s="1">
        <f t="shared" ca="1" si="14"/>
        <v>8</v>
      </c>
      <c r="P106" s="1">
        <v>49.331294020521455</v>
      </c>
      <c r="Q106" s="1">
        <f t="shared" ca="1" si="15"/>
        <v>15</v>
      </c>
      <c r="R106" s="1">
        <v>9.4657287061272655</v>
      </c>
    </row>
    <row r="107" spans="1:18" x14ac:dyDescent="0.3">
      <c r="A107" s="26">
        <v>106</v>
      </c>
      <c r="B107" s="1">
        <v>19</v>
      </c>
      <c r="C107" s="1">
        <f t="shared" si="11"/>
        <v>11</v>
      </c>
      <c r="D107" s="21">
        <f t="shared" ca="1" si="10"/>
        <v>44709</v>
      </c>
      <c r="E107" s="1" t="s">
        <v>26</v>
      </c>
      <c r="F107" s="1" t="s">
        <v>135</v>
      </c>
      <c r="G107" s="1" t="s">
        <v>28</v>
      </c>
      <c r="H107" s="1">
        <v>205</v>
      </c>
      <c r="I107" s="1">
        <f t="shared" si="12"/>
        <v>33</v>
      </c>
      <c r="J107" s="1">
        <f>VLOOKUP(B107,Cena!$A$2:$B$101,2)</f>
        <v>84</v>
      </c>
      <c r="K107" s="1">
        <f t="shared" si="16"/>
        <v>2772</v>
      </c>
      <c r="L107" s="1">
        <f t="shared" si="13"/>
        <v>637.56000000000006</v>
      </c>
      <c r="M107" s="22">
        <f t="shared" si="17"/>
        <v>3409.56</v>
      </c>
      <c r="N107" s="1">
        <f t="shared" ca="1" si="14"/>
        <v>5</v>
      </c>
      <c r="P107" s="1">
        <v>33.203269948717207</v>
      </c>
      <c r="Q107" s="1">
        <f t="shared" ca="1" si="15"/>
        <v>6</v>
      </c>
      <c r="R107" s="1">
        <v>11.687362782831769</v>
      </c>
    </row>
    <row r="108" spans="1:18" x14ac:dyDescent="0.3">
      <c r="A108" s="26">
        <v>107</v>
      </c>
      <c r="B108" s="1">
        <v>10</v>
      </c>
      <c r="C108" s="1">
        <f t="shared" si="11"/>
        <v>9</v>
      </c>
      <c r="D108" s="21">
        <f t="shared" ca="1" si="10"/>
        <v>44888</v>
      </c>
      <c r="E108" s="1" t="s">
        <v>26</v>
      </c>
      <c r="F108" s="1" t="s">
        <v>136</v>
      </c>
      <c r="G108" s="1" t="s">
        <v>28</v>
      </c>
      <c r="H108" s="1">
        <v>206</v>
      </c>
      <c r="I108" s="1">
        <f t="shared" si="12"/>
        <v>50</v>
      </c>
      <c r="J108" s="1">
        <f>VLOOKUP(B108,Cena!$A$2:$B$101,2)</f>
        <v>109</v>
      </c>
      <c r="K108" s="1">
        <f t="shared" si="16"/>
        <v>5450</v>
      </c>
      <c r="L108" s="1">
        <f t="shared" si="13"/>
        <v>1253.5</v>
      </c>
      <c r="M108" s="22">
        <f t="shared" si="17"/>
        <v>6703.5</v>
      </c>
      <c r="N108" s="1">
        <f t="shared" ca="1" si="14"/>
        <v>11</v>
      </c>
      <c r="P108" s="1">
        <v>50.757677298679482</v>
      </c>
      <c r="Q108" s="1">
        <f t="shared" ca="1" si="15"/>
        <v>16</v>
      </c>
      <c r="R108" s="1">
        <v>9.8280316049203975</v>
      </c>
    </row>
    <row r="109" spans="1:18" x14ac:dyDescent="0.3">
      <c r="A109" s="26">
        <v>108</v>
      </c>
      <c r="B109" s="1">
        <v>27</v>
      </c>
      <c r="C109" s="1">
        <f t="shared" si="11"/>
        <v>10</v>
      </c>
      <c r="D109" s="21">
        <f t="shared" ca="1" si="10"/>
        <v>44610</v>
      </c>
      <c r="E109" s="1" t="s">
        <v>26</v>
      </c>
      <c r="F109" s="1" t="s">
        <v>137</v>
      </c>
      <c r="G109" s="1" t="s">
        <v>28</v>
      </c>
      <c r="H109" s="1">
        <v>207</v>
      </c>
      <c r="I109" s="1">
        <f t="shared" si="12"/>
        <v>49</v>
      </c>
      <c r="J109" s="1">
        <f>VLOOKUP(B109,Cena!$A$2:$B$101,2)</f>
        <v>87</v>
      </c>
      <c r="K109" s="1">
        <f t="shared" si="16"/>
        <v>4263</v>
      </c>
      <c r="L109" s="1">
        <f t="shared" si="13"/>
        <v>980.49</v>
      </c>
      <c r="M109" s="22">
        <f t="shared" si="17"/>
        <v>5243.49</v>
      </c>
      <c r="N109" s="1">
        <f t="shared" ca="1" si="14"/>
        <v>2</v>
      </c>
      <c r="P109" s="1">
        <v>49.809119799465407</v>
      </c>
      <c r="Q109" s="1">
        <f t="shared" ca="1" si="15"/>
        <v>21</v>
      </c>
      <c r="R109" s="1">
        <v>10.490132379127317</v>
      </c>
    </row>
    <row r="110" spans="1:18" x14ac:dyDescent="0.3">
      <c r="A110" s="26">
        <v>109</v>
      </c>
      <c r="B110" s="1">
        <v>12</v>
      </c>
      <c r="C110" s="1">
        <f t="shared" si="11"/>
        <v>10</v>
      </c>
      <c r="D110" s="21">
        <f t="shared" ca="1" si="10"/>
        <v>44686</v>
      </c>
      <c r="E110" s="1" t="s">
        <v>26</v>
      </c>
      <c r="F110" s="1" t="s">
        <v>138</v>
      </c>
      <c r="G110" s="1" t="s">
        <v>28</v>
      </c>
      <c r="H110" s="1">
        <v>208</v>
      </c>
      <c r="I110" s="1">
        <f t="shared" si="12"/>
        <v>58</v>
      </c>
      <c r="J110" s="1">
        <f>VLOOKUP(B110,Cena!$A$2:$B$101,2)</f>
        <v>88</v>
      </c>
      <c r="K110" s="1">
        <f t="shared" si="16"/>
        <v>5104</v>
      </c>
      <c r="L110" s="1">
        <f t="shared" si="13"/>
        <v>1173.92</v>
      </c>
      <c r="M110" s="22">
        <f t="shared" si="17"/>
        <v>6277.92</v>
      </c>
      <c r="N110" s="1">
        <f t="shared" ca="1" si="14"/>
        <v>5</v>
      </c>
      <c r="P110" s="1">
        <v>58.321103450725786</v>
      </c>
      <c r="Q110" s="1">
        <f t="shared" ca="1" si="15"/>
        <v>17</v>
      </c>
      <c r="R110" s="1">
        <v>10.55052282732504</v>
      </c>
    </row>
    <row r="111" spans="1:18" x14ac:dyDescent="0.3">
      <c r="A111" s="26">
        <v>110</v>
      </c>
      <c r="B111" s="1">
        <v>8</v>
      </c>
      <c r="C111" s="1">
        <f t="shared" si="11"/>
        <v>11</v>
      </c>
      <c r="D111" s="21">
        <f t="shared" ca="1" si="10"/>
        <v>44858</v>
      </c>
      <c r="E111" s="1" t="s">
        <v>26</v>
      </c>
      <c r="F111" s="1" t="s">
        <v>139</v>
      </c>
      <c r="G111" s="1" t="s">
        <v>28</v>
      </c>
      <c r="H111" s="1">
        <v>209</v>
      </c>
      <c r="I111" s="1">
        <f t="shared" si="12"/>
        <v>50</v>
      </c>
      <c r="J111" s="1">
        <f>VLOOKUP(B111,Cena!$A$2:$B$101,2)</f>
        <v>88</v>
      </c>
      <c r="K111" s="1">
        <f t="shared" si="16"/>
        <v>4400</v>
      </c>
      <c r="L111" s="1">
        <f t="shared" si="13"/>
        <v>1012</v>
      </c>
      <c r="M111" s="22">
        <f t="shared" si="17"/>
        <v>5412</v>
      </c>
      <c r="N111" s="1">
        <f t="shared" ca="1" si="14"/>
        <v>10</v>
      </c>
      <c r="P111" s="1">
        <v>50.363070284947753</v>
      </c>
      <c r="Q111" s="1">
        <f t="shared" ca="1" si="15"/>
        <v>10</v>
      </c>
      <c r="R111" s="1">
        <v>11.018216266857053</v>
      </c>
    </row>
    <row r="112" spans="1:18" x14ac:dyDescent="0.3">
      <c r="A112" s="26">
        <v>111</v>
      </c>
      <c r="B112" s="1">
        <v>6</v>
      </c>
      <c r="C112" s="1">
        <f t="shared" si="11"/>
        <v>9</v>
      </c>
      <c r="D112" s="21">
        <f t="shared" ca="1" si="10"/>
        <v>44666</v>
      </c>
      <c r="E112" s="1" t="s">
        <v>26</v>
      </c>
      <c r="F112" s="1" t="s">
        <v>140</v>
      </c>
      <c r="G112" s="1" t="s">
        <v>28</v>
      </c>
      <c r="H112" s="1">
        <v>210</v>
      </c>
      <c r="I112" s="1">
        <f t="shared" si="12"/>
        <v>46</v>
      </c>
      <c r="J112" s="1">
        <f>VLOOKUP(B112,Cena!$A$2:$B$101,2)</f>
        <v>86</v>
      </c>
      <c r="K112" s="1">
        <f t="shared" si="16"/>
        <v>3956</v>
      </c>
      <c r="L112" s="1">
        <f t="shared" si="13"/>
        <v>909.88</v>
      </c>
      <c r="M112" s="22">
        <f t="shared" si="17"/>
        <v>4865.88</v>
      </c>
      <c r="N112" s="1">
        <f t="shared" ca="1" si="14"/>
        <v>4</v>
      </c>
      <c r="P112" s="1">
        <v>46.077940522809513</v>
      </c>
      <c r="Q112" s="1">
        <f t="shared" ca="1" si="15"/>
        <v>18</v>
      </c>
      <c r="R112" s="1">
        <v>9.5349952541801031</v>
      </c>
    </row>
    <row r="113" spans="1:18" x14ac:dyDescent="0.3">
      <c r="A113" s="26">
        <v>112</v>
      </c>
      <c r="B113" s="1">
        <v>27</v>
      </c>
      <c r="C113" s="1">
        <f t="shared" si="11"/>
        <v>12</v>
      </c>
      <c r="D113" s="21">
        <f t="shared" ca="1" si="10"/>
        <v>44858</v>
      </c>
      <c r="E113" s="1" t="s">
        <v>26</v>
      </c>
      <c r="F113" s="1" t="s">
        <v>141</v>
      </c>
      <c r="G113" s="1" t="s">
        <v>28</v>
      </c>
      <c r="H113" s="1">
        <v>211</v>
      </c>
      <c r="I113" s="1">
        <f t="shared" si="12"/>
        <v>56</v>
      </c>
      <c r="J113" s="1">
        <f>VLOOKUP(B113,Cena!$A$2:$B$101,2)</f>
        <v>87</v>
      </c>
      <c r="K113" s="1">
        <f t="shared" si="16"/>
        <v>4872</v>
      </c>
      <c r="L113" s="1">
        <f t="shared" si="13"/>
        <v>1120.56</v>
      </c>
      <c r="M113" s="22">
        <f t="shared" si="17"/>
        <v>5992.5599999999995</v>
      </c>
      <c r="N113" s="1">
        <f t="shared" ca="1" si="14"/>
        <v>10</v>
      </c>
      <c r="P113" s="1">
        <v>56.871971436339663</v>
      </c>
      <c r="Q113" s="1">
        <f t="shared" ca="1" si="15"/>
        <v>19</v>
      </c>
      <c r="R113" s="1">
        <v>12.512217633920955</v>
      </c>
    </row>
    <row r="114" spans="1:18" x14ac:dyDescent="0.3">
      <c r="A114" s="26">
        <v>113</v>
      </c>
      <c r="B114" s="1">
        <v>7</v>
      </c>
      <c r="C114" s="1">
        <f t="shared" si="11"/>
        <v>13</v>
      </c>
      <c r="D114" s="21">
        <f t="shared" ca="1" si="10"/>
        <v>44569</v>
      </c>
      <c r="E114" s="1" t="s">
        <v>26</v>
      </c>
      <c r="F114" s="1" t="s">
        <v>142</v>
      </c>
      <c r="G114" s="1" t="s">
        <v>28</v>
      </c>
      <c r="H114" s="1">
        <v>212</v>
      </c>
      <c r="I114" s="1">
        <f t="shared" si="12"/>
        <v>56</v>
      </c>
      <c r="J114" s="1">
        <f>VLOOKUP(B114,Cena!$A$2:$B$101,2)</f>
        <v>104</v>
      </c>
      <c r="K114" s="1">
        <f t="shared" si="16"/>
        <v>5824</v>
      </c>
      <c r="L114" s="1">
        <f t="shared" si="13"/>
        <v>1339.52</v>
      </c>
      <c r="M114" s="22">
        <f t="shared" si="17"/>
        <v>7163.52</v>
      </c>
      <c r="N114" s="1">
        <f t="shared" ca="1" si="14"/>
        <v>1</v>
      </c>
      <c r="P114" s="1">
        <v>56.470577318395954</v>
      </c>
      <c r="Q114" s="1">
        <f t="shared" ca="1" si="15"/>
        <v>17</v>
      </c>
      <c r="R114" s="1">
        <v>13.907575774064753</v>
      </c>
    </row>
    <row r="115" spans="1:18" x14ac:dyDescent="0.3">
      <c r="A115" s="26">
        <v>114</v>
      </c>
      <c r="B115" s="1">
        <v>16</v>
      </c>
      <c r="C115" s="1">
        <f t="shared" si="11"/>
        <v>10</v>
      </c>
      <c r="D115" s="21">
        <f t="shared" ca="1" si="10"/>
        <v>44657</v>
      </c>
      <c r="E115" s="1" t="s">
        <v>26</v>
      </c>
      <c r="F115" s="1" t="s">
        <v>143</v>
      </c>
      <c r="G115" s="1" t="s">
        <v>28</v>
      </c>
      <c r="H115" s="1">
        <v>213</v>
      </c>
      <c r="I115" s="1">
        <f t="shared" si="12"/>
        <v>62</v>
      </c>
      <c r="J115" s="1">
        <f>VLOOKUP(B115,Cena!$A$2:$B$101,2)</f>
        <v>93</v>
      </c>
      <c r="K115" s="1">
        <f t="shared" si="16"/>
        <v>5766</v>
      </c>
      <c r="L115" s="1">
        <f t="shared" si="13"/>
        <v>1326.18</v>
      </c>
      <c r="M115" s="22">
        <f t="shared" si="17"/>
        <v>7092.18</v>
      </c>
      <c r="N115" s="1">
        <f t="shared" ca="1" si="14"/>
        <v>4</v>
      </c>
      <c r="P115" s="1">
        <v>62.225405043864157</v>
      </c>
      <c r="Q115" s="1">
        <f t="shared" ca="1" si="15"/>
        <v>19</v>
      </c>
      <c r="R115" s="1">
        <v>10.478047468277509</v>
      </c>
    </row>
    <row r="116" spans="1:18" x14ac:dyDescent="0.3">
      <c r="A116" s="26">
        <v>115</v>
      </c>
      <c r="B116" s="1">
        <v>19</v>
      </c>
      <c r="C116" s="1">
        <f t="shared" si="11"/>
        <v>9</v>
      </c>
      <c r="D116" s="21">
        <f t="shared" ca="1" si="10"/>
        <v>44858</v>
      </c>
      <c r="E116" s="1" t="s">
        <v>26</v>
      </c>
      <c r="F116" s="1" t="s">
        <v>144</v>
      </c>
      <c r="G116" s="1" t="s">
        <v>28</v>
      </c>
      <c r="H116" s="1">
        <v>214</v>
      </c>
      <c r="I116" s="1">
        <f t="shared" si="12"/>
        <v>48</v>
      </c>
      <c r="J116" s="1">
        <f>VLOOKUP(B116,Cena!$A$2:$B$101,2)</f>
        <v>84</v>
      </c>
      <c r="K116" s="1">
        <f t="shared" si="16"/>
        <v>4032</v>
      </c>
      <c r="L116" s="1">
        <f t="shared" si="13"/>
        <v>927.36</v>
      </c>
      <c r="M116" s="22">
        <f t="shared" si="17"/>
        <v>4959.3599999999997</v>
      </c>
      <c r="N116" s="1">
        <f t="shared" ca="1" si="14"/>
        <v>10</v>
      </c>
      <c r="P116" s="1">
        <v>48.145426616247278</v>
      </c>
      <c r="Q116" s="1">
        <f t="shared" ca="1" si="15"/>
        <v>9</v>
      </c>
      <c r="R116" s="1">
        <v>9.7741184643018642</v>
      </c>
    </row>
    <row r="117" spans="1:18" x14ac:dyDescent="0.3">
      <c r="A117" s="26">
        <v>116</v>
      </c>
      <c r="B117" s="1">
        <v>23</v>
      </c>
      <c r="C117" s="1">
        <f t="shared" si="11"/>
        <v>7</v>
      </c>
      <c r="D117" s="21">
        <f t="shared" ca="1" si="10"/>
        <v>44613</v>
      </c>
      <c r="E117" s="1" t="s">
        <v>26</v>
      </c>
      <c r="F117" s="1" t="s">
        <v>145</v>
      </c>
      <c r="G117" s="1" t="s">
        <v>28</v>
      </c>
      <c r="H117" s="1">
        <v>215</v>
      </c>
      <c r="I117" s="1">
        <f t="shared" si="12"/>
        <v>48</v>
      </c>
      <c r="J117" s="1">
        <f>VLOOKUP(B117,Cena!$A$2:$B$101,2)</f>
        <v>132</v>
      </c>
      <c r="K117" s="1">
        <f t="shared" si="16"/>
        <v>6336</v>
      </c>
      <c r="L117" s="1">
        <f t="shared" si="13"/>
        <v>1457.28</v>
      </c>
      <c r="M117" s="22">
        <f t="shared" si="17"/>
        <v>7793.28</v>
      </c>
      <c r="N117" s="1">
        <f t="shared" ca="1" si="14"/>
        <v>2</v>
      </c>
      <c r="P117" s="1">
        <v>48.503858478215989</v>
      </c>
      <c r="Q117" s="1">
        <f t="shared" ca="1" si="15"/>
        <v>7</v>
      </c>
      <c r="R117" s="1">
        <v>7.6222966324712615</v>
      </c>
    </row>
    <row r="118" spans="1:18" x14ac:dyDescent="0.3">
      <c r="A118" s="26">
        <v>117</v>
      </c>
      <c r="B118" s="1">
        <v>10</v>
      </c>
      <c r="C118" s="1">
        <f t="shared" si="11"/>
        <v>7</v>
      </c>
      <c r="D118" s="21">
        <f t="shared" ca="1" si="10"/>
        <v>44682</v>
      </c>
      <c r="E118" s="1" t="s">
        <v>26</v>
      </c>
      <c r="F118" s="1" t="s">
        <v>146</v>
      </c>
      <c r="G118" s="1" t="s">
        <v>28</v>
      </c>
      <c r="H118" s="1">
        <v>216</v>
      </c>
      <c r="I118" s="1">
        <f t="shared" si="12"/>
        <v>45</v>
      </c>
      <c r="J118" s="1">
        <f>VLOOKUP(B118,Cena!$A$2:$B$101,2)</f>
        <v>109</v>
      </c>
      <c r="K118" s="1">
        <f t="shared" si="16"/>
        <v>4905</v>
      </c>
      <c r="L118" s="1">
        <f t="shared" si="13"/>
        <v>1128.1500000000001</v>
      </c>
      <c r="M118" s="22">
        <f t="shared" si="17"/>
        <v>6033.15</v>
      </c>
      <c r="N118" s="1">
        <f t="shared" ca="1" si="14"/>
        <v>5</v>
      </c>
      <c r="P118" s="1">
        <v>45.087489423895022</v>
      </c>
      <c r="Q118" s="1">
        <f t="shared" ca="1" si="15"/>
        <v>28</v>
      </c>
      <c r="R118" s="1">
        <v>7.7838854192668805</v>
      </c>
    </row>
    <row r="119" spans="1:18" x14ac:dyDescent="0.3">
      <c r="A119" s="26">
        <v>118</v>
      </c>
      <c r="B119" s="1">
        <v>27</v>
      </c>
      <c r="C119" s="1">
        <f t="shared" si="11"/>
        <v>9</v>
      </c>
      <c r="D119" s="21">
        <f t="shared" ca="1" si="10"/>
        <v>44770</v>
      </c>
      <c r="E119" s="1" t="s">
        <v>26</v>
      </c>
      <c r="F119" s="1" t="s">
        <v>147</v>
      </c>
      <c r="G119" s="1" t="s">
        <v>28</v>
      </c>
      <c r="H119" s="1">
        <v>217</v>
      </c>
      <c r="I119" s="1">
        <f t="shared" si="12"/>
        <v>36</v>
      </c>
      <c r="J119" s="1">
        <f>VLOOKUP(B119,Cena!$A$2:$B$101,2)</f>
        <v>87</v>
      </c>
      <c r="K119" s="1">
        <f t="shared" si="16"/>
        <v>3132</v>
      </c>
      <c r="L119" s="1">
        <f t="shared" si="13"/>
        <v>720.36</v>
      </c>
      <c r="M119" s="22">
        <f t="shared" si="17"/>
        <v>3852.36</v>
      </c>
      <c r="N119" s="1">
        <f t="shared" ca="1" si="14"/>
        <v>7</v>
      </c>
      <c r="P119" s="1">
        <v>36.386592354392633</v>
      </c>
      <c r="Q119" s="1">
        <f t="shared" ca="1" si="15"/>
        <v>4</v>
      </c>
      <c r="R119" s="1">
        <v>9.8171006154734641</v>
      </c>
    </row>
    <row r="120" spans="1:18" x14ac:dyDescent="0.3">
      <c r="A120" s="26">
        <v>119</v>
      </c>
      <c r="B120" s="1">
        <v>12</v>
      </c>
      <c r="C120" s="1">
        <f t="shared" si="11"/>
        <v>12</v>
      </c>
      <c r="D120" s="21">
        <f t="shared" ca="1" si="10"/>
        <v>44795</v>
      </c>
      <c r="E120" s="1" t="s">
        <v>26</v>
      </c>
      <c r="F120" s="1" t="s">
        <v>148</v>
      </c>
      <c r="G120" s="1" t="s">
        <v>28</v>
      </c>
      <c r="H120" s="1">
        <v>218</v>
      </c>
      <c r="I120" s="1">
        <f t="shared" si="12"/>
        <v>55</v>
      </c>
      <c r="J120" s="1">
        <f>VLOOKUP(B120,Cena!$A$2:$B$101,2)</f>
        <v>88</v>
      </c>
      <c r="K120" s="1">
        <f t="shared" si="16"/>
        <v>4840</v>
      </c>
      <c r="L120" s="1">
        <f t="shared" si="13"/>
        <v>1113.2</v>
      </c>
      <c r="M120" s="22">
        <f t="shared" si="17"/>
        <v>5953.2</v>
      </c>
      <c r="N120" s="1">
        <f t="shared" ca="1" si="14"/>
        <v>8</v>
      </c>
      <c r="P120" s="1">
        <v>55.570814209931996</v>
      </c>
      <c r="Q120" s="1">
        <f t="shared" ca="1" si="15"/>
        <v>20</v>
      </c>
      <c r="R120" s="1">
        <v>12.975195911858464</v>
      </c>
    </row>
    <row r="121" spans="1:18" x14ac:dyDescent="0.3">
      <c r="A121" s="26">
        <v>120</v>
      </c>
      <c r="B121" s="1">
        <v>17</v>
      </c>
      <c r="C121" s="1">
        <f t="shared" si="11"/>
        <v>10</v>
      </c>
      <c r="D121" s="21">
        <f t="shared" ca="1" si="10"/>
        <v>44796</v>
      </c>
      <c r="E121" s="1" t="s">
        <v>26</v>
      </c>
      <c r="F121" s="1" t="s">
        <v>149</v>
      </c>
      <c r="G121" s="1" t="s">
        <v>28</v>
      </c>
      <c r="H121" s="1">
        <v>219</v>
      </c>
      <c r="I121" s="1">
        <f t="shared" si="12"/>
        <v>39</v>
      </c>
      <c r="J121" s="1">
        <f>VLOOKUP(B121,Cena!$A$2:$B$101,2)</f>
        <v>84</v>
      </c>
      <c r="K121" s="1">
        <f t="shared" si="16"/>
        <v>3276</v>
      </c>
      <c r="L121" s="1">
        <f t="shared" si="13"/>
        <v>753.48</v>
      </c>
      <c r="M121" s="22">
        <f t="shared" si="17"/>
        <v>4029.48</v>
      </c>
      <c r="N121" s="1">
        <f t="shared" ca="1" si="14"/>
        <v>8</v>
      </c>
      <c r="P121" s="1">
        <v>39.37016698619118</v>
      </c>
      <c r="Q121" s="1">
        <f t="shared" ca="1" si="15"/>
        <v>26</v>
      </c>
      <c r="R121" s="1">
        <v>10.456446969110402</v>
      </c>
    </row>
    <row r="122" spans="1:18" x14ac:dyDescent="0.3">
      <c r="A122" s="26">
        <v>121</v>
      </c>
      <c r="B122" s="1">
        <v>17</v>
      </c>
      <c r="C122" s="1">
        <f t="shared" si="11"/>
        <v>6</v>
      </c>
      <c r="D122" s="21">
        <f t="shared" ca="1" si="10"/>
        <v>44830</v>
      </c>
      <c r="E122" s="1" t="s">
        <v>26</v>
      </c>
      <c r="F122" s="1" t="s">
        <v>150</v>
      </c>
      <c r="G122" s="1" t="s">
        <v>28</v>
      </c>
      <c r="H122" s="1">
        <v>220</v>
      </c>
      <c r="I122" s="1">
        <f t="shared" si="12"/>
        <v>67</v>
      </c>
      <c r="J122" s="1">
        <f>VLOOKUP(B122,Cena!$A$2:$B$101,2)</f>
        <v>84</v>
      </c>
      <c r="K122" s="1">
        <f t="shared" si="16"/>
        <v>5628</v>
      </c>
      <c r="L122" s="1">
        <f t="shared" si="13"/>
        <v>1294.44</v>
      </c>
      <c r="M122" s="22">
        <f t="shared" si="17"/>
        <v>6922.4400000000005</v>
      </c>
      <c r="N122" s="1">
        <f t="shared" ca="1" si="14"/>
        <v>9</v>
      </c>
      <c r="P122" s="1">
        <v>67.498678062111139</v>
      </c>
      <c r="Q122" s="1">
        <f t="shared" ca="1" si="15"/>
        <v>29</v>
      </c>
      <c r="R122" s="1">
        <v>6.7263192957034335</v>
      </c>
    </row>
    <row r="123" spans="1:18" x14ac:dyDescent="0.3">
      <c r="A123" s="26">
        <v>122</v>
      </c>
      <c r="B123" s="1">
        <v>10</v>
      </c>
      <c r="C123" s="1">
        <f t="shared" si="11"/>
        <v>7</v>
      </c>
      <c r="D123" s="21">
        <f t="shared" ca="1" si="10"/>
        <v>44615</v>
      </c>
      <c r="E123" s="1" t="s">
        <v>26</v>
      </c>
      <c r="F123" s="1" t="s">
        <v>151</v>
      </c>
      <c r="G123" s="1" t="s">
        <v>28</v>
      </c>
      <c r="H123" s="1">
        <v>221</v>
      </c>
      <c r="I123" s="1">
        <f t="shared" si="12"/>
        <v>51</v>
      </c>
      <c r="J123" s="1">
        <f>VLOOKUP(B123,Cena!$A$2:$B$101,2)</f>
        <v>109</v>
      </c>
      <c r="K123" s="1">
        <f t="shared" si="16"/>
        <v>5559</v>
      </c>
      <c r="L123" s="1">
        <f t="shared" si="13"/>
        <v>1278.5700000000002</v>
      </c>
      <c r="M123" s="22">
        <f t="shared" si="17"/>
        <v>6837.57</v>
      </c>
      <c r="N123" s="1">
        <f t="shared" ca="1" si="14"/>
        <v>2</v>
      </c>
      <c r="P123" s="1">
        <v>51.811781658034306</v>
      </c>
      <c r="Q123" s="1">
        <f t="shared" ca="1" si="15"/>
        <v>27</v>
      </c>
      <c r="R123" s="1">
        <v>7.3822468746220693</v>
      </c>
    </row>
    <row r="124" spans="1:18" x14ac:dyDescent="0.3">
      <c r="A124" s="26">
        <v>123</v>
      </c>
      <c r="B124" s="1">
        <v>12</v>
      </c>
      <c r="C124" s="1">
        <f t="shared" si="11"/>
        <v>9</v>
      </c>
      <c r="D124" s="21">
        <f t="shared" ca="1" si="10"/>
        <v>44675</v>
      </c>
      <c r="E124" s="1" t="s">
        <v>26</v>
      </c>
      <c r="F124" s="1" t="s">
        <v>152</v>
      </c>
      <c r="G124" s="1" t="s">
        <v>28</v>
      </c>
      <c r="H124" s="1">
        <v>222</v>
      </c>
      <c r="I124" s="1">
        <f t="shared" si="12"/>
        <v>60</v>
      </c>
      <c r="J124" s="1">
        <f>VLOOKUP(B124,Cena!$A$2:$B$101,2)</f>
        <v>88</v>
      </c>
      <c r="K124" s="1">
        <f t="shared" si="16"/>
        <v>5280</v>
      </c>
      <c r="L124" s="1">
        <f t="shared" si="13"/>
        <v>1214.4000000000001</v>
      </c>
      <c r="M124" s="22">
        <f t="shared" si="17"/>
        <v>6494.4</v>
      </c>
      <c r="N124" s="1">
        <f t="shared" ca="1" si="14"/>
        <v>4</v>
      </c>
      <c r="P124" s="1">
        <v>60.38274604070466</v>
      </c>
      <c r="Q124" s="1">
        <f t="shared" ca="1" si="15"/>
        <v>27</v>
      </c>
      <c r="R124" s="1">
        <v>9.6628673670784337</v>
      </c>
    </row>
    <row r="125" spans="1:18" x14ac:dyDescent="0.3">
      <c r="A125" s="26">
        <v>124</v>
      </c>
      <c r="B125" s="1">
        <v>5</v>
      </c>
      <c r="C125" s="1">
        <f t="shared" si="11"/>
        <v>11</v>
      </c>
      <c r="D125" s="21">
        <f t="shared" ca="1" si="10"/>
        <v>44704</v>
      </c>
      <c r="E125" s="1" t="s">
        <v>26</v>
      </c>
      <c r="F125" s="1" t="s">
        <v>153</v>
      </c>
      <c r="G125" s="1" t="s">
        <v>28</v>
      </c>
      <c r="H125" s="1">
        <v>223</v>
      </c>
      <c r="I125" s="1">
        <f t="shared" si="12"/>
        <v>44</v>
      </c>
      <c r="J125" s="1">
        <f>VLOOKUP(B125,Cena!$A$2:$B$101,2)</f>
        <v>91</v>
      </c>
      <c r="K125" s="1">
        <f t="shared" si="16"/>
        <v>4004</v>
      </c>
      <c r="L125" s="1">
        <f t="shared" si="13"/>
        <v>920.92000000000007</v>
      </c>
      <c r="M125" s="22">
        <f t="shared" si="17"/>
        <v>4924.92</v>
      </c>
      <c r="N125" s="1">
        <f t="shared" ca="1" si="14"/>
        <v>5</v>
      </c>
      <c r="P125" s="1">
        <v>44.409517967142165</v>
      </c>
      <c r="Q125" s="1">
        <f t="shared" ca="1" si="15"/>
        <v>21</v>
      </c>
      <c r="R125" s="1">
        <v>11.522835191281047</v>
      </c>
    </row>
    <row r="126" spans="1:18" x14ac:dyDescent="0.3">
      <c r="A126" s="26">
        <v>125</v>
      </c>
      <c r="B126" s="1">
        <v>27</v>
      </c>
      <c r="C126" s="1">
        <f t="shared" si="11"/>
        <v>7</v>
      </c>
      <c r="D126" s="21">
        <f t="shared" ca="1" si="10"/>
        <v>44717</v>
      </c>
      <c r="E126" s="1" t="s">
        <v>26</v>
      </c>
      <c r="F126" s="1" t="s">
        <v>154</v>
      </c>
      <c r="G126" s="1" t="s">
        <v>28</v>
      </c>
      <c r="H126" s="1">
        <v>224</v>
      </c>
      <c r="I126" s="1">
        <f t="shared" si="12"/>
        <v>58</v>
      </c>
      <c r="J126" s="1">
        <f>VLOOKUP(B126,Cena!$A$2:$B$101,2)</f>
        <v>87</v>
      </c>
      <c r="K126" s="1">
        <f t="shared" si="16"/>
        <v>5046</v>
      </c>
      <c r="L126" s="1">
        <f t="shared" si="13"/>
        <v>1160.5800000000002</v>
      </c>
      <c r="M126" s="22">
        <f t="shared" si="17"/>
        <v>6206.58</v>
      </c>
      <c r="N126" s="1">
        <f t="shared" ca="1" si="14"/>
        <v>6</v>
      </c>
      <c r="P126" s="1">
        <v>58.603433343523648</v>
      </c>
      <c r="Q126" s="1">
        <f t="shared" ca="1" si="15"/>
        <v>14</v>
      </c>
      <c r="R126" s="1">
        <v>7.946639496149146</v>
      </c>
    </row>
    <row r="127" spans="1:18" x14ac:dyDescent="0.3">
      <c r="A127" s="26">
        <v>126</v>
      </c>
      <c r="B127" s="1">
        <v>17</v>
      </c>
      <c r="C127" s="1">
        <f t="shared" si="11"/>
        <v>11</v>
      </c>
      <c r="D127" s="21">
        <f t="shared" ca="1" si="10"/>
        <v>44835</v>
      </c>
      <c r="E127" s="1" t="s">
        <v>26</v>
      </c>
      <c r="F127" s="1" t="s">
        <v>155</v>
      </c>
      <c r="G127" s="1" t="s">
        <v>28</v>
      </c>
      <c r="H127" s="1">
        <v>225</v>
      </c>
      <c r="I127" s="1">
        <f t="shared" si="12"/>
        <v>45</v>
      </c>
      <c r="J127" s="1">
        <f>VLOOKUP(B127,Cena!$A$2:$B$101,2)</f>
        <v>84</v>
      </c>
      <c r="K127" s="1">
        <f t="shared" si="16"/>
        <v>3780</v>
      </c>
      <c r="L127" s="1">
        <f t="shared" si="13"/>
        <v>869.40000000000009</v>
      </c>
      <c r="M127" s="22">
        <f t="shared" si="17"/>
        <v>4649.3999999999996</v>
      </c>
      <c r="N127" s="1">
        <f t="shared" ca="1" si="14"/>
        <v>10</v>
      </c>
      <c r="P127" s="1">
        <v>45.152984411106445</v>
      </c>
      <c r="Q127" s="1">
        <f t="shared" ca="1" si="15"/>
        <v>8</v>
      </c>
      <c r="R127" s="1">
        <v>11.455464371247217</v>
      </c>
    </row>
    <row r="128" spans="1:18" x14ac:dyDescent="0.3">
      <c r="A128" s="26">
        <v>127</v>
      </c>
      <c r="B128" s="1">
        <v>5</v>
      </c>
      <c r="C128" s="1">
        <f t="shared" si="11"/>
        <v>6</v>
      </c>
      <c r="D128" s="21">
        <f t="shared" ca="1" si="10"/>
        <v>44567</v>
      </c>
      <c r="E128" s="1" t="s">
        <v>26</v>
      </c>
      <c r="F128" s="1" t="s">
        <v>156</v>
      </c>
      <c r="G128" s="1" t="s">
        <v>28</v>
      </c>
      <c r="H128" s="1">
        <v>226</v>
      </c>
      <c r="I128" s="1">
        <f t="shared" si="12"/>
        <v>48</v>
      </c>
      <c r="J128" s="1">
        <f>VLOOKUP(B128,Cena!$A$2:$B$101,2)</f>
        <v>91</v>
      </c>
      <c r="K128" s="1">
        <f t="shared" si="16"/>
        <v>4368</v>
      </c>
      <c r="L128" s="1">
        <f t="shared" si="13"/>
        <v>1004.6400000000001</v>
      </c>
      <c r="M128" s="22">
        <f t="shared" si="17"/>
        <v>5372.64</v>
      </c>
      <c r="N128" s="1">
        <f t="shared" ca="1" si="14"/>
        <v>1</v>
      </c>
      <c r="P128" s="1">
        <v>48.903490450175013</v>
      </c>
      <c r="Q128" s="1">
        <f t="shared" ca="1" si="15"/>
        <v>2</v>
      </c>
      <c r="R128" s="1">
        <v>6.6537302498181816</v>
      </c>
    </row>
    <row r="129" spans="1:18" x14ac:dyDescent="0.3">
      <c r="A129" s="26">
        <v>128</v>
      </c>
      <c r="B129" s="1">
        <v>28</v>
      </c>
      <c r="C129" s="1">
        <f t="shared" si="11"/>
        <v>9</v>
      </c>
      <c r="D129" s="21">
        <f t="shared" ca="1" si="10"/>
        <v>44851</v>
      </c>
      <c r="E129" s="1" t="s">
        <v>26</v>
      </c>
      <c r="F129" s="1" t="s">
        <v>157</v>
      </c>
      <c r="G129" s="1" t="s">
        <v>28</v>
      </c>
      <c r="H129" s="1">
        <v>227</v>
      </c>
      <c r="I129" s="1">
        <f t="shared" si="12"/>
        <v>69</v>
      </c>
      <c r="J129" s="1">
        <f>VLOOKUP(B129,Cena!$A$2:$B$101,2)</f>
        <v>59</v>
      </c>
      <c r="K129" s="1">
        <f t="shared" si="16"/>
        <v>4071</v>
      </c>
      <c r="L129" s="1">
        <f t="shared" si="13"/>
        <v>936.33</v>
      </c>
      <c r="M129" s="22">
        <f t="shared" si="17"/>
        <v>5007.33</v>
      </c>
      <c r="N129" s="1">
        <f t="shared" ca="1" si="14"/>
        <v>10</v>
      </c>
      <c r="P129" s="1">
        <v>69.759681890718639</v>
      </c>
      <c r="Q129" s="1">
        <f t="shared" ca="1" si="15"/>
        <v>9</v>
      </c>
      <c r="R129" s="1">
        <v>9.9859426225157222</v>
      </c>
    </row>
    <row r="130" spans="1:18" x14ac:dyDescent="0.3">
      <c r="A130" s="26">
        <v>129</v>
      </c>
      <c r="B130" s="1">
        <v>19</v>
      </c>
      <c r="C130" s="1">
        <f t="shared" si="11"/>
        <v>9</v>
      </c>
      <c r="D130" s="21">
        <f t="shared" ref="D130:D193" ca="1" si="18">DATE(2022,RANDBETWEEN(1,12),RANDBETWEEN(1,28))</f>
        <v>44808</v>
      </c>
      <c r="E130" s="1" t="s">
        <v>26</v>
      </c>
      <c r="F130" s="1" t="s">
        <v>158</v>
      </c>
      <c r="G130" s="1" t="s">
        <v>28</v>
      </c>
      <c r="H130" s="1">
        <v>228</v>
      </c>
      <c r="I130" s="1">
        <f t="shared" si="12"/>
        <v>42</v>
      </c>
      <c r="J130" s="1">
        <f>VLOOKUP(B130,Cena!$A$2:$B$101,2)</f>
        <v>84</v>
      </c>
      <c r="K130" s="1">
        <f t="shared" si="16"/>
        <v>3528</v>
      </c>
      <c r="L130" s="1">
        <f t="shared" si="13"/>
        <v>811.44</v>
      </c>
      <c r="M130" s="22">
        <f t="shared" si="17"/>
        <v>4339.4400000000005</v>
      </c>
      <c r="N130" s="1">
        <f t="shared" ca="1" si="14"/>
        <v>9</v>
      </c>
      <c r="P130" s="1">
        <v>42.247376212617382</v>
      </c>
      <c r="Q130" s="1">
        <f t="shared" ca="1" si="15"/>
        <v>12</v>
      </c>
      <c r="R130" s="1">
        <v>9.6605481555889128</v>
      </c>
    </row>
    <row r="131" spans="1:18" x14ac:dyDescent="0.3">
      <c r="A131" s="26">
        <v>130</v>
      </c>
      <c r="B131" s="1">
        <v>10</v>
      </c>
      <c r="C131" s="1">
        <f t="shared" ref="C131:C194" si="19">INT(R131)</f>
        <v>9</v>
      </c>
      <c r="D131" s="21">
        <f t="shared" ca="1" si="18"/>
        <v>44677</v>
      </c>
      <c r="E131" s="1" t="s">
        <v>26</v>
      </c>
      <c r="F131" s="1" t="s">
        <v>159</v>
      </c>
      <c r="G131" s="1" t="s">
        <v>28</v>
      </c>
      <c r="H131" s="1">
        <v>229</v>
      </c>
      <c r="I131" s="1">
        <f t="shared" ref="I131:I194" si="20">INT(P131)</f>
        <v>54</v>
      </c>
      <c r="J131" s="1">
        <f>VLOOKUP(B131,Cena!$A$2:$B$101,2)</f>
        <v>109</v>
      </c>
      <c r="K131" s="1">
        <f t="shared" si="16"/>
        <v>5886</v>
      </c>
      <c r="L131" s="1">
        <f t="shared" ref="L131:L194" si="21">K131*23%</f>
        <v>1353.78</v>
      </c>
      <c r="M131" s="22">
        <f t="shared" si="17"/>
        <v>7239.78</v>
      </c>
      <c r="N131" s="1">
        <f t="shared" ref="N131:N194" ca="1" si="22">MONTH(D131)</f>
        <v>4</v>
      </c>
      <c r="P131" s="1">
        <v>54.059575076098554</v>
      </c>
      <c r="Q131" s="1">
        <f t="shared" ref="Q131:Q194" ca="1" si="23">RANDBETWEEN(1,30)</f>
        <v>6</v>
      </c>
      <c r="R131" s="1">
        <v>9.4055002616732963</v>
      </c>
    </row>
    <row r="132" spans="1:18" x14ac:dyDescent="0.3">
      <c r="A132" s="26">
        <v>131</v>
      </c>
      <c r="B132" s="1">
        <v>10</v>
      </c>
      <c r="C132" s="1">
        <f t="shared" si="19"/>
        <v>11</v>
      </c>
      <c r="D132" s="21">
        <f t="shared" ca="1" si="18"/>
        <v>44665</v>
      </c>
      <c r="E132" s="1" t="s">
        <v>26</v>
      </c>
      <c r="F132" s="1" t="s">
        <v>160</v>
      </c>
      <c r="G132" s="1" t="s">
        <v>28</v>
      </c>
      <c r="H132" s="1">
        <v>230</v>
      </c>
      <c r="I132" s="1">
        <f t="shared" si="20"/>
        <v>52</v>
      </c>
      <c r="J132" s="1">
        <f>VLOOKUP(B132,Cena!$A$2:$B$101,2)</f>
        <v>109</v>
      </c>
      <c r="K132" s="1">
        <f t="shared" si="16"/>
        <v>5668</v>
      </c>
      <c r="L132" s="1">
        <f t="shared" si="21"/>
        <v>1303.6400000000001</v>
      </c>
      <c r="M132" s="22">
        <f t="shared" si="17"/>
        <v>6971.64</v>
      </c>
      <c r="N132" s="1">
        <f t="shared" ca="1" si="22"/>
        <v>4</v>
      </c>
      <c r="P132" s="1">
        <v>52.963929546240252</v>
      </c>
      <c r="Q132" s="1">
        <f t="shared" ca="1" si="23"/>
        <v>19</v>
      </c>
      <c r="R132" s="1">
        <v>11.058660359376518</v>
      </c>
    </row>
    <row r="133" spans="1:18" x14ac:dyDescent="0.3">
      <c r="A133" s="26">
        <v>132</v>
      </c>
      <c r="B133" s="1">
        <v>29</v>
      </c>
      <c r="C133" s="1">
        <f t="shared" si="19"/>
        <v>8</v>
      </c>
      <c r="D133" s="21">
        <f t="shared" ca="1" si="18"/>
        <v>44767</v>
      </c>
      <c r="E133" s="1" t="s">
        <v>26</v>
      </c>
      <c r="F133" s="1" t="s">
        <v>161</v>
      </c>
      <c r="G133" s="1" t="s">
        <v>28</v>
      </c>
      <c r="H133" s="1">
        <v>231</v>
      </c>
      <c r="I133" s="1">
        <f t="shared" si="20"/>
        <v>35</v>
      </c>
      <c r="J133" s="1">
        <f>VLOOKUP(B133,Cena!$A$2:$B$101,2)</f>
        <v>105</v>
      </c>
      <c r="K133" s="1">
        <f t="shared" si="16"/>
        <v>3675</v>
      </c>
      <c r="L133" s="1">
        <f t="shared" si="21"/>
        <v>845.25</v>
      </c>
      <c r="M133" s="22">
        <f t="shared" si="17"/>
        <v>4520.25</v>
      </c>
      <c r="N133" s="1">
        <f t="shared" ca="1" si="22"/>
        <v>7</v>
      </c>
      <c r="P133" s="1">
        <v>35.95262695744168</v>
      </c>
      <c r="Q133" s="1">
        <f t="shared" ca="1" si="23"/>
        <v>29</v>
      </c>
      <c r="R133" s="1">
        <v>8.8257513905409724</v>
      </c>
    </row>
    <row r="134" spans="1:18" x14ac:dyDescent="0.3">
      <c r="A134" s="26">
        <v>133</v>
      </c>
      <c r="B134" s="1">
        <v>30</v>
      </c>
      <c r="C134" s="1">
        <f t="shared" si="19"/>
        <v>5</v>
      </c>
      <c r="D134" s="21">
        <f t="shared" ca="1" si="18"/>
        <v>44613</v>
      </c>
      <c r="E134" s="1" t="s">
        <v>26</v>
      </c>
      <c r="F134" s="1" t="s">
        <v>162</v>
      </c>
      <c r="G134" s="1" t="s">
        <v>28</v>
      </c>
      <c r="H134" s="1">
        <v>232</v>
      </c>
      <c r="I134" s="1">
        <f t="shared" si="20"/>
        <v>54</v>
      </c>
      <c r="J134" s="1">
        <f>VLOOKUP(B134,Cena!$A$2:$B$101,2)</f>
        <v>87</v>
      </c>
      <c r="K134" s="1">
        <f t="shared" si="16"/>
        <v>4698</v>
      </c>
      <c r="L134" s="1">
        <f t="shared" si="21"/>
        <v>1080.54</v>
      </c>
      <c r="M134" s="22">
        <f t="shared" si="17"/>
        <v>5778.54</v>
      </c>
      <c r="N134" s="1">
        <f t="shared" ca="1" si="22"/>
        <v>2</v>
      </c>
      <c r="P134" s="1">
        <v>54.616856585926143</v>
      </c>
      <c r="Q134" s="1">
        <f t="shared" ca="1" si="23"/>
        <v>29</v>
      </c>
      <c r="R134" s="1">
        <v>5.4996837914222851</v>
      </c>
    </row>
    <row r="135" spans="1:18" x14ac:dyDescent="0.3">
      <c r="A135" s="26">
        <v>134</v>
      </c>
      <c r="B135" s="1">
        <v>23</v>
      </c>
      <c r="C135" s="1">
        <f t="shared" si="19"/>
        <v>9</v>
      </c>
      <c r="D135" s="21">
        <f t="shared" ca="1" si="18"/>
        <v>44730</v>
      </c>
      <c r="E135" s="1" t="s">
        <v>26</v>
      </c>
      <c r="F135" s="1" t="s">
        <v>163</v>
      </c>
      <c r="G135" s="1" t="s">
        <v>28</v>
      </c>
      <c r="H135" s="1">
        <v>233</v>
      </c>
      <c r="I135" s="1">
        <f t="shared" si="20"/>
        <v>47</v>
      </c>
      <c r="J135" s="1">
        <f>VLOOKUP(B135,Cena!$A$2:$B$101,2)</f>
        <v>132</v>
      </c>
      <c r="K135" s="1">
        <f t="shared" si="16"/>
        <v>6204</v>
      </c>
      <c r="L135" s="1">
        <f t="shared" si="21"/>
        <v>1426.92</v>
      </c>
      <c r="M135" s="22">
        <f t="shared" si="17"/>
        <v>7630.92</v>
      </c>
      <c r="N135" s="1">
        <f t="shared" ca="1" si="22"/>
        <v>6</v>
      </c>
      <c r="P135" s="1">
        <v>47.24566350778332</v>
      </c>
      <c r="Q135" s="1">
        <f t="shared" ca="1" si="23"/>
        <v>28</v>
      </c>
      <c r="R135" s="1">
        <v>9.5456903434387641</v>
      </c>
    </row>
    <row r="136" spans="1:18" x14ac:dyDescent="0.3">
      <c r="A136" s="26">
        <v>135</v>
      </c>
      <c r="B136" s="1">
        <v>18</v>
      </c>
      <c r="C136" s="1">
        <f t="shared" si="19"/>
        <v>9</v>
      </c>
      <c r="D136" s="21">
        <f t="shared" ca="1" si="18"/>
        <v>44704</v>
      </c>
      <c r="E136" s="1" t="s">
        <v>26</v>
      </c>
      <c r="F136" s="1" t="s">
        <v>164</v>
      </c>
      <c r="G136" s="1" t="s">
        <v>28</v>
      </c>
      <c r="H136" s="1">
        <v>234</v>
      </c>
      <c r="I136" s="1">
        <f t="shared" si="20"/>
        <v>58</v>
      </c>
      <c r="J136" s="1">
        <f>VLOOKUP(B136,Cena!$A$2:$B$101,2)</f>
        <v>90</v>
      </c>
      <c r="K136" s="1">
        <f t="shared" si="16"/>
        <v>5220</v>
      </c>
      <c r="L136" s="1">
        <f t="shared" si="21"/>
        <v>1200.6000000000001</v>
      </c>
      <c r="M136" s="22">
        <f t="shared" si="17"/>
        <v>6420.6</v>
      </c>
      <c r="N136" s="1">
        <f t="shared" ca="1" si="22"/>
        <v>5</v>
      </c>
      <c r="P136" s="1">
        <v>58.89849616214633</v>
      </c>
      <c r="Q136" s="1">
        <f t="shared" ca="1" si="23"/>
        <v>19</v>
      </c>
      <c r="R136" s="1">
        <v>9.0926028203830356</v>
      </c>
    </row>
    <row r="137" spans="1:18" x14ac:dyDescent="0.3">
      <c r="A137" s="26">
        <v>136</v>
      </c>
      <c r="B137" s="1">
        <v>9</v>
      </c>
      <c r="C137" s="1">
        <f t="shared" si="19"/>
        <v>10</v>
      </c>
      <c r="D137" s="21">
        <f t="shared" ca="1" si="18"/>
        <v>44904</v>
      </c>
      <c r="E137" s="1" t="s">
        <v>26</v>
      </c>
      <c r="F137" s="1" t="s">
        <v>165</v>
      </c>
      <c r="G137" s="1" t="s">
        <v>28</v>
      </c>
      <c r="H137" s="1">
        <v>235</v>
      </c>
      <c r="I137" s="1">
        <f t="shared" si="20"/>
        <v>37</v>
      </c>
      <c r="J137" s="1">
        <f>VLOOKUP(B137,Cena!$A$2:$B$101,2)</f>
        <v>96</v>
      </c>
      <c r="K137" s="1">
        <f t="shared" si="16"/>
        <v>3552</v>
      </c>
      <c r="L137" s="1">
        <f t="shared" si="21"/>
        <v>816.96</v>
      </c>
      <c r="M137" s="22">
        <f t="shared" si="17"/>
        <v>4368.96</v>
      </c>
      <c r="N137" s="1">
        <f t="shared" ca="1" si="22"/>
        <v>12</v>
      </c>
      <c r="P137" s="1">
        <v>37.703222359414212</v>
      </c>
      <c r="Q137" s="1">
        <f t="shared" ca="1" si="23"/>
        <v>7</v>
      </c>
      <c r="R137" s="1">
        <v>10.328259375237394</v>
      </c>
    </row>
    <row r="138" spans="1:18" x14ac:dyDescent="0.3">
      <c r="A138" s="26">
        <v>137</v>
      </c>
      <c r="B138" s="1">
        <v>26</v>
      </c>
      <c r="C138" s="1">
        <f t="shared" si="19"/>
        <v>10</v>
      </c>
      <c r="D138" s="21">
        <f t="shared" ca="1" si="18"/>
        <v>44832</v>
      </c>
      <c r="E138" s="1" t="s">
        <v>26</v>
      </c>
      <c r="F138" s="1" t="s">
        <v>166</v>
      </c>
      <c r="G138" s="1" t="s">
        <v>28</v>
      </c>
      <c r="H138" s="1">
        <v>236</v>
      </c>
      <c r="I138" s="1">
        <f t="shared" si="20"/>
        <v>44</v>
      </c>
      <c r="J138" s="1">
        <f>VLOOKUP(B138,Cena!$A$2:$B$101,2)</f>
        <v>99</v>
      </c>
      <c r="K138" s="1">
        <f t="shared" si="16"/>
        <v>4356</v>
      </c>
      <c r="L138" s="1">
        <f t="shared" si="21"/>
        <v>1001.88</v>
      </c>
      <c r="M138" s="22">
        <f t="shared" si="17"/>
        <v>5357.88</v>
      </c>
      <c r="N138" s="1">
        <f t="shared" ca="1" si="22"/>
        <v>9</v>
      </c>
      <c r="P138" s="1">
        <v>44.413985859864624</v>
      </c>
      <c r="Q138" s="1">
        <f t="shared" ca="1" si="23"/>
        <v>23</v>
      </c>
      <c r="R138" s="1">
        <v>10.649535536467738</v>
      </c>
    </row>
    <row r="139" spans="1:18" x14ac:dyDescent="0.3">
      <c r="A139" s="26">
        <v>138</v>
      </c>
      <c r="B139" s="1">
        <v>30</v>
      </c>
      <c r="C139" s="1">
        <f t="shared" si="19"/>
        <v>8</v>
      </c>
      <c r="D139" s="21">
        <f t="shared" ca="1" si="18"/>
        <v>44806</v>
      </c>
      <c r="E139" s="1" t="s">
        <v>26</v>
      </c>
      <c r="F139" s="1" t="s">
        <v>167</v>
      </c>
      <c r="G139" s="1" t="s">
        <v>28</v>
      </c>
      <c r="H139" s="1">
        <v>237</v>
      </c>
      <c r="I139" s="1">
        <f t="shared" si="20"/>
        <v>58</v>
      </c>
      <c r="J139" s="1">
        <f>VLOOKUP(B139,Cena!$A$2:$B$101,2)</f>
        <v>87</v>
      </c>
      <c r="K139" s="1">
        <f t="shared" si="16"/>
        <v>5046</v>
      </c>
      <c r="L139" s="1">
        <f t="shared" si="21"/>
        <v>1160.5800000000002</v>
      </c>
      <c r="M139" s="22">
        <f t="shared" si="17"/>
        <v>6206.58</v>
      </c>
      <c r="N139" s="1">
        <f t="shared" ca="1" si="22"/>
        <v>9</v>
      </c>
      <c r="P139" s="1">
        <v>58.245638127846178</v>
      </c>
      <c r="Q139" s="1">
        <f t="shared" ca="1" si="23"/>
        <v>17</v>
      </c>
      <c r="R139" s="1">
        <v>8.6420050390734104</v>
      </c>
    </row>
    <row r="140" spans="1:18" x14ac:dyDescent="0.3">
      <c r="A140" s="26">
        <v>139</v>
      </c>
      <c r="B140" s="1">
        <v>30</v>
      </c>
      <c r="C140" s="1">
        <f t="shared" si="19"/>
        <v>15</v>
      </c>
      <c r="D140" s="21">
        <f t="shared" ca="1" si="18"/>
        <v>44727</v>
      </c>
      <c r="E140" s="1" t="s">
        <v>26</v>
      </c>
      <c r="F140" s="1" t="s">
        <v>168</v>
      </c>
      <c r="G140" s="1" t="s">
        <v>28</v>
      </c>
      <c r="H140" s="1">
        <v>238</v>
      </c>
      <c r="I140" s="1">
        <f t="shared" si="20"/>
        <v>63</v>
      </c>
      <c r="J140" s="1">
        <f>VLOOKUP(B140,Cena!$A$2:$B$101,2)</f>
        <v>87</v>
      </c>
      <c r="K140" s="1">
        <f t="shared" si="16"/>
        <v>5481</v>
      </c>
      <c r="L140" s="1">
        <f t="shared" si="21"/>
        <v>1260.6300000000001</v>
      </c>
      <c r="M140" s="22">
        <f t="shared" si="17"/>
        <v>6741.63</v>
      </c>
      <c r="N140" s="1">
        <f t="shared" ca="1" si="22"/>
        <v>6</v>
      </c>
      <c r="P140" s="1">
        <v>63.249564290163107</v>
      </c>
      <c r="Q140" s="1">
        <f t="shared" ca="1" si="23"/>
        <v>22</v>
      </c>
      <c r="R140" s="1">
        <v>15.21640686201863</v>
      </c>
    </row>
    <row r="141" spans="1:18" x14ac:dyDescent="0.3">
      <c r="A141" s="26">
        <v>140</v>
      </c>
      <c r="B141" s="1">
        <v>14</v>
      </c>
      <c r="C141" s="1">
        <f t="shared" si="19"/>
        <v>8</v>
      </c>
      <c r="D141" s="21">
        <f t="shared" ca="1" si="18"/>
        <v>44566</v>
      </c>
      <c r="E141" s="1" t="s">
        <v>26</v>
      </c>
      <c r="F141" s="1" t="s">
        <v>169</v>
      </c>
      <c r="G141" s="1" t="s">
        <v>28</v>
      </c>
      <c r="H141" s="1">
        <v>239</v>
      </c>
      <c r="I141" s="1">
        <f t="shared" si="20"/>
        <v>61</v>
      </c>
      <c r="J141" s="1">
        <f>VLOOKUP(B141,Cena!$A$2:$B$101,2)</f>
        <v>129</v>
      </c>
      <c r="K141" s="1">
        <f t="shared" si="16"/>
        <v>7869</v>
      </c>
      <c r="L141" s="1">
        <f t="shared" si="21"/>
        <v>1809.8700000000001</v>
      </c>
      <c r="M141" s="22">
        <f t="shared" si="17"/>
        <v>9678.8700000000008</v>
      </c>
      <c r="N141" s="1">
        <f t="shared" ca="1" si="22"/>
        <v>1</v>
      </c>
      <c r="P141" s="1">
        <v>61.845054359582718</v>
      </c>
      <c r="Q141" s="1">
        <f t="shared" ca="1" si="23"/>
        <v>27</v>
      </c>
      <c r="R141" s="1">
        <v>8.500356923614163</v>
      </c>
    </row>
    <row r="142" spans="1:18" x14ac:dyDescent="0.3">
      <c r="A142" s="26">
        <v>141</v>
      </c>
      <c r="B142" s="1">
        <v>11</v>
      </c>
      <c r="C142" s="1">
        <f t="shared" si="19"/>
        <v>13</v>
      </c>
      <c r="D142" s="21">
        <f t="shared" ca="1" si="18"/>
        <v>44737</v>
      </c>
      <c r="E142" s="1" t="s">
        <v>26</v>
      </c>
      <c r="F142" s="1" t="s">
        <v>170</v>
      </c>
      <c r="G142" s="1" t="s">
        <v>28</v>
      </c>
      <c r="H142" s="1">
        <v>240</v>
      </c>
      <c r="I142" s="1">
        <f t="shared" si="20"/>
        <v>62</v>
      </c>
      <c r="J142" s="1">
        <f>VLOOKUP(B142,Cena!$A$2:$B$101,2)</f>
        <v>83</v>
      </c>
      <c r="K142" s="1">
        <f t="shared" si="16"/>
        <v>5146</v>
      </c>
      <c r="L142" s="1">
        <f t="shared" si="21"/>
        <v>1183.5800000000002</v>
      </c>
      <c r="M142" s="22">
        <f t="shared" si="17"/>
        <v>6329.58</v>
      </c>
      <c r="N142" s="1">
        <f t="shared" ca="1" si="22"/>
        <v>6</v>
      </c>
      <c r="P142" s="1">
        <v>62.471355148591101</v>
      </c>
      <c r="Q142" s="1">
        <f t="shared" ca="1" si="23"/>
        <v>26</v>
      </c>
      <c r="R142" s="1">
        <v>13.277739324403228</v>
      </c>
    </row>
    <row r="143" spans="1:18" x14ac:dyDescent="0.3">
      <c r="A143" s="26">
        <v>142</v>
      </c>
      <c r="B143" s="1">
        <v>11</v>
      </c>
      <c r="C143" s="1">
        <f t="shared" si="19"/>
        <v>8</v>
      </c>
      <c r="D143" s="21">
        <f t="shared" ca="1" si="18"/>
        <v>44705</v>
      </c>
      <c r="E143" s="1" t="s">
        <v>26</v>
      </c>
      <c r="F143" s="1" t="s">
        <v>171</v>
      </c>
      <c r="G143" s="1" t="s">
        <v>28</v>
      </c>
      <c r="H143" s="1">
        <v>241</v>
      </c>
      <c r="I143" s="1">
        <f t="shared" si="20"/>
        <v>66</v>
      </c>
      <c r="J143" s="1">
        <f>VLOOKUP(B143,Cena!$A$2:$B$101,2)</f>
        <v>83</v>
      </c>
      <c r="K143" s="1">
        <f t="shared" si="16"/>
        <v>5478</v>
      </c>
      <c r="L143" s="1">
        <f t="shared" si="21"/>
        <v>1259.94</v>
      </c>
      <c r="M143" s="22">
        <f t="shared" si="17"/>
        <v>6737.9400000000005</v>
      </c>
      <c r="N143" s="1">
        <f t="shared" ca="1" si="22"/>
        <v>5</v>
      </c>
      <c r="P143" s="1">
        <v>66.070862329797819</v>
      </c>
      <c r="Q143" s="1">
        <f t="shared" ca="1" si="23"/>
        <v>8</v>
      </c>
      <c r="R143" s="1">
        <v>8.2882968652120326</v>
      </c>
    </row>
    <row r="144" spans="1:18" x14ac:dyDescent="0.3">
      <c r="A144" s="26">
        <v>143</v>
      </c>
      <c r="B144" s="1">
        <v>26</v>
      </c>
      <c r="C144" s="1">
        <f t="shared" si="19"/>
        <v>11</v>
      </c>
      <c r="D144" s="21">
        <f t="shared" ca="1" si="18"/>
        <v>44825</v>
      </c>
      <c r="E144" s="1" t="s">
        <v>26</v>
      </c>
      <c r="F144" s="1" t="s">
        <v>172</v>
      </c>
      <c r="G144" s="1" t="s">
        <v>28</v>
      </c>
      <c r="H144" s="1">
        <v>242</v>
      </c>
      <c r="I144" s="1">
        <f t="shared" si="20"/>
        <v>45</v>
      </c>
      <c r="J144" s="1">
        <f>VLOOKUP(B144,Cena!$A$2:$B$101,2)</f>
        <v>99</v>
      </c>
      <c r="K144" s="1">
        <f t="shared" si="16"/>
        <v>4455</v>
      </c>
      <c r="L144" s="1">
        <f t="shared" si="21"/>
        <v>1024.6500000000001</v>
      </c>
      <c r="M144" s="22">
        <f t="shared" si="17"/>
        <v>5479.65</v>
      </c>
      <c r="N144" s="1">
        <f t="shared" ca="1" si="22"/>
        <v>9</v>
      </c>
      <c r="P144" s="1">
        <v>45.970324562222231</v>
      </c>
      <c r="Q144" s="1">
        <f t="shared" ca="1" si="23"/>
        <v>12</v>
      </c>
      <c r="R144" s="1">
        <v>11.577768671268132</v>
      </c>
    </row>
    <row r="145" spans="1:18" x14ac:dyDescent="0.3">
      <c r="A145" s="26">
        <v>144</v>
      </c>
      <c r="B145" s="1">
        <v>26</v>
      </c>
      <c r="C145" s="1">
        <f t="shared" si="19"/>
        <v>10</v>
      </c>
      <c r="D145" s="21">
        <f t="shared" ca="1" si="18"/>
        <v>44893</v>
      </c>
      <c r="E145" s="1" t="s">
        <v>26</v>
      </c>
      <c r="F145" s="1" t="s">
        <v>173</v>
      </c>
      <c r="G145" s="1" t="s">
        <v>28</v>
      </c>
      <c r="H145" s="1">
        <v>243</v>
      </c>
      <c r="I145" s="1">
        <f t="shared" si="20"/>
        <v>50</v>
      </c>
      <c r="J145" s="1">
        <f>VLOOKUP(B145,Cena!$A$2:$B$101,2)</f>
        <v>99</v>
      </c>
      <c r="K145" s="1">
        <f t="shared" si="16"/>
        <v>4950</v>
      </c>
      <c r="L145" s="1">
        <f t="shared" si="21"/>
        <v>1138.5</v>
      </c>
      <c r="M145" s="22">
        <f t="shared" si="17"/>
        <v>6088.5</v>
      </c>
      <c r="N145" s="1">
        <f t="shared" ca="1" si="22"/>
        <v>11</v>
      </c>
      <c r="P145" s="1">
        <v>50.887393980519846</v>
      </c>
      <c r="Q145" s="1">
        <f t="shared" ca="1" si="23"/>
        <v>22</v>
      </c>
      <c r="R145" s="1">
        <v>10.481361439597094</v>
      </c>
    </row>
    <row r="146" spans="1:18" x14ac:dyDescent="0.3">
      <c r="A146" s="26">
        <v>145</v>
      </c>
      <c r="B146" s="1">
        <v>17</v>
      </c>
      <c r="C146" s="1">
        <f t="shared" si="19"/>
        <v>6</v>
      </c>
      <c r="D146" s="21">
        <f t="shared" ca="1" si="18"/>
        <v>44726</v>
      </c>
      <c r="E146" s="1" t="s">
        <v>26</v>
      </c>
      <c r="F146" s="1" t="s">
        <v>174</v>
      </c>
      <c r="G146" s="1" t="s">
        <v>28</v>
      </c>
      <c r="H146" s="1">
        <v>244</v>
      </c>
      <c r="I146" s="1">
        <f t="shared" si="20"/>
        <v>40</v>
      </c>
      <c r="J146" s="1">
        <f>VLOOKUP(B146,Cena!$A$2:$B$101,2)</f>
        <v>84</v>
      </c>
      <c r="K146" s="1">
        <f t="shared" si="16"/>
        <v>3360</v>
      </c>
      <c r="L146" s="1">
        <f t="shared" si="21"/>
        <v>772.80000000000007</v>
      </c>
      <c r="M146" s="22">
        <f t="shared" si="17"/>
        <v>4132.8</v>
      </c>
      <c r="N146" s="1">
        <f t="shared" ca="1" si="22"/>
        <v>6</v>
      </c>
      <c r="P146" s="1">
        <v>40.348760547931306</v>
      </c>
      <c r="Q146" s="1">
        <f t="shared" ca="1" si="23"/>
        <v>9</v>
      </c>
      <c r="R146" s="1">
        <v>6.4555513543018606</v>
      </c>
    </row>
    <row r="147" spans="1:18" x14ac:dyDescent="0.3">
      <c r="A147" s="26">
        <v>146</v>
      </c>
      <c r="B147" s="1">
        <v>12</v>
      </c>
      <c r="C147" s="1">
        <f t="shared" si="19"/>
        <v>7</v>
      </c>
      <c r="D147" s="21">
        <f t="shared" ca="1" si="18"/>
        <v>44562</v>
      </c>
      <c r="E147" s="1" t="s">
        <v>26</v>
      </c>
      <c r="F147" s="1" t="s">
        <v>175</v>
      </c>
      <c r="G147" s="1" t="s">
        <v>28</v>
      </c>
      <c r="H147" s="1">
        <v>245</v>
      </c>
      <c r="I147" s="1">
        <f t="shared" si="20"/>
        <v>34</v>
      </c>
      <c r="J147" s="1">
        <f>VLOOKUP(B147,Cena!$A$2:$B$101,2)</f>
        <v>88</v>
      </c>
      <c r="K147" s="1">
        <f t="shared" si="16"/>
        <v>2992</v>
      </c>
      <c r="L147" s="1">
        <f t="shared" si="21"/>
        <v>688.16000000000008</v>
      </c>
      <c r="M147" s="22">
        <f t="shared" si="17"/>
        <v>3680.16</v>
      </c>
      <c r="N147" s="1">
        <f t="shared" ca="1" si="22"/>
        <v>1</v>
      </c>
      <c r="P147" s="1">
        <v>34.980968292802572</v>
      </c>
      <c r="Q147" s="1">
        <f t="shared" ca="1" si="23"/>
        <v>15</v>
      </c>
      <c r="R147" s="1">
        <v>7.5546870700782165</v>
      </c>
    </row>
    <row r="148" spans="1:18" x14ac:dyDescent="0.3">
      <c r="A148" s="26">
        <v>147</v>
      </c>
      <c r="B148" s="1">
        <v>6</v>
      </c>
      <c r="C148" s="1">
        <f t="shared" si="19"/>
        <v>10</v>
      </c>
      <c r="D148" s="21">
        <f t="shared" ca="1" si="18"/>
        <v>44820</v>
      </c>
      <c r="E148" s="1" t="s">
        <v>26</v>
      </c>
      <c r="F148" s="1" t="s">
        <v>176</v>
      </c>
      <c r="G148" s="1" t="s">
        <v>28</v>
      </c>
      <c r="H148" s="1">
        <v>246</v>
      </c>
      <c r="I148" s="1">
        <f t="shared" si="20"/>
        <v>42</v>
      </c>
      <c r="J148" s="1">
        <f>VLOOKUP(B148,Cena!$A$2:$B$101,2)</f>
        <v>86</v>
      </c>
      <c r="K148" s="1">
        <f t="shared" si="16"/>
        <v>3612</v>
      </c>
      <c r="L148" s="1">
        <f t="shared" si="21"/>
        <v>830.76</v>
      </c>
      <c r="M148" s="22">
        <f t="shared" si="17"/>
        <v>4442.76</v>
      </c>
      <c r="N148" s="1">
        <f t="shared" ca="1" si="22"/>
        <v>9</v>
      </c>
      <c r="P148" s="1">
        <v>42.645257407275494</v>
      </c>
      <c r="Q148" s="1">
        <f t="shared" ca="1" si="23"/>
        <v>29</v>
      </c>
      <c r="R148" s="1">
        <v>10.985886572379968</v>
      </c>
    </row>
    <row r="149" spans="1:18" x14ac:dyDescent="0.3">
      <c r="A149" s="26">
        <v>148</v>
      </c>
      <c r="B149" s="1">
        <v>2</v>
      </c>
      <c r="C149" s="1">
        <f t="shared" si="19"/>
        <v>12</v>
      </c>
      <c r="D149" s="21">
        <f t="shared" ca="1" si="18"/>
        <v>44780</v>
      </c>
      <c r="E149" s="1" t="s">
        <v>26</v>
      </c>
      <c r="F149" s="1" t="s">
        <v>177</v>
      </c>
      <c r="G149" s="1" t="s">
        <v>28</v>
      </c>
      <c r="H149" s="1">
        <v>247</v>
      </c>
      <c r="I149" s="1">
        <f t="shared" si="20"/>
        <v>63</v>
      </c>
      <c r="J149" s="1">
        <f>VLOOKUP(B149,Cena!$A$2:$B$101,2)</f>
        <v>121</v>
      </c>
      <c r="K149" s="1">
        <f t="shared" si="16"/>
        <v>7623</v>
      </c>
      <c r="L149" s="1">
        <f t="shared" si="21"/>
        <v>1753.29</v>
      </c>
      <c r="M149" s="22">
        <f t="shared" si="17"/>
        <v>9376.2900000000009</v>
      </c>
      <c r="N149" s="1">
        <f t="shared" ca="1" si="22"/>
        <v>8</v>
      </c>
      <c r="P149" s="1">
        <v>63.271665011416189</v>
      </c>
      <c r="Q149" s="1">
        <f t="shared" ca="1" si="23"/>
        <v>1</v>
      </c>
      <c r="R149" s="1">
        <v>12.955869149445789</v>
      </c>
    </row>
    <row r="150" spans="1:18" x14ac:dyDescent="0.3">
      <c r="A150" s="26">
        <v>149</v>
      </c>
      <c r="B150" s="1">
        <v>2</v>
      </c>
      <c r="C150" s="1">
        <f t="shared" si="19"/>
        <v>12</v>
      </c>
      <c r="D150" s="21">
        <f t="shared" ca="1" si="18"/>
        <v>44740</v>
      </c>
      <c r="E150" s="1" t="s">
        <v>26</v>
      </c>
      <c r="F150" s="1" t="s">
        <v>178</v>
      </c>
      <c r="G150" s="1" t="s">
        <v>28</v>
      </c>
      <c r="H150" s="1">
        <v>248</v>
      </c>
      <c r="I150" s="1">
        <f t="shared" si="20"/>
        <v>52</v>
      </c>
      <c r="J150" s="1">
        <f>VLOOKUP(B150,Cena!$A$2:$B$101,2)</f>
        <v>121</v>
      </c>
      <c r="K150" s="1">
        <f t="shared" si="16"/>
        <v>6292</v>
      </c>
      <c r="L150" s="1">
        <f t="shared" si="21"/>
        <v>1447.16</v>
      </c>
      <c r="M150" s="22">
        <f t="shared" si="17"/>
        <v>7739.16</v>
      </c>
      <c r="N150" s="1">
        <f t="shared" ca="1" si="22"/>
        <v>6</v>
      </c>
      <c r="P150" s="1">
        <v>52.41184352489654</v>
      </c>
      <c r="Q150" s="1">
        <f t="shared" ca="1" si="23"/>
        <v>13</v>
      </c>
      <c r="R150" s="1">
        <v>12.085960204567527</v>
      </c>
    </row>
    <row r="151" spans="1:18" x14ac:dyDescent="0.3">
      <c r="A151" s="26">
        <v>150</v>
      </c>
      <c r="B151" s="1">
        <v>15</v>
      </c>
      <c r="C151" s="1">
        <f t="shared" si="19"/>
        <v>11</v>
      </c>
      <c r="D151" s="21">
        <f t="shared" ca="1" si="18"/>
        <v>44682</v>
      </c>
      <c r="E151" s="1" t="s">
        <v>26</v>
      </c>
      <c r="F151" s="1" t="s">
        <v>179</v>
      </c>
      <c r="G151" s="1" t="s">
        <v>28</v>
      </c>
      <c r="H151" s="1">
        <v>249</v>
      </c>
      <c r="I151" s="1">
        <f t="shared" si="20"/>
        <v>41</v>
      </c>
      <c r="J151" s="1">
        <f>VLOOKUP(B151,Cena!$A$2:$B$101,2)</f>
        <v>85</v>
      </c>
      <c r="K151" s="1">
        <f t="shared" si="16"/>
        <v>3485</v>
      </c>
      <c r="L151" s="1">
        <f t="shared" si="21"/>
        <v>801.55000000000007</v>
      </c>
      <c r="M151" s="22">
        <f t="shared" si="17"/>
        <v>4286.55</v>
      </c>
      <c r="N151" s="1">
        <f t="shared" ca="1" si="22"/>
        <v>5</v>
      </c>
      <c r="P151" s="1">
        <v>41.415370459435508</v>
      </c>
      <c r="Q151" s="1">
        <f t="shared" ca="1" si="23"/>
        <v>10</v>
      </c>
      <c r="R151" s="1">
        <v>11.163368779089069</v>
      </c>
    </row>
    <row r="152" spans="1:18" x14ac:dyDescent="0.3">
      <c r="A152" s="26">
        <v>151</v>
      </c>
      <c r="B152" s="1">
        <v>26</v>
      </c>
      <c r="C152" s="1">
        <f t="shared" si="19"/>
        <v>8</v>
      </c>
      <c r="D152" s="21">
        <f t="shared" ca="1" si="18"/>
        <v>44724</v>
      </c>
      <c r="E152" s="1" t="s">
        <v>26</v>
      </c>
      <c r="F152" s="1" t="s">
        <v>180</v>
      </c>
      <c r="G152" s="1" t="s">
        <v>28</v>
      </c>
      <c r="H152" s="1">
        <v>250</v>
      </c>
      <c r="I152" s="1">
        <f t="shared" si="20"/>
        <v>48</v>
      </c>
      <c r="J152" s="1">
        <f>VLOOKUP(B152,Cena!$A$2:$B$101,2)</f>
        <v>99</v>
      </c>
      <c r="K152" s="1">
        <f t="shared" si="16"/>
        <v>4752</v>
      </c>
      <c r="L152" s="1">
        <f t="shared" si="21"/>
        <v>1092.96</v>
      </c>
      <c r="M152" s="22">
        <f t="shared" si="17"/>
        <v>5844.96</v>
      </c>
      <c r="N152" s="1">
        <f t="shared" ca="1" si="22"/>
        <v>6</v>
      </c>
      <c r="P152" s="1">
        <v>48.983503246563487</v>
      </c>
      <c r="Q152" s="1">
        <f t="shared" ca="1" si="23"/>
        <v>11</v>
      </c>
      <c r="R152" s="1">
        <v>8.9967250257905107</v>
      </c>
    </row>
    <row r="153" spans="1:18" x14ac:dyDescent="0.3">
      <c r="A153" s="26">
        <v>152</v>
      </c>
      <c r="B153" s="1">
        <v>8</v>
      </c>
      <c r="C153" s="1">
        <f t="shared" si="19"/>
        <v>8</v>
      </c>
      <c r="D153" s="21">
        <f t="shared" ca="1" si="18"/>
        <v>44697</v>
      </c>
      <c r="E153" s="1" t="s">
        <v>26</v>
      </c>
      <c r="F153" s="1" t="s">
        <v>181</v>
      </c>
      <c r="G153" s="1" t="s">
        <v>28</v>
      </c>
      <c r="H153" s="1">
        <v>251</v>
      </c>
      <c r="I153" s="1">
        <f t="shared" si="20"/>
        <v>59</v>
      </c>
      <c r="J153" s="1">
        <f>VLOOKUP(B153,Cena!$A$2:$B$101,2)</f>
        <v>88</v>
      </c>
      <c r="K153" s="1">
        <f t="shared" si="16"/>
        <v>5192</v>
      </c>
      <c r="L153" s="1">
        <f t="shared" si="21"/>
        <v>1194.1600000000001</v>
      </c>
      <c r="M153" s="22">
        <f t="shared" si="17"/>
        <v>6386.16</v>
      </c>
      <c r="N153" s="1">
        <f t="shared" ca="1" si="22"/>
        <v>5</v>
      </c>
      <c r="P153" s="1">
        <v>59.056452654476743</v>
      </c>
      <c r="Q153" s="1">
        <f t="shared" ca="1" si="23"/>
        <v>19</v>
      </c>
      <c r="R153" s="1">
        <v>8.8404624673421495</v>
      </c>
    </row>
    <row r="154" spans="1:18" x14ac:dyDescent="0.3">
      <c r="A154" s="26">
        <v>153</v>
      </c>
      <c r="B154" s="1">
        <v>1</v>
      </c>
      <c r="C154" s="1">
        <f t="shared" si="19"/>
        <v>8</v>
      </c>
      <c r="D154" s="21">
        <f t="shared" ca="1" si="18"/>
        <v>44714</v>
      </c>
      <c r="E154" s="1" t="s">
        <v>26</v>
      </c>
      <c r="F154" s="1" t="s">
        <v>182</v>
      </c>
      <c r="G154" s="1" t="s">
        <v>28</v>
      </c>
      <c r="H154" s="1">
        <v>252</v>
      </c>
      <c r="I154" s="1">
        <f t="shared" si="20"/>
        <v>57</v>
      </c>
      <c r="J154" s="1">
        <f>VLOOKUP(B154,Cena!$A$2:$B$101,2)</f>
        <v>84</v>
      </c>
      <c r="K154" s="1">
        <f t="shared" si="16"/>
        <v>4788</v>
      </c>
      <c r="L154" s="1">
        <f t="shared" si="21"/>
        <v>1101.24</v>
      </c>
      <c r="M154" s="22">
        <f t="shared" si="17"/>
        <v>5889.24</v>
      </c>
      <c r="N154" s="1">
        <f t="shared" ca="1" si="22"/>
        <v>6</v>
      </c>
      <c r="P154" s="1">
        <v>57.147787073336076</v>
      </c>
      <c r="Q154" s="1">
        <f t="shared" ca="1" si="23"/>
        <v>17</v>
      </c>
      <c r="R154" s="1">
        <v>8.5368276611552574</v>
      </c>
    </row>
    <row r="155" spans="1:18" x14ac:dyDescent="0.3">
      <c r="A155" s="26">
        <v>154</v>
      </c>
      <c r="B155" s="1">
        <v>2</v>
      </c>
      <c r="C155" s="1">
        <f t="shared" si="19"/>
        <v>12</v>
      </c>
      <c r="D155" s="21">
        <f t="shared" ca="1" si="18"/>
        <v>44573</v>
      </c>
      <c r="E155" s="1" t="s">
        <v>26</v>
      </c>
      <c r="F155" s="1" t="s">
        <v>183</v>
      </c>
      <c r="G155" s="1" t="s">
        <v>28</v>
      </c>
      <c r="H155" s="1">
        <v>253</v>
      </c>
      <c r="I155" s="1">
        <f t="shared" si="20"/>
        <v>67</v>
      </c>
      <c r="J155" s="1">
        <f>VLOOKUP(B155,Cena!$A$2:$B$101,2)</f>
        <v>121</v>
      </c>
      <c r="K155" s="1">
        <f t="shared" si="16"/>
        <v>8107</v>
      </c>
      <c r="L155" s="1">
        <f t="shared" si="21"/>
        <v>1864.6100000000001</v>
      </c>
      <c r="M155" s="22">
        <f t="shared" si="17"/>
        <v>9971.61</v>
      </c>
      <c r="N155" s="1">
        <f t="shared" ca="1" si="22"/>
        <v>1</v>
      </c>
      <c r="P155" s="1">
        <v>67.466936697019264</v>
      </c>
      <c r="Q155" s="1">
        <f t="shared" ca="1" si="23"/>
        <v>10</v>
      </c>
      <c r="R155" s="1">
        <v>12.273930022056447</v>
      </c>
    </row>
    <row r="156" spans="1:18" x14ac:dyDescent="0.3">
      <c r="A156" s="26">
        <v>155</v>
      </c>
      <c r="B156" s="1">
        <v>3</v>
      </c>
      <c r="C156" s="1">
        <f t="shared" si="19"/>
        <v>8</v>
      </c>
      <c r="D156" s="21">
        <f t="shared" ca="1" si="18"/>
        <v>44676</v>
      </c>
      <c r="E156" s="1" t="s">
        <v>26</v>
      </c>
      <c r="F156" s="1" t="s">
        <v>184</v>
      </c>
      <c r="G156" s="1" t="s">
        <v>28</v>
      </c>
      <c r="H156" s="1">
        <v>254</v>
      </c>
      <c r="I156" s="1">
        <f t="shared" si="20"/>
        <v>50</v>
      </c>
      <c r="J156" s="1">
        <f>VLOOKUP(B156,Cena!$A$2:$B$101,2)</f>
        <v>89</v>
      </c>
      <c r="K156" s="1">
        <f t="shared" si="16"/>
        <v>4450</v>
      </c>
      <c r="L156" s="1">
        <f t="shared" si="21"/>
        <v>1023.5</v>
      </c>
      <c r="M156" s="22">
        <f t="shared" si="17"/>
        <v>5473.5</v>
      </c>
      <c r="N156" s="1">
        <f t="shared" ca="1" si="22"/>
        <v>4</v>
      </c>
      <c r="P156" s="1">
        <v>50.068462213675957</v>
      </c>
      <c r="Q156" s="1">
        <f t="shared" ca="1" si="23"/>
        <v>4</v>
      </c>
      <c r="R156" s="1">
        <v>8.053567651368212</v>
      </c>
    </row>
    <row r="157" spans="1:18" x14ac:dyDescent="0.3">
      <c r="A157" s="26">
        <v>156</v>
      </c>
      <c r="B157" s="1">
        <v>23</v>
      </c>
      <c r="C157" s="1">
        <f t="shared" si="19"/>
        <v>11</v>
      </c>
      <c r="D157" s="21">
        <f t="shared" ca="1" si="18"/>
        <v>44612</v>
      </c>
      <c r="E157" s="1" t="s">
        <v>26</v>
      </c>
      <c r="F157" s="1" t="s">
        <v>185</v>
      </c>
      <c r="G157" s="1" t="s">
        <v>28</v>
      </c>
      <c r="H157" s="1">
        <v>255</v>
      </c>
      <c r="I157" s="1">
        <f t="shared" si="20"/>
        <v>44</v>
      </c>
      <c r="J157" s="1">
        <f>VLOOKUP(B157,Cena!$A$2:$B$101,2)</f>
        <v>132</v>
      </c>
      <c r="K157" s="1">
        <f t="shared" si="16"/>
        <v>5808</v>
      </c>
      <c r="L157" s="1">
        <f t="shared" si="21"/>
        <v>1335.8400000000001</v>
      </c>
      <c r="M157" s="22">
        <f t="shared" si="17"/>
        <v>7143.84</v>
      </c>
      <c r="N157" s="1">
        <f t="shared" ca="1" si="22"/>
        <v>2</v>
      </c>
      <c r="P157" s="1">
        <v>44.023391991504468</v>
      </c>
      <c r="Q157" s="1">
        <f t="shared" ca="1" si="23"/>
        <v>11</v>
      </c>
      <c r="R157" s="1">
        <v>11.314316477873945</v>
      </c>
    </row>
    <row r="158" spans="1:18" x14ac:dyDescent="0.3">
      <c r="A158" s="26">
        <v>157</v>
      </c>
      <c r="B158" s="1">
        <v>15</v>
      </c>
      <c r="C158" s="1">
        <f t="shared" si="19"/>
        <v>10</v>
      </c>
      <c r="D158" s="21">
        <f t="shared" ca="1" si="18"/>
        <v>44810</v>
      </c>
      <c r="E158" s="1" t="s">
        <v>26</v>
      </c>
      <c r="F158" s="1" t="s">
        <v>186</v>
      </c>
      <c r="G158" s="1" t="s">
        <v>28</v>
      </c>
      <c r="H158" s="1">
        <v>256</v>
      </c>
      <c r="I158" s="1">
        <f t="shared" si="20"/>
        <v>59</v>
      </c>
      <c r="J158" s="1">
        <f>VLOOKUP(B158,Cena!$A$2:$B$101,2)</f>
        <v>85</v>
      </c>
      <c r="K158" s="1">
        <f t="shared" si="16"/>
        <v>5015</v>
      </c>
      <c r="L158" s="1">
        <f t="shared" si="21"/>
        <v>1153.45</v>
      </c>
      <c r="M158" s="22">
        <f t="shared" si="17"/>
        <v>6168.45</v>
      </c>
      <c r="N158" s="1">
        <f t="shared" ca="1" si="22"/>
        <v>9</v>
      </c>
      <c r="P158" s="1">
        <v>59.970608516596258</v>
      </c>
      <c r="Q158" s="1">
        <f t="shared" ca="1" si="23"/>
        <v>1</v>
      </c>
      <c r="R158" s="1">
        <v>10.050397375161992</v>
      </c>
    </row>
    <row r="159" spans="1:18" x14ac:dyDescent="0.3">
      <c r="A159" s="26">
        <v>158</v>
      </c>
      <c r="B159" s="1">
        <v>24</v>
      </c>
      <c r="C159" s="1">
        <f t="shared" si="19"/>
        <v>13</v>
      </c>
      <c r="D159" s="21">
        <f t="shared" ca="1" si="18"/>
        <v>44715</v>
      </c>
      <c r="E159" s="1" t="s">
        <v>26</v>
      </c>
      <c r="F159" s="1" t="s">
        <v>187</v>
      </c>
      <c r="G159" s="1" t="s">
        <v>28</v>
      </c>
      <c r="H159" s="1">
        <v>257</v>
      </c>
      <c r="I159" s="1">
        <f t="shared" si="20"/>
        <v>56</v>
      </c>
      <c r="J159" s="1">
        <f>VLOOKUP(B159,Cena!$A$2:$B$101,2)</f>
        <v>125</v>
      </c>
      <c r="K159" s="1">
        <f t="shared" ref="K159:K222" si="24">I159*J159</f>
        <v>7000</v>
      </c>
      <c r="L159" s="1">
        <f t="shared" si="21"/>
        <v>1610</v>
      </c>
      <c r="M159" s="22">
        <f t="shared" ref="M159:M222" si="25">K159+L159</f>
        <v>8610</v>
      </c>
      <c r="N159" s="1">
        <f t="shared" ca="1" si="22"/>
        <v>6</v>
      </c>
      <c r="P159" s="1">
        <v>56.257948825805215</v>
      </c>
      <c r="Q159" s="1">
        <f t="shared" ca="1" si="23"/>
        <v>17</v>
      </c>
      <c r="R159" s="1">
        <v>13.628474587458186</v>
      </c>
    </row>
    <row r="160" spans="1:18" x14ac:dyDescent="0.3">
      <c r="A160" s="26">
        <v>159</v>
      </c>
      <c r="B160" s="1">
        <v>1</v>
      </c>
      <c r="C160" s="1">
        <f t="shared" si="19"/>
        <v>12</v>
      </c>
      <c r="D160" s="21">
        <f t="shared" ca="1" si="18"/>
        <v>44869</v>
      </c>
      <c r="E160" s="1" t="s">
        <v>26</v>
      </c>
      <c r="F160" s="1" t="s">
        <v>188</v>
      </c>
      <c r="G160" s="1" t="s">
        <v>28</v>
      </c>
      <c r="H160" s="1">
        <v>258</v>
      </c>
      <c r="I160" s="1">
        <f t="shared" si="20"/>
        <v>35</v>
      </c>
      <c r="J160" s="1">
        <f>VLOOKUP(B160,Cena!$A$2:$B$101,2)</f>
        <v>84</v>
      </c>
      <c r="K160" s="1">
        <f t="shared" si="24"/>
        <v>2940</v>
      </c>
      <c r="L160" s="1">
        <f t="shared" si="21"/>
        <v>676.2</v>
      </c>
      <c r="M160" s="22">
        <f t="shared" si="25"/>
        <v>3616.2</v>
      </c>
      <c r="N160" s="1">
        <f t="shared" ca="1" si="22"/>
        <v>11</v>
      </c>
      <c r="P160" s="1">
        <v>35.155864123953506</v>
      </c>
      <c r="Q160" s="1">
        <f t="shared" ca="1" si="23"/>
        <v>20</v>
      </c>
      <c r="R160" s="1">
        <v>12.402771315246355</v>
      </c>
    </row>
    <row r="161" spans="1:18" x14ac:dyDescent="0.3">
      <c r="A161" s="26">
        <v>160</v>
      </c>
      <c r="B161" s="1">
        <v>5</v>
      </c>
      <c r="C161" s="1">
        <f t="shared" si="19"/>
        <v>6</v>
      </c>
      <c r="D161" s="21">
        <f t="shared" ca="1" si="18"/>
        <v>44904</v>
      </c>
      <c r="E161" s="1" t="s">
        <v>26</v>
      </c>
      <c r="F161" s="1" t="s">
        <v>189</v>
      </c>
      <c r="G161" s="1" t="s">
        <v>28</v>
      </c>
      <c r="H161" s="1">
        <v>259</v>
      </c>
      <c r="I161" s="1">
        <f t="shared" si="20"/>
        <v>40</v>
      </c>
      <c r="J161" s="1">
        <f>VLOOKUP(B161,Cena!$A$2:$B$101,2)</f>
        <v>91</v>
      </c>
      <c r="K161" s="1">
        <f t="shared" si="24"/>
        <v>3640</v>
      </c>
      <c r="L161" s="1">
        <f t="shared" si="21"/>
        <v>837.2</v>
      </c>
      <c r="M161" s="22">
        <f t="shared" si="25"/>
        <v>4477.2</v>
      </c>
      <c r="N161" s="1">
        <f t="shared" ca="1" si="22"/>
        <v>12</v>
      </c>
      <c r="P161" s="1">
        <v>40.001697369734757</v>
      </c>
      <c r="Q161" s="1">
        <f t="shared" ca="1" si="23"/>
        <v>1</v>
      </c>
      <c r="R161" s="1">
        <v>6.4607638958113967</v>
      </c>
    </row>
    <row r="162" spans="1:18" x14ac:dyDescent="0.3">
      <c r="A162" s="26">
        <v>161</v>
      </c>
      <c r="B162" s="1">
        <v>23</v>
      </c>
      <c r="C162" s="1">
        <f t="shared" si="19"/>
        <v>10</v>
      </c>
      <c r="D162" s="21">
        <f t="shared" ca="1" si="18"/>
        <v>44832</v>
      </c>
      <c r="E162" s="1" t="s">
        <v>26</v>
      </c>
      <c r="F162" s="1" t="s">
        <v>190</v>
      </c>
      <c r="G162" s="1" t="s">
        <v>28</v>
      </c>
      <c r="H162" s="1">
        <v>260</v>
      </c>
      <c r="I162" s="1">
        <f t="shared" si="20"/>
        <v>54</v>
      </c>
      <c r="J162" s="1">
        <f>VLOOKUP(B162,Cena!$A$2:$B$101,2)</f>
        <v>132</v>
      </c>
      <c r="K162" s="1">
        <f t="shared" si="24"/>
        <v>7128</v>
      </c>
      <c r="L162" s="1">
        <f t="shared" si="21"/>
        <v>1639.44</v>
      </c>
      <c r="M162" s="22">
        <f t="shared" si="25"/>
        <v>8767.44</v>
      </c>
      <c r="N162" s="1">
        <f t="shared" ca="1" si="22"/>
        <v>9</v>
      </c>
      <c r="P162" s="1">
        <v>54.896980954072205</v>
      </c>
      <c r="Q162" s="1">
        <f t="shared" ca="1" si="23"/>
        <v>1</v>
      </c>
      <c r="R162" s="1">
        <v>10.749179207559791</v>
      </c>
    </row>
    <row r="163" spans="1:18" x14ac:dyDescent="0.3">
      <c r="A163" s="26">
        <v>162</v>
      </c>
      <c r="B163" s="1">
        <v>12</v>
      </c>
      <c r="C163" s="1">
        <f t="shared" si="19"/>
        <v>7</v>
      </c>
      <c r="D163" s="21">
        <f t="shared" ca="1" si="18"/>
        <v>44707</v>
      </c>
      <c r="E163" s="1" t="s">
        <v>26</v>
      </c>
      <c r="F163" s="1" t="s">
        <v>191</v>
      </c>
      <c r="G163" s="1" t="s">
        <v>28</v>
      </c>
      <c r="H163" s="1">
        <v>261</v>
      </c>
      <c r="I163" s="1">
        <f t="shared" si="20"/>
        <v>68</v>
      </c>
      <c r="J163" s="1">
        <f>VLOOKUP(B163,Cena!$A$2:$B$101,2)</f>
        <v>88</v>
      </c>
      <c r="K163" s="1">
        <f t="shared" si="24"/>
        <v>5984</v>
      </c>
      <c r="L163" s="1">
        <f t="shared" si="21"/>
        <v>1376.3200000000002</v>
      </c>
      <c r="M163" s="22">
        <f t="shared" si="25"/>
        <v>7360.32</v>
      </c>
      <c r="N163" s="1">
        <f t="shared" ca="1" si="22"/>
        <v>5</v>
      </c>
      <c r="P163" s="1">
        <v>68.222135622636415</v>
      </c>
      <c r="Q163" s="1">
        <f t="shared" ca="1" si="23"/>
        <v>27</v>
      </c>
      <c r="R163" s="1">
        <v>7.5627019921375904</v>
      </c>
    </row>
    <row r="164" spans="1:18" x14ac:dyDescent="0.3">
      <c r="A164" s="26">
        <v>163</v>
      </c>
      <c r="B164" s="1">
        <v>7</v>
      </c>
      <c r="C164" s="1">
        <f t="shared" si="19"/>
        <v>10</v>
      </c>
      <c r="D164" s="21">
        <f t="shared" ca="1" si="18"/>
        <v>44621</v>
      </c>
      <c r="E164" s="1" t="s">
        <v>26</v>
      </c>
      <c r="F164" s="1" t="s">
        <v>192</v>
      </c>
      <c r="G164" s="1" t="s">
        <v>28</v>
      </c>
      <c r="H164" s="1">
        <v>262</v>
      </c>
      <c r="I164" s="1">
        <f t="shared" si="20"/>
        <v>43</v>
      </c>
      <c r="J164" s="1">
        <f>VLOOKUP(B164,Cena!$A$2:$B$101,2)</f>
        <v>104</v>
      </c>
      <c r="K164" s="1">
        <f t="shared" si="24"/>
        <v>4472</v>
      </c>
      <c r="L164" s="1">
        <f t="shared" si="21"/>
        <v>1028.56</v>
      </c>
      <c r="M164" s="22">
        <f t="shared" si="25"/>
        <v>5500.5599999999995</v>
      </c>
      <c r="N164" s="1">
        <f t="shared" ca="1" si="22"/>
        <v>3</v>
      </c>
      <c r="P164" s="1">
        <v>43.326241565227974</v>
      </c>
      <c r="Q164" s="1">
        <f t="shared" ca="1" si="23"/>
        <v>24</v>
      </c>
      <c r="R164" s="1">
        <v>10.115267084765946</v>
      </c>
    </row>
    <row r="165" spans="1:18" x14ac:dyDescent="0.3">
      <c r="A165" s="26">
        <v>164</v>
      </c>
      <c r="B165" s="1">
        <v>15</v>
      </c>
      <c r="C165" s="1">
        <f t="shared" si="19"/>
        <v>10</v>
      </c>
      <c r="D165" s="21">
        <f t="shared" ca="1" si="18"/>
        <v>44748</v>
      </c>
      <c r="E165" s="1" t="s">
        <v>26</v>
      </c>
      <c r="F165" s="1" t="s">
        <v>193</v>
      </c>
      <c r="G165" s="1" t="s">
        <v>28</v>
      </c>
      <c r="H165" s="1">
        <v>263</v>
      </c>
      <c r="I165" s="1">
        <f t="shared" si="20"/>
        <v>47</v>
      </c>
      <c r="J165" s="1">
        <f>VLOOKUP(B165,Cena!$A$2:$B$101,2)</f>
        <v>85</v>
      </c>
      <c r="K165" s="1">
        <f t="shared" si="24"/>
        <v>3995</v>
      </c>
      <c r="L165" s="1">
        <f t="shared" si="21"/>
        <v>918.85</v>
      </c>
      <c r="M165" s="22">
        <f t="shared" si="25"/>
        <v>4913.8500000000004</v>
      </c>
      <c r="N165" s="1">
        <f t="shared" ca="1" si="22"/>
        <v>7</v>
      </c>
      <c r="P165" s="1">
        <v>47.020086084376089</v>
      </c>
      <c r="Q165" s="1">
        <f t="shared" ca="1" si="23"/>
        <v>5</v>
      </c>
      <c r="R165" s="1">
        <v>10.028208546609676</v>
      </c>
    </row>
    <row r="166" spans="1:18" x14ac:dyDescent="0.3">
      <c r="A166" s="26">
        <v>165</v>
      </c>
      <c r="B166" s="1">
        <v>12</v>
      </c>
      <c r="C166" s="1">
        <f t="shared" si="19"/>
        <v>12</v>
      </c>
      <c r="D166" s="21">
        <f t="shared" ca="1" si="18"/>
        <v>44824</v>
      </c>
      <c r="E166" s="1" t="s">
        <v>26</v>
      </c>
      <c r="F166" s="1" t="s">
        <v>194</v>
      </c>
      <c r="G166" s="1" t="s">
        <v>28</v>
      </c>
      <c r="H166" s="1">
        <v>264</v>
      </c>
      <c r="I166" s="1">
        <f t="shared" si="20"/>
        <v>49</v>
      </c>
      <c r="J166" s="1">
        <f>VLOOKUP(B166,Cena!$A$2:$B$101,2)</f>
        <v>88</v>
      </c>
      <c r="K166" s="1">
        <f t="shared" si="24"/>
        <v>4312</v>
      </c>
      <c r="L166" s="1">
        <f t="shared" si="21"/>
        <v>991.76</v>
      </c>
      <c r="M166" s="22">
        <f t="shared" si="25"/>
        <v>5303.76</v>
      </c>
      <c r="N166" s="1">
        <f t="shared" ca="1" si="22"/>
        <v>9</v>
      </c>
      <c r="P166" s="1">
        <v>49.184774424065836</v>
      </c>
      <c r="Q166" s="1">
        <f t="shared" ca="1" si="23"/>
        <v>17</v>
      </c>
      <c r="R166" s="1">
        <v>12.225192474725191</v>
      </c>
    </row>
    <row r="167" spans="1:18" x14ac:dyDescent="0.3">
      <c r="A167" s="26">
        <v>166</v>
      </c>
      <c r="B167" s="1">
        <v>12</v>
      </c>
      <c r="C167" s="1">
        <f t="shared" si="19"/>
        <v>9</v>
      </c>
      <c r="D167" s="21">
        <f t="shared" ca="1" si="18"/>
        <v>44624</v>
      </c>
      <c r="E167" s="1" t="s">
        <v>26</v>
      </c>
      <c r="F167" s="1" t="s">
        <v>195</v>
      </c>
      <c r="G167" s="1" t="s">
        <v>28</v>
      </c>
      <c r="H167" s="1">
        <v>265</v>
      </c>
      <c r="I167" s="1">
        <f t="shared" si="20"/>
        <v>65</v>
      </c>
      <c r="J167" s="1">
        <f>VLOOKUP(B167,Cena!$A$2:$B$101,2)</f>
        <v>88</v>
      </c>
      <c r="K167" s="1">
        <f t="shared" si="24"/>
        <v>5720</v>
      </c>
      <c r="L167" s="1">
        <f t="shared" si="21"/>
        <v>1315.6000000000001</v>
      </c>
      <c r="M167" s="22">
        <f t="shared" si="25"/>
        <v>7035.6</v>
      </c>
      <c r="N167" s="1">
        <f t="shared" ca="1" si="22"/>
        <v>3</v>
      </c>
      <c r="P167" s="1">
        <v>65.897967386990786</v>
      </c>
      <c r="Q167" s="1">
        <f t="shared" ca="1" si="23"/>
        <v>30</v>
      </c>
      <c r="R167" s="1">
        <v>9.1195124948717421</v>
      </c>
    </row>
    <row r="168" spans="1:18" x14ac:dyDescent="0.3">
      <c r="A168" s="26">
        <v>167</v>
      </c>
      <c r="B168" s="1">
        <v>27</v>
      </c>
      <c r="C168" s="1">
        <f t="shared" si="19"/>
        <v>14</v>
      </c>
      <c r="D168" s="21">
        <f t="shared" ca="1" si="18"/>
        <v>44571</v>
      </c>
      <c r="E168" s="1" t="s">
        <v>26</v>
      </c>
      <c r="F168" s="1" t="s">
        <v>196</v>
      </c>
      <c r="G168" s="1" t="s">
        <v>28</v>
      </c>
      <c r="H168" s="1">
        <v>266</v>
      </c>
      <c r="I168" s="1">
        <f t="shared" si="20"/>
        <v>45</v>
      </c>
      <c r="J168" s="1">
        <f>VLOOKUP(B168,Cena!$A$2:$B$101,2)</f>
        <v>87</v>
      </c>
      <c r="K168" s="1">
        <f t="shared" si="24"/>
        <v>3915</v>
      </c>
      <c r="L168" s="1">
        <f t="shared" si="21"/>
        <v>900.45</v>
      </c>
      <c r="M168" s="22">
        <f t="shared" si="25"/>
        <v>4815.45</v>
      </c>
      <c r="N168" s="1">
        <f t="shared" ca="1" si="22"/>
        <v>1</v>
      </c>
      <c r="P168" s="1">
        <v>45.98110207443824</v>
      </c>
      <c r="Q168" s="1">
        <f t="shared" ca="1" si="23"/>
        <v>1</v>
      </c>
      <c r="R168" s="1">
        <v>14.33283275924623</v>
      </c>
    </row>
    <row r="169" spans="1:18" x14ac:dyDescent="0.3">
      <c r="A169" s="26">
        <v>168</v>
      </c>
      <c r="B169" s="1">
        <v>6</v>
      </c>
      <c r="C169" s="1">
        <f t="shared" si="19"/>
        <v>13</v>
      </c>
      <c r="D169" s="21">
        <f t="shared" ca="1" si="18"/>
        <v>44900</v>
      </c>
      <c r="E169" s="1" t="s">
        <v>26</v>
      </c>
      <c r="F169" s="1" t="s">
        <v>197</v>
      </c>
      <c r="G169" s="1" t="s">
        <v>28</v>
      </c>
      <c r="H169" s="1">
        <v>267</v>
      </c>
      <c r="I169" s="1">
        <f t="shared" si="20"/>
        <v>36</v>
      </c>
      <c r="J169" s="1">
        <f>VLOOKUP(B169,Cena!$A$2:$B$101,2)</f>
        <v>86</v>
      </c>
      <c r="K169" s="1">
        <f t="shared" si="24"/>
        <v>3096</v>
      </c>
      <c r="L169" s="1">
        <f t="shared" si="21"/>
        <v>712.08</v>
      </c>
      <c r="M169" s="22">
        <f t="shared" si="25"/>
        <v>3808.08</v>
      </c>
      <c r="N169" s="1">
        <f t="shared" ca="1" si="22"/>
        <v>12</v>
      </c>
      <c r="P169" s="1">
        <v>36.76698851340916</v>
      </c>
      <c r="Q169" s="1">
        <f t="shared" ca="1" si="23"/>
        <v>8</v>
      </c>
      <c r="R169" s="1">
        <v>13.727802777575562</v>
      </c>
    </row>
    <row r="170" spans="1:18" x14ac:dyDescent="0.3">
      <c r="A170" s="26">
        <v>169</v>
      </c>
      <c r="B170" s="1">
        <v>17</v>
      </c>
      <c r="C170" s="1">
        <f t="shared" si="19"/>
        <v>11</v>
      </c>
      <c r="D170" s="21">
        <f t="shared" ca="1" si="18"/>
        <v>44862</v>
      </c>
      <c r="E170" s="1" t="s">
        <v>26</v>
      </c>
      <c r="F170" s="1" t="s">
        <v>198</v>
      </c>
      <c r="G170" s="1" t="s">
        <v>28</v>
      </c>
      <c r="H170" s="1">
        <v>268</v>
      </c>
      <c r="I170" s="1">
        <f t="shared" si="20"/>
        <v>41</v>
      </c>
      <c r="J170" s="1">
        <f>VLOOKUP(B170,Cena!$A$2:$B$101,2)</f>
        <v>84</v>
      </c>
      <c r="K170" s="1">
        <f t="shared" si="24"/>
        <v>3444</v>
      </c>
      <c r="L170" s="1">
        <f t="shared" si="21"/>
        <v>792.12</v>
      </c>
      <c r="M170" s="22">
        <f t="shared" si="25"/>
        <v>4236.12</v>
      </c>
      <c r="N170" s="1">
        <f t="shared" ca="1" si="22"/>
        <v>10</v>
      </c>
      <c r="P170" s="1">
        <v>41.197705639933702</v>
      </c>
      <c r="Q170" s="1">
        <f t="shared" ca="1" si="23"/>
        <v>15</v>
      </c>
      <c r="R170" s="1">
        <v>11.689767259449582</v>
      </c>
    </row>
    <row r="171" spans="1:18" x14ac:dyDescent="0.3">
      <c r="A171" s="26">
        <v>170</v>
      </c>
      <c r="B171" s="1">
        <v>11</v>
      </c>
      <c r="C171" s="1">
        <f t="shared" si="19"/>
        <v>10</v>
      </c>
      <c r="D171" s="21">
        <f t="shared" ca="1" si="18"/>
        <v>44634</v>
      </c>
      <c r="E171" s="1" t="s">
        <v>26</v>
      </c>
      <c r="F171" s="1" t="s">
        <v>199</v>
      </c>
      <c r="G171" s="1" t="s">
        <v>28</v>
      </c>
      <c r="H171" s="1">
        <v>269</v>
      </c>
      <c r="I171" s="1">
        <f t="shared" si="20"/>
        <v>58</v>
      </c>
      <c r="J171" s="1">
        <f>VLOOKUP(B171,Cena!$A$2:$B$101,2)</f>
        <v>83</v>
      </c>
      <c r="K171" s="1">
        <f t="shared" si="24"/>
        <v>4814</v>
      </c>
      <c r="L171" s="1">
        <f t="shared" si="21"/>
        <v>1107.22</v>
      </c>
      <c r="M171" s="22">
        <f t="shared" si="25"/>
        <v>5921.22</v>
      </c>
      <c r="N171" s="1">
        <f t="shared" ca="1" si="22"/>
        <v>3</v>
      </c>
      <c r="P171" s="1">
        <v>58.508573046128731</v>
      </c>
      <c r="Q171" s="1">
        <f t="shared" ca="1" si="23"/>
        <v>10</v>
      </c>
      <c r="R171" s="1">
        <v>10.020176571524644</v>
      </c>
    </row>
    <row r="172" spans="1:18" x14ac:dyDescent="0.3">
      <c r="A172" s="26">
        <v>171</v>
      </c>
      <c r="B172" s="1">
        <v>10</v>
      </c>
      <c r="C172" s="1">
        <f t="shared" si="19"/>
        <v>12</v>
      </c>
      <c r="D172" s="21">
        <f t="shared" ca="1" si="18"/>
        <v>44738</v>
      </c>
      <c r="E172" s="1" t="s">
        <v>26</v>
      </c>
      <c r="F172" s="1" t="s">
        <v>200</v>
      </c>
      <c r="G172" s="1" t="s">
        <v>28</v>
      </c>
      <c r="H172" s="1">
        <v>270</v>
      </c>
      <c r="I172" s="1">
        <f t="shared" si="20"/>
        <v>67</v>
      </c>
      <c r="J172" s="1">
        <f>VLOOKUP(B172,Cena!$A$2:$B$101,2)</f>
        <v>109</v>
      </c>
      <c r="K172" s="1">
        <f t="shared" si="24"/>
        <v>7303</v>
      </c>
      <c r="L172" s="1">
        <f t="shared" si="21"/>
        <v>1679.69</v>
      </c>
      <c r="M172" s="22">
        <f t="shared" si="25"/>
        <v>8982.69</v>
      </c>
      <c r="N172" s="1">
        <f t="shared" ca="1" si="22"/>
        <v>6</v>
      </c>
      <c r="P172" s="1">
        <v>67.033426047419198</v>
      </c>
      <c r="Q172" s="1">
        <f t="shared" ca="1" si="23"/>
        <v>28</v>
      </c>
      <c r="R172" s="1">
        <v>12.538337184887496</v>
      </c>
    </row>
    <row r="173" spans="1:18" x14ac:dyDescent="0.3">
      <c r="A173" s="26">
        <v>172</v>
      </c>
      <c r="B173" s="1">
        <v>12</v>
      </c>
      <c r="C173" s="1">
        <f t="shared" si="19"/>
        <v>12</v>
      </c>
      <c r="D173" s="21">
        <f t="shared" ca="1" si="18"/>
        <v>44791</v>
      </c>
      <c r="E173" s="1" t="s">
        <v>26</v>
      </c>
      <c r="F173" s="1" t="s">
        <v>201</v>
      </c>
      <c r="G173" s="1" t="s">
        <v>28</v>
      </c>
      <c r="H173" s="1">
        <v>271</v>
      </c>
      <c r="I173" s="1">
        <f t="shared" si="20"/>
        <v>63</v>
      </c>
      <c r="J173" s="1">
        <f>VLOOKUP(B173,Cena!$A$2:$B$101,2)</f>
        <v>88</v>
      </c>
      <c r="K173" s="1">
        <f t="shared" si="24"/>
        <v>5544</v>
      </c>
      <c r="L173" s="1">
        <f t="shared" si="21"/>
        <v>1275.1200000000001</v>
      </c>
      <c r="M173" s="22">
        <f t="shared" si="25"/>
        <v>6819.12</v>
      </c>
      <c r="N173" s="1">
        <f t="shared" ca="1" si="22"/>
        <v>8</v>
      </c>
      <c r="P173" s="1">
        <v>63.795352060697041</v>
      </c>
      <c r="Q173" s="1">
        <f t="shared" ca="1" si="23"/>
        <v>25</v>
      </c>
      <c r="R173" s="1">
        <v>12.556981826273841</v>
      </c>
    </row>
    <row r="174" spans="1:18" x14ac:dyDescent="0.3">
      <c r="A174" s="26">
        <v>173</v>
      </c>
      <c r="B174" s="1">
        <v>3</v>
      </c>
      <c r="C174" s="1">
        <f t="shared" si="19"/>
        <v>11</v>
      </c>
      <c r="D174" s="21">
        <f t="shared" ca="1" si="18"/>
        <v>44704</v>
      </c>
      <c r="E174" s="1" t="s">
        <v>26</v>
      </c>
      <c r="F174" s="1" t="s">
        <v>202</v>
      </c>
      <c r="G174" s="1" t="s">
        <v>28</v>
      </c>
      <c r="H174" s="1">
        <v>272</v>
      </c>
      <c r="I174" s="1">
        <f t="shared" si="20"/>
        <v>36</v>
      </c>
      <c r="J174" s="1">
        <f>VLOOKUP(B174,Cena!$A$2:$B$101,2)</f>
        <v>89</v>
      </c>
      <c r="K174" s="1">
        <f t="shared" si="24"/>
        <v>3204</v>
      </c>
      <c r="L174" s="1">
        <f t="shared" si="21"/>
        <v>736.92000000000007</v>
      </c>
      <c r="M174" s="22">
        <f t="shared" si="25"/>
        <v>3940.92</v>
      </c>
      <c r="N174" s="1">
        <f t="shared" ca="1" si="22"/>
        <v>5</v>
      </c>
      <c r="P174" s="1">
        <v>36.040347721427679</v>
      </c>
      <c r="Q174" s="1">
        <f t="shared" ca="1" si="23"/>
        <v>23</v>
      </c>
      <c r="R174" s="1">
        <v>11.905260660350905</v>
      </c>
    </row>
    <row r="175" spans="1:18" x14ac:dyDescent="0.3">
      <c r="A175" s="26">
        <v>174</v>
      </c>
      <c r="B175" s="1">
        <v>15</v>
      </c>
      <c r="C175" s="1">
        <f t="shared" si="19"/>
        <v>10</v>
      </c>
      <c r="D175" s="21">
        <f t="shared" ca="1" si="18"/>
        <v>44702</v>
      </c>
      <c r="E175" s="1" t="s">
        <v>26</v>
      </c>
      <c r="F175" s="1" t="s">
        <v>203</v>
      </c>
      <c r="G175" s="1" t="s">
        <v>28</v>
      </c>
      <c r="H175" s="1">
        <v>273</v>
      </c>
      <c r="I175" s="1">
        <f t="shared" si="20"/>
        <v>30</v>
      </c>
      <c r="J175" s="1">
        <f>VLOOKUP(B175,Cena!$A$2:$B$101,2)</f>
        <v>85</v>
      </c>
      <c r="K175" s="1">
        <f t="shared" si="24"/>
        <v>2550</v>
      </c>
      <c r="L175" s="1">
        <f t="shared" si="21"/>
        <v>586.5</v>
      </c>
      <c r="M175" s="22">
        <f t="shared" si="25"/>
        <v>3136.5</v>
      </c>
      <c r="N175" s="1">
        <f t="shared" ca="1" si="22"/>
        <v>5</v>
      </c>
      <c r="P175" s="1">
        <v>30.8874235895928</v>
      </c>
      <c r="Q175" s="1">
        <f t="shared" ca="1" si="23"/>
        <v>25</v>
      </c>
      <c r="R175" s="1">
        <v>10.819898104964523</v>
      </c>
    </row>
    <row r="176" spans="1:18" x14ac:dyDescent="0.3">
      <c r="A176" s="26">
        <v>175</v>
      </c>
      <c r="B176" s="1">
        <v>26</v>
      </c>
      <c r="C176" s="1">
        <f t="shared" si="19"/>
        <v>8</v>
      </c>
      <c r="D176" s="21">
        <f t="shared" ca="1" si="18"/>
        <v>44683</v>
      </c>
      <c r="E176" s="1" t="s">
        <v>26</v>
      </c>
      <c r="F176" s="1" t="s">
        <v>204</v>
      </c>
      <c r="G176" s="1" t="s">
        <v>28</v>
      </c>
      <c r="H176" s="1">
        <v>274</v>
      </c>
      <c r="I176" s="1">
        <f t="shared" si="20"/>
        <v>52</v>
      </c>
      <c r="J176" s="1">
        <f>VLOOKUP(B176,Cena!$A$2:$B$101,2)</f>
        <v>99</v>
      </c>
      <c r="K176" s="1">
        <f t="shared" si="24"/>
        <v>5148</v>
      </c>
      <c r="L176" s="1">
        <f t="shared" si="21"/>
        <v>1184.04</v>
      </c>
      <c r="M176" s="22">
        <f t="shared" si="25"/>
        <v>6332.04</v>
      </c>
      <c r="N176" s="1">
        <f t="shared" ca="1" si="22"/>
        <v>5</v>
      </c>
      <c r="P176" s="1">
        <v>52.956733169412473</v>
      </c>
      <c r="Q176" s="1">
        <f t="shared" ca="1" si="23"/>
        <v>15</v>
      </c>
      <c r="R176" s="1">
        <v>8.6986210842587752</v>
      </c>
    </row>
    <row r="177" spans="1:18" x14ac:dyDescent="0.3">
      <c r="A177" s="26">
        <v>176</v>
      </c>
      <c r="B177" s="1">
        <v>17</v>
      </c>
      <c r="C177" s="1">
        <f t="shared" si="19"/>
        <v>10</v>
      </c>
      <c r="D177" s="21">
        <f t="shared" ca="1" si="18"/>
        <v>44734</v>
      </c>
      <c r="E177" s="1" t="s">
        <v>26</v>
      </c>
      <c r="F177" s="1" t="s">
        <v>205</v>
      </c>
      <c r="G177" s="1" t="s">
        <v>28</v>
      </c>
      <c r="H177" s="1">
        <v>275</v>
      </c>
      <c r="I177" s="1">
        <f t="shared" si="20"/>
        <v>58</v>
      </c>
      <c r="J177" s="1">
        <f>VLOOKUP(B177,Cena!$A$2:$B$101,2)</f>
        <v>84</v>
      </c>
      <c r="K177" s="1">
        <f t="shared" si="24"/>
        <v>4872</v>
      </c>
      <c r="L177" s="1">
        <f t="shared" si="21"/>
        <v>1120.56</v>
      </c>
      <c r="M177" s="22">
        <f t="shared" si="25"/>
        <v>5992.5599999999995</v>
      </c>
      <c r="N177" s="1">
        <f t="shared" ca="1" si="22"/>
        <v>6</v>
      </c>
      <c r="P177" s="1">
        <v>58.446113497484475</v>
      </c>
      <c r="Q177" s="1">
        <f t="shared" ca="1" si="23"/>
        <v>20</v>
      </c>
      <c r="R177" s="1">
        <v>10.890668161446229</v>
      </c>
    </row>
    <row r="178" spans="1:18" x14ac:dyDescent="0.3">
      <c r="A178" s="26">
        <v>177</v>
      </c>
      <c r="B178" s="1">
        <v>9</v>
      </c>
      <c r="C178" s="1">
        <f t="shared" si="19"/>
        <v>13</v>
      </c>
      <c r="D178" s="21">
        <f t="shared" ca="1" si="18"/>
        <v>44654</v>
      </c>
      <c r="E178" s="1" t="s">
        <v>26</v>
      </c>
      <c r="F178" s="1" t="s">
        <v>206</v>
      </c>
      <c r="G178" s="1" t="s">
        <v>28</v>
      </c>
      <c r="H178" s="1">
        <v>276</v>
      </c>
      <c r="I178" s="1">
        <f t="shared" si="20"/>
        <v>41</v>
      </c>
      <c r="J178" s="1">
        <f>VLOOKUP(B178,Cena!$A$2:$B$101,2)</f>
        <v>96</v>
      </c>
      <c r="K178" s="1">
        <f t="shared" si="24"/>
        <v>3936</v>
      </c>
      <c r="L178" s="1">
        <f t="shared" si="21"/>
        <v>905.28000000000009</v>
      </c>
      <c r="M178" s="22">
        <f t="shared" si="25"/>
        <v>4841.28</v>
      </c>
      <c r="N178" s="1">
        <f t="shared" ca="1" si="22"/>
        <v>4</v>
      </c>
      <c r="P178" s="1">
        <v>41.493632478523068</v>
      </c>
      <c r="Q178" s="1">
        <f t="shared" ca="1" si="23"/>
        <v>28</v>
      </c>
      <c r="R178" s="1">
        <v>13.910167833964806</v>
      </c>
    </row>
    <row r="179" spans="1:18" x14ac:dyDescent="0.3">
      <c r="A179" s="26">
        <v>178</v>
      </c>
      <c r="B179" s="1">
        <v>28</v>
      </c>
      <c r="C179" s="1">
        <f t="shared" si="19"/>
        <v>9</v>
      </c>
      <c r="D179" s="21">
        <f t="shared" ca="1" si="18"/>
        <v>44596</v>
      </c>
      <c r="E179" s="1" t="s">
        <v>26</v>
      </c>
      <c r="F179" s="1" t="s">
        <v>207</v>
      </c>
      <c r="G179" s="1" t="s">
        <v>28</v>
      </c>
      <c r="H179" s="1">
        <v>277</v>
      </c>
      <c r="I179" s="1">
        <f t="shared" si="20"/>
        <v>43</v>
      </c>
      <c r="J179" s="1">
        <f>VLOOKUP(B179,Cena!$A$2:$B$101,2)</f>
        <v>59</v>
      </c>
      <c r="K179" s="1">
        <f t="shared" si="24"/>
        <v>2537</v>
      </c>
      <c r="L179" s="1">
        <f t="shared" si="21"/>
        <v>583.51</v>
      </c>
      <c r="M179" s="22">
        <f t="shared" si="25"/>
        <v>3120.51</v>
      </c>
      <c r="N179" s="1">
        <f t="shared" ca="1" si="22"/>
        <v>2</v>
      </c>
      <c r="P179" s="1">
        <v>43.611254467396066</v>
      </c>
      <c r="Q179" s="1">
        <f t="shared" ca="1" si="23"/>
        <v>29</v>
      </c>
      <c r="R179" s="1">
        <v>9.5986740941589233</v>
      </c>
    </row>
    <row r="180" spans="1:18" x14ac:dyDescent="0.3">
      <c r="A180" s="26">
        <v>179</v>
      </c>
      <c r="B180" s="1">
        <v>13</v>
      </c>
      <c r="C180" s="1">
        <f t="shared" si="19"/>
        <v>7</v>
      </c>
      <c r="D180" s="21">
        <f t="shared" ca="1" si="18"/>
        <v>44570</v>
      </c>
      <c r="E180" s="1" t="s">
        <v>26</v>
      </c>
      <c r="F180" s="1" t="s">
        <v>208</v>
      </c>
      <c r="G180" s="1" t="s">
        <v>28</v>
      </c>
      <c r="H180" s="1">
        <v>278</v>
      </c>
      <c r="I180" s="1">
        <f t="shared" si="20"/>
        <v>49</v>
      </c>
      <c r="J180" s="1">
        <f>VLOOKUP(B180,Cena!$A$2:$B$101,2)</f>
        <v>94</v>
      </c>
      <c r="K180" s="1">
        <f t="shared" si="24"/>
        <v>4606</v>
      </c>
      <c r="L180" s="1">
        <f t="shared" si="21"/>
        <v>1059.3800000000001</v>
      </c>
      <c r="M180" s="22">
        <f t="shared" si="25"/>
        <v>5665.38</v>
      </c>
      <c r="N180" s="1">
        <f t="shared" ca="1" si="22"/>
        <v>1</v>
      </c>
      <c r="P180" s="1">
        <v>49.816782292327844</v>
      </c>
      <c r="Q180" s="1">
        <f t="shared" ca="1" si="23"/>
        <v>13</v>
      </c>
      <c r="R180" s="1">
        <v>7.9557401275087614</v>
      </c>
    </row>
    <row r="181" spans="1:18" x14ac:dyDescent="0.3">
      <c r="A181" s="26">
        <v>180</v>
      </c>
      <c r="B181" s="1">
        <v>30</v>
      </c>
      <c r="C181" s="1">
        <f t="shared" si="19"/>
        <v>8</v>
      </c>
      <c r="D181" s="21">
        <f t="shared" ca="1" si="18"/>
        <v>44695</v>
      </c>
      <c r="E181" s="1" t="s">
        <v>26</v>
      </c>
      <c r="F181" s="1" t="s">
        <v>209</v>
      </c>
      <c r="G181" s="1" t="s">
        <v>28</v>
      </c>
      <c r="H181" s="1">
        <v>279</v>
      </c>
      <c r="I181" s="1">
        <f t="shared" si="20"/>
        <v>49</v>
      </c>
      <c r="J181" s="1">
        <f>VLOOKUP(B181,Cena!$A$2:$B$101,2)</f>
        <v>87</v>
      </c>
      <c r="K181" s="1">
        <f t="shared" si="24"/>
        <v>4263</v>
      </c>
      <c r="L181" s="1">
        <f t="shared" si="21"/>
        <v>980.49</v>
      </c>
      <c r="M181" s="22">
        <f t="shared" si="25"/>
        <v>5243.49</v>
      </c>
      <c r="N181" s="1">
        <f t="shared" ca="1" si="22"/>
        <v>5</v>
      </c>
      <c r="P181" s="1">
        <v>49.357351043727249</v>
      </c>
      <c r="Q181" s="1">
        <f t="shared" ca="1" si="23"/>
        <v>8</v>
      </c>
      <c r="R181" s="1">
        <v>8.3272573444992304</v>
      </c>
    </row>
    <row r="182" spans="1:18" x14ac:dyDescent="0.3">
      <c r="A182" s="26">
        <v>181</v>
      </c>
      <c r="B182" s="1">
        <v>2</v>
      </c>
      <c r="C182" s="1">
        <f t="shared" si="19"/>
        <v>7</v>
      </c>
      <c r="D182" s="21">
        <f t="shared" ca="1" si="18"/>
        <v>44751</v>
      </c>
      <c r="E182" s="1" t="s">
        <v>26</v>
      </c>
      <c r="F182" s="1" t="s">
        <v>210</v>
      </c>
      <c r="G182" s="1" t="s">
        <v>28</v>
      </c>
      <c r="H182" s="1">
        <v>280</v>
      </c>
      <c r="I182" s="1">
        <f t="shared" si="20"/>
        <v>40</v>
      </c>
      <c r="J182" s="1">
        <f>VLOOKUP(B182,Cena!$A$2:$B$101,2)</f>
        <v>121</v>
      </c>
      <c r="K182" s="1">
        <f t="shared" si="24"/>
        <v>4840</v>
      </c>
      <c r="L182" s="1">
        <f t="shared" si="21"/>
        <v>1113.2</v>
      </c>
      <c r="M182" s="22">
        <f t="shared" si="25"/>
        <v>5953.2</v>
      </c>
      <c r="N182" s="1">
        <f t="shared" ca="1" si="22"/>
        <v>7</v>
      </c>
      <c r="P182" s="1">
        <v>40.403466654242948</v>
      </c>
      <c r="Q182" s="1">
        <f t="shared" ca="1" si="23"/>
        <v>29</v>
      </c>
      <c r="R182" s="1">
        <v>7.6480239638476633</v>
      </c>
    </row>
    <row r="183" spans="1:18" x14ac:dyDescent="0.3">
      <c r="A183" s="26">
        <v>182</v>
      </c>
      <c r="B183" s="1">
        <v>23</v>
      </c>
      <c r="C183" s="1">
        <f t="shared" si="19"/>
        <v>9</v>
      </c>
      <c r="D183" s="21">
        <f t="shared" ca="1" si="18"/>
        <v>44807</v>
      </c>
      <c r="E183" s="1" t="s">
        <v>26</v>
      </c>
      <c r="F183" s="1" t="s">
        <v>211</v>
      </c>
      <c r="G183" s="1" t="s">
        <v>28</v>
      </c>
      <c r="H183" s="1">
        <v>281</v>
      </c>
      <c r="I183" s="1">
        <f t="shared" si="20"/>
        <v>54</v>
      </c>
      <c r="J183" s="1">
        <f>VLOOKUP(B183,Cena!$A$2:$B$101,2)</f>
        <v>132</v>
      </c>
      <c r="K183" s="1">
        <f t="shared" si="24"/>
        <v>7128</v>
      </c>
      <c r="L183" s="1">
        <f t="shared" si="21"/>
        <v>1639.44</v>
      </c>
      <c r="M183" s="22">
        <f t="shared" si="25"/>
        <v>8767.44</v>
      </c>
      <c r="N183" s="1">
        <f t="shared" ca="1" si="22"/>
        <v>9</v>
      </c>
      <c r="P183" s="1">
        <v>54.438015821506269</v>
      </c>
      <c r="Q183" s="1">
        <f t="shared" ca="1" si="23"/>
        <v>22</v>
      </c>
      <c r="R183" s="1">
        <v>9.0991341292101424</v>
      </c>
    </row>
    <row r="184" spans="1:18" x14ac:dyDescent="0.3">
      <c r="A184" s="26">
        <v>183</v>
      </c>
      <c r="B184" s="1">
        <v>5</v>
      </c>
      <c r="C184" s="1">
        <f t="shared" si="19"/>
        <v>6</v>
      </c>
      <c r="D184" s="21">
        <f t="shared" ca="1" si="18"/>
        <v>44903</v>
      </c>
      <c r="E184" s="1" t="s">
        <v>26</v>
      </c>
      <c r="F184" s="1" t="s">
        <v>212</v>
      </c>
      <c r="G184" s="1" t="s">
        <v>28</v>
      </c>
      <c r="H184" s="1">
        <v>282</v>
      </c>
      <c r="I184" s="1">
        <f t="shared" si="20"/>
        <v>47</v>
      </c>
      <c r="J184" s="1">
        <f>VLOOKUP(B184,Cena!$A$2:$B$101,2)</f>
        <v>91</v>
      </c>
      <c r="K184" s="1">
        <f t="shared" si="24"/>
        <v>4277</v>
      </c>
      <c r="L184" s="1">
        <f t="shared" si="21"/>
        <v>983.71</v>
      </c>
      <c r="M184" s="22">
        <f t="shared" si="25"/>
        <v>5260.71</v>
      </c>
      <c r="N184" s="1">
        <f t="shared" ca="1" si="22"/>
        <v>12</v>
      </c>
      <c r="P184" s="1">
        <v>47.374948179640342</v>
      </c>
      <c r="Q184" s="1">
        <f t="shared" ca="1" si="23"/>
        <v>3</v>
      </c>
      <c r="R184" s="1">
        <v>6.6009909257991239</v>
      </c>
    </row>
    <row r="185" spans="1:18" x14ac:dyDescent="0.3">
      <c r="A185" s="26">
        <v>184</v>
      </c>
      <c r="B185" s="1">
        <v>23</v>
      </c>
      <c r="C185" s="1">
        <f t="shared" si="19"/>
        <v>7</v>
      </c>
      <c r="D185" s="21">
        <f t="shared" ca="1" si="18"/>
        <v>44731</v>
      </c>
      <c r="E185" s="1" t="s">
        <v>26</v>
      </c>
      <c r="F185" s="1" t="s">
        <v>213</v>
      </c>
      <c r="G185" s="1" t="s">
        <v>28</v>
      </c>
      <c r="H185" s="1">
        <v>283</v>
      </c>
      <c r="I185" s="1">
        <f t="shared" si="20"/>
        <v>33</v>
      </c>
      <c r="J185" s="1">
        <f>VLOOKUP(B185,Cena!$A$2:$B$101,2)</f>
        <v>132</v>
      </c>
      <c r="K185" s="1">
        <f t="shared" si="24"/>
        <v>4356</v>
      </c>
      <c r="L185" s="1">
        <f t="shared" si="21"/>
        <v>1001.88</v>
      </c>
      <c r="M185" s="22">
        <f t="shared" si="25"/>
        <v>5357.88</v>
      </c>
      <c r="N185" s="1">
        <f t="shared" ca="1" si="22"/>
        <v>6</v>
      </c>
      <c r="P185" s="1">
        <v>33.722591423429549</v>
      </c>
      <c r="Q185" s="1">
        <f t="shared" ca="1" si="23"/>
        <v>4</v>
      </c>
      <c r="R185" s="1">
        <v>7.223449099692516</v>
      </c>
    </row>
    <row r="186" spans="1:18" x14ac:dyDescent="0.3">
      <c r="A186" s="26">
        <v>185</v>
      </c>
      <c r="B186" s="1">
        <v>26</v>
      </c>
      <c r="C186" s="1">
        <f t="shared" si="19"/>
        <v>10</v>
      </c>
      <c r="D186" s="21">
        <f t="shared" ca="1" si="18"/>
        <v>44917</v>
      </c>
      <c r="E186" s="1" t="s">
        <v>26</v>
      </c>
      <c r="F186" s="1" t="s">
        <v>214</v>
      </c>
      <c r="G186" s="1" t="s">
        <v>28</v>
      </c>
      <c r="H186" s="1">
        <v>284</v>
      </c>
      <c r="I186" s="1">
        <f t="shared" si="20"/>
        <v>50</v>
      </c>
      <c r="J186" s="1">
        <f>VLOOKUP(B186,Cena!$A$2:$B$101,2)</f>
        <v>99</v>
      </c>
      <c r="K186" s="1">
        <f t="shared" si="24"/>
        <v>4950</v>
      </c>
      <c r="L186" s="1">
        <f t="shared" si="21"/>
        <v>1138.5</v>
      </c>
      <c r="M186" s="22">
        <f t="shared" si="25"/>
        <v>6088.5</v>
      </c>
      <c r="N186" s="1">
        <f t="shared" ca="1" si="22"/>
        <v>12</v>
      </c>
      <c r="P186" s="1">
        <v>50.045520209823735</v>
      </c>
      <c r="Q186" s="1">
        <f t="shared" ca="1" si="23"/>
        <v>29</v>
      </c>
      <c r="R186" s="1">
        <v>10.311678149955696</v>
      </c>
    </row>
    <row r="187" spans="1:18" x14ac:dyDescent="0.3">
      <c r="A187" s="26">
        <v>186</v>
      </c>
      <c r="B187" s="1">
        <v>23</v>
      </c>
      <c r="C187" s="1">
        <f t="shared" si="19"/>
        <v>9</v>
      </c>
      <c r="D187" s="21">
        <f t="shared" ca="1" si="18"/>
        <v>44811</v>
      </c>
      <c r="E187" s="1" t="s">
        <v>26</v>
      </c>
      <c r="F187" s="1" t="s">
        <v>215</v>
      </c>
      <c r="G187" s="1" t="s">
        <v>28</v>
      </c>
      <c r="H187" s="1">
        <v>285</v>
      </c>
      <c r="I187" s="1">
        <f t="shared" si="20"/>
        <v>54</v>
      </c>
      <c r="J187" s="1">
        <f>VLOOKUP(B187,Cena!$A$2:$B$101,2)</f>
        <v>132</v>
      </c>
      <c r="K187" s="1">
        <f t="shared" si="24"/>
        <v>7128</v>
      </c>
      <c r="L187" s="1">
        <f t="shared" si="21"/>
        <v>1639.44</v>
      </c>
      <c r="M187" s="22">
        <f t="shared" si="25"/>
        <v>8767.44</v>
      </c>
      <c r="N187" s="1">
        <f t="shared" ca="1" si="22"/>
        <v>9</v>
      </c>
      <c r="P187" s="1">
        <v>54.689309207606129</v>
      </c>
      <c r="Q187" s="1">
        <f t="shared" ca="1" si="23"/>
        <v>15</v>
      </c>
      <c r="R187" s="1">
        <v>9.3919175267365063</v>
      </c>
    </row>
    <row r="188" spans="1:18" x14ac:dyDescent="0.3">
      <c r="A188" s="26">
        <v>187</v>
      </c>
      <c r="B188" s="1">
        <v>12</v>
      </c>
      <c r="C188" s="1">
        <f t="shared" si="19"/>
        <v>11</v>
      </c>
      <c r="D188" s="21">
        <f t="shared" ca="1" si="18"/>
        <v>44776</v>
      </c>
      <c r="E188" s="1" t="s">
        <v>26</v>
      </c>
      <c r="F188" s="1" t="s">
        <v>216</v>
      </c>
      <c r="G188" s="1" t="s">
        <v>28</v>
      </c>
      <c r="H188" s="1">
        <v>286</v>
      </c>
      <c r="I188" s="1">
        <f t="shared" si="20"/>
        <v>56</v>
      </c>
      <c r="J188" s="1">
        <f>VLOOKUP(B188,Cena!$A$2:$B$101,2)</f>
        <v>88</v>
      </c>
      <c r="K188" s="1">
        <f t="shared" si="24"/>
        <v>4928</v>
      </c>
      <c r="L188" s="1">
        <f t="shared" si="21"/>
        <v>1133.44</v>
      </c>
      <c r="M188" s="22">
        <f t="shared" si="25"/>
        <v>6061.4400000000005</v>
      </c>
      <c r="N188" s="1">
        <f t="shared" ca="1" si="22"/>
        <v>8</v>
      </c>
      <c r="P188" s="1">
        <v>56.07384436079883</v>
      </c>
      <c r="Q188" s="1">
        <f t="shared" ca="1" si="23"/>
        <v>15</v>
      </c>
      <c r="R188" s="1">
        <v>11.493697254772997</v>
      </c>
    </row>
    <row r="189" spans="1:18" x14ac:dyDescent="0.3">
      <c r="A189" s="26">
        <v>188</v>
      </c>
      <c r="B189" s="1">
        <v>2</v>
      </c>
      <c r="C189" s="1">
        <f t="shared" si="19"/>
        <v>5</v>
      </c>
      <c r="D189" s="21">
        <f t="shared" ca="1" si="18"/>
        <v>44867</v>
      </c>
      <c r="E189" s="1" t="s">
        <v>26</v>
      </c>
      <c r="F189" s="1" t="s">
        <v>217</v>
      </c>
      <c r="G189" s="1" t="s">
        <v>28</v>
      </c>
      <c r="H189" s="1">
        <v>287</v>
      </c>
      <c r="I189" s="1">
        <f t="shared" si="20"/>
        <v>59</v>
      </c>
      <c r="J189" s="1">
        <f>VLOOKUP(B189,Cena!$A$2:$B$101,2)</f>
        <v>121</v>
      </c>
      <c r="K189" s="1">
        <f t="shared" si="24"/>
        <v>7139</v>
      </c>
      <c r="L189" s="1">
        <f t="shared" si="21"/>
        <v>1641.97</v>
      </c>
      <c r="M189" s="22">
        <f t="shared" si="25"/>
        <v>8780.9699999999993</v>
      </c>
      <c r="N189" s="1">
        <f t="shared" ca="1" si="22"/>
        <v>11</v>
      </c>
      <c r="P189" s="1">
        <v>59.379368748341221</v>
      </c>
      <c r="Q189" s="1">
        <f t="shared" ca="1" si="23"/>
        <v>2</v>
      </c>
      <c r="R189" s="1">
        <v>5.3518454276490957</v>
      </c>
    </row>
    <row r="190" spans="1:18" x14ac:dyDescent="0.3">
      <c r="A190" s="26">
        <v>189</v>
      </c>
      <c r="B190" s="1">
        <v>15</v>
      </c>
      <c r="C190" s="1">
        <f t="shared" si="19"/>
        <v>5</v>
      </c>
      <c r="D190" s="21">
        <f t="shared" ca="1" si="18"/>
        <v>44640</v>
      </c>
      <c r="E190" s="1" t="s">
        <v>26</v>
      </c>
      <c r="F190" s="1" t="s">
        <v>218</v>
      </c>
      <c r="G190" s="1" t="s">
        <v>28</v>
      </c>
      <c r="H190" s="1">
        <v>288</v>
      </c>
      <c r="I190" s="1">
        <f t="shared" si="20"/>
        <v>45</v>
      </c>
      <c r="J190" s="1">
        <f>VLOOKUP(B190,Cena!$A$2:$B$101,2)</f>
        <v>85</v>
      </c>
      <c r="K190" s="1">
        <f t="shared" si="24"/>
        <v>3825</v>
      </c>
      <c r="L190" s="1">
        <f t="shared" si="21"/>
        <v>879.75</v>
      </c>
      <c r="M190" s="22">
        <f t="shared" si="25"/>
        <v>4704.75</v>
      </c>
      <c r="N190" s="1">
        <f t="shared" ca="1" si="22"/>
        <v>3</v>
      </c>
      <c r="P190" s="1">
        <v>45.736050095729297</v>
      </c>
      <c r="Q190" s="1">
        <f t="shared" ca="1" si="23"/>
        <v>26</v>
      </c>
      <c r="R190" s="1">
        <v>5.5859038891503587</v>
      </c>
    </row>
    <row r="191" spans="1:18" x14ac:dyDescent="0.3">
      <c r="A191" s="26">
        <v>190</v>
      </c>
      <c r="B191" s="1">
        <v>3</v>
      </c>
      <c r="C191" s="1">
        <f t="shared" si="19"/>
        <v>10</v>
      </c>
      <c r="D191" s="21">
        <f t="shared" ca="1" si="18"/>
        <v>44675</v>
      </c>
      <c r="E191" s="1" t="s">
        <v>26</v>
      </c>
      <c r="F191" s="1" t="s">
        <v>219</v>
      </c>
      <c r="G191" s="1" t="s">
        <v>28</v>
      </c>
      <c r="H191" s="1">
        <v>289</v>
      </c>
      <c r="I191" s="1">
        <f t="shared" si="20"/>
        <v>45</v>
      </c>
      <c r="J191" s="1">
        <f>VLOOKUP(B191,Cena!$A$2:$B$101,2)</f>
        <v>89</v>
      </c>
      <c r="K191" s="1">
        <f t="shared" si="24"/>
        <v>4005</v>
      </c>
      <c r="L191" s="1">
        <f t="shared" si="21"/>
        <v>921.15000000000009</v>
      </c>
      <c r="M191" s="22">
        <f t="shared" si="25"/>
        <v>4926.1499999999996</v>
      </c>
      <c r="N191" s="1">
        <f t="shared" ca="1" si="22"/>
        <v>4</v>
      </c>
      <c r="P191" s="1">
        <v>45.510427197586978</v>
      </c>
      <c r="Q191" s="1">
        <f t="shared" ca="1" si="23"/>
        <v>18</v>
      </c>
      <c r="R191" s="1">
        <v>10.177146830537822</v>
      </c>
    </row>
    <row r="192" spans="1:18" x14ac:dyDescent="0.3">
      <c r="A192" s="26">
        <v>191</v>
      </c>
      <c r="B192" s="1">
        <v>18</v>
      </c>
      <c r="C192" s="1">
        <f t="shared" si="19"/>
        <v>7</v>
      </c>
      <c r="D192" s="21">
        <f t="shared" ca="1" si="18"/>
        <v>44612</v>
      </c>
      <c r="E192" s="1" t="s">
        <v>26</v>
      </c>
      <c r="F192" s="1" t="s">
        <v>220</v>
      </c>
      <c r="G192" s="1" t="s">
        <v>28</v>
      </c>
      <c r="H192" s="1">
        <v>290</v>
      </c>
      <c r="I192" s="1">
        <f t="shared" si="20"/>
        <v>50</v>
      </c>
      <c r="J192" s="1">
        <f>VLOOKUP(B192,Cena!$A$2:$B$101,2)</f>
        <v>90</v>
      </c>
      <c r="K192" s="1">
        <f t="shared" si="24"/>
        <v>4500</v>
      </c>
      <c r="L192" s="1">
        <f t="shared" si="21"/>
        <v>1035</v>
      </c>
      <c r="M192" s="22">
        <f t="shared" si="25"/>
        <v>5535</v>
      </c>
      <c r="N192" s="1">
        <f t="shared" ca="1" si="22"/>
        <v>2</v>
      </c>
      <c r="P192" s="1">
        <v>50.459533566754544</v>
      </c>
      <c r="Q192" s="1">
        <f t="shared" ca="1" si="23"/>
        <v>15</v>
      </c>
      <c r="R192" s="1">
        <v>7.3937974573345855</v>
      </c>
    </row>
    <row r="193" spans="1:18" x14ac:dyDescent="0.3">
      <c r="A193" s="26">
        <v>192</v>
      </c>
      <c r="B193" s="1">
        <v>16</v>
      </c>
      <c r="C193" s="1">
        <f t="shared" si="19"/>
        <v>10</v>
      </c>
      <c r="D193" s="21">
        <f t="shared" ca="1" si="18"/>
        <v>44796</v>
      </c>
      <c r="E193" s="1" t="s">
        <v>26</v>
      </c>
      <c r="F193" s="1" t="s">
        <v>221</v>
      </c>
      <c r="G193" s="1" t="s">
        <v>28</v>
      </c>
      <c r="H193" s="1">
        <v>291</v>
      </c>
      <c r="I193" s="1">
        <f t="shared" si="20"/>
        <v>57</v>
      </c>
      <c r="J193" s="1">
        <f>VLOOKUP(B193,Cena!$A$2:$B$101,2)</f>
        <v>93</v>
      </c>
      <c r="K193" s="1">
        <f t="shared" si="24"/>
        <v>5301</v>
      </c>
      <c r="L193" s="1">
        <f t="shared" si="21"/>
        <v>1219.23</v>
      </c>
      <c r="M193" s="22">
        <f t="shared" si="25"/>
        <v>6520.23</v>
      </c>
      <c r="N193" s="1">
        <f t="shared" ca="1" si="22"/>
        <v>8</v>
      </c>
      <c r="P193" s="1">
        <v>57.39189545129193</v>
      </c>
      <c r="Q193" s="1">
        <f t="shared" ca="1" si="23"/>
        <v>4</v>
      </c>
      <c r="R193" s="1">
        <v>10.985886572379968</v>
      </c>
    </row>
    <row r="194" spans="1:18" x14ac:dyDescent="0.3">
      <c r="A194" s="26">
        <v>193</v>
      </c>
      <c r="B194" s="1">
        <v>12</v>
      </c>
      <c r="C194" s="1">
        <f t="shared" si="19"/>
        <v>10</v>
      </c>
      <c r="D194" s="21">
        <f t="shared" ref="D194:D257" ca="1" si="26">DATE(2022,RANDBETWEEN(1,12),RANDBETWEEN(1,28))</f>
        <v>44778</v>
      </c>
      <c r="E194" s="1" t="s">
        <v>26</v>
      </c>
      <c r="F194" s="1" t="s">
        <v>222</v>
      </c>
      <c r="G194" s="1" t="s">
        <v>28</v>
      </c>
      <c r="H194" s="1">
        <v>292</v>
      </c>
      <c r="I194" s="1">
        <f t="shared" si="20"/>
        <v>33</v>
      </c>
      <c r="J194" s="1">
        <f>VLOOKUP(B194,Cena!$A$2:$B$101,2)</f>
        <v>88</v>
      </c>
      <c r="K194" s="1">
        <f t="shared" si="24"/>
        <v>2904</v>
      </c>
      <c r="L194" s="1">
        <f t="shared" si="21"/>
        <v>667.92000000000007</v>
      </c>
      <c r="M194" s="22">
        <f t="shared" si="25"/>
        <v>3571.92</v>
      </c>
      <c r="N194" s="1">
        <f t="shared" ca="1" si="22"/>
        <v>8</v>
      </c>
      <c r="P194" s="1">
        <v>33.774159773020074</v>
      </c>
      <c r="Q194" s="1">
        <f t="shared" ca="1" si="23"/>
        <v>13</v>
      </c>
      <c r="R194" s="1">
        <v>10.928878307604464</v>
      </c>
    </row>
    <row r="195" spans="1:18" x14ac:dyDescent="0.3">
      <c r="A195" s="26">
        <v>194</v>
      </c>
      <c r="B195" s="1">
        <v>7</v>
      </c>
      <c r="C195" s="1">
        <f t="shared" ref="C195:C258" si="27">INT(R195)</f>
        <v>12</v>
      </c>
      <c r="D195" s="21">
        <f t="shared" ca="1" si="26"/>
        <v>44675</v>
      </c>
      <c r="E195" s="1" t="s">
        <v>26</v>
      </c>
      <c r="F195" s="1" t="s">
        <v>223</v>
      </c>
      <c r="G195" s="1" t="s">
        <v>28</v>
      </c>
      <c r="H195" s="1">
        <v>293</v>
      </c>
      <c r="I195" s="1">
        <f t="shared" ref="I195:I258" si="28">INT(P195)</f>
        <v>32</v>
      </c>
      <c r="J195" s="1">
        <f>VLOOKUP(B195,Cena!$A$2:$B$101,2)</f>
        <v>104</v>
      </c>
      <c r="K195" s="1">
        <f t="shared" si="24"/>
        <v>3328</v>
      </c>
      <c r="L195" s="1">
        <f t="shared" ref="L195:L258" si="29">K195*23%</f>
        <v>765.44</v>
      </c>
      <c r="M195" s="22">
        <f t="shared" si="25"/>
        <v>4093.44</v>
      </c>
      <c r="N195" s="1">
        <f t="shared" ref="N195:N258" ca="1" si="30">MONTH(D195)</f>
        <v>4</v>
      </c>
      <c r="P195" s="1">
        <v>32.672079568146728</v>
      </c>
      <c r="Q195" s="1">
        <f t="shared" ref="Q195:Q258" ca="1" si="31">RANDBETWEEN(1,30)</f>
        <v>14</v>
      </c>
      <c r="R195" s="1">
        <v>12.527792730688816</v>
      </c>
    </row>
    <row r="196" spans="1:18" x14ac:dyDescent="0.3">
      <c r="A196" s="26">
        <v>195</v>
      </c>
      <c r="B196" s="1">
        <v>23</v>
      </c>
      <c r="C196" s="1">
        <f t="shared" si="27"/>
        <v>7</v>
      </c>
      <c r="D196" s="21">
        <f t="shared" ca="1" si="26"/>
        <v>44578</v>
      </c>
      <c r="E196" s="1" t="s">
        <v>26</v>
      </c>
      <c r="F196" s="1" t="s">
        <v>224</v>
      </c>
      <c r="G196" s="1" t="s">
        <v>28</v>
      </c>
      <c r="H196" s="1">
        <v>294</v>
      </c>
      <c r="I196" s="1">
        <f t="shared" si="28"/>
        <v>42</v>
      </c>
      <c r="J196" s="1">
        <f>VLOOKUP(B196,Cena!$A$2:$B$101,2)</f>
        <v>132</v>
      </c>
      <c r="K196" s="1">
        <f t="shared" si="24"/>
        <v>5544</v>
      </c>
      <c r="L196" s="1">
        <f t="shared" si="29"/>
        <v>1275.1200000000001</v>
      </c>
      <c r="M196" s="22">
        <f t="shared" si="25"/>
        <v>6819.12</v>
      </c>
      <c r="N196" s="1">
        <f t="shared" ca="1" si="30"/>
        <v>1</v>
      </c>
      <c r="P196" s="1">
        <v>42.269067661254667</v>
      </c>
      <c r="Q196" s="1">
        <f t="shared" ca="1" si="31"/>
        <v>8</v>
      </c>
      <c r="R196" s="1">
        <v>7.4355830545391655</v>
      </c>
    </row>
    <row r="197" spans="1:18" x14ac:dyDescent="0.3">
      <c r="A197" s="26">
        <v>196</v>
      </c>
      <c r="B197" s="1">
        <v>8</v>
      </c>
      <c r="C197" s="1">
        <f t="shared" si="27"/>
        <v>11</v>
      </c>
      <c r="D197" s="21">
        <f t="shared" ca="1" si="26"/>
        <v>44899</v>
      </c>
      <c r="E197" s="1" t="s">
        <v>26</v>
      </c>
      <c r="F197" s="1" t="s">
        <v>225</v>
      </c>
      <c r="G197" s="1" t="s">
        <v>28</v>
      </c>
      <c r="H197" s="1">
        <v>295</v>
      </c>
      <c r="I197" s="1">
        <f t="shared" si="28"/>
        <v>57</v>
      </c>
      <c r="J197" s="1">
        <f>VLOOKUP(B197,Cena!$A$2:$B$101,2)</f>
        <v>88</v>
      </c>
      <c r="K197" s="1">
        <f t="shared" si="24"/>
        <v>5016</v>
      </c>
      <c r="L197" s="1">
        <f t="shared" si="29"/>
        <v>1153.68</v>
      </c>
      <c r="M197" s="22">
        <f t="shared" si="25"/>
        <v>6169.68</v>
      </c>
      <c r="N197" s="1">
        <f t="shared" ca="1" si="30"/>
        <v>12</v>
      </c>
      <c r="P197" s="1">
        <v>57.931566869956441</v>
      </c>
      <c r="Q197" s="1">
        <f t="shared" ca="1" si="31"/>
        <v>7</v>
      </c>
      <c r="R197" s="1">
        <v>11.512484004706494</v>
      </c>
    </row>
    <row r="198" spans="1:18" x14ac:dyDescent="0.3">
      <c r="A198" s="26">
        <v>197</v>
      </c>
      <c r="B198" s="1">
        <v>28</v>
      </c>
      <c r="C198" s="1">
        <f t="shared" si="27"/>
        <v>9</v>
      </c>
      <c r="D198" s="21">
        <f t="shared" ca="1" si="26"/>
        <v>44826</v>
      </c>
      <c r="E198" s="1" t="s">
        <v>26</v>
      </c>
      <c r="F198" s="1" t="s">
        <v>226</v>
      </c>
      <c r="G198" s="1" t="s">
        <v>28</v>
      </c>
      <c r="H198" s="1">
        <v>296</v>
      </c>
      <c r="I198" s="1">
        <f t="shared" si="28"/>
        <v>54</v>
      </c>
      <c r="J198" s="1">
        <f>VLOOKUP(B198,Cena!$A$2:$B$101,2)</f>
        <v>59</v>
      </c>
      <c r="K198" s="1">
        <f t="shared" si="24"/>
        <v>3186</v>
      </c>
      <c r="L198" s="1">
        <f t="shared" si="29"/>
        <v>732.78000000000009</v>
      </c>
      <c r="M198" s="22">
        <f t="shared" si="25"/>
        <v>3918.78</v>
      </c>
      <c r="N198" s="1">
        <f t="shared" ca="1" si="30"/>
        <v>9</v>
      </c>
      <c r="P198" s="1">
        <v>54.357968919066479</v>
      </c>
      <c r="Q198" s="1">
        <f t="shared" ca="1" si="31"/>
        <v>16</v>
      </c>
      <c r="R198" s="1">
        <v>9.0147330208856147</v>
      </c>
    </row>
    <row r="199" spans="1:18" x14ac:dyDescent="0.3">
      <c r="A199" s="26">
        <v>198</v>
      </c>
      <c r="B199" s="1">
        <v>10</v>
      </c>
      <c r="C199" s="1">
        <f t="shared" si="27"/>
        <v>9</v>
      </c>
      <c r="D199" s="21">
        <f t="shared" ca="1" si="26"/>
        <v>44875</v>
      </c>
      <c r="E199" s="1" t="s">
        <v>26</v>
      </c>
      <c r="F199" s="1" t="s">
        <v>227</v>
      </c>
      <c r="G199" s="1" t="s">
        <v>28</v>
      </c>
      <c r="H199" s="1">
        <v>297</v>
      </c>
      <c r="I199" s="1">
        <f t="shared" si="28"/>
        <v>38</v>
      </c>
      <c r="J199" s="1">
        <f>VLOOKUP(B199,Cena!$A$2:$B$101,2)</f>
        <v>109</v>
      </c>
      <c r="K199" s="1">
        <f t="shared" si="24"/>
        <v>4142</v>
      </c>
      <c r="L199" s="1">
        <f t="shared" si="29"/>
        <v>952.66000000000008</v>
      </c>
      <c r="M199" s="22">
        <f t="shared" si="25"/>
        <v>5094.66</v>
      </c>
      <c r="N199" s="1">
        <f t="shared" ca="1" si="30"/>
        <v>11</v>
      </c>
      <c r="P199" s="1">
        <v>38.444642440299504</v>
      </c>
      <c r="Q199" s="1">
        <f t="shared" ca="1" si="31"/>
        <v>20</v>
      </c>
      <c r="R199" s="1">
        <v>9.5022619714291068</v>
      </c>
    </row>
    <row r="200" spans="1:18" x14ac:dyDescent="0.3">
      <c r="A200" s="26">
        <v>199</v>
      </c>
      <c r="B200" s="1">
        <v>27</v>
      </c>
      <c r="C200" s="1">
        <f t="shared" si="27"/>
        <v>3</v>
      </c>
      <c r="D200" s="21">
        <f t="shared" ca="1" si="26"/>
        <v>44821</v>
      </c>
      <c r="E200" s="1" t="s">
        <v>26</v>
      </c>
      <c r="F200" s="1" t="s">
        <v>228</v>
      </c>
      <c r="G200" s="1" t="s">
        <v>28</v>
      </c>
      <c r="H200" s="1">
        <v>298</v>
      </c>
      <c r="I200" s="1">
        <f t="shared" si="28"/>
        <v>47</v>
      </c>
      <c r="J200" s="1">
        <f>VLOOKUP(B200,Cena!$A$2:$B$101,2)</f>
        <v>87</v>
      </c>
      <c r="K200" s="1">
        <f t="shared" si="24"/>
        <v>4089</v>
      </c>
      <c r="L200" s="1">
        <f t="shared" si="29"/>
        <v>940.47</v>
      </c>
      <c r="M200" s="22">
        <f t="shared" si="25"/>
        <v>5029.47</v>
      </c>
      <c r="N200" s="1">
        <f t="shared" ca="1" si="30"/>
        <v>9</v>
      </c>
      <c r="P200" s="1">
        <v>47.688837538589723</v>
      </c>
      <c r="Q200" s="1">
        <f t="shared" ca="1" si="31"/>
        <v>16</v>
      </c>
      <c r="R200" s="1">
        <v>3.9702320261858404</v>
      </c>
    </row>
    <row r="201" spans="1:18" x14ac:dyDescent="0.3">
      <c r="A201" s="26">
        <v>200</v>
      </c>
      <c r="B201" s="1">
        <v>19</v>
      </c>
      <c r="C201" s="1">
        <f t="shared" si="27"/>
        <v>9</v>
      </c>
      <c r="D201" s="21">
        <f t="shared" ca="1" si="26"/>
        <v>44866</v>
      </c>
      <c r="E201" s="1" t="s">
        <v>26</v>
      </c>
      <c r="F201" s="1" t="s">
        <v>229</v>
      </c>
      <c r="G201" s="1" t="s">
        <v>28</v>
      </c>
      <c r="H201" s="1">
        <v>299</v>
      </c>
      <c r="I201" s="1">
        <f t="shared" si="28"/>
        <v>42</v>
      </c>
      <c r="J201" s="1">
        <f>VLOOKUP(B201,Cena!$A$2:$B$101,2)</f>
        <v>84</v>
      </c>
      <c r="K201" s="1">
        <f t="shared" si="24"/>
        <v>3528</v>
      </c>
      <c r="L201" s="1">
        <f t="shared" si="29"/>
        <v>811.44</v>
      </c>
      <c r="M201" s="22">
        <f t="shared" si="25"/>
        <v>4339.4400000000005</v>
      </c>
      <c r="N201" s="1">
        <f t="shared" ca="1" si="30"/>
        <v>11</v>
      </c>
      <c r="P201" s="1">
        <v>42.485913935524877</v>
      </c>
      <c r="Q201" s="1">
        <f t="shared" ca="1" si="31"/>
        <v>23</v>
      </c>
      <c r="R201" s="1">
        <v>9.9813525164427119</v>
      </c>
    </row>
    <row r="202" spans="1:18" x14ac:dyDescent="0.3">
      <c r="A202" s="26">
        <v>201</v>
      </c>
      <c r="B202" s="1">
        <v>29</v>
      </c>
      <c r="C202" s="1">
        <f t="shared" si="27"/>
        <v>11</v>
      </c>
      <c r="D202" s="21">
        <f t="shared" ca="1" si="26"/>
        <v>44683</v>
      </c>
      <c r="E202" s="1" t="s">
        <v>26</v>
      </c>
      <c r="F202" s="1" t="s">
        <v>230</v>
      </c>
      <c r="G202" s="1" t="s">
        <v>28</v>
      </c>
      <c r="H202" s="1">
        <v>300</v>
      </c>
      <c r="I202" s="1">
        <f t="shared" si="28"/>
        <v>47</v>
      </c>
      <c r="J202" s="1">
        <f>VLOOKUP(B202,Cena!$A$2:$B$101,2)</f>
        <v>105</v>
      </c>
      <c r="K202" s="1">
        <f t="shared" si="24"/>
        <v>4935</v>
      </c>
      <c r="L202" s="1">
        <f t="shared" si="29"/>
        <v>1135.05</v>
      </c>
      <c r="M202" s="22">
        <f t="shared" si="25"/>
        <v>6070.05</v>
      </c>
      <c r="N202" s="1">
        <f t="shared" ca="1" si="30"/>
        <v>5</v>
      </c>
      <c r="P202" s="1">
        <v>47.07920323999133</v>
      </c>
      <c r="Q202" s="1">
        <f t="shared" ca="1" si="31"/>
        <v>3</v>
      </c>
      <c r="R202" s="1">
        <v>11.633475221751723</v>
      </c>
    </row>
    <row r="203" spans="1:18" x14ac:dyDescent="0.3">
      <c r="A203" s="26">
        <v>202</v>
      </c>
      <c r="B203" s="1">
        <v>16</v>
      </c>
      <c r="C203" s="1">
        <f t="shared" si="27"/>
        <v>14</v>
      </c>
      <c r="D203" s="21">
        <f t="shared" ca="1" si="26"/>
        <v>44877</v>
      </c>
      <c r="E203" s="1" t="s">
        <v>26</v>
      </c>
      <c r="F203" s="1" t="s">
        <v>231</v>
      </c>
      <c r="G203" s="1" t="s">
        <v>28</v>
      </c>
      <c r="H203" s="1">
        <v>301</v>
      </c>
      <c r="I203" s="1">
        <f t="shared" si="28"/>
        <v>55</v>
      </c>
      <c r="J203" s="1">
        <f>VLOOKUP(B203,Cena!$A$2:$B$101,2)</f>
        <v>93</v>
      </c>
      <c r="K203" s="1">
        <f t="shared" si="24"/>
        <v>5115</v>
      </c>
      <c r="L203" s="1">
        <f t="shared" si="29"/>
        <v>1176.45</v>
      </c>
      <c r="M203" s="22">
        <f t="shared" si="25"/>
        <v>6291.45</v>
      </c>
      <c r="N203" s="1">
        <f t="shared" ca="1" si="30"/>
        <v>11</v>
      </c>
      <c r="P203" s="1">
        <v>55.068466180091491</v>
      </c>
      <c r="Q203" s="1">
        <f t="shared" ca="1" si="31"/>
        <v>4</v>
      </c>
      <c r="R203" s="1">
        <v>14.994990376872011</v>
      </c>
    </row>
    <row r="204" spans="1:18" x14ac:dyDescent="0.3">
      <c r="A204" s="26">
        <v>203</v>
      </c>
      <c r="B204" s="1">
        <v>16</v>
      </c>
      <c r="C204" s="1">
        <f t="shared" si="27"/>
        <v>10</v>
      </c>
      <c r="D204" s="21">
        <f t="shared" ca="1" si="26"/>
        <v>44669</v>
      </c>
      <c r="E204" s="1" t="s">
        <v>26</v>
      </c>
      <c r="F204" s="1" t="s">
        <v>232</v>
      </c>
      <c r="G204" s="1" t="s">
        <v>28</v>
      </c>
      <c r="H204" s="1">
        <v>302</v>
      </c>
      <c r="I204" s="1">
        <f t="shared" si="28"/>
        <v>33</v>
      </c>
      <c r="J204" s="1">
        <f>VLOOKUP(B204,Cena!$A$2:$B$101,2)</f>
        <v>93</v>
      </c>
      <c r="K204" s="1">
        <f t="shared" si="24"/>
        <v>3069</v>
      </c>
      <c r="L204" s="1">
        <f t="shared" si="29"/>
        <v>705.87</v>
      </c>
      <c r="M204" s="22">
        <f t="shared" si="25"/>
        <v>3774.87</v>
      </c>
      <c r="N204" s="1">
        <f t="shared" ca="1" si="30"/>
        <v>4</v>
      </c>
      <c r="P204" s="1">
        <v>33.499901645700447</v>
      </c>
      <c r="Q204" s="1">
        <f t="shared" ca="1" si="31"/>
        <v>5</v>
      </c>
      <c r="R204" s="1">
        <v>10.121011112241831</v>
      </c>
    </row>
    <row r="205" spans="1:18" x14ac:dyDescent="0.3">
      <c r="A205" s="26">
        <v>204</v>
      </c>
      <c r="B205" s="1">
        <v>13</v>
      </c>
      <c r="C205" s="1">
        <f t="shared" si="27"/>
        <v>7</v>
      </c>
      <c r="D205" s="21">
        <f t="shared" ca="1" si="26"/>
        <v>44604</v>
      </c>
      <c r="E205" s="1" t="s">
        <v>26</v>
      </c>
      <c r="F205" s="1" t="s">
        <v>233</v>
      </c>
      <c r="G205" s="1" t="s">
        <v>28</v>
      </c>
      <c r="H205" s="1">
        <v>303</v>
      </c>
      <c r="I205" s="1">
        <f t="shared" si="28"/>
        <v>55</v>
      </c>
      <c r="J205" s="1">
        <f>VLOOKUP(B205,Cena!$A$2:$B$101,2)</f>
        <v>94</v>
      </c>
      <c r="K205" s="1">
        <f t="shared" si="24"/>
        <v>5170</v>
      </c>
      <c r="L205" s="1">
        <f t="shared" si="29"/>
        <v>1189.1000000000001</v>
      </c>
      <c r="M205" s="22">
        <f t="shared" si="25"/>
        <v>6359.1</v>
      </c>
      <c r="N205" s="1">
        <f t="shared" ca="1" si="30"/>
        <v>2</v>
      </c>
      <c r="P205" s="1">
        <v>55.898141353100073</v>
      </c>
      <c r="Q205" s="1">
        <f t="shared" ca="1" si="31"/>
        <v>16</v>
      </c>
      <c r="R205" s="1">
        <v>7.6755702846276108</v>
      </c>
    </row>
    <row r="206" spans="1:18" x14ac:dyDescent="0.3">
      <c r="A206" s="26">
        <v>205</v>
      </c>
      <c r="B206" s="1">
        <v>11</v>
      </c>
      <c r="C206" s="1">
        <f t="shared" si="27"/>
        <v>12</v>
      </c>
      <c r="D206" s="21">
        <f t="shared" ca="1" si="26"/>
        <v>44806</v>
      </c>
      <c r="E206" s="1" t="s">
        <v>26</v>
      </c>
      <c r="F206" s="1" t="s">
        <v>234</v>
      </c>
      <c r="G206" s="1" t="s">
        <v>28</v>
      </c>
      <c r="H206" s="1">
        <v>304</v>
      </c>
      <c r="I206" s="1">
        <f t="shared" si="28"/>
        <v>42</v>
      </c>
      <c r="J206" s="1">
        <f>VLOOKUP(B206,Cena!$A$2:$B$101,2)</f>
        <v>83</v>
      </c>
      <c r="K206" s="1">
        <f t="shared" si="24"/>
        <v>3486</v>
      </c>
      <c r="L206" s="1">
        <f t="shared" si="29"/>
        <v>801.78000000000009</v>
      </c>
      <c r="M206" s="22">
        <f t="shared" si="25"/>
        <v>4287.78</v>
      </c>
      <c r="N206" s="1">
        <f t="shared" ca="1" si="30"/>
        <v>9</v>
      </c>
      <c r="P206" s="1">
        <v>42.558764461136889</v>
      </c>
      <c r="Q206" s="1">
        <f t="shared" ca="1" si="31"/>
        <v>5</v>
      </c>
      <c r="R206" s="1">
        <v>12.191291059716605</v>
      </c>
    </row>
    <row r="207" spans="1:18" x14ac:dyDescent="0.3">
      <c r="A207" s="26">
        <v>206</v>
      </c>
      <c r="B207" s="1">
        <v>12</v>
      </c>
      <c r="C207" s="1">
        <f t="shared" si="27"/>
        <v>8</v>
      </c>
      <c r="D207" s="21">
        <f t="shared" ca="1" si="26"/>
        <v>44838</v>
      </c>
      <c r="E207" s="1" t="s">
        <v>26</v>
      </c>
      <c r="F207" s="1" t="s">
        <v>235</v>
      </c>
      <c r="G207" s="1" t="s">
        <v>28</v>
      </c>
      <c r="H207" s="1">
        <v>305</v>
      </c>
      <c r="I207" s="1">
        <f t="shared" si="28"/>
        <v>47</v>
      </c>
      <c r="J207" s="1">
        <f>VLOOKUP(B207,Cena!$A$2:$B$101,2)</f>
        <v>88</v>
      </c>
      <c r="K207" s="1">
        <f t="shared" si="24"/>
        <v>4136</v>
      </c>
      <c r="L207" s="1">
        <f t="shared" si="29"/>
        <v>951.28000000000009</v>
      </c>
      <c r="M207" s="22">
        <f t="shared" si="25"/>
        <v>5087.28</v>
      </c>
      <c r="N207" s="1">
        <f t="shared" ca="1" si="30"/>
        <v>10</v>
      </c>
      <c r="P207" s="1">
        <v>47.606255419668742</v>
      </c>
      <c r="Q207" s="1">
        <f t="shared" ca="1" si="31"/>
        <v>23</v>
      </c>
      <c r="R207" s="1">
        <v>8.1798112003161805</v>
      </c>
    </row>
    <row r="208" spans="1:18" x14ac:dyDescent="0.3">
      <c r="A208" s="26">
        <v>207</v>
      </c>
      <c r="B208" s="1">
        <v>28</v>
      </c>
      <c r="C208" s="1">
        <f t="shared" si="27"/>
        <v>6</v>
      </c>
      <c r="D208" s="21">
        <f t="shared" ca="1" si="26"/>
        <v>44862</v>
      </c>
      <c r="E208" s="1" t="s">
        <v>26</v>
      </c>
      <c r="F208" s="1" t="s">
        <v>236</v>
      </c>
      <c r="G208" s="1" t="s">
        <v>28</v>
      </c>
      <c r="H208" s="1">
        <v>306</v>
      </c>
      <c r="I208" s="1">
        <f t="shared" si="28"/>
        <v>49</v>
      </c>
      <c r="J208" s="1">
        <f>VLOOKUP(B208,Cena!$A$2:$B$101,2)</f>
        <v>59</v>
      </c>
      <c r="K208" s="1">
        <f t="shared" si="24"/>
        <v>2891</v>
      </c>
      <c r="L208" s="1">
        <f t="shared" si="29"/>
        <v>664.93000000000006</v>
      </c>
      <c r="M208" s="22">
        <f t="shared" si="25"/>
        <v>3555.9300000000003</v>
      </c>
      <c r="N208" s="1">
        <f t="shared" ca="1" si="30"/>
        <v>10</v>
      </c>
      <c r="P208" s="1">
        <v>49.535873485001503</v>
      </c>
      <c r="Q208" s="1">
        <f t="shared" ca="1" si="31"/>
        <v>21</v>
      </c>
      <c r="R208" s="1">
        <v>6.5277311275713146</v>
      </c>
    </row>
    <row r="209" spans="1:18" x14ac:dyDescent="0.3">
      <c r="A209" s="26">
        <v>208</v>
      </c>
      <c r="B209" s="1">
        <v>8</v>
      </c>
      <c r="C209" s="1">
        <f t="shared" si="27"/>
        <v>9</v>
      </c>
      <c r="D209" s="21">
        <f t="shared" ca="1" si="26"/>
        <v>44905</v>
      </c>
      <c r="E209" s="1" t="s">
        <v>26</v>
      </c>
      <c r="F209" s="1" t="s">
        <v>237</v>
      </c>
      <c r="G209" s="1" t="s">
        <v>28</v>
      </c>
      <c r="H209" s="1">
        <v>307</v>
      </c>
      <c r="I209" s="1">
        <f t="shared" si="28"/>
        <v>60</v>
      </c>
      <c r="J209" s="1">
        <f>VLOOKUP(B209,Cena!$A$2:$B$101,2)</f>
        <v>88</v>
      </c>
      <c r="K209" s="1">
        <f t="shared" si="24"/>
        <v>5280</v>
      </c>
      <c r="L209" s="1">
        <f t="shared" si="29"/>
        <v>1214.4000000000001</v>
      </c>
      <c r="M209" s="22">
        <f t="shared" si="25"/>
        <v>6494.4</v>
      </c>
      <c r="N209" s="1">
        <f t="shared" ca="1" si="30"/>
        <v>12</v>
      </c>
      <c r="P209" s="1">
        <v>60.513463166716974</v>
      </c>
      <c r="Q209" s="1">
        <f t="shared" ca="1" si="31"/>
        <v>5</v>
      </c>
      <c r="R209" s="1">
        <v>9.3696349065430695</v>
      </c>
    </row>
    <row r="210" spans="1:18" x14ac:dyDescent="0.3">
      <c r="A210" s="26">
        <v>209</v>
      </c>
      <c r="B210" s="1">
        <v>12</v>
      </c>
      <c r="C210" s="1">
        <f t="shared" si="27"/>
        <v>11</v>
      </c>
      <c r="D210" s="21">
        <f t="shared" ca="1" si="26"/>
        <v>44775</v>
      </c>
      <c r="E210" s="1" t="s">
        <v>26</v>
      </c>
      <c r="F210" s="1" t="s">
        <v>238</v>
      </c>
      <c r="G210" s="1" t="s">
        <v>28</v>
      </c>
      <c r="H210" s="1">
        <v>308</v>
      </c>
      <c r="I210" s="1">
        <f t="shared" si="28"/>
        <v>40</v>
      </c>
      <c r="J210" s="1">
        <f>VLOOKUP(B210,Cena!$A$2:$B$101,2)</f>
        <v>88</v>
      </c>
      <c r="K210" s="1">
        <f t="shared" si="24"/>
        <v>3520</v>
      </c>
      <c r="L210" s="1">
        <f t="shared" si="29"/>
        <v>809.6</v>
      </c>
      <c r="M210" s="22">
        <f t="shared" si="25"/>
        <v>4329.6000000000004</v>
      </c>
      <c r="N210" s="1">
        <f t="shared" ca="1" si="30"/>
        <v>8</v>
      </c>
      <c r="P210" s="1">
        <v>40.574224284500815</v>
      </c>
      <c r="Q210" s="1">
        <f t="shared" ca="1" si="31"/>
        <v>26</v>
      </c>
      <c r="R210" s="1">
        <v>11.111405367737461</v>
      </c>
    </row>
    <row r="211" spans="1:18" x14ac:dyDescent="0.3">
      <c r="A211" s="26">
        <v>210</v>
      </c>
      <c r="B211" s="1">
        <v>3</v>
      </c>
      <c r="C211" s="1">
        <f t="shared" si="27"/>
        <v>8</v>
      </c>
      <c r="D211" s="21">
        <f t="shared" ca="1" si="26"/>
        <v>44672</v>
      </c>
      <c r="E211" s="1" t="s">
        <v>26</v>
      </c>
      <c r="F211" s="1" t="s">
        <v>239</v>
      </c>
      <c r="G211" s="1" t="s">
        <v>28</v>
      </c>
      <c r="H211" s="1">
        <v>309</v>
      </c>
      <c r="I211" s="1">
        <f t="shared" si="28"/>
        <v>55</v>
      </c>
      <c r="J211" s="1">
        <f>VLOOKUP(B211,Cena!$A$2:$B$101,2)</f>
        <v>89</v>
      </c>
      <c r="K211" s="1">
        <f t="shared" si="24"/>
        <v>4895</v>
      </c>
      <c r="L211" s="1">
        <f t="shared" si="29"/>
        <v>1125.8500000000001</v>
      </c>
      <c r="M211" s="22">
        <f t="shared" si="25"/>
        <v>6020.85</v>
      </c>
      <c r="N211" s="1">
        <f t="shared" ca="1" si="30"/>
        <v>4</v>
      </c>
      <c r="P211" s="1">
        <v>55.264291758066975</v>
      </c>
      <c r="Q211" s="1">
        <f t="shared" ca="1" si="31"/>
        <v>15</v>
      </c>
      <c r="R211" s="1">
        <v>8.0426764523144811</v>
      </c>
    </row>
    <row r="212" spans="1:18" x14ac:dyDescent="0.3">
      <c r="A212" s="26">
        <v>211</v>
      </c>
      <c r="B212" s="1">
        <v>5</v>
      </c>
      <c r="C212" s="1">
        <f t="shared" si="27"/>
        <v>13</v>
      </c>
      <c r="D212" s="21">
        <f t="shared" ca="1" si="26"/>
        <v>44633</v>
      </c>
      <c r="E212" s="1" t="s">
        <v>26</v>
      </c>
      <c r="F212" s="1" t="s">
        <v>240</v>
      </c>
      <c r="G212" s="1" t="s">
        <v>28</v>
      </c>
      <c r="H212" s="1">
        <v>310</v>
      </c>
      <c r="I212" s="1">
        <f t="shared" si="28"/>
        <v>57</v>
      </c>
      <c r="J212" s="1">
        <f>VLOOKUP(B212,Cena!$A$2:$B$101,2)</f>
        <v>91</v>
      </c>
      <c r="K212" s="1">
        <f t="shared" si="24"/>
        <v>5187</v>
      </c>
      <c r="L212" s="1">
        <f t="shared" si="29"/>
        <v>1193.01</v>
      </c>
      <c r="M212" s="22">
        <f t="shared" si="25"/>
        <v>6380.01</v>
      </c>
      <c r="N212" s="1">
        <f t="shared" ca="1" si="30"/>
        <v>3</v>
      </c>
      <c r="P212" s="1">
        <v>57.756761988275684</v>
      </c>
      <c r="Q212" s="1">
        <f t="shared" ca="1" si="31"/>
        <v>1</v>
      </c>
      <c r="R212" s="1">
        <v>13.217269295419101</v>
      </c>
    </row>
    <row r="213" spans="1:18" x14ac:dyDescent="0.3">
      <c r="A213" s="26">
        <v>212</v>
      </c>
      <c r="B213" s="1">
        <v>14</v>
      </c>
      <c r="C213" s="1">
        <f t="shared" si="27"/>
        <v>7</v>
      </c>
      <c r="D213" s="21">
        <f t="shared" ca="1" si="26"/>
        <v>44921</v>
      </c>
      <c r="E213" s="1" t="s">
        <v>26</v>
      </c>
      <c r="F213" s="1" t="s">
        <v>241</v>
      </c>
      <c r="G213" s="1" t="s">
        <v>28</v>
      </c>
      <c r="H213" s="1">
        <v>311</v>
      </c>
      <c r="I213" s="1">
        <f t="shared" si="28"/>
        <v>54</v>
      </c>
      <c r="J213" s="1">
        <f>VLOOKUP(B213,Cena!$A$2:$B$101,2)</f>
        <v>129</v>
      </c>
      <c r="K213" s="1">
        <f t="shared" si="24"/>
        <v>6966</v>
      </c>
      <c r="L213" s="1">
        <f t="shared" si="29"/>
        <v>1602.18</v>
      </c>
      <c r="M213" s="22">
        <f t="shared" si="25"/>
        <v>8568.18</v>
      </c>
      <c r="N213" s="1">
        <f t="shared" ca="1" si="30"/>
        <v>12</v>
      </c>
      <c r="P213" s="1">
        <v>54.725211510958616</v>
      </c>
      <c r="Q213" s="1">
        <f t="shared" ca="1" si="31"/>
        <v>26</v>
      </c>
      <c r="R213" s="1">
        <v>7.9121469095844077</v>
      </c>
    </row>
    <row r="214" spans="1:18" x14ac:dyDescent="0.3">
      <c r="A214" s="26">
        <v>213</v>
      </c>
      <c r="B214" s="1">
        <v>10</v>
      </c>
      <c r="C214" s="1">
        <f t="shared" si="27"/>
        <v>12</v>
      </c>
      <c r="D214" s="21">
        <f t="shared" ca="1" si="26"/>
        <v>44719</v>
      </c>
      <c r="E214" s="1" t="s">
        <v>26</v>
      </c>
      <c r="F214" s="1" t="s">
        <v>242</v>
      </c>
      <c r="G214" s="1" t="s">
        <v>28</v>
      </c>
      <c r="H214" s="1">
        <v>312</v>
      </c>
      <c r="I214" s="1">
        <f t="shared" si="28"/>
        <v>54</v>
      </c>
      <c r="J214" s="1">
        <f>VLOOKUP(B214,Cena!$A$2:$B$101,2)</f>
        <v>109</v>
      </c>
      <c r="K214" s="1">
        <f t="shared" si="24"/>
        <v>5886</v>
      </c>
      <c r="L214" s="1">
        <f t="shared" si="29"/>
        <v>1353.78</v>
      </c>
      <c r="M214" s="22">
        <f t="shared" si="25"/>
        <v>7239.78</v>
      </c>
      <c r="N214" s="1">
        <f t="shared" ca="1" si="30"/>
        <v>6</v>
      </c>
      <c r="P214" s="1">
        <v>54.064554559590761</v>
      </c>
      <c r="Q214" s="1">
        <f t="shared" ca="1" si="31"/>
        <v>20</v>
      </c>
      <c r="R214" s="1">
        <v>12.137045385097736</v>
      </c>
    </row>
    <row r="215" spans="1:18" x14ac:dyDescent="0.3">
      <c r="A215" s="26">
        <v>214</v>
      </c>
      <c r="B215" s="1">
        <v>13</v>
      </c>
      <c r="C215" s="1">
        <f t="shared" si="27"/>
        <v>8</v>
      </c>
      <c r="D215" s="21">
        <f t="shared" ca="1" si="26"/>
        <v>44568</v>
      </c>
      <c r="E215" s="1" t="s">
        <v>26</v>
      </c>
      <c r="F215" s="1" t="s">
        <v>243</v>
      </c>
      <c r="G215" s="1" t="s">
        <v>28</v>
      </c>
      <c r="H215" s="1">
        <v>313</v>
      </c>
      <c r="I215" s="1">
        <f t="shared" si="28"/>
        <v>62</v>
      </c>
      <c r="J215" s="1">
        <f>VLOOKUP(B215,Cena!$A$2:$B$101,2)</f>
        <v>94</v>
      </c>
      <c r="K215" s="1">
        <f t="shared" si="24"/>
        <v>5828</v>
      </c>
      <c r="L215" s="1">
        <f t="shared" si="29"/>
        <v>1340.44</v>
      </c>
      <c r="M215" s="22">
        <f t="shared" si="25"/>
        <v>7168.4400000000005</v>
      </c>
      <c r="N215" s="1">
        <f t="shared" ca="1" si="30"/>
        <v>1</v>
      </c>
      <c r="P215" s="1">
        <v>62.068630894646049</v>
      </c>
      <c r="Q215" s="1">
        <f t="shared" ca="1" si="31"/>
        <v>15</v>
      </c>
      <c r="R215" s="1">
        <v>8.6369033422306529</v>
      </c>
    </row>
    <row r="216" spans="1:18" x14ac:dyDescent="0.3">
      <c r="A216" s="26">
        <v>215</v>
      </c>
      <c r="B216" s="1">
        <v>14</v>
      </c>
      <c r="C216" s="1">
        <f t="shared" si="27"/>
        <v>4</v>
      </c>
      <c r="D216" s="21">
        <f t="shared" ca="1" si="26"/>
        <v>44778</v>
      </c>
      <c r="E216" s="1" t="s">
        <v>26</v>
      </c>
      <c r="F216" s="1" t="s">
        <v>244</v>
      </c>
      <c r="G216" s="1" t="s">
        <v>28</v>
      </c>
      <c r="H216" s="1">
        <v>314</v>
      </c>
      <c r="I216" s="1">
        <f t="shared" si="28"/>
        <v>54</v>
      </c>
      <c r="J216" s="1">
        <f>VLOOKUP(B216,Cena!$A$2:$B$101,2)</f>
        <v>129</v>
      </c>
      <c r="K216" s="1">
        <f t="shared" si="24"/>
        <v>6966</v>
      </c>
      <c r="L216" s="1">
        <f t="shared" si="29"/>
        <v>1602.18</v>
      </c>
      <c r="M216" s="22">
        <f t="shared" si="25"/>
        <v>8568.18</v>
      </c>
      <c r="N216" s="1">
        <f t="shared" ca="1" si="30"/>
        <v>8</v>
      </c>
      <c r="P216" s="1">
        <v>54.072865067428211</v>
      </c>
      <c r="Q216" s="1">
        <f t="shared" ca="1" si="31"/>
        <v>11</v>
      </c>
      <c r="R216" s="1">
        <v>4.7069682093570009</v>
      </c>
    </row>
    <row r="217" spans="1:18" x14ac:dyDescent="0.3">
      <c r="A217" s="26">
        <v>216</v>
      </c>
      <c r="B217" s="1">
        <v>10</v>
      </c>
      <c r="C217" s="1">
        <f t="shared" si="27"/>
        <v>10</v>
      </c>
      <c r="D217" s="21">
        <f t="shared" ca="1" si="26"/>
        <v>44630</v>
      </c>
      <c r="E217" s="1" t="s">
        <v>26</v>
      </c>
      <c r="F217" s="1" t="s">
        <v>245</v>
      </c>
      <c r="G217" s="1" t="s">
        <v>28</v>
      </c>
      <c r="H217" s="1">
        <v>315</v>
      </c>
      <c r="I217" s="1">
        <f t="shared" si="28"/>
        <v>54</v>
      </c>
      <c r="J217" s="1">
        <f>VLOOKUP(B217,Cena!$A$2:$B$101,2)</f>
        <v>109</v>
      </c>
      <c r="K217" s="1">
        <f t="shared" si="24"/>
        <v>5886</v>
      </c>
      <c r="L217" s="1">
        <f t="shared" si="29"/>
        <v>1353.78</v>
      </c>
      <c r="M217" s="22">
        <f t="shared" si="25"/>
        <v>7239.78</v>
      </c>
      <c r="N217" s="1">
        <f t="shared" ca="1" si="30"/>
        <v>3</v>
      </c>
      <c r="P217" s="1">
        <v>54.934099706588313</v>
      </c>
      <c r="Q217" s="1">
        <f t="shared" ca="1" si="31"/>
        <v>24</v>
      </c>
      <c r="R217" s="1">
        <v>10.262201638179249</v>
      </c>
    </row>
    <row r="218" spans="1:18" x14ac:dyDescent="0.3">
      <c r="A218" s="26">
        <v>217</v>
      </c>
      <c r="B218" s="1">
        <v>26</v>
      </c>
      <c r="C218" s="1">
        <f t="shared" si="27"/>
        <v>10</v>
      </c>
      <c r="D218" s="21">
        <f t="shared" ca="1" si="26"/>
        <v>44755</v>
      </c>
      <c r="E218" s="1" t="s">
        <v>26</v>
      </c>
      <c r="F218" s="1" t="s">
        <v>246</v>
      </c>
      <c r="G218" s="1" t="s">
        <v>28</v>
      </c>
      <c r="H218" s="1">
        <v>316</v>
      </c>
      <c r="I218" s="1">
        <f t="shared" si="28"/>
        <v>62</v>
      </c>
      <c r="J218" s="1">
        <f>VLOOKUP(B218,Cena!$A$2:$B$101,2)</f>
        <v>99</v>
      </c>
      <c r="K218" s="1">
        <f t="shared" si="24"/>
        <v>6138</v>
      </c>
      <c r="L218" s="1">
        <f t="shared" si="29"/>
        <v>1411.74</v>
      </c>
      <c r="M218" s="22">
        <f t="shared" si="25"/>
        <v>7549.74</v>
      </c>
      <c r="N218" s="1">
        <f t="shared" ca="1" si="30"/>
        <v>7</v>
      </c>
      <c r="P218" s="1">
        <v>62.897157830593642</v>
      </c>
      <c r="Q218" s="1">
        <f t="shared" ca="1" si="31"/>
        <v>19</v>
      </c>
      <c r="R218" s="1">
        <v>10.352773099621118</v>
      </c>
    </row>
    <row r="219" spans="1:18" x14ac:dyDescent="0.3">
      <c r="A219" s="26">
        <v>218</v>
      </c>
      <c r="B219" s="1">
        <v>29</v>
      </c>
      <c r="C219" s="1">
        <f t="shared" si="27"/>
        <v>7</v>
      </c>
      <c r="D219" s="21">
        <f t="shared" ca="1" si="26"/>
        <v>44698</v>
      </c>
      <c r="E219" s="1" t="s">
        <v>26</v>
      </c>
      <c r="F219" s="1" t="s">
        <v>247</v>
      </c>
      <c r="G219" s="1" t="s">
        <v>28</v>
      </c>
      <c r="H219" s="1">
        <v>317</v>
      </c>
      <c r="I219" s="1">
        <f t="shared" si="28"/>
        <v>58</v>
      </c>
      <c r="J219" s="1">
        <f>VLOOKUP(B219,Cena!$A$2:$B$101,2)</f>
        <v>105</v>
      </c>
      <c r="K219" s="1">
        <f t="shared" si="24"/>
        <v>6090</v>
      </c>
      <c r="L219" s="1">
        <f t="shared" si="29"/>
        <v>1400.7</v>
      </c>
      <c r="M219" s="22">
        <f t="shared" si="25"/>
        <v>7490.7</v>
      </c>
      <c r="N219" s="1">
        <f t="shared" ca="1" si="30"/>
        <v>5</v>
      </c>
      <c r="P219" s="1">
        <v>58.876918400346767</v>
      </c>
      <c r="Q219" s="1">
        <f t="shared" ca="1" si="31"/>
        <v>4</v>
      </c>
      <c r="R219" s="1">
        <v>7.9391304805176333</v>
      </c>
    </row>
    <row r="220" spans="1:18" x14ac:dyDescent="0.3">
      <c r="A220" s="26">
        <v>219</v>
      </c>
      <c r="B220" s="1">
        <v>27</v>
      </c>
      <c r="C220" s="1">
        <f t="shared" si="27"/>
        <v>8</v>
      </c>
      <c r="D220" s="21">
        <f t="shared" ca="1" si="26"/>
        <v>44800</v>
      </c>
      <c r="E220" s="1" t="s">
        <v>26</v>
      </c>
      <c r="F220" s="1" t="s">
        <v>248</v>
      </c>
      <c r="G220" s="1" t="s">
        <v>28</v>
      </c>
      <c r="H220" s="1">
        <v>318</v>
      </c>
      <c r="I220" s="1">
        <f t="shared" si="28"/>
        <v>51</v>
      </c>
      <c r="J220" s="1">
        <f>VLOOKUP(B220,Cena!$A$2:$B$101,2)</f>
        <v>87</v>
      </c>
      <c r="K220" s="1">
        <f t="shared" si="24"/>
        <v>4437</v>
      </c>
      <c r="L220" s="1">
        <f t="shared" si="29"/>
        <v>1020.51</v>
      </c>
      <c r="M220" s="22">
        <f t="shared" si="25"/>
        <v>5457.51</v>
      </c>
      <c r="N220" s="1">
        <f t="shared" ca="1" si="30"/>
        <v>8</v>
      </c>
      <c r="P220" s="1">
        <v>51.045725639414741</v>
      </c>
      <c r="Q220" s="1">
        <f t="shared" ca="1" si="31"/>
        <v>7</v>
      </c>
      <c r="R220" s="1">
        <v>8.7858785743810586</v>
      </c>
    </row>
    <row r="221" spans="1:18" x14ac:dyDescent="0.3">
      <c r="A221" s="26">
        <v>220</v>
      </c>
      <c r="B221" s="1">
        <v>1</v>
      </c>
      <c r="C221" s="1">
        <f t="shared" si="27"/>
        <v>13</v>
      </c>
      <c r="D221" s="21">
        <f t="shared" ca="1" si="26"/>
        <v>44693</v>
      </c>
      <c r="E221" s="1" t="s">
        <v>26</v>
      </c>
      <c r="F221" s="1" t="s">
        <v>249</v>
      </c>
      <c r="G221" s="1" t="s">
        <v>28</v>
      </c>
      <c r="H221" s="1">
        <v>319</v>
      </c>
      <c r="I221" s="1">
        <f t="shared" si="28"/>
        <v>39</v>
      </c>
      <c r="J221" s="1">
        <f>VLOOKUP(B221,Cena!$A$2:$B$101,2)</f>
        <v>84</v>
      </c>
      <c r="K221" s="1">
        <f t="shared" si="24"/>
        <v>3276</v>
      </c>
      <c r="L221" s="1">
        <f t="shared" si="29"/>
        <v>753.48</v>
      </c>
      <c r="M221" s="22">
        <f t="shared" si="25"/>
        <v>4029.48</v>
      </c>
      <c r="N221" s="1">
        <f t="shared" ca="1" si="30"/>
        <v>5</v>
      </c>
      <c r="P221" s="1">
        <v>39.454590831883252</v>
      </c>
      <c r="Q221" s="1">
        <f t="shared" ca="1" si="31"/>
        <v>27</v>
      </c>
      <c r="R221" s="1">
        <v>13.712182206072612</v>
      </c>
    </row>
    <row r="222" spans="1:18" x14ac:dyDescent="0.3">
      <c r="A222" s="26">
        <v>221</v>
      </c>
      <c r="B222" s="1">
        <v>25</v>
      </c>
      <c r="C222" s="1">
        <f t="shared" si="27"/>
        <v>9</v>
      </c>
      <c r="D222" s="21">
        <f t="shared" ca="1" si="26"/>
        <v>44826</v>
      </c>
      <c r="E222" s="1" t="s">
        <v>26</v>
      </c>
      <c r="F222" s="1" t="s">
        <v>250</v>
      </c>
      <c r="G222" s="1" t="s">
        <v>28</v>
      </c>
      <c r="H222" s="1">
        <v>320</v>
      </c>
      <c r="I222" s="1">
        <f t="shared" si="28"/>
        <v>64</v>
      </c>
      <c r="J222" s="1">
        <f>VLOOKUP(B222,Cena!$A$2:$B$101,2)</f>
        <v>108</v>
      </c>
      <c r="K222" s="1">
        <f t="shared" si="24"/>
        <v>6912</v>
      </c>
      <c r="L222" s="1">
        <f t="shared" si="29"/>
        <v>1589.76</v>
      </c>
      <c r="M222" s="22">
        <f t="shared" si="25"/>
        <v>8501.76</v>
      </c>
      <c r="N222" s="1">
        <f t="shared" ca="1" si="30"/>
        <v>9</v>
      </c>
      <c r="P222" s="1">
        <v>64.196666597854346</v>
      </c>
      <c r="Q222" s="1">
        <f t="shared" ca="1" si="31"/>
        <v>27</v>
      </c>
      <c r="R222" s="1">
        <v>9.4967993188765831</v>
      </c>
    </row>
    <row r="223" spans="1:18" x14ac:dyDescent="0.3">
      <c r="A223" s="26">
        <v>222</v>
      </c>
      <c r="B223" s="1">
        <v>19</v>
      </c>
      <c r="C223" s="1">
        <f t="shared" si="27"/>
        <v>13</v>
      </c>
      <c r="D223" s="21">
        <f t="shared" ca="1" si="26"/>
        <v>44730</v>
      </c>
      <c r="E223" s="1" t="s">
        <v>26</v>
      </c>
      <c r="F223" s="1" t="s">
        <v>251</v>
      </c>
      <c r="G223" s="1" t="s">
        <v>28</v>
      </c>
      <c r="H223" s="1">
        <v>321</v>
      </c>
      <c r="I223" s="1">
        <f t="shared" si="28"/>
        <v>48</v>
      </c>
      <c r="J223" s="1">
        <f>VLOOKUP(B223,Cena!$A$2:$B$101,2)</f>
        <v>84</v>
      </c>
      <c r="K223" s="1">
        <f t="shared" ref="K223:K286" si="32">I223*J223</f>
        <v>4032</v>
      </c>
      <c r="L223" s="1">
        <f t="shared" si="29"/>
        <v>927.36</v>
      </c>
      <c r="M223" s="22">
        <f t="shared" ref="M223:M286" si="33">K223+L223</f>
        <v>4959.3599999999997</v>
      </c>
      <c r="N223" s="1">
        <f t="shared" ca="1" si="30"/>
        <v>6</v>
      </c>
      <c r="P223" s="1">
        <v>48.473685991484672</v>
      </c>
      <c r="Q223" s="1">
        <f t="shared" ca="1" si="31"/>
        <v>14</v>
      </c>
      <c r="R223" s="1">
        <v>13.316995389468502</v>
      </c>
    </row>
    <row r="224" spans="1:18" x14ac:dyDescent="0.3">
      <c r="A224" s="26">
        <v>223</v>
      </c>
      <c r="B224" s="1">
        <v>8</v>
      </c>
      <c r="C224" s="1">
        <f t="shared" si="27"/>
        <v>7</v>
      </c>
      <c r="D224" s="21">
        <f t="shared" ca="1" si="26"/>
        <v>44738</v>
      </c>
      <c r="E224" s="1" t="s">
        <v>26</v>
      </c>
      <c r="F224" s="1" t="s">
        <v>252</v>
      </c>
      <c r="G224" s="1" t="s">
        <v>28</v>
      </c>
      <c r="H224" s="1">
        <v>322</v>
      </c>
      <c r="I224" s="1">
        <f t="shared" si="28"/>
        <v>27</v>
      </c>
      <c r="J224" s="1">
        <f>VLOOKUP(B224,Cena!$A$2:$B$101,2)</f>
        <v>88</v>
      </c>
      <c r="K224" s="1">
        <f t="shared" si="32"/>
        <v>2376</v>
      </c>
      <c r="L224" s="1">
        <f t="shared" si="29"/>
        <v>546.48</v>
      </c>
      <c r="M224" s="22">
        <f t="shared" si="33"/>
        <v>2922.48</v>
      </c>
      <c r="N224" s="1">
        <f t="shared" ca="1" si="30"/>
        <v>6</v>
      </c>
      <c r="P224" s="1">
        <v>27.10219759028405</v>
      </c>
      <c r="Q224" s="1">
        <f t="shared" ca="1" si="31"/>
        <v>30</v>
      </c>
      <c r="R224" s="1">
        <v>7.3192075231054332</v>
      </c>
    </row>
    <row r="225" spans="1:18" x14ac:dyDescent="0.3">
      <c r="A225" s="26">
        <v>224</v>
      </c>
      <c r="B225" s="1">
        <v>11</v>
      </c>
      <c r="C225" s="1">
        <f t="shared" si="27"/>
        <v>7</v>
      </c>
      <c r="D225" s="21">
        <f t="shared" ca="1" si="26"/>
        <v>44714</v>
      </c>
      <c r="E225" s="1" t="s">
        <v>26</v>
      </c>
      <c r="F225" s="1" t="s">
        <v>253</v>
      </c>
      <c r="G225" s="1" t="s">
        <v>28</v>
      </c>
      <c r="H225" s="1">
        <v>323</v>
      </c>
      <c r="I225" s="1">
        <f t="shared" si="28"/>
        <v>48</v>
      </c>
      <c r="J225" s="1">
        <f>VLOOKUP(B225,Cena!$A$2:$B$101,2)</f>
        <v>83</v>
      </c>
      <c r="K225" s="1">
        <f t="shared" si="32"/>
        <v>3984</v>
      </c>
      <c r="L225" s="1">
        <f t="shared" si="29"/>
        <v>916.32</v>
      </c>
      <c r="M225" s="22">
        <f t="shared" si="33"/>
        <v>4900.32</v>
      </c>
      <c r="N225" s="1">
        <f t="shared" ca="1" si="30"/>
        <v>6</v>
      </c>
      <c r="P225" s="1">
        <v>48.521650468319422</v>
      </c>
      <c r="Q225" s="1">
        <f t="shared" ca="1" si="31"/>
        <v>24</v>
      </c>
      <c r="R225" s="1">
        <v>7.6135654833342414</v>
      </c>
    </row>
    <row r="226" spans="1:18" x14ac:dyDescent="0.3">
      <c r="A226" s="26">
        <v>225</v>
      </c>
      <c r="B226" s="1">
        <v>16</v>
      </c>
      <c r="C226" s="1">
        <f t="shared" si="27"/>
        <v>13</v>
      </c>
      <c r="D226" s="21">
        <f t="shared" ca="1" si="26"/>
        <v>44564</v>
      </c>
      <c r="E226" s="1" t="s">
        <v>26</v>
      </c>
      <c r="F226" s="1" t="s">
        <v>254</v>
      </c>
      <c r="G226" s="1" t="s">
        <v>28</v>
      </c>
      <c r="H226" s="1">
        <v>324</v>
      </c>
      <c r="I226" s="1">
        <f t="shared" si="28"/>
        <v>54</v>
      </c>
      <c r="J226" s="1">
        <f>VLOOKUP(B226,Cena!$A$2:$B$101,2)</f>
        <v>93</v>
      </c>
      <c r="K226" s="1">
        <f t="shared" si="32"/>
        <v>5022</v>
      </c>
      <c r="L226" s="1">
        <f t="shared" si="29"/>
        <v>1155.06</v>
      </c>
      <c r="M226" s="22">
        <f t="shared" si="33"/>
        <v>6177.0599999999995</v>
      </c>
      <c r="N226" s="1">
        <f t="shared" ca="1" si="30"/>
        <v>1</v>
      </c>
      <c r="P226" s="1">
        <v>54.38153620052617</v>
      </c>
      <c r="Q226" s="1">
        <f t="shared" ca="1" si="31"/>
        <v>19</v>
      </c>
      <c r="R226" s="1">
        <v>13.780360202654265</v>
      </c>
    </row>
    <row r="227" spans="1:18" x14ac:dyDescent="0.3">
      <c r="A227" s="26">
        <v>226</v>
      </c>
      <c r="B227" s="1">
        <v>9</v>
      </c>
      <c r="C227" s="1">
        <f t="shared" si="27"/>
        <v>9</v>
      </c>
      <c r="D227" s="21">
        <f t="shared" ca="1" si="26"/>
        <v>44737</v>
      </c>
      <c r="E227" s="1" t="s">
        <v>26</v>
      </c>
      <c r="F227" s="1" t="s">
        <v>255</v>
      </c>
      <c r="G227" s="1" t="s">
        <v>28</v>
      </c>
      <c r="H227" s="1">
        <v>325</v>
      </c>
      <c r="I227" s="1">
        <f t="shared" si="28"/>
        <v>34</v>
      </c>
      <c r="J227" s="1">
        <f>VLOOKUP(B227,Cena!$A$2:$B$101,2)</f>
        <v>96</v>
      </c>
      <c r="K227" s="1">
        <f t="shared" si="32"/>
        <v>3264</v>
      </c>
      <c r="L227" s="1">
        <f t="shared" si="29"/>
        <v>750.72</v>
      </c>
      <c r="M227" s="22">
        <f t="shared" si="33"/>
        <v>4014.7200000000003</v>
      </c>
      <c r="N227" s="1">
        <f t="shared" ca="1" si="30"/>
        <v>6</v>
      </c>
      <c r="P227" s="1">
        <v>34.859323376440443</v>
      </c>
      <c r="Q227" s="1">
        <f t="shared" ca="1" si="31"/>
        <v>4</v>
      </c>
      <c r="R227" s="1">
        <v>9.8195960415614536</v>
      </c>
    </row>
    <row r="228" spans="1:18" x14ac:dyDescent="0.3">
      <c r="A228" s="26">
        <v>227</v>
      </c>
      <c r="B228" s="1">
        <v>18</v>
      </c>
      <c r="C228" s="1">
        <f t="shared" si="27"/>
        <v>11</v>
      </c>
      <c r="D228" s="21">
        <f t="shared" ca="1" si="26"/>
        <v>44630</v>
      </c>
      <c r="E228" s="1" t="s">
        <v>26</v>
      </c>
      <c r="F228" s="1" t="s">
        <v>256</v>
      </c>
      <c r="G228" s="1" t="s">
        <v>28</v>
      </c>
      <c r="H228" s="1">
        <v>326</v>
      </c>
      <c r="I228" s="1">
        <f t="shared" si="28"/>
        <v>42</v>
      </c>
      <c r="J228" s="1">
        <f>VLOOKUP(B228,Cena!$A$2:$B$101,2)</f>
        <v>90</v>
      </c>
      <c r="K228" s="1">
        <f t="shared" si="32"/>
        <v>3780</v>
      </c>
      <c r="L228" s="1">
        <f t="shared" si="29"/>
        <v>869.40000000000009</v>
      </c>
      <c r="M228" s="22">
        <f t="shared" si="33"/>
        <v>4649.3999999999996</v>
      </c>
      <c r="N228" s="1">
        <f t="shared" ca="1" si="30"/>
        <v>3</v>
      </c>
      <c r="P228" s="1">
        <v>42.583957464375999</v>
      </c>
      <c r="Q228" s="1">
        <f t="shared" ca="1" si="31"/>
        <v>10</v>
      </c>
      <c r="R228" s="1">
        <v>11.55983741478849</v>
      </c>
    </row>
    <row r="229" spans="1:18" x14ac:dyDescent="0.3">
      <c r="A229" s="26">
        <v>228</v>
      </c>
      <c r="B229" s="1">
        <v>16</v>
      </c>
      <c r="C229" s="1">
        <f t="shared" si="27"/>
        <v>11</v>
      </c>
      <c r="D229" s="21">
        <f t="shared" ca="1" si="26"/>
        <v>44574</v>
      </c>
      <c r="E229" s="1" t="s">
        <v>26</v>
      </c>
      <c r="F229" s="1" t="s">
        <v>257</v>
      </c>
      <c r="G229" s="1" t="s">
        <v>28</v>
      </c>
      <c r="H229" s="1">
        <v>327</v>
      </c>
      <c r="I229" s="1">
        <f t="shared" si="28"/>
        <v>47</v>
      </c>
      <c r="J229" s="1">
        <f>VLOOKUP(B229,Cena!$A$2:$B$101,2)</f>
        <v>93</v>
      </c>
      <c r="K229" s="1">
        <f t="shared" si="32"/>
        <v>4371</v>
      </c>
      <c r="L229" s="1">
        <f t="shared" si="29"/>
        <v>1005.33</v>
      </c>
      <c r="M229" s="22">
        <f t="shared" si="33"/>
        <v>5376.33</v>
      </c>
      <c r="N229" s="1">
        <f t="shared" ca="1" si="30"/>
        <v>1</v>
      </c>
      <c r="P229" s="1">
        <v>47.707686816283967</v>
      </c>
      <c r="Q229" s="1">
        <f t="shared" ca="1" si="31"/>
        <v>21</v>
      </c>
      <c r="R229" s="1">
        <v>11.579869035595038</v>
      </c>
    </row>
    <row r="230" spans="1:18" x14ac:dyDescent="0.3">
      <c r="A230" s="26">
        <v>229</v>
      </c>
      <c r="B230" s="1">
        <v>27</v>
      </c>
      <c r="C230" s="1">
        <f t="shared" si="27"/>
        <v>10</v>
      </c>
      <c r="D230" s="21">
        <f t="shared" ca="1" si="26"/>
        <v>44708</v>
      </c>
      <c r="E230" s="1" t="s">
        <v>26</v>
      </c>
      <c r="F230" s="1" t="s">
        <v>258</v>
      </c>
      <c r="G230" s="1" t="s">
        <v>28</v>
      </c>
      <c r="H230" s="1">
        <v>328</v>
      </c>
      <c r="I230" s="1">
        <f t="shared" si="28"/>
        <v>40</v>
      </c>
      <c r="J230" s="1">
        <f>VLOOKUP(B230,Cena!$A$2:$B$101,2)</f>
        <v>87</v>
      </c>
      <c r="K230" s="1">
        <f t="shared" si="32"/>
        <v>3480</v>
      </c>
      <c r="L230" s="1">
        <f t="shared" si="29"/>
        <v>800.40000000000009</v>
      </c>
      <c r="M230" s="22">
        <f t="shared" si="33"/>
        <v>4280.3999999999996</v>
      </c>
      <c r="N230" s="1">
        <f t="shared" ca="1" si="30"/>
        <v>5</v>
      </c>
      <c r="P230" s="1">
        <v>40.56346950965235</v>
      </c>
      <c r="Q230" s="1">
        <f t="shared" ca="1" si="31"/>
        <v>1</v>
      </c>
      <c r="R230" s="1">
        <v>10.905762931324716</v>
      </c>
    </row>
    <row r="231" spans="1:18" x14ac:dyDescent="0.3">
      <c r="A231" s="26">
        <v>230</v>
      </c>
      <c r="B231" s="1">
        <v>12</v>
      </c>
      <c r="C231" s="1">
        <f t="shared" si="27"/>
        <v>12</v>
      </c>
      <c r="D231" s="21">
        <f t="shared" ca="1" si="26"/>
        <v>44756</v>
      </c>
      <c r="E231" s="1" t="s">
        <v>26</v>
      </c>
      <c r="F231" s="1" t="s">
        <v>259</v>
      </c>
      <c r="G231" s="1" t="s">
        <v>28</v>
      </c>
      <c r="H231" s="1">
        <v>329</v>
      </c>
      <c r="I231" s="1">
        <f t="shared" si="28"/>
        <v>50</v>
      </c>
      <c r="J231" s="1">
        <f>VLOOKUP(B231,Cena!$A$2:$B$101,2)</f>
        <v>88</v>
      </c>
      <c r="K231" s="1">
        <f t="shared" si="32"/>
        <v>4400</v>
      </c>
      <c r="L231" s="1">
        <f t="shared" si="29"/>
        <v>1012</v>
      </c>
      <c r="M231" s="22">
        <f t="shared" si="33"/>
        <v>5412</v>
      </c>
      <c r="N231" s="1">
        <f t="shared" ca="1" si="30"/>
        <v>7</v>
      </c>
      <c r="P231" s="1">
        <v>50.141142209031386</v>
      </c>
      <c r="Q231" s="1">
        <f t="shared" ca="1" si="31"/>
        <v>7</v>
      </c>
      <c r="R231" s="1">
        <v>12.473547056069947</v>
      </c>
    </row>
    <row r="232" spans="1:18" x14ac:dyDescent="0.3">
      <c r="A232" s="26">
        <v>231</v>
      </c>
      <c r="B232" s="1">
        <v>14</v>
      </c>
      <c r="C232" s="1">
        <f t="shared" si="27"/>
        <v>5</v>
      </c>
      <c r="D232" s="21">
        <f t="shared" ca="1" si="26"/>
        <v>44678</v>
      </c>
      <c r="E232" s="1" t="s">
        <v>26</v>
      </c>
      <c r="F232" s="1" t="s">
        <v>260</v>
      </c>
      <c r="G232" s="1" t="s">
        <v>28</v>
      </c>
      <c r="H232" s="1">
        <v>330</v>
      </c>
      <c r="I232" s="1">
        <f t="shared" si="28"/>
        <v>50</v>
      </c>
      <c r="J232" s="1">
        <f>VLOOKUP(B232,Cena!$A$2:$B$101,2)</f>
        <v>129</v>
      </c>
      <c r="K232" s="1">
        <f t="shared" si="32"/>
        <v>6450</v>
      </c>
      <c r="L232" s="1">
        <f t="shared" si="29"/>
        <v>1483.5</v>
      </c>
      <c r="M232" s="22">
        <f t="shared" si="33"/>
        <v>7933.5</v>
      </c>
      <c r="N232" s="1">
        <f t="shared" ca="1" si="30"/>
        <v>4</v>
      </c>
      <c r="P232" s="1">
        <v>50.85207148003974</v>
      </c>
      <c r="Q232" s="1">
        <f t="shared" ca="1" si="31"/>
        <v>15</v>
      </c>
      <c r="R232" s="1">
        <v>5.9570345708925743</v>
      </c>
    </row>
    <row r="233" spans="1:18" x14ac:dyDescent="0.3">
      <c r="A233" s="26">
        <v>232</v>
      </c>
      <c r="B233" s="1">
        <v>28</v>
      </c>
      <c r="C233" s="1">
        <f t="shared" si="27"/>
        <v>12</v>
      </c>
      <c r="D233" s="21">
        <f t="shared" ca="1" si="26"/>
        <v>44656</v>
      </c>
      <c r="E233" s="1" t="s">
        <v>26</v>
      </c>
      <c r="F233" s="1" t="s">
        <v>261</v>
      </c>
      <c r="G233" s="1" t="s">
        <v>28</v>
      </c>
      <c r="H233" s="1">
        <v>331</v>
      </c>
      <c r="I233" s="1">
        <f t="shared" si="28"/>
        <v>40</v>
      </c>
      <c r="J233" s="1">
        <f>VLOOKUP(B233,Cena!$A$2:$B$101,2)</f>
        <v>59</v>
      </c>
      <c r="K233" s="1">
        <f t="shared" si="32"/>
        <v>2360</v>
      </c>
      <c r="L233" s="1">
        <f t="shared" si="29"/>
        <v>542.80000000000007</v>
      </c>
      <c r="M233" s="22">
        <f t="shared" si="33"/>
        <v>2902.8</v>
      </c>
      <c r="N233" s="1">
        <f t="shared" ca="1" si="30"/>
        <v>4</v>
      </c>
      <c r="P233" s="1">
        <v>40.829974194639362</v>
      </c>
      <c r="Q233" s="1">
        <f t="shared" ca="1" si="31"/>
        <v>24</v>
      </c>
      <c r="R233" s="1">
        <v>12.686914513105876</v>
      </c>
    </row>
    <row r="234" spans="1:18" x14ac:dyDescent="0.3">
      <c r="A234" s="26">
        <v>233</v>
      </c>
      <c r="B234" s="1">
        <v>18</v>
      </c>
      <c r="C234" s="1">
        <f t="shared" si="27"/>
        <v>16</v>
      </c>
      <c r="D234" s="21">
        <f t="shared" ca="1" si="26"/>
        <v>44578</v>
      </c>
      <c r="E234" s="1" t="s">
        <v>26</v>
      </c>
      <c r="F234" s="1" t="s">
        <v>262</v>
      </c>
      <c r="G234" s="1" t="s">
        <v>28</v>
      </c>
      <c r="H234" s="1">
        <v>332</v>
      </c>
      <c r="I234" s="1">
        <f t="shared" si="28"/>
        <v>37</v>
      </c>
      <c r="J234" s="1">
        <f>VLOOKUP(B234,Cena!$A$2:$B$101,2)</f>
        <v>90</v>
      </c>
      <c r="K234" s="1">
        <f t="shared" si="32"/>
        <v>3330</v>
      </c>
      <c r="L234" s="1">
        <f t="shared" si="29"/>
        <v>765.9</v>
      </c>
      <c r="M234" s="22">
        <f t="shared" si="33"/>
        <v>4095.9</v>
      </c>
      <c r="N234" s="1">
        <f t="shared" ca="1" si="30"/>
        <v>1</v>
      </c>
      <c r="P234" s="1">
        <v>37.988212524214759</v>
      </c>
      <c r="Q234" s="1">
        <f t="shared" ca="1" si="31"/>
        <v>25</v>
      </c>
      <c r="R234" s="1">
        <v>16.676782504655421</v>
      </c>
    </row>
    <row r="235" spans="1:18" x14ac:dyDescent="0.3">
      <c r="A235" s="26">
        <v>234</v>
      </c>
      <c r="B235" s="1">
        <v>24</v>
      </c>
      <c r="C235" s="1">
        <f t="shared" si="27"/>
        <v>11</v>
      </c>
      <c r="D235" s="21">
        <f t="shared" ca="1" si="26"/>
        <v>44684</v>
      </c>
      <c r="E235" s="1" t="s">
        <v>26</v>
      </c>
      <c r="F235" s="1" t="s">
        <v>263</v>
      </c>
      <c r="G235" s="1" t="s">
        <v>28</v>
      </c>
      <c r="H235" s="1">
        <v>333</v>
      </c>
      <c r="I235" s="1">
        <f t="shared" si="28"/>
        <v>17</v>
      </c>
      <c r="J235" s="1">
        <f>VLOOKUP(B235,Cena!$A$2:$B$101,2)</f>
        <v>125</v>
      </c>
      <c r="K235" s="1">
        <f t="shared" si="32"/>
        <v>2125</v>
      </c>
      <c r="L235" s="1">
        <f t="shared" si="29"/>
        <v>488.75</v>
      </c>
      <c r="M235" s="22">
        <f t="shared" si="33"/>
        <v>2613.75</v>
      </c>
      <c r="N235" s="1">
        <f t="shared" ca="1" si="30"/>
        <v>5</v>
      </c>
      <c r="P235" s="1">
        <v>17.659823596477509</v>
      </c>
      <c r="Q235" s="1">
        <f t="shared" ca="1" si="31"/>
        <v>26</v>
      </c>
      <c r="R235" s="1">
        <v>11.452971787330171</v>
      </c>
    </row>
    <row r="236" spans="1:18" x14ac:dyDescent="0.3">
      <c r="A236" s="26">
        <v>235</v>
      </c>
      <c r="B236" s="1">
        <v>10</v>
      </c>
      <c r="C236" s="1">
        <f t="shared" si="27"/>
        <v>8</v>
      </c>
      <c r="D236" s="21">
        <f t="shared" ca="1" si="26"/>
        <v>44562</v>
      </c>
      <c r="E236" s="1" t="s">
        <v>26</v>
      </c>
      <c r="F236" s="1" t="s">
        <v>264</v>
      </c>
      <c r="G236" s="1" t="s">
        <v>28</v>
      </c>
      <c r="H236" s="1">
        <v>334</v>
      </c>
      <c r="I236" s="1">
        <f t="shared" si="28"/>
        <v>60</v>
      </c>
      <c r="J236" s="1">
        <f>VLOOKUP(B236,Cena!$A$2:$B$101,2)</f>
        <v>109</v>
      </c>
      <c r="K236" s="1">
        <f t="shared" si="32"/>
        <v>6540</v>
      </c>
      <c r="L236" s="1">
        <f t="shared" si="29"/>
        <v>1504.2</v>
      </c>
      <c r="M236" s="22">
        <f t="shared" si="33"/>
        <v>8044.2</v>
      </c>
      <c r="N236" s="1">
        <f t="shared" ca="1" si="30"/>
        <v>1</v>
      </c>
      <c r="P236" s="1">
        <v>60.117560123035219</v>
      </c>
      <c r="Q236" s="1">
        <f t="shared" ca="1" si="31"/>
        <v>2</v>
      </c>
      <c r="R236" s="1">
        <v>8.2501435624726582</v>
      </c>
    </row>
    <row r="237" spans="1:18" x14ac:dyDescent="0.3">
      <c r="A237" s="26">
        <v>236</v>
      </c>
      <c r="B237" s="1">
        <v>8</v>
      </c>
      <c r="C237" s="1">
        <f t="shared" si="27"/>
        <v>12</v>
      </c>
      <c r="D237" s="21">
        <f t="shared" ca="1" si="26"/>
        <v>44923</v>
      </c>
      <c r="E237" s="1" t="s">
        <v>26</v>
      </c>
      <c r="F237" s="1" t="s">
        <v>265</v>
      </c>
      <c r="G237" s="1" t="s">
        <v>28</v>
      </c>
      <c r="H237" s="1">
        <v>335</v>
      </c>
      <c r="I237" s="1">
        <f t="shared" si="28"/>
        <v>52</v>
      </c>
      <c r="J237" s="1">
        <f>VLOOKUP(B237,Cena!$A$2:$B$101,2)</f>
        <v>88</v>
      </c>
      <c r="K237" s="1">
        <f t="shared" si="32"/>
        <v>4576</v>
      </c>
      <c r="L237" s="1">
        <f t="shared" si="29"/>
        <v>1052.48</v>
      </c>
      <c r="M237" s="22">
        <f t="shared" si="33"/>
        <v>5628.48</v>
      </c>
      <c r="N237" s="1">
        <f t="shared" ca="1" si="30"/>
        <v>12</v>
      </c>
      <c r="P237" s="1">
        <v>52.120646058756392</v>
      </c>
      <c r="Q237" s="1">
        <f t="shared" ca="1" si="31"/>
        <v>4</v>
      </c>
      <c r="R237" s="1">
        <v>12.104707164107822</v>
      </c>
    </row>
    <row r="238" spans="1:18" x14ac:dyDescent="0.3">
      <c r="A238" s="26">
        <v>237</v>
      </c>
      <c r="B238" s="1">
        <v>19</v>
      </c>
      <c r="C238" s="1">
        <f t="shared" si="27"/>
        <v>10</v>
      </c>
      <c r="D238" s="21">
        <f t="shared" ca="1" si="26"/>
        <v>44825</v>
      </c>
      <c r="E238" s="1" t="s">
        <v>26</v>
      </c>
      <c r="F238" s="1" t="s">
        <v>266</v>
      </c>
      <c r="G238" s="1" t="s">
        <v>28</v>
      </c>
      <c r="H238" s="1">
        <v>336</v>
      </c>
      <c r="I238" s="1">
        <f t="shared" si="28"/>
        <v>56</v>
      </c>
      <c r="J238" s="1">
        <f>VLOOKUP(B238,Cena!$A$2:$B$101,2)</f>
        <v>84</v>
      </c>
      <c r="K238" s="1">
        <f t="shared" si="32"/>
        <v>4704</v>
      </c>
      <c r="L238" s="1">
        <f t="shared" si="29"/>
        <v>1081.92</v>
      </c>
      <c r="M238" s="22">
        <f t="shared" si="33"/>
        <v>5785.92</v>
      </c>
      <c r="N238" s="1">
        <f t="shared" ca="1" si="30"/>
        <v>9</v>
      </c>
      <c r="P238" s="1">
        <v>56.268192009883933</v>
      </c>
      <c r="Q238" s="1">
        <f t="shared" ca="1" si="31"/>
        <v>11</v>
      </c>
      <c r="R238" s="1">
        <v>10.901883367987466</v>
      </c>
    </row>
    <row r="239" spans="1:18" x14ac:dyDescent="0.3">
      <c r="A239" s="26">
        <v>238</v>
      </c>
      <c r="B239" s="1">
        <v>25</v>
      </c>
      <c r="C239" s="1">
        <f t="shared" si="27"/>
        <v>9</v>
      </c>
      <c r="D239" s="21">
        <f t="shared" ca="1" si="26"/>
        <v>44583</v>
      </c>
      <c r="E239" s="1" t="s">
        <v>26</v>
      </c>
      <c r="F239" s="1" t="s">
        <v>267</v>
      </c>
      <c r="G239" s="1" t="s">
        <v>28</v>
      </c>
      <c r="H239" s="1">
        <v>337</v>
      </c>
      <c r="I239" s="1">
        <f t="shared" si="28"/>
        <v>38</v>
      </c>
      <c r="J239" s="1">
        <f>VLOOKUP(B239,Cena!$A$2:$B$101,2)</f>
        <v>108</v>
      </c>
      <c r="K239" s="1">
        <f t="shared" si="32"/>
        <v>4104</v>
      </c>
      <c r="L239" s="1">
        <f t="shared" si="29"/>
        <v>943.92000000000007</v>
      </c>
      <c r="M239" s="22">
        <f t="shared" si="33"/>
        <v>5047.92</v>
      </c>
      <c r="N239" s="1">
        <f t="shared" ca="1" si="30"/>
        <v>1</v>
      </c>
      <c r="P239" s="1">
        <v>38.69891442154767</v>
      </c>
      <c r="Q239" s="1">
        <f t="shared" ca="1" si="31"/>
        <v>16</v>
      </c>
      <c r="R239" s="1">
        <v>9.3484863125559059</v>
      </c>
    </row>
    <row r="240" spans="1:18" x14ac:dyDescent="0.3">
      <c r="A240" s="26">
        <v>239</v>
      </c>
      <c r="B240" s="1">
        <v>26</v>
      </c>
      <c r="C240" s="1">
        <f t="shared" si="27"/>
        <v>8</v>
      </c>
      <c r="D240" s="21">
        <f t="shared" ca="1" si="26"/>
        <v>44598</v>
      </c>
      <c r="E240" s="1" t="s">
        <v>26</v>
      </c>
      <c r="F240" s="1" t="s">
        <v>268</v>
      </c>
      <c r="G240" s="1" t="s">
        <v>28</v>
      </c>
      <c r="H240" s="1">
        <v>338</v>
      </c>
      <c r="I240" s="1">
        <f t="shared" si="28"/>
        <v>32</v>
      </c>
      <c r="J240" s="1">
        <f>VLOOKUP(B240,Cena!$A$2:$B$101,2)</f>
        <v>99</v>
      </c>
      <c r="K240" s="1">
        <f t="shared" si="32"/>
        <v>3168</v>
      </c>
      <c r="L240" s="1">
        <f t="shared" si="29"/>
        <v>728.64</v>
      </c>
      <c r="M240" s="22">
        <f t="shared" si="33"/>
        <v>3896.64</v>
      </c>
      <c r="N240" s="1">
        <f t="shared" ca="1" si="30"/>
        <v>2</v>
      </c>
      <c r="P240" s="1">
        <v>32.01419657561928</v>
      </c>
      <c r="Q240" s="1">
        <f t="shared" ca="1" si="31"/>
        <v>15</v>
      </c>
      <c r="R240" s="1">
        <v>8.8359888902778039</v>
      </c>
    </row>
    <row r="241" spans="1:18" x14ac:dyDescent="0.3">
      <c r="A241" s="26">
        <v>240</v>
      </c>
      <c r="B241" s="1">
        <v>17</v>
      </c>
      <c r="C241" s="1">
        <f t="shared" si="27"/>
        <v>9</v>
      </c>
      <c r="D241" s="21">
        <f t="shared" ca="1" si="26"/>
        <v>44918</v>
      </c>
      <c r="E241" s="1" t="s">
        <v>26</v>
      </c>
      <c r="F241" s="1" t="s">
        <v>269</v>
      </c>
      <c r="G241" s="1" t="s">
        <v>28</v>
      </c>
      <c r="H241" s="1">
        <v>339</v>
      </c>
      <c r="I241" s="1">
        <f t="shared" si="28"/>
        <v>53</v>
      </c>
      <c r="J241" s="1">
        <f>VLOOKUP(B241,Cena!$A$2:$B$101,2)</f>
        <v>84</v>
      </c>
      <c r="K241" s="1">
        <f t="shared" si="32"/>
        <v>4452</v>
      </c>
      <c r="L241" s="1">
        <f t="shared" si="29"/>
        <v>1023.96</v>
      </c>
      <c r="M241" s="22">
        <f t="shared" si="33"/>
        <v>5475.96</v>
      </c>
      <c r="N241" s="1">
        <f t="shared" ca="1" si="30"/>
        <v>12</v>
      </c>
      <c r="P241" s="1">
        <v>53.918751190212788</v>
      </c>
      <c r="Q241" s="1">
        <f t="shared" ca="1" si="31"/>
        <v>14</v>
      </c>
      <c r="R241" s="1">
        <v>9.2741919641048298</v>
      </c>
    </row>
    <row r="242" spans="1:18" x14ac:dyDescent="0.3">
      <c r="A242" s="26">
        <v>241</v>
      </c>
      <c r="B242" s="1">
        <v>7</v>
      </c>
      <c r="C242" s="1">
        <f t="shared" si="27"/>
        <v>13</v>
      </c>
      <c r="D242" s="21">
        <f t="shared" ca="1" si="26"/>
        <v>44634</v>
      </c>
      <c r="E242" s="1" t="s">
        <v>26</v>
      </c>
      <c r="F242" s="1" t="s">
        <v>270</v>
      </c>
      <c r="G242" s="1" t="s">
        <v>28</v>
      </c>
      <c r="H242" s="1">
        <v>340</v>
      </c>
      <c r="I242" s="1">
        <f t="shared" si="28"/>
        <v>49</v>
      </c>
      <c r="J242" s="1">
        <f>VLOOKUP(B242,Cena!$A$2:$B$101,2)</f>
        <v>104</v>
      </c>
      <c r="K242" s="1">
        <f t="shared" si="32"/>
        <v>5096</v>
      </c>
      <c r="L242" s="1">
        <f t="shared" si="29"/>
        <v>1172.0800000000002</v>
      </c>
      <c r="M242" s="22">
        <f t="shared" si="33"/>
        <v>6268.08</v>
      </c>
      <c r="N242" s="1">
        <f t="shared" ca="1" si="30"/>
        <v>3</v>
      </c>
      <c r="P242" s="1">
        <v>49.146393747651018</v>
      </c>
      <c r="Q242" s="1">
        <f t="shared" ca="1" si="31"/>
        <v>12</v>
      </c>
      <c r="R242" s="1">
        <v>13.950981408706866</v>
      </c>
    </row>
    <row r="243" spans="1:18" x14ac:dyDescent="0.3">
      <c r="A243" s="26">
        <v>242</v>
      </c>
      <c r="B243" s="1">
        <v>9</v>
      </c>
      <c r="C243" s="1">
        <f t="shared" si="27"/>
        <v>11</v>
      </c>
      <c r="D243" s="21">
        <f t="shared" ca="1" si="26"/>
        <v>44665</v>
      </c>
      <c r="E243" s="1" t="s">
        <v>26</v>
      </c>
      <c r="F243" s="1" t="s">
        <v>271</v>
      </c>
      <c r="G243" s="1" t="s">
        <v>28</v>
      </c>
      <c r="H243" s="1">
        <v>341</v>
      </c>
      <c r="I243" s="1">
        <f t="shared" si="28"/>
        <v>50</v>
      </c>
      <c r="J243" s="1">
        <f>VLOOKUP(B243,Cena!$A$2:$B$101,2)</f>
        <v>96</v>
      </c>
      <c r="K243" s="1">
        <f t="shared" si="32"/>
        <v>4800</v>
      </c>
      <c r="L243" s="1">
        <f t="shared" si="29"/>
        <v>1104</v>
      </c>
      <c r="M243" s="22">
        <f t="shared" si="33"/>
        <v>5904</v>
      </c>
      <c r="N243" s="1">
        <f t="shared" ca="1" si="30"/>
        <v>4</v>
      </c>
      <c r="P243" s="1">
        <v>50.435795755038271</v>
      </c>
      <c r="Q243" s="1">
        <f t="shared" ca="1" si="31"/>
        <v>29</v>
      </c>
      <c r="R243" s="1">
        <v>11.58244120029849</v>
      </c>
    </row>
    <row r="244" spans="1:18" x14ac:dyDescent="0.3">
      <c r="A244" s="26">
        <v>243</v>
      </c>
      <c r="B244" s="1">
        <v>13</v>
      </c>
      <c r="C244" s="1">
        <f t="shared" si="27"/>
        <v>8</v>
      </c>
      <c r="D244" s="21">
        <f t="shared" ca="1" si="26"/>
        <v>44890</v>
      </c>
      <c r="E244" s="1" t="s">
        <v>26</v>
      </c>
      <c r="F244" s="1" t="s">
        <v>272</v>
      </c>
      <c r="G244" s="1" t="s">
        <v>28</v>
      </c>
      <c r="H244" s="1">
        <v>342</v>
      </c>
      <c r="I244" s="1">
        <f t="shared" si="28"/>
        <v>66</v>
      </c>
      <c r="J244" s="1">
        <f>VLOOKUP(B244,Cena!$A$2:$B$101,2)</f>
        <v>94</v>
      </c>
      <c r="K244" s="1">
        <f t="shared" si="32"/>
        <v>6204</v>
      </c>
      <c r="L244" s="1">
        <f t="shared" si="29"/>
        <v>1426.92</v>
      </c>
      <c r="M244" s="22">
        <f t="shared" si="33"/>
        <v>7630.92</v>
      </c>
      <c r="N244" s="1">
        <f t="shared" ca="1" si="30"/>
        <v>11</v>
      </c>
      <c r="P244" s="1">
        <v>66.154899640241638</v>
      </c>
      <c r="Q244" s="1">
        <f t="shared" ca="1" si="31"/>
        <v>1</v>
      </c>
      <c r="R244" s="1">
        <v>8.6431134857411962</v>
      </c>
    </row>
    <row r="245" spans="1:18" x14ac:dyDescent="0.3">
      <c r="A245" s="26">
        <v>244</v>
      </c>
      <c r="B245" s="1">
        <v>6</v>
      </c>
      <c r="C245" s="1">
        <f t="shared" si="27"/>
        <v>8</v>
      </c>
      <c r="D245" s="21">
        <f t="shared" ca="1" si="26"/>
        <v>44626</v>
      </c>
      <c r="E245" s="1" t="s">
        <v>26</v>
      </c>
      <c r="F245" s="1" t="s">
        <v>273</v>
      </c>
      <c r="G245" s="1" t="s">
        <v>28</v>
      </c>
      <c r="H245" s="1">
        <v>343</v>
      </c>
      <c r="I245" s="1">
        <f t="shared" si="28"/>
        <v>42</v>
      </c>
      <c r="J245" s="1">
        <f>VLOOKUP(B245,Cena!$A$2:$B$101,2)</f>
        <v>86</v>
      </c>
      <c r="K245" s="1">
        <f t="shared" si="32"/>
        <v>3612</v>
      </c>
      <c r="L245" s="1">
        <f t="shared" si="29"/>
        <v>830.76</v>
      </c>
      <c r="M245" s="22">
        <f t="shared" si="33"/>
        <v>4442.76</v>
      </c>
      <c r="N245" s="1">
        <f t="shared" ca="1" si="30"/>
        <v>3</v>
      </c>
      <c r="P245" s="1">
        <v>42.519337865815032</v>
      </c>
      <c r="Q245" s="1">
        <f t="shared" ca="1" si="31"/>
        <v>8</v>
      </c>
      <c r="R245" s="1">
        <v>8.7469976758802659</v>
      </c>
    </row>
    <row r="246" spans="1:18" x14ac:dyDescent="0.3">
      <c r="A246" s="26">
        <v>245</v>
      </c>
      <c r="B246" s="1">
        <v>17</v>
      </c>
      <c r="C246" s="1">
        <f t="shared" si="27"/>
        <v>7</v>
      </c>
      <c r="D246" s="21">
        <f t="shared" ca="1" si="26"/>
        <v>44666</v>
      </c>
      <c r="E246" s="1" t="s">
        <v>26</v>
      </c>
      <c r="F246" s="1" t="s">
        <v>274</v>
      </c>
      <c r="G246" s="1" t="s">
        <v>28</v>
      </c>
      <c r="H246" s="1">
        <v>344</v>
      </c>
      <c r="I246" s="1">
        <f t="shared" si="28"/>
        <v>42</v>
      </c>
      <c r="J246" s="1">
        <f>VLOOKUP(B246,Cena!$A$2:$B$101,2)</f>
        <v>84</v>
      </c>
      <c r="K246" s="1">
        <f t="shared" si="32"/>
        <v>3528</v>
      </c>
      <c r="L246" s="1">
        <f t="shared" si="29"/>
        <v>811.44</v>
      </c>
      <c r="M246" s="22">
        <f t="shared" si="33"/>
        <v>4339.4400000000005</v>
      </c>
      <c r="N246" s="1">
        <f t="shared" ca="1" si="30"/>
        <v>4</v>
      </c>
      <c r="P246" s="1">
        <v>42.286575434263796</v>
      </c>
      <c r="Q246" s="1">
        <f t="shared" ca="1" si="31"/>
        <v>13</v>
      </c>
      <c r="R246" s="1">
        <v>7.978363808215363</v>
      </c>
    </row>
    <row r="247" spans="1:18" x14ac:dyDescent="0.3">
      <c r="A247" s="26">
        <v>246</v>
      </c>
      <c r="B247" s="1">
        <v>16</v>
      </c>
      <c r="C247" s="1">
        <f t="shared" si="27"/>
        <v>7</v>
      </c>
      <c r="D247" s="21">
        <f t="shared" ca="1" si="26"/>
        <v>44893</v>
      </c>
      <c r="E247" s="1" t="s">
        <v>26</v>
      </c>
      <c r="F247" s="1" t="s">
        <v>275</v>
      </c>
      <c r="G247" s="1" t="s">
        <v>28</v>
      </c>
      <c r="H247" s="1">
        <v>345</v>
      </c>
      <c r="I247" s="1">
        <f t="shared" si="28"/>
        <v>52</v>
      </c>
      <c r="J247" s="1">
        <f>VLOOKUP(B247,Cena!$A$2:$B$101,2)</f>
        <v>93</v>
      </c>
      <c r="K247" s="1">
        <f t="shared" si="32"/>
        <v>4836</v>
      </c>
      <c r="L247" s="1">
        <f t="shared" si="29"/>
        <v>1112.28</v>
      </c>
      <c r="M247" s="22">
        <f t="shared" si="33"/>
        <v>5948.28</v>
      </c>
      <c r="N247" s="1">
        <f t="shared" ca="1" si="30"/>
        <v>11</v>
      </c>
      <c r="P247" s="1">
        <v>52.987917468999512</v>
      </c>
      <c r="Q247" s="1">
        <f t="shared" ca="1" si="31"/>
        <v>8</v>
      </c>
      <c r="R247" s="1">
        <v>7.5884065861464478</v>
      </c>
    </row>
    <row r="248" spans="1:18" x14ac:dyDescent="0.3">
      <c r="A248" s="26">
        <v>247</v>
      </c>
      <c r="B248" s="1">
        <v>16</v>
      </c>
      <c r="C248" s="1">
        <f t="shared" si="27"/>
        <v>8</v>
      </c>
      <c r="D248" s="21">
        <f t="shared" ca="1" si="26"/>
        <v>44856</v>
      </c>
      <c r="E248" s="1" t="s">
        <v>26</v>
      </c>
      <c r="F248" s="1" t="s">
        <v>276</v>
      </c>
      <c r="G248" s="1" t="s">
        <v>28</v>
      </c>
      <c r="H248" s="1">
        <v>346</v>
      </c>
      <c r="I248" s="1">
        <f t="shared" si="28"/>
        <v>40</v>
      </c>
      <c r="J248" s="1">
        <f>VLOOKUP(B248,Cena!$A$2:$B$101,2)</f>
        <v>93</v>
      </c>
      <c r="K248" s="1">
        <f t="shared" si="32"/>
        <v>3720</v>
      </c>
      <c r="L248" s="1">
        <f t="shared" si="29"/>
        <v>855.6</v>
      </c>
      <c r="M248" s="22">
        <f t="shared" si="33"/>
        <v>4575.6000000000004</v>
      </c>
      <c r="N248" s="1">
        <f t="shared" ca="1" si="30"/>
        <v>10</v>
      </c>
      <c r="P248" s="1">
        <v>40.122023518779315</v>
      </c>
      <c r="Q248" s="1">
        <f t="shared" ca="1" si="31"/>
        <v>14</v>
      </c>
      <c r="R248" s="1">
        <v>8.8398258210509084</v>
      </c>
    </row>
    <row r="249" spans="1:18" x14ac:dyDescent="0.3">
      <c r="A249" s="26">
        <v>248</v>
      </c>
      <c r="B249" s="1">
        <v>7</v>
      </c>
      <c r="C249" s="1">
        <f t="shared" si="27"/>
        <v>8</v>
      </c>
      <c r="D249" s="21">
        <f t="shared" ca="1" si="26"/>
        <v>44861</v>
      </c>
      <c r="E249" s="1" t="s">
        <v>26</v>
      </c>
      <c r="F249" s="1" t="s">
        <v>277</v>
      </c>
      <c r="G249" s="1" t="s">
        <v>28</v>
      </c>
      <c r="H249" s="1">
        <v>347</v>
      </c>
      <c r="I249" s="1">
        <f t="shared" si="28"/>
        <v>42</v>
      </c>
      <c r="J249" s="1">
        <f>VLOOKUP(B249,Cena!$A$2:$B$101,2)</f>
        <v>104</v>
      </c>
      <c r="K249" s="1">
        <f t="shared" si="32"/>
        <v>4368</v>
      </c>
      <c r="L249" s="1">
        <f t="shared" si="29"/>
        <v>1004.6400000000001</v>
      </c>
      <c r="M249" s="22">
        <f t="shared" si="33"/>
        <v>5372.64</v>
      </c>
      <c r="N249" s="1">
        <f t="shared" ca="1" si="30"/>
        <v>10</v>
      </c>
      <c r="P249" s="1">
        <v>42.533503245795146</v>
      </c>
      <c r="Q249" s="1">
        <f t="shared" ca="1" si="31"/>
        <v>19</v>
      </c>
      <c r="R249" s="1">
        <v>8.2041543944433215</v>
      </c>
    </row>
    <row r="250" spans="1:18" x14ac:dyDescent="0.3">
      <c r="A250" s="26">
        <v>249</v>
      </c>
      <c r="B250" s="1">
        <v>25</v>
      </c>
      <c r="C250" s="1">
        <f t="shared" si="27"/>
        <v>9</v>
      </c>
      <c r="D250" s="21">
        <f t="shared" ca="1" si="26"/>
        <v>44639</v>
      </c>
      <c r="E250" s="1" t="s">
        <v>26</v>
      </c>
      <c r="F250" s="1" t="s">
        <v>278</v>
      </c>
      <c r="G250" s="1" t="s">
        <v>28</v>
      </c>
      <c r="H250" s="1">
        <v>348</v>
      </c>
      <c r="I250" s="1">
        <f t="shared" si="28"/>
        <v>55</v>
      </c>
      <c r="J250" s="1">
        <f>VLOOKUP(B250,Cena!$A$2:$B$101,2)</f>
        <v>108</v>
      </c>
      <c r="K250" s="1">
        <f t="shared" si="32"/>
        <v>5940</v>
      </c>
      <c r="L250" s="1">
        <f t="shared" si="29"/>
        <v>1366.2</v>
      </c>
      <c r="M250" s="22">
        <f t="shared" si="33"/>
        <v>7306.2</v>
      </c>
      <c r="N250" s="1">
        <f t="shared" ca="1" si="30"/>
        <v>3</v>
      </c>
      <c r="P250" s="1">
        <v>55.726053586840862</v>
      </c>
      <c r="Q250" s="1">
        <f t="shared" ca="1" si="31"/>
        <v>20</v>
      </c>
      <c r="R250" s="1">
        <v>9.8722870486744796</v>
      </c>
    </row>
    <row r="251" spans="1:18" x14ac:dyDescent="0.3">
      <c r="A251" s="26">
        <v>250</v>
      </c>
      <c r="B251" s="1">
        <v>19</v>
      </c>
      <c r="C251" s="1">
        <f t="shared" si="27"/>
        <v>13</v>
      </c>
      <c r="D251" s="21">
        <f t="shared" ca="1" si="26"/>
        <v>44791</v>
      </c>
      <c r="E251" s="1" t="s">
        <v>26</v>
      </c>
      <c r="F251" s="1" t="s">
        <v>279</v>
      </c>
      <c r="G251" s="1" t="s">
        <v>28</v>
      </c>
      <c r="H251" s="1">
        <v>349</v>
      </c>
      <c r="I251" s="1">
        <f t="shared" si="28"/>
        <v>45</v>
      </c>
      <c r="J251" s="1">
        <f>VLOOKUP(B251,Cena!$A$2:$B$101,2)</f>
        <v>84</v>
      </c>
      <c r="K251" s="1">
        <f t="shared" si="32"/>
        <v>3780</v>
      </c>
      <c r="L251" s="1">
        <f t="shared" si="29"/>
        <v>869.40000000000009</v>
      </c>
      <c r="M251" s="22">
        <f t="shared" si="33"/>
        <v>4649.3999999999996</v>
      </c>
      <c r="N251" s="1">
        <f t="shared" ca="1" si="30"/>
        <v>8</v>
      </c>
      <c r="P251" s="1">
        <v>45.899690929945791</v>
      </c>
      <c r="Q251" s="1">
        <f t="shared" ca="1" si="31"/>
        <v>20</v>
      </c>
      <c r="R251" s="1">
        <v>13.664479208964622</v>
      </c>
    </row>
    <row r="252" spans="1:18" x14ac:dyDescent="0.3">
      <c r="A252" s="26">
        <v>251</v>
      </c>
      <c r="B252" s="1">
        <v>11</v>
      </c>
      <c r="C252" s="1">
        <f t="shared" si="27"/>
        <v>6</v>
      </c>
      <c r="D252" s="21">
        <f t="shared" ca="1" si="26"/>
        <v>44630</v>
      </c>
      <c r="E252" s="1" t="s">
        <v>26</v>
      </c>
      <c r="F252" s="1" t="s">
        <v>280</v>
      </c>
      <c r="G252" s="1" t="s">
        <v>28</v>
      </c>
      <c r="H252" s="1">
        <v>350</v>
      </c>
      <c r="I252" s="1">
        <f t="shared" si="28"/>
        <v>42</v>
      </c>
      <c r="J252" s="1">
        <f>VLOOKUP(B252,Cena!$A$2:$B$101,2)</f>
        <v>83</v>
      </c>
      <c r="K252" s="1">
        <f t="shared" si="32"/>
        <v>3486</v>
      </c>
      <c r="L252" s="1">
        <f t="shared" si="29"/>
        <v>801.78000000000009</v>
      </c>
      <c r="M252" s="22">
        <f t="shared" si="33"/>
        <v>4287.78</v>
      </c>
      <c r="N252" s="1">
        <f t="shared" ca="1" si="30"/>
        <v>3</v>
      </c>
      <c r="P252" s="1">
        <v>42.912330526451115</v>
      </c>
      <c r="Q252" s="1">
        <f t="shared" ca="1" si="31"/>
        <v>7</v>
      </c>
      <c r="R252" s="1">
        <v>6.9657380916032707</v>
      </c>
    </row>
    <row r="253" spans="1:18" x14ac:dyDescent="0.3">
      <c r="A253" s="26">
        <v>252</v>
      </c>
      <c r="B253" s="1">
        <v>7</v>
      </c>
      <c r="C253" s="1">
        <f t="shared" si="27"/>
        <v>8</v>
      </c>
      <c r="D253" s="21">
        <f t="shared" ca="1" si="26"/>
        <v>44645</v>
      </c>
      <c r="E253" s="1" t="s">
        <v>26</v>
      </c>
      <c r="F253" s="1" t="s">
        <v>281</v>
      </c>
      <c r="G253" s="1" t="s">
        <v>28</v>
      </c>
      <c r="H253" s="1">
        <v>351</v>
      </c>
      <c r="I253" s="1">
        <f t="shared" si="28"/>
        <v>52</v>
      </c>
      <c r="J253" s="1">
        <f>VLOOKUP(B253,Cena!$A$2:$B$101,2)</f>
        <v>104</v>
      </c>
      <c r="K253" s="1">
        <f t="shared" si="32"/>
        <v>5408</v>
      </c>
      <c r="L253" s="1">
        <f t="shared" si="29"/>
        <v>1243.8400000000001</v>
      </c>
      <c r="M253" s="22">
        <f t="shared" si="33"/>
        <v>6651.84</v>
      </c>
      <c r="N253" s="1">
        <f t="shared" ca="1" si="30"/>
        <v>3</v>
      </c>
      <c r="P253" s="1">
        <v>52.444153324177023</v>
      </c>
      <c r="Q253" s="1">
        <f t="shared" ca="1" si="31"/>
        <v>9</v>
      </c>
      <c r="R253" s="1">
        <v>8.4301609856629511</v>
      </c>
    </row>
    <row r="254" spans="1:18" x14ac:dyDescent="0.3">
      <c r="A254" s="26">
        <v>253</v>
      </c>
      <c r="B254" s="1">
        <v>26</v>
      </c>
      <c r="C254" s="1">
        <f t="shared" si="27"/>
        <v>8</v>
      </c>
      <c r="D254" s="21">
        <f t="shared" ca="1" si="26"/>
        <v>44852</v>
      </c>
      <c r="E254" s="1" t="s">
        <v>26</v>
      </c>
      <c r="F254" s="1" t="s">
        <v>282</v>
      </c>
      <c r="G254" s="1" t="s">
        <v>28</v>
      </c>
      <c r="H254" s="1">
        <v>352</v>
      </c>
      <c r="I254" s="1">
        <f t="shared" si="28"/>
        <v>57</v>
      </c>
      <c r="J254" s="1">
        <f>VLOOKUP(B254,Cena!$A$2:$B$101,2)</f>
        <v>99</v>
      </c>
      <c r="K254" s="1">
        <f t="shared" si="32"/>
        <v>5643</v>
      </c>
      <c r="L254" s="1">
        <f t="shared" si="29"/>
        <v>1297.8900000000001</v>
      </c>
      <c r="M254" s="22">
        <f t="shared" si="33"/>
        <v>6940.89</v>
      </c>
      <c r="N254" s="1">
        <f t="shared" ca="1" si="30"/>
        <v>10</v>
      </c>
      <c r="P254" s="1">
        <v>57.307698979275301</v>
      </c>
      <c r="Q254" s="1">
        <f t="shared" ca="1" si="31"/>
        <v>6</v>
      </c>
      <c r="R254" s="1">
        <v>8.732232597831171</v>
      </c>
    </row>
    <row r="255" spans="1:18" x14ac:dyDescent="0.3">
      <c r="A255" s="26">
        <v>254</v>
      </c>
      <c r="B255" s="1">
        <v>17</v>
      </c>
      <c r="C255" s="1">
        <f t="shared" si="27"/>
        <v>9</v>
      </c>
      <c r="D255" s="21">
        <f t="shared" ca="1" si="26"/>
        <v>44889</v>
      </c>
      <c r="E255" s="1" t="s">
        <v>26</v>
      </c>
      <c r="F255" s="1" t="s">
        <v>283</v>
      </c>
      <c r="G255" s="1" t="s">
        <v>28</v>
      </c>
      <c r="H255" s="1">
        <v>353</v>
      </c>
      <c r="I255" s="1">
        <f t="shared" si="28"/>
        <v>59</v>
      </c>
      <c r="J255" s="1">
        <f>VLOOKUP(B255,Cena!$A$2:$B$101,2)</f>
        <v>84</v>
      </c>
      <c r="K255" s="1">
        <f t="shared" si="32"/>
        <v>4956</v>
      </c>
      <c r="L255" s="1">
        <f t="shared" si="29"/>
        <v>1139.8800000000001</v>
      </c>
      <c r="M255" s="22">
        <f t="shared" si="33"/>
        <v>6095.88</v>
      </c>
      <c r="N255" s="1">
        <f t="shared" ca="1" si="30"/>
        <v>11</v>
      </c>
      <c r="P255" s="1">
        <v>59.391237654199358</v>
      </c>
      <c r="Q255" s="1">
        <f t="shared" ca="1" si="31"/>
        <v>16</v>
      </c>
      <c r="R255" s="1">
        <v>9.0651758707826957</v>
      </c>
    </row>
    <row r="256" spans="1:18" x14ac:dyDescent="0.3">
      <c r="A256" s="26">
        <v>255</v>
      </c>
      <c r="B256" s="1">
        <v>19</v>
      </c>
      <c r="C256" s="1">
        <f t="shared" si="27"/>
        <v>7</v>
      </c>
      <c r="D256" s="21">
        <f t="shared" ca="1" si="26"/>
        <v>44866</v>
      </c>
      <c r="E256" s="1" t="s">
        <v>26</v>
      </c>
      <c r="F256" s="1" t="s">
        <v>284</v>
      </c>
      <c r="G256" s="1" t="s">
        <v>28</v>
      </c>
      <c r="H256" s="1">
        <v>354</v>
      </c>
      <c r="I256" s="1">
        <f t="shared" si="28"/>
        <v>50</v>
      </c>
      <c r="J256" s="1">
        <f>VLOOKUP(B256,Cena!$A$2:$B$101,2)</f>
        <v>84</v>
      </c>
      <c r="K256" s="1">
        <f t="shared" si="32"/>
        <v>4200</v>
      </c>
      <c r="L256" s="1">
        <f t="shared" si="29"/>
        <v>966</v>
      </c>
      <c r="M256" s="22">
        <f t="shared" si="33"/>
        <v>5166</v>
      </c>
      <c r="N256" s="1">
        <f t="shared" ca="1" si="30"/>
        <v>11</v>
      </c>
      <c r="P256" s="1">
        <v>50.866657501319423</v>
      </c>
      <c r="Q256" s="1">
        <f t="shared" ca="1" si="31"/>
        <v>23</v>
      </c>
      <c r="R256" s="1">
        <v>7.8363746322429506</v>
      </c>
    </row>
    <row r="257" spans="1:18" x14ac:dyDescent="0.3">
      <c r="A257" s="26">
        <v>256</v>
      </c>
      <c r="B257" s="1">
        <v>27</v>
      </c>
      <c r="C257" s="1">
        <f t="shared" si="27"/>
        <v>11</v>
      </c>
      <c r="D257" s="21">
        <f t="shared" ca="1" si="26"/>
        <v>44831</v>
      </c>
      <c r="E257" s="1" t="s">
        <v>26</v>
      </c>
      <c r="F257" s="1" t="s">
        <v>285</v>
      </c>
      <c r="G257" s="1" t="s">
        <v>28</v>
      </c>
      <c r="H257" s="1">
        <v>355</v>
      </c>
      <c r="I257" s="1">
        <f t="shared" si="28"/>
        <v>48</v>
      </c>
      <c r="J257" s="1">
        <f>VLOOKUP(B257,Cena!$A$2:$B$101,2)</f>
        <v>87</v>
      </c>
      <c r="K257" s="1">
        <f t="shared" si="32"/>
        <v>4176</v>
      </c>
      <c r="L257" s="1">
        <f t="shared" si="29"/>
        <v>960.48</v>
      </c>
      <c r="M257" s="22">
        <f t="shared" si="33"/>
        <v>5136.4799999999996</v>
      </c>
      <c r="N257" s="1">
        <f t="shared" ca="1" si="30"/>
        <v>9</v>
      </c>
      <c r="P257" s="1">
        <v>48.981195403757738</v>
      </c>
      <c r="Q257" s="1">
        <f t="shared" ca="1" si="31"/>
        <v>3</v>
      </c>
      <c r="R257" s="1">
        <v>11.547078909425181</v>
      </c>
    </row>
    <row r="258" spans="1:18" x14ac:dyDescent="0.3">
      <c r="A258" s="26">
        <v>257</v>
      </c>
      <c r="B258" s="1">
        <v>12</v>
      </c>
      <c r="C258" s="1">
        <f t="shared" si="27"/>
        <v>9</v>
      </c>
      <c r="D258" s="21">
        <f t="shared" ref="D258:D321" ca="1" si="34">DATE(2022,RANDBETWEEN(1,12),RANDBETWEEN(1,28))</f>
        <v>44690</v>
      </c>
      <c r="E258" s="1" t="s">
        <v>26</v>
      </c>
      <c r="F258" s="1" t="s">
        <v>286</v>
      </c>
      <c r="G258" s="1" t="s">
        <v>28</v>
      </c>
      <c r="H258" s="1">
        <v>356</v>
      </c>
      <c r="I258" s="1">
        <f t="shared" si="28"/>
        <v>64</v>
      </c>
      <c r="J258" s="1">
        <f>VLOOKUP(B258,Cena!$A$2:$B$101,2)</f>
        <v>88</v>
      </c>
      <c r="K258" s="1">
        <f t="shared" si="32"/>
        <v>5632</v>
      </c>
      <c r="L258" s="1">
        <f t="shared" si="29"/>
        <v>1295.3600000000001</v>
      </c>
      <c r="M258" s="22">
        <f t="shared" si="33"/>
        <v>6927.3600000000006</v>
      </c>
      <c r="N258" s="1">
        <f t="shared" ca="1" si="30"/>
        <v>5</v>
      </c>
      <c r="P258" s="1">
        <v>64.524857760989107</v>
      </c>
      <c r="Q258" s="1">
        <f t="shared" ca="1" si="31"/>
        <v>30</v>
      </c>
      <c r="R258" s="1">
        <v>9.5340203895466402</v>
      </c>
    </row>
    <row r="259" spans="1:18" x14ac:dyDescent="0.3">
      <c r="A259" s="26">
        <v>258</v>
      </c>
      <c r="B259" s="1">
        <v>11</v>
      </c>
      <c r="C259" s="1">
        <f t="shared" ref="C259:C322" si="35">INT(R259)</f>
        <v>9</v>
      </c>
      <c r="D259" s="21">
        <f t="shared" ca="1" si="34"/>
        <v>44580</v>
      </c>
      <c r="E259" s="1" t="s">
        <v>26</v>
      </c>
      <c r="F259" s="1" t="s">
        <v>287</v>
      </c>
      <c r="G259" s="1" t="s">
        <v>28</v>
      </c>
      <c r="H259" s="1">
        <v>357</v>
      </c>
      <c r="I259" s="1">
        <f t="shared" ref="I259:I322" si="36">INT(P259)</f>
        <v>38</v>
      </c>
      <c r="J259" s="1">
        <f>VLOOKUP(B259,Cena!$A$2:$B$101,2)</f>
        <v>83</v>
      </c>
      <c r="K259" s="1">
        <f t="shared" si="32"/>
        <v>3154</v>
      </c>
      <c r="L259" s="1">
        <f t="shared" ref="L259:L322" si="37">K259*23%</f>
        <v>725.42000000000007</v>
      </c>
      <c r="M259" s="22">
        <f t="shared" si="33"/>
        <v>3879.42</v>
      </c>
      <c r="N259" s="1">
        <f t="shared" ref="N259:N322" ca="1" si="38">MONTH(D259)</f>
        <v>1</v>
      </c>
      <c r="P259" s="1">
        <v>38.362219482951332</v>
      </c>
      <c r="Q259" s="1">
        <f t="shared" ref="Q259:Q322" ca="1" si="39">RANDBETWEEN(1,30)</f>
        <v>7</v>
      </c>
      <c r="R259" s="1">
        <v>9.8765019881830085</v>
      </c>
    </row>
    <row r="260" spans="1:18" x14ac:dyDescent="0.3">
      <c r="A260" s="26">
        <v>259</v>
      </c>
      <c r="B260" s="1">
        <v>17</v>
      </c>
      <c r="C260" s="1">
        <f t="shared" si="35"/>
        <v>7</v>
      </c>
      <c r="D260" s="21">
        <f t="shared" ca="1" si="34"/>
        <v>44756</v>
      </c>
      <c r="E260" s="1" t="s">
        <v>26</v>
      </c>
      <c r="F260" s="1" t="s">
        <v>288</v>
      </c>
      <c r="G260" s="1" t="s">
        <v>28</v>
      </c>
      <c r="H260" s="1">
        <v>358</v>
      </c>
      <c r="I260" s="1">
        <f t="shared" si="36"/>
        <v>43</v>
      </c>
      <c r="J260" s="1">
        <f>VLOOKUP(B260,Cena!$A$2:$B$101,2)</f>
        <v>84</v>
      </c>
      <c r="K260" s="1">
        <f t="shared" si="32"/>
        <v>3612</v>
      </c>
      <c r="L260" s="1">
        <f t="shared" si="37"/>
        <v>830.76</v>
      </c>
      <c r="M260" s="22">
        <f t="shared" si="33"/>
        <v>4442.76</v>
      </c>
      <c r="N260" s="1">
        <f t="shared" ca="1" si="38"/>
        <v>7</v>
      </c>
      <c r="P260" s="1">
        <v>43.930759956128895</v>
      </c>
      <c r="Q260" s="1">
        <f t="shared" ca="1" si="39"/>
        <v>27</v>
      </c>
      <c r="R260" s="1">
        <v>7.9863105181721039</v>
      </c>
    </row>
    <row r="261" spans="1:18" x14ac:dyDescent="0.3">
      <c r="A261" s="26">
        <v>260</v>
      </c>
      <c r="B261" s="1">
        <v>2</v>
      </c>
      <c r="C261" s="1">
        <f t="shared" si="35"/>
        <v>13</v>
      </c>
      <c r="D261" s="21">
        <f t="shared" ca="1" si="34"/>
        <v>44739</v>
      </c>
      <c r="E261" s="1" t="s">
        <v>26</v>
      </c>
      <c r="F261" s="1" t="s">
        <v>289</v>
      </c>
      <c r="G261" s="1" t="s">
        <v>28</v>
      </c>
      <c r="H261" s="1">
        <v>359</v>
      </c>
      <c r="I261" s="1">
        <f t="shared" si="36"/>
        <v>50</v>
      </c>
      <c r="J261" s="1">
        <f>VLOOKUP(B261,Cena!$A$2:$B$101,2)</f>
        <v>121</v>
      </c>
      <c r="K261" s="1">
        <f t="shared" si="32"/>
        <v>6050</v>
      </c>
      <c r="L261" s="1">
        <f t="shared" si="37"/>
        <v>1391.5</v>
      </c>
      <c r="M261" s="22">
        <f t="shared" si="33"/>
        <v>7441.5</v>
      </c>
      <c r="N261" s="1">
        <f t="shared" ca="1" si="38"/>
        <v>6</v>
      </c>
      <c r="P261" s="1">
        <v>50.704744707036298</v>
      </c>
      <c r="Q261" s="1">
        <f t="shared" ca="1" si="39"/>
        <v>19</v>
      </c>
      <c r="R261" s="1">
        <v>13.799061687459471</v>
      </c>
    </row>
    <row r="262" spans="1:18" x14ac:dyDescent="0.3">
      <c r="A262" s="26">
        <v>261</v>
      </c>
      <c r="B262" s="1">
        <v>10</v>
      </c>
      <c r="C262" s="1">
        <f t="shared" si="35"/>
        <v>11</v>
      </c>
      <c r="D262" s="21">
        <f t="shared" ca="1" si="34"/>
        <v>44901</v>
      </c>
      <c r="E262" s="1" t="s">
        <v>26</v>
      </c>
      <c r="F262" s="1" t="s">
        <v>290</v>
      </c>
      <c r="G262" s="1" t="s">
        <v>28</v>
      </c>
      <c r="H262" s="1">
        <v>360</v>
      </c>
      <c r="I262" s="1">
        <f t="shared" si="36"/>
        <v>47</v>
      </c>
      <c r="J262" s="1">
        <f>VLOOKUP(B262,Cena!$A$2:$B$101,2)</f>
        <v>109</v>
      </c>
      <c r="K262" s="1">
        <f t="shared" si="32"/>
        <v>5123</v>
      </c>
      <c r="L262" s="1">
        <f t="shared" si="37"/>
        <v>1178.29</v>
      </c>
      <c r="M262" s="22">
        <f t="shared" si="33"/>
        <v>6301.29</v>
      </c>
      <c r="N262" s="1">
        <f t="shared" ca="1" si="38"/>
        <v>12</v>
      </c>
      <c r="P262" s="1">
        <v>47.547968177968869</v>
      </c>
      <c r="Q262" s="1">
        <f t="shared" ca="1" si="39"/>
        <v>23</v>
      </c>
      <c r="R262" s="1">
        <v>11.560300688652205</v>
      </c>
    </row>
    <row r="263" spans="1:18" x14ac:dyDescent="0.3">
      <c r="A263" s="26">
        <v>262</v>
      </c>
      <c r="B263" s="1">
        <v>10</v>
      </c>
      <c r="C263" s="1">
        <f t="shared" si="35"/>
        <v>11</v>
      </c>
      <c r="D263" s="21">
        <f t="shared" ca="1" si="34"/>
        <v>44736</v>
      </c>
      <c r="E263" s="1" t="s">
        <v>26</v>
      </c>
      <c r="F263" s="1" t="s">
        <v>291</v>
      </c>
      <c r="G263" s="1" t="s">
        <v>28</v>
      </c>
      <c r="H263" s="1">
        <v>361</v>
      </c>
      <c r="I263" s="1">
        <f t="shared" si="36"/>
        <v>35</v>
      </c>
      <c r="J263" s="1">
        <f>VLOOKUP(B263,Cena!$A$2:$B$101,2)</f>
        <v>109</v>
      </c>
      <c r="K263" s="1">
        <f t="shared" si="32"/>
        <v>3815</v>
      </c>
      <c r="L263" s="1">
        <f t="shared" si="37"/>
        <v>877.45</v>
      </c>
      <c r="M263" s="22">
        <f t="shared" si="33"/>
        <v>4692.45</v>
      </c>
      <c r="N263" s="1">
        <f t="shared" ca="1" si="38"/>
        <v>6</v>
      </c>
      <c r="P263" s="1">
        <v>35.226850185426883</v>
      </c>
      <c r="Q263" s="1">
        <f t="shared" ca="1" si="39"/>
        <v>4</v>
      </c>
      <c r="R263" s="1">
        <v>11.735472210384614</v>
      </c>
    </row>
    <row r="264" spans="1:18" x14ac:dyDescent="0.3">
      <c r="A264" s="26">
        <v>263</v>
      </c>
      <c r="B264" s="1">
        <v>19</v>
      </c>
      <c r="C264" s="1">
        <f t="shared" si="35"/>
        <v>13</v>
      </c>
      <c r="D264" s="21">
        <f t="shared" ca="1" si="34"/>
        <v>44658</v>
      </c>
      <c r="E264" s="1" t="s">
        <v>26</v>
      </c>
      <c r="F264" s="1" t="s">
        <v>292</v>
      </c>
      <c r="G264" s="1" t="s">
        <v>28</v>
      </c>
      <c r="H264" s="1">
        <v>362</v>
      </c>
      <c r="I264" s="1">
        <f t="shared" si="36"/>
        <v>30</v>
      </c>
      <c r="J264" s="1">
        <f>VLOOKUP(B264,Cena!$A$2:$B$101,2)</f>
        <v>84</v>
      </c>
      <c r="K264" s="1">
        <f t="shared" si="32"/>
        <v>2520</v>
      </c>
      <c r="L264" s="1">
        <f t="shared" si="37"/>
        <v>579.6</v>
      </c>
      <c r="M264" s="22">
        <f t="shared" si="33"/>
        <v>3099.6</v>
      </c>
      <c r="N264" s="1">
        <f t="shared" ca="1" si="38"/>
        <v>4</v>
      </c>
      <c r="P264" s="1">
        <v>30.858774506486952</v>
      </c>
      <c r="Q264" s="1">
        <f t="shared" ca="1" si="39"/>
        <v>25</v>
      </c>
      <c r="R264" s="1">
        <v>13.526258751662681</v>
      </c>
    </row>
    <row r="265" spans="1:18" x14ac:dyDescent="0.3">
      <c r="A265" s="26">
        <v>264</v>
      </c>
      <c r="B265" s="1">
        <v>11</v>
      </c>
      <c r="C265" s="1">
        <f t="shared" si="35"/>
        <v>11</v>
      </c>
      <c r="D265" s="21">
        <f t="shared" ca="1" si="34"/>
        <v>44787</v>
      </c>
      <c r="E265" s="1" t="s">
        <v>26</v>
      </c>
      <c r="F265" s="1" t="s">
        <v>293</v>
      </c>
      <c r="G265" s="1" t="s">
        <v>28</v>
      </c>
      <c r="H265" s="1">
        <v>363</v>
      </c>
      <c r="I265" s="1">
        <f t="shared" si="36"/>
        <v>44</v>
      </c>
      <c r="J265" s="1">
        <f>VLOOKUP(B265,Cena!$A$2:$B$101,2)</f>
        <v>83</v>
      </c>
      <c r="K265" s="1">
        <f t="shared" si="32"/>
        <v>3652</v>
      </c>
      <c r="L265" s="1">
        <f t="shared" si="37"/>
        <v>839.96</v>
      </c>
      <c r="M265" s="22">
        <f t="shared" si="33"/>
        <v>4491.96</v>
      </c>
      <c r="N265" s="1">
        <f t="shared" ca="1" si="38"/>
        <v>8</v>
      </c>
      <c r="P265" s="1">
        <v>44.153654370165896</v>
      </c>
      <c r="Q265" s="1">
        <f t="shared" ca="1" si="39"/>
        <v>6</v>
      </c>
      <c r="R265" s="1">
        <v>11.97347844732576</v>
      </c>
    </row>
    <row r="266" spans="1:18" x14ac:dyDescent="0.3">
      <c r="A266" s="26">
        <v>265</v>
      </c>
      <c r="B266" s="1">
        <v>5</v>
      </c>
      <c r="C266" s="1">
        <f t="shared" si="35"/>
        <v>9</v>
      </c>
      <c r="D266" s="21">
        <f t="shared" ca="1" si="34"/>
        <v>44671</v>
      </c>
      <c r="E266" s="1" t="s">
        <v>26</v>
      </c>
      <c r="F266" s="1" t="s">
        <v>294</v>
      </c>
      <c r="G266" s="1" t="s">
        <v>28</v>
      </c>
      <c r="H266" s="1">
        <v>364</v>
      </c>
      <c r="I266" s="1">
        <f t="shared" si="36"/>
        <v>53</v>
      </c>
      <c r="J266" s="1">
        <f>VLOOKUP(B266,Cena!$A$2:$B$101,2)</f>
        <v>91</v>
      </c>
      <c r="K266" s="1">
        <f t="shared" si="32"/>
        <v>4823</v>
      </c>
      <c r="L266" s="1">
        <f t="shared" si="37"/>
        <v>1109.29</v>
      </c>
      <c r="M266" s="22">
        <f t="shared" si="33"/>
        <v>5932.29</v>
      </c>
      <c r="N266" s="1">
        <f t="shared" ca="1" si="38"/>
        <v>4</v>
      </c>
      <c r="P266" s="1">
        <v>53.837931217276491</v>
      </c>
      <c r="Q266" s="1">
        <f t="shared" ca="1" si="39"/>
        <v>13</v>
      </c>
      <c r="R266" s="1">
        <v>9.7226041159592569</v>
      </c>
    </row>
    <row r="267" spans="1:18" x14ac:dyDescent="0.3">
      <c r="A267" s="26">
        <v>266</v>
      </c>
      <c r="B267" s="1">
        <v>12</v>
      </c>
      <c r="C267" s="1">
        <f t="shared" si="35"/>
        <v>7</v>
      </c>
      <c r="D267" s="21">
        <f t="shared" ca="1" si="34"/>
        <v>44572</v>
      </c>
      <c r="E267" s="1" t="s">
        <v>26</v>
      </c>
      <c r="F267" s="1" t="s">
        <v>295</v>
      </c>
      <c r="G267" s="1" t="s">
        <v>28</v>
      </c>
      <c r="H267" s="1">
        <v>365</v>
      </c>
      <c r="I267" s="1">
        <f t="shared" si="36"/>
        <v>40</v>
      </c>
      <c r="J267" s="1">
        <f>VLOOKUP(B267,Cena!$A$2:$B$101,2)</f>
        <v>88</v>
      </c>
      <c r="K267" s="1">
        <f t="shared" si="32"/>
        <v>3520</v>
      </c>
      <c r="L267" s="1">
        <f t="shared" si="37"/>
        <v>809.6</v>
      </c>
      <c r="M267" s="22">
        <f t="shared" si="33"/>
        <v>4329.6000000000004</v>
      </c>
      <c r="N267" s="1">
        <f t="shared" ca="1" si="38"/>
        <v>1</v>
      </c>
      <c r="P267" s="1">
        <v>40.079572853574064</v>
      </c>
      <c r="Q267" s="1">
        <f t="shared" ca="1" si="39"/>
        <v>1</v>
      </c>
      <c r="R267" s="1">
        <v>7.3052354107494466</v>
      </c>
    </row>
    <row r="268" spans="1:18" x14ac:dyDescent="0.3">
      <c r="A268" s="26">
        <v>267</v>
      </c>
      <c r="B268" s="1">
        <v>29</v>
      </c>
      <c r="C268" s="1">
        <f t="shared" si="35"/>
        <v>5</v>
      </c>
      <c r="D268" s="21">
        <f t="shared" ca="1" si="34"/>
        <v>44573</v>
      </c>
      <c r="E268" s="1" t="s">
        <v>26</v>
      </c>
      <c r="F268" s="1" t="s">
        <v>296</v>
      </c>
      <c r="G268" s="1" t="s">
        <v>28</v>
      </c>
      <c r="H268" s="1">
        <v>366</v>
      </c>
      <c r="I268" s="1">
        <f t="shared" si="36"/>
        <v>44</v>
      </c>
      <c r="J268" s="1">
        <f>VLOOKUP(B268,Cena!$A$2:$B$101,2)</f>
        <v>105</v>
      </c>
      <c r="K268" s="1">
        <f t="shared" si="32"/>
        <v>4620</v>
      </c>
      <c r="L268" s="1">
        <f t="shared" si="37"/>
        <v>1062.6000000000001</v>
      </c>
      <c r="M268" s="22">
        <f t="shared" si="33"/>
        <v>5682.6</v>
      </c>
      <c r="N268" s="1">
        <f t="shared" ca="1" si="38"/>
        <v>1</v>
      </c>
      <c r="P268" s="1">
        <v>44.069048625533469</v>
      </c>
      <c r="Q268" s="1">
        <f t="shared" ca="1" si="39"/>
        <v>29</v>
      </c>
      <c r="R268" s="1">
        <v>5.3636461214045994</v>
      </c>
    </row>
    <row r="269" spans="1:18" x14ac:dyDescent="0.3">
      <c r="A269" s="26">
        <v>268</v>
      </c>
      <c r="B269" s="1">
        <v>26</v>
      </c>
      <c r="C269" s="1">
        <f t="shared" si="35"/>
        <v>13</v>
      </c>
      <c r="D269" s="21">
        <f t="shared" ca="1" si="34"/>
        <v>44848</v>
      </c>
      <c r="E269" s="1" t="s">
        <v>26</v>
      </c>
      <c r="F269" s="1" t="s">
        <v>297</v>
      </c>
      <c r="G269" s="1" t="s">
        <v>28</v>
      </c>
      <c r="H269" s="1">
        <v>367</v>
      </c>
      <c r="I269" s="1">
        <f t="shared" si="36"/>
        <v>65</v>
      </c>
      <c r="J269" s="1">
        <f>VLOOKUP(B269,Cena!$A$2:$B$101,2)</f>
        <v>99</v>
      </c>
      <c r="K269" s="1">
        <f t="shared" si="32"/>
        <v>6435</v>
      </c>
      <c r="L269" s="1">
        <f t="shared" si="37"/>
        <v>1480.05</v>
      </c>
      <c r="M269" s="22">
        <f t="shared" si="33"/>
        <v>7915.05</v>
      </c>
      <c r="N269" s="1">
        <f t="shared" ca="1" si="38"/>
        <v>10</v>
      </c>
      <c r="P269" s="1">
        <v>65.606974557158537</v>
      </c>
      <c r="Q269" s="1">
        <f t="shared" ca="1" si="39"/>
        <v>24</v>
      </c>
      <c r="R269" s="1">
        <v>13.379830104677239</v>
      </c>
    </row>
    <row r="270" spans="1:18" x14ac:dyDescent="0.3">
      <c r="A270" s="26">
        <v>269</v>
      </c>
      <c r="B270" s="1">
        <v>23</v>
      </c>
      <c r="C270" s="1">
        <f t="shared" si="35"/>
        <v>13</v>
      </c>
      <c r="D270" s="21">
        <f t="shared" ca="1" si="34"/>
        <v>44677</v>
      </c>
      <c r="E270" s="1" t="s">
        <v>26</v>
      </c>
      <c r="F270" s="1" t="s">
        <v>298</v>
      </c>
      <c r="G270" s="1" t="s">
        <v>28</v>
      </c>
      <c r="H270" s="1">
        <v>368</v>
      </c>
      <c r="I270" s="1">
        <f t="shared" si="36"/>
        <v>50</v>
      </c>
      <c r="J270" s="1">
        <f>VLOOKUP(B270,Cena!$A$2:$B$101,2)</f>
        <v>132</v>
      </c>
      <c r="K270" s="1">
        <f t="shared" si="32"/>
        <v>6600</v>
      </c>
      <c r="L270" s="1">
        <f t="shared" si="37"/>
        <v>1518</v>
      </c>
      <c r="M270" s="22">
        <f t="shared" si="33"/>
        <v>8118</v>
      </c>
      <c r="N270" s="1">
        <f t="shared" ca="1" si="38"/>
        <v>4</v>
      </c>
      <c r="P270" s="1">
        <v>50.77454842539737</v>
      </c>
      <c r="Q270" s="1">
        <f t="shared" ca="1" si="39"/>
        <v>4</v>
      </c>
      <c r="R270" s="1">
        <v>13.885668320435798</v>
      </c>
    </row>
    <row r="271" spans="1:18" x14ac:dyDescent="0.3">
      <c r="A271" s="26">
        <v>270</v>
      </c>
      <c r="B271" s="1">
        <v>25</v>
      </c>
      <c r="C271" s="1">
        <f t="shared" si="35"/>
        <v>9</v>
      </c>
      <c r="D271" s="21">
        <f t="shared" ca="1" si="34"/>
        <v>44642</v>
      </c>
      <c r="E271" s="1" t="s">
        <v>26</v>
      </c>
      <c r="F271" s="1" t="s">
        <v>299</v>
      </c>
      <c r="G271" s="1" t="s">
        <v>28</v>
      </c>
      <c r="H271" s="1">
        <v>369</v>
      </c>
      <c r="I271" s="1">
        <f t="shared" si="36"/>
        <v>54</v>
      </c>
      <c r="J271" s="1">
        <f>VLOOKUP(B271,Cena!$A$2:$B$101,2)</f>
        <v>108</v>
      </c>
      <c r="K271" s="1">
        <f t="shared" si="32"/>
        <v>5832</v>
      </c>
      <c r="L271" s="1">
        <f t="shared" si="37"/>
        <v>1341.3600000000001</v>
      </c>
      <c r="M271" s="22">
        <f t="shared" si="33"/>
        <v>7173.3600000000006</v>
      </c>
      <c r="N271" s="1">
        <f t="shared" ca="1" si="38"/>
        <v>3</v>
      </c>
      <c r="P271" s="1">
        <v>54.03383637603838</v>
      </c>
      <c r="Q271" s="1">
        <f t="shared" ca="1" si="39"/>
        <v>15</v>
      </c>
      <c r="R271" s="1">
        <v>9.1223603501566686</v>
      </c>
    </row>
    <row r="272" spans="1:18" x14ac:dyDescent="0.3">
      <c r="A272" s="26">
        <v>271</v>
      </c>
      <c r="B272" s="1">
        <v>10</v>
      </c>
      <c r="C272" s="1">
        <f t="shared" si="35"/>
        <v>10</v>
      </c>
      <c r="D272" s="21">
        <f t="shared" ca="1" si="34"/>
        <v>44806</v>
      </c>
      <c r="E272" s="1" t="s">
        <v>26</v>
      </c>
      <c r="F272" s="1" t="s">
        <v>300</v>
      </c>
      <c r="G272" s="1" t="s">
        <v>28</v>
      </c>
      <c r="H272" s="1">
        <v>370</v>
      </c>
      <c r="I272" s="1">
        <f t="shared" si="36"/>
        <v>39</v>
      </c>
      <c r="J272" s="1">
        <f>VLOOKUP(B272,Cena!$A$2:$B$101,2)</f>
        <v>109</v>
      </c>
      <c r="K272" s="1">
        <f t="shared" si="32"/>
        <v>4251</v>
      </c>
      <c r="L272" s="1">
        <f t="shared" si="37"/>
        <v>977.73</v>
      </c>
      <c r="M272" s="22">
        <f t="shared" si="33"/>
        <v>5228.7299999999996</v>
      </c>
      <c r="N272" s="1">
        <f t="shared" ca="1" si="38"/>
        <v>9</v>
      </c>
      <c r="P272" s="1">
        <v>39.980233294772916</v>
      </c>
      <c r="Q272" s="1">
        <f t="shared" ca="1" si="39"/>
        <v>10</v>
      </c>
      <c r="R272" s="1">
        <v>10.244705233853892</v>
      </c>
    </row>
    <row r="273" spans="1:18" x14ac:dyDescent="0.3">
      <c r="A273" s="26">
        <v>272</v>
      </c>
      <c r="B273" s="1">
        <v>25</v>
      </c>
      <c r="C273" s="1">
        <f t="shared" si="35"/>
        <v>8</v>
      </c>
      <c r="D273" s="21">
        <f t="shared" ca="1" si="34"/>
        <v>44861</v>
      </c>
      <c r="E273" s="1" t="s">
        <v>26</v>
      </c>
      <c r="F273" s="1" t="s">
        <v>301</v>
      </c>
      <c r="G273" s="1" t="s">
        <v>28</v>
      </c>
      <c r="H273" s="1">
        <v>371</v>
      </c>
      <c r="I273" s="1">
        <f t="shared" si="36"/>
        <v>58</v>
      </c>
      <c r="J273" s="1">
        <f>VLOOKUP(B273,Cena!$A$2:$B$101,2)</f>
        <v>108</v>
      </c>
      <c r="K273" s="1">
        <f t="shared" si="32"/>
        <v>6264</v>
      </c>
      <c r="L273" s="1">
        <f t="shared" si="37"/>
        <v>1440.72</v>
      </c>
      <c r="M273" s="22">
        <f t="shared" si="33"/>
        <v>7704.72</v>
      </c>
      <c r="N273" s="1">
        <f t="shared" ca="1" si="38"/>
        <v>10</v>
      </c>
      <c r="P273" s="1">
        <v>58.89849616214633</v>
      </c>
      <c r="Q273" s="1">
        <f t="shared" ca="1" si="39"/>
        <v>27</v>
      </c>
      <c r="R273" s="1">
        <v>8.5211388775496744</v>
      </c>
    </row>
    <row r="274" spans="1:18" x14ac:dyDescent="0.3">
      <c r="A274" s="26">
        <v>273</v>
      </c>
      <c r="B274" s="1">
        <v>24</v>
      </c>
      <c r="C274" s="1">
        <f t="shared" si="35"/>
        <v>14</v>
      </c>
      <c r="D274" s="21">
        <f t="shared" ca="1" si="34"/>
        <v>44824</v>
      </c>
      <c r="E274" s="1" t="s">
        <v>26</v>
      </c>
      <c r="F274" s="1" t="s">
        <v>302</v>
      </c>
      <c r="G274" s="1" t="s">
        <v>28</v>
      </c>
      <c r="H274" s="1">
        <v>372</v>
      </c>
      <c r="I274" s="1">
        <f t="shared" si="36"/>
        <v>49</v>
      </c>
      <c r="J274" s="1">
        <f>VLOOKUP(B274,Cena!$A$2:$B$101,2)</f>
        <v>125</v>
      </c>
      <c r="K274" s="1">
        <f t="shared" si="32"/>
        <v>6125</v>
      </c>
      <c r="L274" s="1">
        <f t="shared" si="37"/>
        <v>1408.75</v>
      </c>
      <c r="M274" s="22">
        <f t="shared" si="33"/>
        <v>7533.75</v>
      </c>
      <c r="N274" s="1">
        <f t="shared" ca="1" si="38"/>
        <v>9</v>
      </c>
      <c r="P274" s="1">
        <v>49.502176706300816</v>
      </c>
      <c r="Q274" s="1">
        <f t="shared" ca="1" si="39"/>
        <v>6</v>
      </c>
      <c r="R274" s="1">
        <v>14.358832939033164</v>
      </c>
    </row>
    <row r="275" spans="1:18" x14ac:dyDescent="0.3">
      <c r="A275" s="26">
        <v>274</v>
      </c>
      <c r="B275" s="1">
        <v>12</v>
      </c>
      <c r="C275" s="1">
        <f t="shared" si="35"/>
        <v>10</v>
      </c>
      <c r="D275" s="21">
        <f t="shared" ca="1" si="34"/>
        <v>44656</v>
      </c>
      <c r="E275" s="1" t="s">
        <v>26</v>
      </c>
      <c r="F275" s="1" t="s">
        <v>303</v>
      </c>
      <c r="G275" s="1" t="s">
        <v>28</v>
      </c>
      <c r="H275" s="1">
        <v>373</v>
      </c>
      <c r="I275" s="1">
        <f t="shared" si="36"/>
        <v>56</v>
      </c>
      <c r="J275" s="1">
        <f>VLOOKUP(B275,Cena!$A$2:$B$101,2)</f>
        <v>88</v>
      </c>
      <c r="K275" s="1">
        <f t="shared" si="32"/>
        <v>4928</v>
      </c>
      <c r="L275" s="1">
        <f t="shared" si="37"/>
        <v>1133.44</v>
      </c>
      <c r="M275" s="22">
        <f t="shared" si="33"/>
        <v>6061.4400000000005</v>
      </c>
      <c r="N275" s="1">
        <f t="shared" ca="1" si="38"/>
        <v>4</v>
      </c>
      <c r="P275" s="1">
        <v>56.769641913706437</v>
      </c>
      <c r="Q275" s="1">
        <f t="shared" ca="1" si="39"/>
        <v>21</v>
      </c>
      <c r="R275" s="1">
        <v>10.846179659674817</v>
      </c>
    </row>
    <row r="276" spans="1:18" x14ac:dyDescent="0.3">
      <c r="A276" s="26">
        <v>275</v>
      </c>
      <c r="B276" s="1">
        <v>10</v>
      </c>
      <c r="C276" s="1">
        <f t="shared" si="35"/>
        <v>11</v>
      </c>
      <c r="D276" s="21">
        <f t="shared" ca="1" si="34"/>
        <v>44694</v>
      </c>
      <c r="E276" s="1" t="s">
        <v>26</v>
      </c>
      <c r="F276" s="1" t="s">
        <v>304</v>
      </c>
      <c r="G276" s="1" t="s">
        <v>28</v>
      </c>
      <c r="H276" s="1">
        <v>374</v>
      </c>
      <c r="I276" s="1">
        <f t="shared" si="36"/>
        <v>38</v>
      </c>
      <c r="J276" s="1">
        <f>VLOOKUP(B276,Cena!$A$2:$B$101,2)</f>
        <v>109</v>
      </c>
      <c r="K276" s="1">
        <f t="shared" si="32"/>
        <v>4142</v>
      </c>
      <c r="L276" s="1">
        <f t="shared" si="37"/>
        <v>952.66000000000008</v>
      </c>
      <c r="M276" s="22">
        <f t="shared" si="33"/>
        <v>5094.66</v>
      </c>
      <c r="N276" s="1">
        <f t="shared" ca="1" si="38"/>
        <v>5</v>
      </c>
      <c r="P276" s="1">
        <v>38.365243552834727</v>
      </c>
      <c r="Q276" s="1">
        <f t="shared" ca="1" si="39"/>
        <v>9</v>
      </c>
      <c r="R276" s="1">
        <v>11.487757117502042</v>
      </c>
    </row>
    <row r="277" spans="1:18" x14ac:dyDescent="0.3">
      <c r="A277" s="26">
        <v>276</v>
      </c>
      <c r="B277" s="1">
        <v>19</v>
      </c>
      <c r="C277" s="1">
        <f t="shared" si="35"/>
        <v>12</v>
      </c>
      <c r="D277" s="21">
        <f t="shared" ca="1" si="34"/>
        <v>44572</v>
      </c>
      <c r="E277" s="1" t="s">
        <v>26</v>
      </c>
      <c r="F277" s="1" t="s">
        <v>305</v>
      </c>
      <c r="G277" s="1" t="s">
        <v>28</v>
      </c>
      <c r="H277" s="1">
        <v>375</v>
      </c>
      <c r="I277" s="1">
        <f t="shared" si="36"/>
        <v>68</v>
      </c>
      <c r="J277" s="1">
        <f>VLOOKUP(B277,Cena!$A$2:$B$101,2)</f>
        <v>84</v>
      </c>
      <c r="K277" s="1">
        <f t="shared" si="32"/>
        <v>5712</v>
      </c>
      <c r="L277" s="1">
        <f t="shared" si="37"/>
        <v>1313.76</v>
      </c>
      <c r="M277" s="22">
        <f t="shared" si="33"/>
        <v>7025.76</v>
      </c>
      <c r="N277" s="1">
        <f t="shared" ca="1" si="38"/>
        <v>1</v>
      </c>
      <c r="P277" s="1">
        <v>68.075206753564999</v>
      </c>
      <c r="Q277" s="1">
        <f t="shared" ca="1" si="39"/>
        <v>22</v>
      </c>
      <c r="R277" s="1">
        <v>12.133742782461923</v>
      </c>
    </row>
    <row r="278" spans="1:18" x14ac:dyDescent="0.3">
      <c r="A278" s="26">
        <v>277</v>
      </c>
      <c r="B278" s="1">
        <v>24</v>
      </c>
      <c r="C278" s="1">
        <f t="shared" si="35"/>
        <v>13</v>
      </c>
      <c r="D278" s="21">
        <f t="shared" ca="1" si="34"/>
        <v>44795</v>
      </c>
      <c r="E278" s="1" t="s">
        <v>26</v>
      </c>
      <c r="F278" s="1" t="s">
        <v>306</v>
      </c>
      <c r="G278" s="1" t="s">
        <v>28</v>
      </c>
      <c r="H278" s="1">
        <v>376</v>
      </c>
      <c r="I278" s="1">
        <f t="shared" si="36"/>
        <v>51</v>
      </c>
      <c r="J278" s="1">
        <f>VLOOKUP(B278,Cena!$A$2:$B$101,2)</f>
        <v>125</v>
      </c>
      <c r="K278" s="1">
        <f t="shared" si="32"/>
        <v>6375</v>
      </c>
      <c r="L278" s="1">
        <f t="shared" si="37"/>
        <v>1466.25</v>
      </c>
      <c r="M278" s="22">
        <f t="shared" si="33"/>
        <v>7841.25</v>
      </c>
      <c r="N278" s="1">
        <f t="shared" ca="1" si="38"/>
        <v>8</v>
      </c>
      <c r="P278" s="1">
        <v>51.124976733990479</v>
      </c>
      <c r="Q278" s="1">
        <f t="shared" ca="1" si="39"/>
        <v>27</v>
      </c>
      <c r="R278" s="1">
        <v>13.943000592698809</v>
      </c>
    </row>
    <row r="279" spans="1:18" x14ac:dyDescent="0.3">
      <c r="A279" s="26">
        <v>278</v>
      </c>
      <c r="B279" s="1">
        <v>1</v>
      </c>
      <c r="C279" s="1">
        <f t="shared" si="35"/>
        <v>10</v>
      </c>
      <c r="D279" s="21">
        <f t="shared" ca="1" si="34"/>
        <v>44612</v>
      </c>
      <c r="E279" s="1" t="s">
        <v>26</v>
      </c>
      <c r="F279" s="1" t="s">
        <v>307</v>
      </c>
      <c r="G279" s="1" t="s">
        <v>28</v>
      </c>
      <c r="H279" s="1">
        <v>377</v>
      </c>
      <c r="I279" s="1">
        <f t="shared" si="36"/>
        <v>33</v>
      </c>
      <c r="J279" s="1">
        <f>VLOOKUP(B279,Cena!$A$2:$B$101,2)</f>
        <v>84</v>
      </c>
      <c r="K279" s="1">
        <f t="shared" si="32"/>
        <v>2772</v>
      </c>
      <c r="L279" s="1">
        <f t="shared" si="37"/>
        <v>637.56000000000006</v>
      </c>
      <c r="M279" s="22">
        <f t="shared" si="33"/>
        <v>3409.56</v>
      </c>
      <c r="N279" s="1">
        <f t="shared" ca="1" si="38"/>
        <v>2</v>
      </c>
      <c r="P279" s="1">
        <v>33.436919137602672</v>
      </c>
      <c r="Q279" s="1">
        <f t="shared" ca="1" si="39"/>
        <v>1</v>
      </c>
      <c r="R279" s="1">
        <v>10.485647433379199</v>
      </c>
    </row>
    <row r="280" spans="1:18" x14ac:dyDescent="0.3">
      <c r="A280" s="26">
        <v>279</v>
      </c>
      <c r="B280" s="1">
        <v>17</v>
      </c>
      <c r="C280" s="1">
        <f t="shared" si="35"/>
        <v>9</v>
      </c>
      <c r="D280" s="21">
        <f t="shared" ca="1" si="34"/>
        <v>44817</v>
      </c>
      <c r="E280" s="1" t="s">
        <v>26</v>
      </c>
      <c r="F280" s="1" t="s">
        <v>308</v>
      </c>
      <c r="G280" s="1" t="s">
        <v>28</v>
      </c>
      <c r="H280" s="1">
        <v>378</v>
      </c>
      <c r="I280" s="1">
        <f t="shared" si="36"/>
        <v>52</v>
      </c>
      <c r="J280" s="1">
        <f>VLOOKUP(B280,Cena!$A$2:$B$101,2)</f>
        <v>84</v>
      </c>
      <c r="K280" s="1">
        <f t="shared" si="32"/>
        <v>4368</v>
      </c>
      <c r="L280" s="1">
        <f t="shared" si="37"/>
        <v>1004.6400000000001</v>
      </c>
      <c r="M280" s="22">
        <f t="shared" si="33"/>
        <v>5372.64</v>
      </c>
      <c r="N280" s="1">
        <f t="shared" ca="1" si="38"/>
        <v>9</v>
      </c>
      <c r="P280" s="1">
        <v>52.678143573575653</v>
      </c>
      <c r="Q280" s="1">
        <f t="shared" ca="1" si="39"/>
        <v>8</v>
      </c>
      <c r="R280" s="1">
        <v>9.7961936060164589</v>
      </c>
    </row>
    <row r="281" spans="1:18" x14ac:dyDescent="0.3">
      <c r="A281" s="26">
        <v>280</v>
      </c>
      <c r="B281" s="1">
        <v>18</v>
      </c>
      <c r="C281" s="1">
        <f t="shared" si="35"/>
        <v>6</v>
      </c>
      <c r="D281" s="21">
        <f t="shared" ca="1" si="34"/>
        <v>44827</v>
      </c>
      <c r="E281" s="1" t="s">
        <v>26</v>
      </c>
      <c r="F281" s="1" t="s">
        <v>309</v>
      </c>
      <c r="G281" s="1" t="s">
        <v>28</v>
      </c>
      <c r="H281" s="1">
        <v>379</v>
      </c>
      <c r="I281" s="1">
        <f t="shared" si="36"/>
        <v>59</v>
      </c>
      <c r="J281" s="1">
        <f>VLOOKUP(B281,Cena!$A$2:$B$101,2)</f>
        <v>90</v>
      </c>
      <c r="K281" s="1">
        <f t="shared" si="32"/>
        <v>5310</v>
      </c>
      <c r="L281" s="1">
        <f t="shared" si="37"/>
        <v>1221.3</v>
      </c>
      <c r="M281" s="22">
        <f t="shared" si="33"/>
        <v>6531.3</v>
      </c>
      <c r="N281" s="1">
        <f t="shared" ca="1" si="38"/>
        <v>9</v>
      </c>
      <c r="P281" s="1">
        <v>59.227233022102155</v>
      </c>
      <c r="Q281" s="1">
        <f t="shared" ca="1" si="39"/>
        <v>23</v>
      </c>
      <c r="R281" s="1">
        <v>6.1721641739131883</v>
      </c>
    </row>
    <row r="282" spans="1:18" x14ac:dyDescent="0.3">
      <c r="A282" s="26">
        <v>281</v>
      </c>
      <c r="B282" s="1">
        <v>27</v>
      </c>
      <c r="C282" s="1">
        <f t="shared" si="35"/>
        <v>5</v>
      </c>
      <c r="D282" s="21">
        <f t="shared" ca="1" si="34"/>
        <v>44751</v>
      </c>
      <c r="E282" s="1" t="s">
        <v>26</v>
      </c>
      <c r="F282" s="1" t="s">
        <v>310</v>
      </c>
      <c r="G282" s="1" t="s">
        <v>28</v>
      </c>
      <c r="H282" s="1">
        <v>380</v>
      </c>
      <c r="I282" s="1">
        <f t="shared" si="36"/>
        <v>56</v>
      </c>
      <c r="J282" s="1">
        <f>VLOOKUP(B282,Cena!$A$2:$B$101,2)</f>
        <v>87</v>
      </c>
      <c r="K282" s="1">
        <f t="shared" si="32"/>
        <v>4872</v>
      </c>
      <c r="L282" s="1">
        <f t="shared" si="37"/>
        <v>1120.56</v>
      </c>
      <c r="M282" s="22">
        <f t="shared" si="33"/>
        <v>5992.5599999999995</v>
      </c>
      <c r="N282" s="1">
        <f t="shared" ca="1" si="38"/>
        <v>7</v>
      </c>
      <c r="P282" s="1">
        <v>56.235632099560462</v>
      </c>
      <c r="Q282" s="1">
        <f t="shared" ca="1" si="39"/>
        <v>9</v>
      </c>
      <c r="R282" s="1">
        <v>5.3806309349602088</v>
      </c>
    </row>
    <row r="283" spans="1:18" x14ac:dyDescent="0.3">
      <c r="A283" s="26">
        <v>282</v>
      </c>
      <c r="B283" s="1">
        <v>19</v>
      </c>
      <c r="C283" s="1">
        <f t="shared" si="35"/>
        <v>11</v>
      </c>
      <c r="D283" s="21">
        <f t="shared" ca="1" si="34"/>
        <v>44917</v>
      </c>
      <c r="E283" s="1" t="s">
        <v>26</v>
      </c>
      <c r="F283" s="1" t="s">
        <v>311</v>
      </c>
      <c r="G283" s="1" t="s">
        <v>28</v>
      </c>
      <c r="H283" s="1">
        <v>381</v>
      </c>
      <c r="I283" s="1">
        <f t="shared" si="36"/>
        <v>39</v>
      </c>
      <c r="J283" s="1">
        <f>VLOOKUP(B283,Cena!$A$2:$B$101,2)</f>
        <v>84</v>
      </c>
      <c r="K283" s="1">
        <f t="shared" si="32"/>
        <v>3276</v>
      </c>
      <c r="L283" s="1">
        <f t="shared" si="37"/>
        <v>753.48</v>
      </c>
      <c r="M283" s="22">
        <f t="shared" si="33"/>
        <v>4029.48</v>
      </c>
      <c r="N283" s="1">
        <f t="shared" ca="1" si="38"/>
        <v>12</v>
      </c>
      <c r="P283" s="1">
        <v>39.8913756624097</v>
      </c>
      <c r="Q283" s="1">
        <f t="shared" ca="1" si="39"/>
        <v>18</v>
      </c>
      <c r="R283" s="1">
        <v>11.230500856763683</v>
      </c>
    </row>
    <row r="284" spans="1:18" x14ac:dyDescent="0.3">
      <c r="A284" s="26">
        <v>283</v>
      </c>
      <c r="B284" s="1">
        <v>6</v>
      </c>
      <c r="C284" s="1">
        <f t="shared" si="35"/>
        <v>5</v>
      </c>
      <c r="D284" s="21">
        <f t="shared" ca="1" si="34"/>
        <v>44613</v>
      </c>
      <c r="E284" s="1" t="s">
        <v>26</v>
      </c>
      <c r="F284" s="1" t="s">
        <v>312</v>
      </c>
      <c r="G284" s="1" t="s">
        <v>28</v>
      </c>
      <c r="H284" s="1">
        <v>382</v>
      </c>
      <c r="I284" s="1">
        <f t="shared" si="36"/>
        <v>47</v>
      </c>
      <c r="J284" s="1">
        <f>VLOOKUP(B284,Cena!$A$2:$B$101,2)</f>
        <v>86</v>
      </c>
      <c r="K284" s="1">
        <f t="shared" si="32"/>
        <v>4042</v>
      </c>
      <c r="L284" s="1">
        <f t="shared" si="37"/>
        <v>929.66000000000008</v>
      </c>
      <c r="M284" s="22">
        <f t="shared" si="33"/>
        <v>4971.66</v>
      </c>
      <c r="N284" s="1">
        <f t="shared" ca="1" si="38"/>
        <v>2</v>
      </c>
      <c r="P284" s="1">
        <v>47.42479985798127</v>
      </c>
      <c r="Q284" s="1">
        <f t="shared" ca="1" si="39"/>
        <v>26</v>
      </c>
      <c r="R284" s="1">
        <v>5.3268570607178845</v>
      </c>
    </row>
    <row r="285" spans="1:18" x14ac:dyDescent="0.3">
      <c r="A285" s="26">
        <v>284</v>
      </c>
      <c r="B285" s="1">
        <v>10</v>
      </c>
      <c r="C285" s="1">
        <f t="shared" si="35"/>
        <v>10</v>
      </c>
      <c r="D285" s="21">
        <f t="shared" ca="1" si="34"/>
        <v>44750</v>
      </c>
      <c r="E285" s="1" t="s">
        <v>26</v>
      </c>
      <c r="F285" s="1" t="s">
        <v>313</v>
      </c>
      <c r="G285" s="1" t="s">
        <v>28</v>
      </c>
      <c r="H285" s="1">
        <v>383</v>
      </c>
      <c r="I285" s="1">
        <f t="shared" si="36"/>
        <v>55</v>
      </c>
      <c r="J285" s="1">
        <f>VLOOKUP(B285,Cena!$A$2:$B$101,2)</f>
        <v>109</v>
      </c>
      <c r="K285" s="1">
        <f t="shared" si="32"/>
        <v>5995</v>
      </c>
      <c r="L285" s="1">
        <f t="shared" si="37"/>
        <v>1378.8500000000001</v>
      </c>
      <c r="M285" s="22">
        <f t="shared" si="33"/>
        <v>7373.85</v>
      </c>
      <c r="N285" s="1">
        <f t="shared" ca="1" si="38"/>
        <v>7</v>
      </c>
      <c r="P285" s="1">
        <v>55.123342816659715</v>
      </c>
      <c r="Q285" s="1">
        <f t="shared" ca="1" si="39"/>
        <v>9</v>
      </c>
      <c r="R285" s="1">
        <v>10.34369804779999</v>
      </c>
    </row>
    <row r="286" spans="1:18" x14ac:dyDescent="0.3">
      <c r="A286" s="26">
        <v>285</v>
      </c>
      <c r="B286" s="1">
        <v>10</v>
      </c>
      <c r="C286" s="1">
        <f t="shared" si="35"/>
        <v>9</v>
      </c>
      <c r="D286" s="21">
        <f t="shared" ca="1" si="34"/>
        <v>44891</v>
      </c>
      <c r="E286" s="1" t="s">
        <v>26</v>
      </c>
      <c r="F286" s="1" t="s">
        <v>314</v>
      </c>
      <c r="G286" s="1" t="s">
        <v>28</v>
      </c>
      <c r="H286" s="1">
        <v>384</v>
      </c>
      <c r="I286" s="1">
        <f t="shared" si="36"/>
        <v>51</v>
      </c>
      <c r="J286" s="1">
        <f>VLOOKUP(B286,Cena!$A$2:$B$101,2)</f>
        <v>109</v>
      </c>
      <c r="K286" s="1">
        <f t="shared" si="32"/>
        <v>5559</v>
      </c>
      <c r="L286" s="1">
        <f t="shared" si="37"/>
        <v>1278.5700000000002</v>
      </c>
      <c r="M286" s="22">
        <f t="shared" si="33"/>
        <v>6837.57</v>
      </c>
      <c r="N286" s="1">
        <f t="shared" ca="1" si="38"/>
        <v>11</v>
      </c>
      <c r="P286" s="1">
        <v>51.704574970062822</v>
      </c>
      <c r="Q286" s="1">
        <f t="shared" ca="1" si="39"/>
        <v>26</v>
      </c>
      <c r="R286" s="1">
        <v>9.2428172390646068</v>
      </c>
    </row>
    <row r="287" spans="1:18" x14ac:dyDescent="0.3">
      <c r="A287" s="26">
        <v>286</v>
      </c>
      <c r="B287" s="1">
        <v>23</v>
      </c>
      <c r="C287" s="1">
        <f t="shared" si="35"/>
        <v>6</v>
      </c>
      <c r="D287" s="21">
        <f t="shared" ca="1" si="34"/>
        <v>44571</v>
      </c>
      <c r="E287" s="1" t="s">
        <v>26</v>
      </c>
      <c r="F287" s="1" t="s">
        <v>315</v>
      </c>
      <c r="G287" s="1" t="s">
        <v>28</v>
      </c>
      <c r="H287" s="1">
        <v>385</v>
      </c>
      <c r="I287" s="1">
        <f t="shared" si="36"/>
        <v>53</v>
      </c>
      <c r="J287" s="1">
        <f>VLOOKUP(B287,Cena!$A$2:$B$101,2)</f>
        <v>132</v>
      </c>
      <c r="K287" s="1">
        <f t="shared" ref="K287:K350" si="40">I287*J287</f>
        <v>6996</v>
      </c>
      <c r="L287" s="1">
        <f t="shared" si="37"/>
        <v>1609.0800000000002</v>
      </c>
      <c r="M287" s="22">
        <f t="shared" ref="M287:M350" si="41">K287+L287</f>
        <v>8605.08</v>
      </c>
      <c r="N287" s="1">
        <f t="shared" ca="1" si="38"/>
        <v>1</v>
      </c>
      <c r="P287" s="1">
        <v>53.789386937569361</v>
      </c>
      <c r="Q287" s="1">
        <f t="shared" ca="1" si="39"/>
        <v>5</v>
      </c>
      <c r="R287" s="1">
        <v>6.1838511808309704</v>
      </c>
    </row>
    <row r="288" spans="1:18" x14ac:dyDescent="0.3">
      <c r="A288" s="26">
        <v>287</v>
      </c>
      <c r="B288" s="1">
        <v>10</v>
      </c>
      <c r="C288" s="1">
        <f t="shared" si="35"/>
        <v>14</v>
      </c>
      <c r="D288" s="21">
        <f t="shared" ca="1" si="34"/>
        <v>44770</v>
      </c>
      <c r="E288" s="1" t="s">
        <v>26</v>
      </c>
      <c r="F288" s="1" t="s">
        <v>316</v>
      </c>
      <c r="G288" s="1" t="s">
        <v>28</v>
      </c>
      <c r="H288" s="1">
        <v>386</v>
      </c>
      <c r="I288" s="1">
        <f t="shared" si="36"/>
        <v>60</v>
      </c>
      <c r="J288" s="1">
        <f>VLOOKUP(B288,Cena!$A$2:$B$101,2)</f>
        <v>109</v>
      </c>
      <c r="K288" s="1">
        <f t="shared" si="40"/>
        <v>6540</v>
      </c>
      <c r="L288" s="1">
        <f t="shared" si="37"/>
        <v>1504.2</v>
      </c>
      <c r="M288" s="22">
        <f t="shared" si="41"/>
        <v>8044.2</v>
      </c>
      <c r="N288" s="1">
        <f t="shared" ca="1" si="38"/>
        <v>7</v>
      </c>
      <c r="P288" s="1">
        <v>60.69736299541546</v>
      </c>
      <c r="Q288" s="1">
        <f t="shared" ca="1" si="39"/>
        <v>5</v>
      </c>
      <c r="R288" s="1">
        <v>14.588105184666347</v>
      </c>
    </row>
    <row r="289" spans="1:18" x14ac:dyDescent="0.3">
      <c r="A289" s="26">
        <v>288</v>
      </c>
      <c r="B289" s="1">
        <v>27</v>
      </c>
      <c r="C289" s="1">
        <f t="shared" si="35"/>
        <v>10</v>
      </c>
      <c r="D289" s="21">
        <f t="shared" ca="1" si="34"/>
        <v>44792</v>
      </c>
      <c r="E289" s="1" t="s">
        <v>26</v>
      </c>
      <c r="F289" s="1" t="s">
        <v>317</v>
      </c>
      <c r="G289" s="1" t="s">
        <v>28</v>
      </c>
      <c r="H289" s="1">
        <v>387</v>
      </c>
      <c r="I289" s="1">
        <f t="shared" si="36"/>
        <v>57</v>
      </c>
      <c r="J289" s="1">
        <f>VLOOKUP(B289,Cena!$A$2:$B$101,2)</f>
        <v>87</v>
      </c>
      <c r="K289" s="1">
        <f t="shared" si="40"/>
        <v>4959</v>
      </c>
      <c r="L289" s="1">
        <f t="shared" si="37"/>
        <v>1140.57</v>
      </c>
      <c r="M289" s="22">
        <f t="shared" si="41"/>
        <v>6099.57</v>
      </c>
      <c r="N289" s="1">
        <f t="shared" ca="1" si="38"/>
        <v>8</v>
      </c>
      <c r="P289" s="1">
        <v>57.332710083574057</v>
      </c>
      <c r="Q289" s="1">
        <f t="shared" ca="1" si="39"/>
        <v>17</v>
      </c>
      <c r="R289" s="1">
        <v>10.630168983661861</v>
      </c>
    </row>
    <row r="290" spans="1:18" x14ac:dyDescent="0.3">
      <c r="A290" s="26">
        <v>289</v>
      </c>
      <c r="B290" s="1">
        <v>8</v>
      </c>
      <c r="C290" s="1">
        <f t="shared" si="35"/>
        <v>10</v>
      </c>
      <c r="D290" s="21">
        <f t="shared" ca="1" si="34"/>
        <v>44599</v>
      </c>
      <c r="E290" s="1" t="s">
        <v>26</v>
      </c>
      <c r="F290" s="1" t="s">
        <v>318</v>
      </c>
      <c r="G290" s="1" t="s">
        <v>28</v>
      </c>
      <c r="H290" s="1">
        <v>388</v>
      </c>
      <c r="I290" s="1">
        <f t="shared" si="36"/>
        <v>43</v>
      </c>
      <c r="J290" s="1">
        <f>VLOOKUP(B290,Cena!$A$2:$B$101,2)</f>
        <v>88</v>
      </c>
      <c r="K290" s="1">
        <f t="shared" si="40"/>
        <v>3784</v>
      </c>
      <c r="L290" s="1">
        <f t="shared" si="37"/>
        <v>870.32</v>
      </c>
      <c r="M290" s="22">
        <f t="shared" si="41"/>
        <v>4654.32</v>
      </c>
      <c r="N290" s="1">
        <f t="shared" ca="1" si="38"/>
        <v>2</v>
      </c>
      <c r="P290" s="1">
        <v>43.060055203386582</v>
      </c>
      <c r="Q290" s="1">
        <f t="shared" ca="1" si="39"/>
        <v>21</v>
      </c>
      <c r="R290" s="1">
        <v>10.561695401302131</v>
      </c>
    </row>
    <row r="291" spans="1:18" x14ac:dyDescent="0.3">
      <c r="A291" s="26">
        <v>290</v>
      </c>
      <c r="B291" s="1">
        <v>3</v>
      </c>
      <c r="C291" s="1">
        <f t="shared" si="35"/>
        <v>11</v>
      </c>
      <c r="D291" s="21">
        <f t="shared" ca="1" si="34"/>
        <v>44892</v>
      </c>
      <c r="E291" s="1" t="s">
        <v>26</v>
      </c>
      <c r="F291" s="1" t="s">
        <v>319</v>
      </c>
      <c r="G291" s="1" t="s">
        <v>28</v>
      </c>
      <c r="H291" s="1">
        <v>389</v>
      </c>
      <c r="I291" s="1">
        <f t="shared" si="36"/>
        <v>41</v>
      </c>
      <c r="J291" s="1">
        <f>VLOOKUP(B291,Cena!$A$2:$B$101,2)</f>
        <v>89</v>
      </c>
      <c r="K291" s="1">
        <f t="shared" si="40"/>
        <v>3649</v>
      </c>
      <c r="L291" s="1">
        <f t="shared" si="37"/>
        <v>839.27</v>
      </c>
      <c r="M291" s="22">
        <f t="shared" si="41"/>
        <v>4488.2700000000004</v>
      </c>
      <c r="N291" s="1">
        <f t="shared" ca="1" si="38"/>
        <v>11</v>
      </c>
      <c r="P291" s="1">
        <v>41.785489328322001</v>
      </c>
      <c r="Q291" s="1">
        <f t="shared" ca="1" si="39"/>
        <v>1</v>
      </c>
      <c r="R291" s="1">
        <v>11.392928083987499</v>
      </c>
    </row>
    <row r="292" spans="1:18" x14ac:dyDescent="0.3">
      <c r="A292" s="26">
        <v>291</v>
      </c>
      <c r="B292" s="1">
        <v>15</v>
      </c>
      <c r="C292" s="1">
        <f t="shared" si="35"/>
        <v>8</v>
      </c>
      <c r="D292" s="21">
        <f t="shared" ca="1" si="34"/>
        <v>44862</v>
      </c>
      <c r="E292" s="1" t="s">
        <v>26</v>
      </c>
      <c r="F292" s="1" t="s">
        <v>320</v>
      </c>
      <c r="G292" s="1" t="s">
        <v>28</v>
      </c>
      <c r="H292" s="1">
        <v>390</v>
      </c>
      <c r="I292" s="1">
        <f t="shared" si="36"/>
        <v>53</v>
      </c>
      <c r="J292" s="1">
        <f>VLOOKUP(B292,Cena!$A$2:$B$101,2)</f>
        <v>85</v>
      </c>
      <c r="K292" s="1">
        <f t="shared" si="40"/>
        <v>4505</v>
      </c>
      <c r="L292" s="1">
        <f t="shared" si="37"/>
        <v>1036.1500000000001</v>
      </c>
      <c r="M292" s="22">
        <f t="shared" si="41"/>
        <v>5541.15</v>
      </c>
      <c r="N292" s="1">
        <f t="shared" ca="1" si="38"/>
        <v>10</v>
      </c>
      <c r="P292" s="1">
        <v>53.07762775264564</v>
      </c>
      <c r="Q292" s="1">
        <f t="shared" ca="1" si="39"/>
        <v>11</v>
      </c>
      <c r="R292" s="1">
        <v>8.7751095886778785</v>
      </c>
    </row>
    <row r="293" spans="1:18" x14ac:dyDescent="0.3">
      <c r="A293" s="26">
        <v>292</v>
      </c>
      <c r="B293" s="1">
        <v>12</v>
      </c>
      <c r="C293" s="1">
        <f t="shared" si="35"/>
        <v>9</v>
      </c>
      <c r="D293" s="21">
        <f t="shared" ca="1" si="34"/>
        <v>44753</v>
      </c>
      <c r="E293" s="1" t="s">
        <v>26</v>
      </c>
      <c r="F293" s="1" t="s">
        <v>321</v>
      </c>
      <c r="G293" s="1" t="s">
        <v>28</v>
      </c>
      <c r="H293" s="1">
        <v>391</v>
      </c>
      <c r="I293" s="1">
        <f t="shared" si="36"/>
        <v>51</v>
      </c>
      <c r="J293" s="1">
        <f>VLOOKUP(B293,Cena!$A$2:$B$101,2)</f>
        <v>88</v>
      </c>
      <c r="K293" s="1">
        <f t="shared" si="40"/>
        <v>4488</v>
      </c>
      <c r="L293" s="1">
        <f t="shared" si="37"/>
        <v>1032.24</v>
      </c>
      <c r="M293" s="22">
        <f t="shared" si="41"/>
        <v>5520.24</v>
      </c>
      <c r="N293" s="1">
        <f t="shared" ca="1" si="38"/>
        <v>7</v>
      </c>
      <c r="P293" s="1">
        <v>51.872479060693877</v>
      </c>
      <c r="Q293" s="1">
        <f t="shared" ca="1" si="39"/>
        <v>4</v>
      </c>
      <c r="R293" s="1">
        <v>9.2779805779719027</v>
      </c>
    </row>
    <row r="294" spans="1:18" x14ac:dyDescent="0.3">
      <c r="A294" s="26">
        <v>293</v>
      </c>
      <c r="B294" s="1">
        <v>30</v>
      </c>
      <c r="C294" s="1">
        <f t="shared" si="35"/>
        <v>11</v>
      </c>
      <c r="D294" s="21">
        <f t="shared" ca="1" si="34"/>
        <v>44661</v>
      </c>
      <c r="E294" s="1" t="s">
        <v>26</v>
      </c>
      <c r="F294" s="1" t="s">
        <v>322</v>
      </c>
      <c r="G294" s="1" t="s">
        <v>28</v>
      </c>
      <c r="H294" s="1">
        <v>392</v>
      </c>
      <c r="I294" s="1">
        <f t="shared" si="36"/>
        <v>45</v>
      </c>
      <c r="J294" s="1">
        <f>VLOOKUP(B294,Cena!$A$2:$B$101,2)</f>
        <v>87</v>
      </c>
      <c r="K294" s="1">
        <f t="shared" si="40"/>
        <v>3915</v>
      </c>
      <c r="L294" s="1">
        <f t="shared" si="37"/>
        <v>900.45</v>
      </c>
      <c r="M294" s="22">
        <f t="shared" si="41"/>
        <v>4815.45</v>
      </c>
      <c r="N294" s="1">
        <f t="shared" ca="1" si="38"/>
        <v>4</v>
      </c>
      <c r="P294" s="1">
        <v>45.160715116071515</v>
      </c>
      <c r="Q294" s="1">
        <f t="shared" ca="1" si="39"/>
        <v>9</v>
      </c>
      <c r="R294" s="1">
        <v>11.248236003448255</v>
      </c>
    </row>
    <row r="295" spans="1:18" x14ac:dyDescent="0.3">
      <c r="A295" s="26">
        <v>294</v>
      </c>
      <c r="B295" s="1">
        <v>10</v>
      </c>
      <c r="C295" s="1">
        <f t="shared" si="35"/>
        <v>8</v>
      </c>
      <c r="D295" s="21">
        <f t="shared" ca="1" si="34"/>
        <v>44626</v>
      </c>
      <c r="E295" s="1" t="s">
        <v>26</v>
      </c>
      <c r="F295" s="1" t="s">
        <v>323</v>
      </c>
      <c r="G295" s="1" t="s">
        <v>28</v>
      </c>
      <c r="H295" s="1">
        <v>393</v>
      </c>
      <c r="I295" s="1">
        <f t="shared" si="36"/>
        <v>41</v>
      </c>
      <c r="J295" s="1">
        <f>VLOOKUP(B295,Cena!$A$2:$B$101,2)</f>
        <v>109</v>
      </c>
      <c r="K295" s="1">
        <f t="shared" si="40"/>
        <v>4469</v>
      </c>
      <c r="L295" s="1">
        <f t="shared" si="37"/>
        <v>1027.8700000000001</v>
      </c>
      <c r="M295" s="22">
        <f t="shared" si="41"/>
        <v>5496.87</v>
      </c>
      <c r="N295" s="1">
        <f t="shared" ca="1" si="38"/>
        <v>3</v>
      </c>
      <c r="P295" s="1">
        <v>41.706977198191453</v>
      </c>
      <c r="Q295" s="1">
        <f t="shared" ca="1" si="39"/>
        <v>11</v>
      </c>
      <c r="R295" s="1">
        <v>8.0744746608252171</v>
      </c>
    </row>
    <row r="296" spans="1:18" x14ac:dyDescent="0.3">
      <c r="A296" s="26">
        <v>295</v>
      </c>
      <c r="B296" s="1">
        <v>7</v>
      </c>
      <c r="C296" s="1">
        <f t="shared" si="35"/>
        <v>11</v>
      </c>
      <c r="D296" s="21">
        <f t="shared" ca="1" si="34"/>
        <v>44576</v>
      </c>
      <c r="E296" s="1" t="s">
        <v>26</v>
      </c>
      <c r="F296" s="1" t="s">
        <v>324</v>
      </c>
      <c r="G296" s="1" t="s">
        <v>28</v>
      </c>
      <c r="H296" s="1">
        <v>394</v>
      </c>
      <c r="I296" s="1">
        <f t="shared" si="36"/>
        <v>70</v>
      </c>
      <c r="J296" s="1">
        <f>VLOOKUP(B296,Cena!$A$2:$B$101,2)</f>
        <v>104</v>
      </c>
      <c r="K296" s="1">
        <f t="shared" si="40"/>
        <v>7280</v>
      </c>
      <c r="L296" s="1">
        <f t="shared" si="37"/>
        <v>1674.4</v>
      </c>
      <c r="M296" s="22">
        <f t="shared" si="41"/>
        <v>8954.4</v>
      </c>
      <c r="N296" s="1">
        <f t="shared" ca="1" si="38"/>
        <v>1</v>
      </c>
      <c r="P296" s="1">
        <v>70.396691979840398</v>
      </c>
      <c r="Q296" s="1">
        <f t="shared" ca="1" si="39"/>
        <v>4</v>
      </c>
      <c r="R296" s="1">
        <v>11.458181486668764</v>
      </c>
    </row>
    <row r="297" spans="1:18" x14ac:dyDescent="0.3">
      <c r="A297" s="26">
        <v>296</v>
      </c>
      <c r="B297" s="1">
        <v>24</v>
      </c>
      <c r="C297" s="1">
        <f t="shared" si="35"/>
        <v>7</v>
      </c>
      <c r="D297" s="21">
        <f t="shared" ca="1" si="34"/>
        <v>44644</v>
      </c>
      <c r="E297" s="1" t="s">
        <v>26</v>
      </c>
      <c r="F297" s="1" t="s">
        <v>325</v>
      </c>
      <c r="G297" s="1" t="s">
        <v>28</v>
      </c>
      <c r="H297" s="1">
        <v>395</v>
      </c>
      <c r="I297" s="1">
        <f t="shared" si="36"/>
        <v>50</v>
      </c>
      <c r="J297" s="1">
        <f>VLOOKUP(B297,Cena!$A$2:$B$101,2)</f>
        <v>125</v>
      </c>
      <c r="K297" s="1">
        <f t="shared" si="40"/>
        <v>6250</v>
      </c>
      <c r="L297" s="1">
        <f t="shared" si="37"/>
        <v>1437.5</v>
      </c>
      <c r="M297" s="22">
        <f t="shared" si="41"/>
        <v>7687.5</v>
      </c>
      <c r="N297" s="1">
        <f t="shared" ca="1" si="38"/>
        <v>3</v>
      </c>
      <c r="P297" s="1">
        <v>50.208478923013899</v>
      </c>
      <c r="Q297" s="1">
        <f t="shared" ca="1" si="39"/>
        <v>10</v>
      </c>
      <c r="R297" s="1">
        <v>7.8958385327132419</v>
      </c>
    </row>
    <row r="298" spans="1:18" x14ac:dyDescent="0.3">
      <c r="A298" s="26">
        <v>297</v>
      </c>
      <c r="B298" s="1">
        <v>10</v>
      </c>
      <c r="C298" s="1">
        <f t="shared" si="35"/>
        <v>10</v>
      </c>
      <c r="D298" s="21">
        <f t="shared" ca="1" si="34"/>
        <v>44808</v>
      </c>
      <c r="E298" s="1" t="s">
        <v>26</v>
      </c>
      <c r="F298" s="1" t="s">
        <v>326</v>
      </c>
      <c r="G298" s="1" t="s">
        <v>28</v>
      </c>
      <c r="H298" s="1">
        <v>396</v>
      </c>
      <c r="I298" s="1">
        <f t="shared" si="36"/>
        <v>44</v>
      </c>
      <c r="J298" s="1">
        <f>VLOOKUP(B298,Cena!$A$2:$B$101,2)</f>
        <v>109</v>
      </c>
      <c r="K298" s="1">
        <f t="shared" si="40"/>
        <v>4796</v>
      </c>
      <c r="L298" s="1">
        <f t="shared" si="37"/>
        <v>1103.0800000000002</v>
      </c>
      <c r="M298" s="22">
        <f t="shared" si="41"/>
        <v>5899.08</v>
      </c>
      <c r="N298" s="1">
        <f t="shared" ca="1" si="38"/>
        <v>9</v>
      </c>
      <c r="P298" s="1">
        <v>44.488939591974486</v>
      </c>
      <c r="Q298" s="1">
        <f t="shared" ca="1" si="39"/>
        <v>27</v>
      </c>
      <c r="R298" s="1">
        <v>10.632934415989439</v>
      </c>
    </row>
    <row r="299" spans="1:18" x14ac:dyDescent="0.3">
      <c r="A299" s="26">
        <v>298</v>
      </c>
      <c r="B299" s="1">
        <v>7</v>
      </c>
      <c r="C299" s="1">
        <f t="shared" si="35"/>
        <v>6</v>
      </c>
      <c r="D299" s="21">
        <f t="shared" ca="1" si="34"/>
        <v>44563</v>
      </c>
      <c r="E299" s="1" t="s">
        <v>26</v>
      </c>
      <c r="F299" s="1" t="s">
        <v>327</v>
      </c>
      <c r="G299" s="1" t="s">
        <v>28</v>
      </c>
      <c r="H299" s="1">
        <v>397</v>
      </c>
      <c r="I299" s="1">
        <f t="shared" si="36"/>
        <v>50</v>
      </c>
      <c r="J299" s="1">
        <f>VLOOKUP(B299,Cena!$A$2:$B$101,2)</f>
        <v>104</v>
      </c>
      <c r="K299" s="1">
        <f t="shared" si="40"/>
        <v>5200</v>
      </c>
      <c r="L299" s="1">
        <f t="shared" si="37"/>
        <v>1196</v>
      </c>
      <c r="M299" s="22">
        <f t="shared" si="41"/>
        <v>6396</v>
      </c>
      <c r="N299" s="1">
        <f t="shared" ca="1" si="38"/>
        <v>1</v>
      </c>
      <c r="P299" s="1">
        <v>50.444981651526177</v>
      </c>
      <c r="Q299" s="1">
        <f t="shared" ca="1" si="39"/>
        <v>24</v>
      </c>
      <c r="R299" s="1">
        <v>6.0496893436356913</v>
      </c>
    </row>
    <row r="300" spans="1:18" x14ac:dyDescent="0.3">
      <c r="A300" s="26">
        <v>299</v>
      </c>
      <c r="B300" s="1">
        <v>4</v>
      </c>
      <c r="C300" s="1">
        <f t="shared" si="35"/>
        <v>11</v>
      </c>
      <c r="D300" s="21">
        <f t="shared" ca="1" si="34"/>
        <v>44639</v>
      </c>
      <c r="E300" s="1" t="s">
        <v>26</v>
      </c>
      <c r="F300" s="1" t="s">
        <v>328</v>
      </c>
      <c r="G300" s="1" t="s">
        <v>28</v>
      </c>
      <c r="H300" s="1">
        <v>398</v>
      </c>
      <c r="I300" s="1">
        <f t="shared" si="36"/>
        <v>51</v>
      </c>
      <c r="J300" s="1">
        <f>VLOOKUP(B300,Cena!$A$2:$B$101,2)</f>
        <v>99</v>
      </c>
      <c r="K300" s="1">
        <f t="shared" si="40"/>
        <v>5049</v>
      </c>
      <c r="L300" s="1">
        <f t="shared" si="37"/>
        <v>1161.27</v>
      </c>
      <c r="M300" s="22">
        <f t="shared" si="41"/>
        <v>6210.27</v>
      </c>
      <c r="N300" s="1">
        <f t="shared" ca="1" si="38"/>
        <v>3</v>
      </c>
      <c r="P300" s="1">
        <v>51.62777951118187</v>
      </c>
      <c r="Q300" s="1">
        <f t="shared" ca="1" si="39"/>
        <v>19</v>
      </c>
      <c r="R300" s="1">
        <v>11.23179688671371</v>
      </c>
    </row>
    <row r="301" spans="1:18" x14ac:dyDescent="0.3">
      <c r="A301" s="26">
        <v>300</v>
      </c>
      <c r="B301" s="1">
        <v>23</v>
      </c>
      <c r="C301" s="1">
        <f t="shared" si="35"/>
        <v>9</v>
      </c>
      <c r="D301" s="21">
        <f t="shared" ca="1" si="34"/>
        <v>44776</v>
      </c>
      <c r="E301" s="1" t="s">
        <v>26</v>
      </c>
      <c r="F301" s="1" t="s">
        <v>329</v>
      </c>
      <c r="G301" s="1" t="s">
        <v>28</v>
      </c>
      <c r="H301" s="1">
        <v>399</v>
      </c>
      <c r="I301" s="1">
        <f t="shared" si="36"/>
        <v>47</v>
      </c>
      <c r="J301" s="1">
        <f>VLOOKUP(B301,Cena!$A$2:$B$101,2)</f>
        <v>132</v>
      </c>
      <c r="K301" s="1">
        <f t="shared" si="40"/>
        <v>6204</v>
      </c>
      <c r="L301" s="1">
        <f t="shared" si="37"/>
        <v>1426.92</v>
      </c>
      <c r="M301" s="22">
        <f t="shared" si="41"/>
        <v>7630.92</v>
      </c>
      <c r="N301" s="1">
        <f t="shared" ca="1" si="38"/>
        <v>8</v>
      </c>
      <c r="P301" s="1">
        <v>47.167708443157608</v>
      </c>
      <c r="Q301" s="1">
        <f t="shared" ca="1" si="39"/>
        <v>17</v>
      </c>
      <c r="R301" s="1">
        <v>9.1127964449333376</v>
      </c>
    </row>
    <row r="302" spans="1:18" x14ac:dyDescent="0.3">
      <c r="A302" s="26">
        <v>301</v>
      </c>
      <c r="B302" s="1">
        <v>8</v>
      </c>
      <c r="C302" s="1">
        <f t="shared" si="35"/>
        <v>9</v>
      </c>
      <c r="D302" s="21">
        <f t="shared" ca="1" si="34"/>
        <v>44916</v>
      </c>
      <c r="E302" s="1" t="s">
        <v>26</v>
      </c>
      <c r="F302" s="1" t="s">
        <v>330</v>
      </c>
      <c r="G302" s="1" t="s">
        <v>28</v>
      </c>
      <c r="H302" s="1">
        <v>400</v>
      </c>
      <c r="I302" s="1">
        <f t="shared" si="36"/>
        <v>35</v>
      </c>
      <c r="J302" s="1">
        <f>VLOOKUP(B302,Cena!$A$2:$B$101,2)</f>
        <v>88</v>
      </c>
      <c r="K302" s="1">
        <f t="shared" si="40"/>
        <v>3080</v>
      </c>
      <c r="L302" s="1">
        <f t="shared" si="37"/>
        <v>708.4</v>
      </c>
      <c r="M302" s="22">
        <f t="shared" si="41"/>
        <v>3788.4</v>
      </c>
      <c r="N302" s="1">
        <f t="shared" ca="1" si="38"/>
        <v>12</v>
      </c>
      <c r="P302" s="1">
        <v>35.90324139513541</v>
      </c>
      <c r="Q302" s="1">
        <f t="shared" ca="1" si="39"/>
        <v>8</v>
      </c>
      <c r="R302" s="1">
        <v>9.4133673908436322</v>
      </c>
    </row>
    <row r="303" spans="1:18" x14ac:dyDescent="0.3">
      <c r="A303" s="26">
        <v>302</v>
      </c>
      <c r="B303" s="1">
        <v>8</v>
      </c>
      <c r="C303" s="1">
        <f t="shared" si="35"/>
        <v>8</v>
      </c>
      <c r="D303" s="21">
        <f t="shared" ca="1" si="34"/>
        <v>44830</v>
      </c>
      <c r="E303" s="1" t="s">
        <v>26</v>
      </c>
      <c r="F303" s="1" t="s">
        <v>331</v>
      </c>
      <c r="G303" s="1" t="s">
        <v>28</v>
      </c>
      <c r="H303" s="1">
        <v>401</v>
      </c>
      <c r="I303" s="1">
        <f t="shared" si="36"/>
        <v>60</v>
      </c>
      <c r="J303" s="1">
        <f>VLOOKUP(B303,Cena!$A$2:$B$101,2)</f>
        <v>88</v>
      </c>
      <c r="K303" s="1">
        <f t="shared" si="40"/>
        <v>5280</v>
      </c>
      <c r="L303" s="1">
        <f t="shared" si="37"/>
        <v>1214.4000000000001</v>
      </c>
      <c r="M303" s="22">
        <f t="shared" si="41"/>
        <v>6494.4</v>
      </c>
      <c r="N303" s="1">
        <f t="shared" ca="1" si="38"/>
        <v>9</v>
      </c>
      <c r="P303" s="1">
        <v>60.420853868708946</v>
      </c>
      <c r="Q303" s="1">
        <f t="shared" ca="1" si="39"/>
        <v>14</v>
      </c>
      <c r="R303" s="1">
        <v>8.532513245663722</v>
      </c>
    </row>
    <row r="304" spans="1:18" x14ac:dyDescent="0.3">
      <c r="A304" s="26">
        <v>303</v>
      </c>
      <c r="B304" s="1">
        <v>10</v>
      </c>
      <c r="C304" s="1">
        <f t="shared" si="35"/>
        <v>10</v>
      </c>
      <c r="D304" s="21">
        <f t="shared" ca="1" si="34"/>
        <v>44629</v>
      </c>
      <c r="E304" s="1" t="s">
        <v>26</v>
      </c>
      <c r="F304" s="1" t="s">
        <v>332</v>
      </c>
      <c r="G304" s="1" t="s">
        <v>28</v>
      </c>
      <c r="H304" s="1">
        <v>402</v>
      </c>
      <c r="I304" s="1">
        <f t="shared" si="36"/>
        <v>50</v>
      </c>
      <c r="J304" s="1">
        <f>VLOOKUP(B304,Cena!$A$2:$B$101,2)</f>
        <v>109</v>
      </c>
      <c r="K304" s="1">
        <f t="shared" si="40"/>
        <v>5450</v>
      </c>
      <c r="L304" s="1">
        <f t="shared" si="37"/>
        <v>1253.5</v>
      </c>
      <c r="M304" s="22">
        <f t="shared" si="41"/>
        <v>6703.5</v>
      </c>
      <c r="N304" s="1">
        <f t="shared" ca="1" si="38"/>
        <v>3</v>
      </c>
      <c r="P304" s="1">
        <v>50.182456005859422</v>
      </c>
      <c r="Q304" s="1">
        <f t="shared" ca="1" si="39"/>
        <v>3</v>
      </c>
      <c r="R304" s="1">
        <v>10.257969645645062</v>
      </c>
    </row>
    <row r="305" spans="1:18" x14ac:dyDescent="0.3">
      <c r="A305" s="26">
        <v>304</v>
      </c>
      <c r="B305" s="1">
        <v>5</v>
      </c>
      <c r="C305" s="1">
        <f t="shared" si="35"/>
        <v>13</v>
      </c>
      <c r="D305" s="21">
        <f t="shared" ca="1" si="34"/>
        <v>44875</v>
      </c>
      <c r="E305" s="1" t="s">
        <v>26</v>
      </c>
      <c r="F305" s="1" t="s">
        <v>333</v>
      </c>
      <c r="G305" s="1" t="s">
        <v>28</v>
      </c>
      <c r="H305" s="1">
        <v>403</v>
      </c>
      <c r="I305" s="1">
        <f t="shared" si="36"/>
        <v>52</v>
      </c>
      <c r="J305" s="1">
        <f>VLOOKUP(B305,Cena!$A$2:$B$101,2)</f>
        <v>91</v>
      </c>
      <c r="K305" s="1">
        <f t="shared" si="40"/>
        <v>4732</v>
      </c>
      <c r="L305" s="1">
        <f t="shared" si="37"/>
        <v>1088.3600000000001</v>
      </c>
      <c r="M305" s="22">
        <f t="shared" si="41"/>
        <v>5820.3600000000006</v>
      </c>
      <c r="N305" s="1">
        <f t="shared" ca="1" si="38"/>
        <v>11</v>
      </c>
      <c r="P305" s="1">
        <v>52.731303538894281</v>
      </c>
      <c r="Q305" s="1">
        <f t="shared" ca="1" si="39"/>
        <v>4</v>
      </c>
      <c r="R305" s="1">
        <v>13.389874336789944</v>
      </c>
    </row>
    <row r="306" spans="1:18" x14ac:dyDescent="0.3">
      <c r="A306" s="26">
        <v>305</v>
      </c>
      <c r="B306" s="1">
        <v>10</v>
      </c>
      <c r="C306" s="1">
        <f t="shared" si="35"/>
        <v>9</v>
      </c>
      <c r="D306" s="21">
        <f t="shared" ca="1" si="34"/>
        <v>44593</v>
      </c>
      <c r="E306" s="1" t="s">
        <v>26</v>
      </c>
      <c r="F306" s="1" t="s">
        <v>334</v>
      </c>
      <c r="G306" s="1" t="s">
        <v>28</v>
      </c>
      <c r="H306" s="1">
        <v>404</v>
      </c>
      <c r="I306" s="1">
        <f t="shared" si="36"/>
        <v>53</v>
      </c>
      <c r="J306" s="1">
        <f>VLOOKUP(B306,Cena!$A$2:$B$101,2)</f>
        <v>109</v>
      </c>
      <c r="K306" s="1">
        <f t="shared" si="40"/>
        <v>5777</v>
      </c>
      <c r="L306" s="1">
        <f t="shared" si="37"/>
        <v>1328.71</v>
      </c>
      <c r="M306" s="22">
        <f t="shared" si="41"/>
        <v>7105.71</v>
      </c>
      <c r="N306" s="1">
        <f t="shared" ca="1" si="38"/>
        <v>2</v>
      </c>
      <c r="P306" s="1">
        <v>53.859349817503244</v>
      </c>
      <c r="Q306" s="1">
        <f t="shared" ca="1" si="39"/>
        <v>9</v>
      </c>
      <c r="R306" s="1">
        <v>9.7262591477920068</v>
      </c>
    </row>
    <row r="307" spans="1:18" x14ac:dyDescent="0.3">
      <c r="A307" s="26">
        <v>306</v>
      </c>
      <c r="B307" s="1">
        <v>2</v>
      </c>
      <c r="C307" s="1">
        <f t="shared" si="35"/>
        <v>14</v>
      </c>
      <c r="D307" s="21">
        <f t="shared" ca="1" si="34"/>
        <v>44796</v>
      </c>
      <c r="E307" s="1" t="s">
        <v>26</v>
      </c>
      <c r="F307" s="1" t="s">
        <v>335</v>
      </c>
      <c r="G307" s="1" t="s">
        <v>28</v>
      </c>
      <c r="H307" s="1">
        <v>405</v>
      </c>
      <c r="I307" s="1">
        <f t="shared" si="36"/>
        <v>46</v>
      </c>
      <c r="J307" s="1">
        <f>VLOOKUP(B307,Cena!$A$2:$B$101,2)</f>
        <v>121</v>
      </c>
      <c r="K307" s="1">
        <f t="shared" si="40"/>
        <v>5566</v>
      </c>
      <c r="L307" s="1">
        <f t="shared" si="37"/>
        <v>1280.18</v>
      </c>
      <c r="M307" s="22">
        <f t="shared" si="41"/>
        <v>6846.18</v>
      </c>
      <c r="N307" s="1">
        <f t="shared" ca="1" si="38"/>
        <v>8</v>
      </c>
      <c r="P307" s="1">
        <v>46.050667050440097</v>
      </c>
      <c r="Q307" s="1">
        <f t="shared" ca="1" si="39"/>
        <v>7</v>
      </c>
      <c r="R307" s="1">
        <v>14.057164915138856</v>
      </c>
    </row>
    <row r="308" spans="1:18" x14ac:dyDescent="0.3">
      <c r="A308" s="26">
        <v>307</v>
      </c>
      <c r="B308" s="1">
        <v>5</v>
      </c>
      <c r="C308" s="1">
        <f t="shared" si="35"/>
        <v>8</v>
      </c>
      <c r="D308" s="21">
        <f t="shared" ca="1" si="34"/>
        <v>44704</v>
      </c>
      <c r="E308" s="1" t="s">
        <v>26</v>
      </c>
      <c r="F308" s="1" t="s">
        <v>336</v>
      </c>
      <c r="G308" s="1" t="s">
        <v>28</v>
      </c>
      <c r="H308" s="1">
        <v>406</v>
      </c>
      <c r="I308" s="1">
        <f t="shared" si="36"/>
        <v>55</v>
      </c>
      <c r="J308" s="1">
        <f>VLOOKUP(B308,Cena!$A$2:$B$101,2)</f>
        <v>91</v>
      </c>
      <c r="K308" s="1">
        <f t="shared" si="40"/>
        <v>5005</v>
      </c>
      <c r="L308" s="1">
        <f t="shared" si="37"/>
        <v>1151.1500000000001</v>
      </c>
      <c r="M308" s="22">
        <f t="shared" si="41"/>
        <v>6156.15</v>
      </c>
      <c r="N308" s="1">
        <f t="shared" ca="1" si="38"/>
        <v>5</v>
      </c>
      <c r="P308" s="1">
        <v>55.848153250553878</v>
      </c>
      <c r="Q308" s="1">
        <f t="shared" ca="1" si="39"/>
        <v>4</v>
      </c>
      <c r="R308" s="1">
        <v>8.7785571420317865</v>
      </c>
    </row>
    <row r="309" spans="1:18" x14ac:dyDescent="0.3">
      <c r="A309" s="26">
        <v>308</v>
      </c>
      <c r="B309" s="1">
        <v>14</v>
      </c>
      <c r="C309" s="1">
        <f t="shared" si="35"/>
        <v>10</v>
      </c>
      <c r="D309" s="21">
        <f t="shared" ca="1" si="34"/>
        <v>44755</v>
      </c>
      <c r="E309" s="1" t="s">
        <v>26</v>
      </c>
      <c r="F309" s="1" t="s">
        <v>337</v>
      </c>
      <c r="G309" s="1" t="s">
        <v>28</v>
      </c>
      <c r="H309" s="1">
        <v>407</v>
      </c>
      <c r="I309" s="1">
        <f t="shared" si="36"/>
        <v>63</v>
      </c>
      <c r="J309" s="1">
        <f>VLOOKUP(B309,Cena!$A$2:$B$101,2)</f>
        <v>129</v>
      </c>
      <c r="K309" s="1">
        <f t="shared" si="40"/>
        <v>8127</v>
      </c>
      <c r="L309" s="1">
        <f t="shared" si="37"/>
        <v>1869.21</v>
      </c>
      <c r="M309" s="22">
        <f t="shared" si="41"/>
        <v>9996.2099999999991</v>
      </c>
      <c r="N309" s="1">
        <f t="shared" ca="1" si="38"/>
        <v>7</v>
      </c>
      <c r="P309" s="1">
        <v>63.051567293587141</v>
      </c>
      <c r="Q309" s="1">
        <f t="shared" ca="1" si="39"/>
        <v>24</v>
      </c>
      <c r="R309" s="1">
        <v>10.480969220006955</v>
      </c>
    </row>
    <row r="310" spans="1:18" x14ac:dyDescent="0.3">
      <c r="A310" s="26">
        <v>309</v>
      </c>
      <c r="B310" s="1">
        <v>23</v>
      </c>
      <c r="C310" s="1">
        <f t="shared" si="35"/>
        <v>10</v>
      </c>
      <c r="D310" s="21">
        <f t="shared" ca="1" si="34"/>
        <v>44634</v>
      </c>
      <c r="E310" s="1" t="s">
        <v>26</v>
      </c>
      <c r="F310" s="1" t="s">
        <v>338</v>
      </c>
      <c r="G310" s="1" t="s">
        <v>28</v>
      </c>
      <c r="H310" s="1">
        <v>408</v>
      </c>
      <c r="I310" s="1">
        <f t="shared" si="36"/>
        <v>60</v>
      </c>
      <c r="J310" s="1">
        <f>VLOOKUP(B310,Cena!$A$2:$B$101,2)</f>
        <v>132</v>
      </c>
      <c r="K310" s="1">
        <f t="shared" si="40"/>
        <v>7920</v>
      </c>
      <c r="L310" s="1">
        <f t="shared" si="37"/>
        <v>1821.6000000000001</v>
      </c>
      <c r="M310" s="22">
        <f t="shared" si="41"/>
        <v>9741.6</v>
      </c>
      <c r="N310" s="1">
        <f t="shared" ca="1" si="38"/>
        <v>3</v>
      </c>
      <c r="P310" s="1">
        <v>60.422172636026517</v>
      </c>
      <c r="Q310" s="1">
        <f t="shared" ca="1" si="39"/>
        <v>9</v>
      </c>
      <c r="R310" s="1">
        <v>10.546995693184726</v>
      </c>
    </row>
    <row r="311" spans="1:18" x14ac:dyDescent="0.3">
      <c r="A311" s="26">
        <v>310</v>
      </c>
      <c r="B311" s="1">
        <v>18</v>
      </c>
      <c r="C311" s="1">
        <f t="shared" si="35"/>
        <v>4</v>
      </c>
      <c r="D311" s="21">
        <f t="shared" ca="1" si="34"/>
        <v>44768</v>
      </c>
      <c r="E311" s="1" t="s">
        <v>26</v>
      </c>
      <c r="F311" s="1" t="s">
        <v>339</v>
      </c>
      <c r="G311" s="1" t="s">
        <v>28</v>
      </c>
      <c r="H311" s="1">
        <v>409</v>
      </c>
      <c r="I311" s="1">
        <f t="shared" si="36"/>
        <v>57</v>
      </c>
      <c r="J311" s="1">
        <f>VLOOKUP(B311,Cena!$A$2:$B$101,2)</f>
        <v>90</v>
      </c>
      <c r="K311" s="1">
        <f t="shared" si="40"/>
        <v>5130</v>
      </c>
      <c r="L311" s="1">
        <f t="shared" si="37"/>
        <v>1179.9000000000001</v>
      </c>
      <c r="M311" s="22">
        <f t="shared" si="41"/>
        <v>6309.9</v>
      </c>
      <c r="N311" s="1">
        <f t="shared" ca="1" si="38"/>
        <v>7</v>
      </c>
      <c r="P311" s="1">
        <v>57.406981694657588</v>
      </c>
      <c r="Q311" s="1">
        <f t="shared" ca="1" si="39"/>
        <v>18</v>
      </c>
      <c r="R311" s="1">
        <v>4.9634911899920553</v>
      </c>
    </row>
    <row r="312" spans="1:18" x14ac:dyDescent="0.3">
      <c r="A312" s="26">
        <v>311</v>
      </c>
      <c r="B312" s="1">
        <v>9</v>
      </c>
      <c r="C312" s="1">
        <f t="shared" si="35"/>
        <v>7</v>
      </c>
      <c r="D312" s="21">
        <f t="shared" ca="1" si="34"/>
        <v>44661</v>
      </c>
      <c r="E312" s="1" t="s">
        <v>26</v>
      </c>
      <c r="F312" s="1" t="s">
        <v>340</v>
      </c>
      <c r="G312" s="1" t="s">
        <v>28</v>
      </c>
      <c r="H312" s="1">
        <v>410</v>
      </c>
      <c r="I312" s="1">
        <f t="shared" si="36"/>
        <v>49</v>
      </c>
      <c r="J312" s="1">
        <f>VLOOKUP(B312,Cena!$A$2:$B$101,2)</f>
        <v>96</v>
      </c>
      <c r="K312" s="1">
        <f t="shared" si="40"/>
        <v>4704</v>
      </c>
      <c r="L312" s="1">
        <f t="shared" si="37"/>
        <v>1081.92</v>
      </c>
      <c r="M312" s="22">
        <f t="shared" si="41"/>
        <v>5785.92</v>
      </c>
      <c r="N312" s="1">
        <f t="shared" ca="1" si="38"/>
        <v>4</v>
      </c>
      <c r="P312" s="1">
        <v>49.238491454889299</v>
      </c>
      <c r="Q312" s="1">
        <f t="shared" ca="1" si="39"/>
        <v>11</v>
      </c>
      <c r="R312" s="1">
        <v>7.9402048211341025</v>
      </c>
    </row>
    <row r="313" spans="1:18" x14ac:dyDescent="0.3">
      <c r="A313" s="26">
        <v>312</v>
      </c>
      <c r="B313" s="1">
        <v>28</v>
      </c>
      <c r="C313" s="1">
        <f t="shared" si="35"/>
        <v>5</v>
      </c>
      <c r="D313" s="21">
        <f t="shared" ca="1" si="34"/>
        <v>44873</v>
      </c>
      <c r="E313" s="1" t="s">
        <v>26</v>
      </c>
      <c r="F313" s="1" t="s">
        <v>341</v>
      </c>
      <c r="G313" s="1" t="s">
        <v>28</v>
      </c>
      <c r="H313" s="1">
        <v>411</v>
      </c>
      <c r="I313" s="1">
        <f t="shared" si="36"/>
        <v>44</v>
      </c>
      <c r="J313" s="1">
        <f>VLOOKUP(B313,Cena!$A$2:$B$101,2)</f>
        <v>59</v>
      </c>
      <c r="K313" s="1">
        <f t="shared" si="40"/>
        <v>2596</v>
      </c>
      <c r="L313" s="1">
        <f t="shared" si="37"/>
        <v>597.08000000000004</v>
      </c>
      <c r="M313" s="22">
        <f t="shared" si="41"/>
        <v>3193.08</v>
      </c>
      <c r="N313" s="1">
        <f t="shared" ca="1" si="38"/>
        <v>11</v>
      </c>
      <c r="P313" s="1">
        <v>44.252300439256942</v>
      </c>
      <c r="Q313" s="1">
        <f t="shared" ca="1" si="39"/>
        <v>10</v>
      </c>
      <c r="R313" s="1">
        <v>5.0451638142112643</v>
      </c>
    </row>
    <row r="314" spans="1:18" x14ac:dyDescent="0.3">
      <c r="A314" s="26">
        <v>313</v>
      </c>
      <c r="B314" s="1">
        <v>19</v>
      </c>
      <c r="C314" s="1">
        <f t="shared" si="35"/>
        <v>9</v>
      </c>
      <c r="D314" s="21">
        <f t="shared" ca="1" si="34"/>
        <v>44732</v>
      </c>
      <c r="E314" s="1" t="s">
        <v>26</v>
      </c>
      <c r="F314" s="1" t="s">
        <v>342</v>
      </c>
      <c r="G314" s="1" t="s">
        <v>28</v>
      </c>
      <c r="H314" s="1">
        <v>412</v>
      </c>
      <c r="I314" s="1">
        <f t="shared" si="36"/>
        <v>57</v>
      </c>
      <c r="J314" s="1">
        <f>VLOOKUP(B314,Cena!$A$2:$B$101,2)</f>
        <v>84</v>
      </c>
      <c r="K314" s="1">
        <f t="shared" si="40"/>
        <v>4788</v>
      </c>
      <c r="L314" s="1">
        <f t="shared" si="37"/>
        <v>1101.24</v>
      </c>
      <c r="M314" s="22">
        <f t="shared" si="41"/>
        <v>5889.24</v>
      </c>
      <c r="N314" s="1">
        <f t="shared" ca="1" si="38"/>
        <v>6</v>
      </c>
      <c r="P314" s="1">
        <v>57.39089500711998</v>
      </c>
      <c r="Q314" s="1">
        <f t="shared" ca="1" si="39"/>
        <v>20</v>
      </c>
      <c r="R314" s="1">
        <v>9.7337624790816335</v>
      </c>
    </row>
    <row r="315" spans="1:18" x14ac:dyDescent="0.3">
      <c r="A315" s="26">
        <v>314</v>
      </c>
      <c r="B315" s="1">
        <v>9</v>
      </c>
      <c r="C315" s="1">
        <f t="shared" si="35"/>
        <v>3</v>
      </c>
      <c r="D315" s="21">
        <f t="shared" ca="1" si="34"/>
        <v>44581</v>
      </c>
      <c r="E315" s="1" t="s">
        <v>26</v>
      </c>
      <c r="F315" s="1" t="s">
        <v>343</v>
      </c>
      <c r="G315" s="1" t="s">
        <v>28</v>
      </c>
      <c r="H315" s="1">
        <v>413</v>
      </c>
      <c r="I315" s="1">
        <f t="shared" si="36"/>
        <v>34</v>
      </c>
      <c r="J315" s="1">
        <f>VLOOKUP(B315,Cena!$A$2:$B$101,2)</f>
        <v>96</v>
      </c>
      <c r="K315" s="1">
        <f t="shared" si="40"/>
        <v>3264</v>
      </c>
      <c r="L315" s="1">
        <f t="shared" si="37"/>
        <v>750.72</v>
      </c>
      <c r="M315" s="22">
        <f t="shared" si="41"/>
        <v>4014.7200000000003</v>
      </c>
      <c r="N315" s="1">
        <f t="shared" ca="1" si="38"/>
        <v>1</v>
      </c>
      <c r="P315" s="1">
        <v>34.036730893421918</v>
      </c>
      <c r="Q315" s="1">
        <f t="shared" ca="1" si="39"/>
        <v>20</v>
      </c>
      <c r="R315" s="1">
        <v>3.539950082777068</v>
      </c>
    </row>
    <row r="316" spans="1:18" x14ac:dyDescent="0.3">
      <c r="A316" s="26">
        <v>315</v>
      </c>
      <c r="B316" s="1">
        <v>4</v>
      </c>
      <c r="C316" s="1">
        <f t="shared" si="35"/>
        <v>11</v>
      </c>
      <c r="D316" s="21">
        <f t="shared" ca="1" si="34"/>
        <v>44647</v>
      </c>
      <c r="E316" s="1" t="s">
        <v>26</v>
      </c>
      <c r="F316" s="1" t="s">
        <v>344</v>
      </c>
      <c r="G316" s="1" t="s">
        <v>28</v>
      </c>
      <c r="H316" s="1">
        <v>414</v>
      </c>
      <c r="I316" s="1">
        <f t="shared" si="36"/>
        <v>61</v>
      </c>
      <c r="J316" s="1">
        <f>VLOOKUP(B316,Cena!$A$2:$B$101,2)</f>
        <v>99</v>
      </c>
      <c r="K316" s="1">
        <f t="shared" si="40"/>
        <v>6039</v>
      </c>
      <c r="L316" s="1">
        <f t="shared" si="37"/>
        <v>1388.97</v>
      </c>
      <c r="M316" s="22">
        <f t="shared" si="41"/>
        <v>7427.97</v>
      </c>
      <c r="N316" s="1">
        <f t="shared" ca="1" si="38"/>
        <v>3</v>
      </c>
      <c r="P316" s="1">
        <v>61.639281183306593</v>
      </c>
      <c r="Q316" s="1">
        <f t="shared" ca="1" si="39"/>
        <v>20</v>
      </c>
      <c r="R316" s="1">
        <v>11.761117118803668</v>
      </c>
    </row>
    <row r="317" spans="1:18" x14ac:dyDescent="0.3">
      <c r="A317" s="26">
        <v>316</v>
      </c>
      <c r="B317" s="1">
        <v>30</v>
      </c>
      <c r="C317" s="1">
        <f t="shared" si="35"/>
        <v>15</v>
      </c>
      <c r="D317" s="21">
        <f t="shared" ca="1" si="34"/>
        <v>44792</v>
      </c>
      <c r="E317" s="1" t="s">
        <v>26</v>
      </c>
      <c r="F317" s="1" t="s">
        <v>345</v>
      </c>
      <c r="G317" s="1" t="s">
        <v>28</v>
      </c>
      <c r="H317" s="1">
        <v>415</v>
      </c>
      <c r="I317" s="1">
        <f t="shared" si="36"/>
        <v>38</v>
      </c>
      <c r="J317" s="1">
        <f>VLOOKUP(B317,Cena!$A$2:$B$101,2)</f>
        <v>87</v>
      </c>
      <c r="K317" s="1">
        <f t="shared" si="40"/>
        <v>3306</v>
      </c>
      <c r="L317" s="1">
        <f t="shared" si="37"/>
        <v>760.38</v>
      </c>
      <c r="M317" s="22">
        <f t="shared" si="41"/>
        <v>4066.38</v>
      </c>
      <c r="N317" s="1">
        <f t="shared" ca="1" si="38"/>
        <v>8</v>
      </c>
      <c r="P317" s="1">
        <v>38.13332240388263</v>
      </c>
      <c r="Q317" s="1">
        <f t="shared" ca="1" si="39"/>
        <v>28</v>
      </c>
      <c r="R317" s="1">
        <v>15.040874384576455</v>
      </c>
    </row>
    <row r="318" spans="1:18" x14ac:dyDescent="0.3">
      <c r="A318" s="26">
        <v>317</v>
      </c>
      <c r="B318" s="1">
        <v>1</v>
      </c>
      <c r="C318" s="1">
        <f t="shared" si="35"/>
        <v>9</v>
      </c>
      <c r="D318" s="21">
        <f t="shared" ca="1" si="34"/>
        <v>44719</v>
      </c>
      <c r="E318" s="1" t="s">
        <v>26</v>
      </c>
      <c r="F318" s="1" t="s">
        <v>346</v>
      </c>
      <c r="G318" s="1" t="s">
        <v>28</v>
      </c>
      <c r="H318" s="1">
        <v>416</v>
      </c>
      <c r="I318" s="1">
        <f t="shared" si="36"/>
        <v>51</v>
      </c>
      <c r="J318" s="1">
        <f>VLOOKUP(B318,Cena!$A$2:$B$101,2)</f>
        <v>84</v>
      </c>
      <c r="K318" s="1">
        <f t="shared" si="40"/>
        <v>4284</v>
      </c>
      <c r="L318" s="1">
        <f t="shared" si="37"/>
        <v>985.32</v>
      </c>
      <c r="M318" s="22">
        <f t="shared" si="41"/>
        <v>5269.32</v>
      </c>
      <c r="N318" s="1">
        <f t="shared" ca="1" si="38"/>
        <v>6</v>
      </c>
      <c r="P318" s="1">
        <v>51.265209448320093</v>
      </c>
      <c r="Q318" s="1">
        <f t="shared" ca="1" si="39"/>
        <v>29</v>
      </c>
      <c r="R318" s="1">
        <v>9.1113696751199313</v>
      </c>
    </row>
    <row r="319" spans="1:18" x14ac:dyDescent="0.3">
      <c r="A319" s="26">
        <v>318</v>
      </c>
      <c r="B319" s="1">
        <v>9</v>
      </c>
      <c r="C319" s="1">
        <f t="shared" si="35"/>
        <v>7</v>
      </c>
      <c r="D319" s="21">
        <f t="shared" ca="1" si="34"/>
        <v>44674</v>
      </c>
      <c r="E319" s="1" t="s">
        <v>26</v>
      </c>
      <c r="F319" s="1" t="s">
        <v>347</v>
      </c>
      <c r="G319" s="1" t="s">
        <v>28</v>
      </c>
      <c r="H319" s="1">
        <v>417</v>
      </c>
      <c r="I319" s="1">
        <f t="shared" si="36"/>
        <v>49</v>
      </c>
      <c r="J319" s="1">
        <f>VLOOKUP(B319,Cena!$A$2:$B$101,2)</f>
        <v>96</v>
      </c>
      <c r="K319" s="1">
        <f t="shared" si="40"/>
        <v>4704</v>
      </c>
      <c r="L319" s="1">
        <f t="shared" si="37"/>
        <v>1081.92</v>
      </c>
      <c r="M319" s="22">
        <f t="shared" si="41"/>
        <v>5785.92</v>
      </c>
      <c r="N319" s="1">
        <f t="shared" ca="1" si="38"/>
        <v>4</v>
      </c>
      <c r="P319" s="1">
        <v>49.256897353916429</v>
      </c>
      <c r="Q319" s="1">
        <f t="shared" ca="1" si="39"/>
        <v>5</v>
      </c>
      <c r="R319" s="1">
        <v>7.2669684211723506</v>
      </c>
    </row>
    <row r="320" spans="1:18" x14ac:dyDescent="0.3">
      <c r="A320" s="26">
        <v>319</v>
      </c>
      <c r="B320" s="1">
        <v>26</v>
      </c>
      <c r="C320" s="1">
        <f t="shared" si="35"/>
        <v>9</v>
      </c>
      <c r="D320" s="21">
        <f t="shared" ca="1" si="34"/>
        <v>44684</v>
      </c>
      <c r="E320" s="1" t="s">
        <v>26</v>
      </c>
      <c r="F320" s="1" t="s">
        <v>348</v>
      </c>
      <c r="G320" s="1" t="s">
        <v>28</v>
      </c>
      <c r="H320" s="1">
        <v>418</v>
      </c>
      <c r="I320" s="1">
        <f t="shared" si="36"/>
        <v>50</v>
      </c>
      <c r="J320" s="1">
        <f>VLOOKUP(B320,Cena!$A$2:$B$101,2)</f>
        <v>99</v>
      </c>
      <c r="K320" s="1">
        <f t="shared" si="40"/>
        <v>4950</v>
      </c>
      <c r="L320" s="1">
        <f t="shared" si="37"/>
        <v>1138.5</v>
      </c>
      <c r="M320" s="22">
        <f t="shared" si="41"/>
        <v>6088.5</v>
      </c>
      <c r="N320" s="1">
        <f t="shared" ca="1" si="38"/>
        <v>5</v>
      </c>
      <c r="P320" s="1">
        <v>50.761508545110701</v>
      </c>
      <c r="Q320" s="1">
        <f t="shared" ca="1" si="39"/>
        <v>1</v>
      </c>
      <c r="R320" s="1">
        <v>9.4080582155220327</v>
      </c>
    </row>
    <row r="321" spans="1:18" x14ac:dyDescent="0.3">
      <c r="A321" s="26">
        <v>320</v>
      </c>
      <c r="B321" s="1">
        <v>24</v>
      </c>
      <c r="C321" s="1">
        <f t="shared" si="35"/>
        <v>7</v>
      </c>
      <c r="D321" s="21">
        <f t="shared" ca="1" si="34"/>
        <v>44829</v>
      </c>
      <c r="E321" s="1" t="s">
        <v>26</v>
      </c>
      <c r="F321" s="1" t="s">
        <v>349</v>
      </c>
      <c r="G321" s="1" t="s">
        <v>28</v>
      </c>
      <c r="H321" s="1">
        <v>419</v>
      </c>
      <c r="I321" s="1">
        <f t="shared" si="36"/>
        <v>68</v>
      </c>
      <c r="J321" s="1">
        <f>VLOOKUP(B321,Cena!$A$2:$B$101,2)</f>
        <v>125</v>
      </c>
      <c r="K321" s="1">
        <f t="shared" si="40"/>
        <v>8500</v>
      </c>
      <c r="L321" s="1">
        <f t="shared" si="37"/>
        <v>1955</v>
      </c>
      <c r="M321" s="22">
        <f t="shared" si="41"/>
        <v>10455</v>
      </c>
      <c r="N321" s="1">
        <f t="shared" ca="1" si="38"/>
        <v>9</v>
      </c>
      <c r="P321" s="1">
        <v>68.481750885257497</v>
      </c>
      <c r="Q321" s="1">
        <f t="shared" ca="1" si="39"/>
        <v>29</v>
      </c>
      <c r="R321" s="1">
        <v>7.7937875428324332</v>
      </c>
    </row>
    <row r="322" spans="1:18" x14ac:dyDescent="0.3">
      <c r="A322" s="26">
        <v>321</v>
      </c>
      <c r="B322" s="1">
        <v>10</v>
      </c>
      <c r="C322" s="1">
        <f t="shared" si="35"/>
        <v>9</v>
      </c>
      <c r="D322" s="21">
        <f t="shared" ref="D322:D385" ca="1" si="42">DATE(2022,RANDBETWEEN(1,12),RANDBETWEEN(1,28))</f>
        <v>44861</v>
      </c>
      <c r="E322" s="1" t="s">
        <v>26</v>
      </c>
      <c r="F322" s="1" t="s">
        <v>350</v>
      </c>
      <c r="G322" s="1" t="s">
        <v>28</v>
      </c>
      <c r="H322" s="1">
        <v>420</v>
      </c>
      <c r="I322" s="1">
        <f t="shared" si="36"/>
        <v>35</v>
      </c>
      <c r="J322" s="1">
        <f>VLOOKUP(B322,Cena!$A$2:$B$101,2)</f>
        <v>109</v>
      </c>
      <c r="K322" s="1">
        <f t="shared" si="40"/>
        <v>3815</v>
      </c>
      <c r="L322" s="1">
        <f t="shared" si="37"/>
        <v>877.45</v>
      </c>
      <c r="M322" s="22">
        <f t="shared" si="41"/>
        <v>4692.45</v>
      </c>
      <c r="N322" s="1">
        <f t="shared" ca="1" si="38"/>
        <v>10</v>
      </c>
      <c r="P322" s="1">
        <v>35.312888384214602</v>
      </c>
      <c r="Q322" s="1">
        <f t="shared" ca="1" si="39"/>
        <v>16</v>
      </c>
      <c r="R322" s="1">
        <v>9.523313931604207</v>
      </c>
    </row>
    <row r="323" spans="1:18" x14ac:dyDescent="0.3">
      <c r="A323" s="26">
        <v>322</v>
      </c>
      <c r="B323" s="1">
        <v>8</v>
      </c>
      <c r="C323" s="1">
        <f t="shared" ref="C323:C386" si="43">INT(R323)</f>
        <v>9</v>
      </c>
      <c r="D323" s="21">
        <f t="shared" ca="1" si="42"/>
        <v>44587</v>
      </c>
      <c r="E323" s="1" t="s">
        <v>26</v>
      </c>
      <c r="F323" s="1" t="s">
        <v>351</v>
      </c>
      <c r="G323" s="1" t="s">
        <v>28</v>
      </c>
      <c r="H323" s="1">
        <v>421</v>
      </c>
      <c r="I323" s="1">
        <f t="shared" ref="I323:I386" si="44">INT(P323)</f>
        <v>42</v>
      </c>
      <c r="J323" s="1">
        <f>VLOOKUP(B323,Cena!$A$2:$B$101,2)</f>
        <v>88</v>
      </c>
      <c r="K323" s="1">
        <f t="shared" si="40"/>
        <v>3696</v>
      </c>
      <c r="L323" s="1">
        <f t="shared" ref="L323:L386" si="45">K323*23%</f>
        <v>850.08</v>
      </c>
      <c r="M323" s="22">
        <f t="shared" si="41"/>
        <v>4546.08</v>
      </c>
      <c r="N323" s="1">
        <f t="shared" ref="N323:N386" ca="1" si="46">MONTH(D323)</f>
        <v>1</v>
      </c>
      <c r="P323" s="1">
        <v>42.075765931076603</v>
      </c>
      <c r="Q323" s="1">
        <f t="shared" ref="Q323:Q386" ca="1" si="47">RANDBETWEEN(1,30)</f>
        <v>11</v>
      </c>
      <c r="R323" s="1">
        <v>9.4347717802156694</v>
      </c>
    </row>
    <row r="324" spans="1:18" x14ac:dyDescent="0.3">
      <c r="A324" s="26">
        <v>323</v>
      </c>
      <c r="B324" s="1">
        <v>13</v>
      </c>
      <c r="C324" s="1">
        <f t="shared" si="43"/>
        <v>10</v>
      </c>
      <c r="D324" s="21">
        <f t="shared" ca="1" si="42"/>
        <v>44851</v>
      </c>
      <c r="E324" s="1" t="s">
        <v>26</v>
      </c>
      <c r="F324" s="1" t="s">
        <v>352</v>
      </c>
      <c r="G324" s="1" t="s">
        <v>28</v>
      </c>
      <c r="H324" s="1">
        <v>422</v>
      </c>
      <c r="I324" s="1">
        <f t="shared" si="44"/>
        <v>59</v>
      </c>
      <c r="J324" s="1">
        <f>VLOOKUP(B324,Cena!$A$2:$B$101,2)</f>
        <v>94</v>
      </c>
      <c r="K324" s="1">
        <f t="shared" si="40"/>
        <v>5546</v>
      </c>
      <c r="L324" s="1">
        <f t="shared" si="45"/>
        <v>1275.5800000000002</v>
      </c>
      <c r="M324" s="22">
        <f t="shared" si="41"/>
        <v>6821.58</v>
      </c>
      <c r="N324" s="1">
        <f t="shared" ca="1" si="46"/>
        <v>10</v>
      </c>
      <c r="P324" s="1">
        <v>59.534892342344392</v>
      </c>
      <c r="Q324" s="1">
        <f t="shared" ca="1" si="47"/>
        <v>29</v>
      </c>
      <c r="R324" s="1">
        <v>10.314952330882079</v>
      </c>
    </row>
    <row r="325" spans="1:18" x14ac:dyDescent="0.3">
      <c r="A325" s="26">
        <v>324</v>
      </c>
      <c r="B325" s="1">
        <v>10</v>
      </c>
      <c r="C325" s="1">
        <f t="shared" si="43"/>
        <v>12</v>
      </c>
      <c r="D325" s="21">
        <f t="shared" ca="1" si="42"/>
        <v>44719</v>
      </c>
      <c r="E325" s="1" t="s">
        <v>26</v>
      </c>
      <c r="F325" s="1" t="s">
        <v>353</v>
      </c>
      <c r="G325" s="1" t="s">
        <v>28</v>
      </c>
      <c r="H325" s="1">
        <v>423</v>
      </c>
      <c r="I325" s="1">
        <f t="shared" si="44"/>
        <v>39</v>
      </c>
      <c r="J325" s="1">
        <f>VLOOKUP(B325,Cena!$A$2:$B$101,2)</f>
        <v>109</v>
      </c>
      <c r="K325" s="1">
        <f t="shared" si="40"/>
        <v>4251</v>
      </c>
      <c r="L325" s="1">
        <f t="shared" si="45"/>
        <v>977.73</v>
      </c>
      <c r="M325" s="22">
        <f t="shared" si="41"/>
        <v>5228.7299999999996</v>
      </c>
      <c r="N325" s="1">
        <f t="shared" ca="1" si="46"/>
        <v>6</v>
      </c>
      <c r="P325" s="1">
        <v>39.014872880943585</v>
      </c>
      <c r="Q325" s="1">
        <f t="shared" ca="1" si="47"/>
        <v>14</v>
      </c>
      <c r="R325" s="1">
        <v>12.152796696464065</v>
      </c>
    </row>
    <row r="326" spans="1:18" x14ac:dyDescent="0.3">
      <c r="A326" s="26">
        <v>325</v>
      </c>
      <c r="B326" s="1">
        <v>1</v>
      </c>
      <c r="C326" s="1">
        <f t="shared" si="43"/>
        <v>10</v>
      </c>
      <c r="D326" s="21">
        <f t="shared" ca="1" si="42"/>
        <v>44900</v>
      </c>
      <c r="E326" s="1" t="s">
        <v>26</v>
      </c>
      <c r="F326" s="1" t="s">
        <v>354</v>
      </c>
      <c r="G326" s="1" t="s">
        <v>28</v>
      </c>
      <c r="H326" s="1">
        <v>424</v>
      </c>
      <c r="I326" s="1">
        <f t="shared" si="44"/>
        <v>47</v>
      </c>
      <c r="J326" s="1">
        <f>VLOOKUP(B326,Cena!$A$2:$B$101,2)</f>
        <v>84</v>
      </c>
      <c r="K326" s="1">
        <f t="shared" si="40"/>
        <v>3948</v>
      </c>
      <c r="L326" s="1">
        <f t="shared" si="45"/>
        <v>908.04000000000008</v>
      </c>
      <c r="M326" s="22">
        <f t="shared" si="41"/>
        <v>4856.04</v>
      </c>
      <c r="N326" s="1">
        <f t="shared" ca="1" si="46"/>
        <v>12</v>
      </c>
      <c r="P326" s="1">
        <v>47.246459315647371</v>
      </c>
      <c r="Q326" s="1">
        <f t="shared" ca="1" si="47"/>
        <v>18</v>
      </c>
      <c r="R326" s="1">
        <v>10.716636350261979</v>
      </c>
    </row>
    <row r="327" spans="1:18" x14ac:dyDescent="0.3">
      <c r="A327" s="26">
        <v>326</v>
      </c>
      <c r="B327" s="1">
        <v>11</v>
      </c>
      <c r="C327" s="1">
        <f t="shared" si="43"/>
        <v>7</v>
      </c>
      <c r="D327" s="21">
        <f t="shared" ca="1" si="42"/>
        <v>44585</v>
      </c>
      <c r="E327" s="1" t="s">
        <v>26</v>
      </c>
      <c r="F327" s="1" t="s">
        <v>355</v>
      </c>
      <c r="G327" s="1" t="s">
        <v>28</v>
      </c>
      <c r="H327" s="1">
        <v>425</v>
      </c>
      <c r="I327" s="1">
        <f t="shared" si="44"/>
        <v>55</v>
      </c>
      <c r="J327" s="1">
        <f>VLOOKUP(B327,Cena!$A$2:$B$101,2)</f>
        <v>83</v>
      </c>
      <c r="K327" s="1">
        <f t="shared" si="40"/>
        <v>4565</v>
      </c>
      <c r="L327" s="1">
        <f t="shared" si="45"/>
        <v>1049.95</v>
      </c>
      <c r="M327" s="22">
        <f t="shared" si="41"/>
        <v>5614.95</v>
      </c>
      <c r="N327" s="1">
        <f t="shared" ca="1" si="46"/>
        <v>1</v>
      </c>
      <c r="P327" s="1">
        <v>55.238825906417333</v>
      </c>
      <c r="Q327" s="1">
        <f t="shared" ca="1" si="47"/>
        <v>17</v>
      </c>
      <c r="R327" s="1">
        <v>7.761130998696899</v>
      </c>
    </row>
    <row r="328" spans="1:18" x14ac:dyDescent="0.3">
      <c r="A328" s="26">
        <v>327</v>
      </c>
      <c r="B328" s="1">
        <v>6</v>
      </c>
      <c r="C328" s="1">
        <f t="shared" si="43"/>
        <v>12</v>
      </c>
      <c r="D328" s="21">
        <f t="shared" ca="1" si="42"/>
        <v>44633</v>
      </c>
      <c r="E328" s="1" t="s">
        <v>26</v>
      </c>
      <c r="F328" s="1" t="s">
        <v>356</v>
      </c>
      <c r="G328" s="1" t="s">
        <v>28</v>
      </c>
      <c r="H328" s="1">
        <v>426</v>
      </c>
      <c r="I328" s="1">
        <f t="shared" si="44"/>
        <v>43</v>
      </c>
      <c r="J328" s="1">
        <f>VLOOKUP(B328,Cena!$A$2:$B$101,2)</f>
        <v>86</v>
      </c>
      <c r="K328" s="1">
        <f t="shared" si="40"/>
        <v>3698</v>
      </c>
      <c r="L328" s="1">
        <f t="shared" si="45"/>
        <v>850.54000000000008</v>
      </c>
      <c r="M328" s="22">
        <f t="shared" si="41"/>
        <v>4548.54</v>
      </c>
      <c r="N328" s="1">
        <f t="shared" ca="1" si="46"/>
        <v>3</v>
      </c>
      <c r="P328" s="1">
        <v>43.526580510661006</v>
      </c>
      <c r="Q328" s="1">
        <f t="shared" ca="1" si="47"/>
        <v>9</v>
      </c>
      <c r="R328" s="1">
        <v>12.495795570212067</v>
      </c>
    </row>
    <row r="329" spans="1:18" x14ac:dyDescent="0.3">
      <c r="A329" s="26">
        <v>328</v>
      </c>
      <c r="B329" s="1">
        <v>6</v>
      </c>
      <c r="C329" s="1">
        <f t="shared" si="43"/>
        <v>7</v>
      </c>
      <c r="D329" s="21">
        <f t="shared" ca="1" si="42"/>
        <v>44676</v>
      </c>
      <c r="E329" s="1" t="s">
        <v>26</v>
      </c>
      <c r="F329" s="1" t="s">
        <v>357</v>
      </c>
      <c r="G329" s="1" t="s">
        <v>28</v>
      </c>
      <c r="H329" s="1">
        <v>427</v>
      </c>
      <c r="I329" s="1">
        <f t="shared" si="44"/>
        <v>50</v>
      </c>
      <c r="J329" s="1">
        <f>VLOOKUP(B329,Cena!$A$2:$B$101,2)</f>
        <v>86</v>
      </c>
      <c r="K329" s="1">
        <f t="shared" si="40"/>
        <v>4300</v>
      </c>
      <c r="L329" s="1">
        <f t="shared" si="45"/>
        <v>989</v>
      </c>
      <c r="M329" s="22">
        <f t="shared" si="41"/>
        <v>5289</v>
      </c>
      <c r="N329" s="1">
        <f t="shared" ca="1" si="46"/>
        <v>4</v>
      </c>
      <c r="P329" s="1">
        <v>50.132729383039987</v>
      </c>
      <c r="Q329" s="1">
        <f t="shared" ca="1" si="47"/>
        <v>3</v>
      </c>
      <c r="R329" s="1">
        <v>7.7482502799830399</v>
      </c>
    </row>
    <row r="330" spans="1:18" x14ac:dyDescent="0.3">
      <c r="A330" s="26">
        <v>329</v>
      </c>
      <c r="B330" s="1">
        <v>29</v>
      </c>
      <c r="C330" s="1">
        <f t="shared" si="43"/>
        <v>9</v>
      </c>
      <c r="D330" s="21">
        <f t="shared" ca="1" si="42"/>
        <v>44624</v>
      </c>
      <c r="E330" s="1" t="s">
        <v>26</v>
      </c>
      <c r="F330" s="1" t="s">
        <v>358</v>
      </c>
      <c r="G330" s="1" t="s">
        <v>28</v>
      </c>
      <c r="H330" s="1">
        <v>428</v>
      </c>
      <c r="I330" s="1">
        <f t="shared" si="44"/>
        <v>46</v>
      </c>
      <c r="J330" s="1">
        <f>VLOOKUP(B330,Cena!$A$2:$B$101,2)</f>
        <v>105</v>
      </c>
      <c r="K330" s="1">
        <f t="shared" si="40"/>
        <v>4830</v>
      </c>
      <c r="L330" s="1">
        <f t="shared" si="45"/>
        <v>1110.9000000000001</v>
      </c>
      <c r="M330" s="22">
        <f t="shared" si="41"/>
        <v>5940.9</v>
      </c>
      <c r="N330" s="1">
        <f t="shared" ca="1" si="46"/>
        <v>3</v>
      </c>
      <c r="P330" s="1">
        <v>46.738961272058077</v>
      </c>
      <c r="Q330" s="1">
        <f t="shared" ca="1" si="47"/>
        <v>22</v>
      </c>
      <c r="R330" s="1">
        <v>9.6070016550220316</v>
      </c>
    </row>
    <row r="331" spans="1:18" x14ac:dyDescent="0.3">
      <c r="A331" s="26">
        <v>330</v>
      </c>
      <c r="B331" s="1">
        <v>30</v>
      </c>
      <c r="C331" s="1">
        <f t="shared" si="43"/>
        <v>11</v>
      </c>
      <c r="D331" s="21">
        <f t="shared" ca="1" si="42"/>
        <v>44815</v>
      </c>
      <c r="E331" s="1" t="s">
        <v>26</v>
      </c>
      <c r="F331" s="1" t="s">
        <v>359</v>
      </c>
      <c r="G331" s="1" t="s">
        <v>28</v>
      </c>
      <c r="H331" s="1">
        <v>429</v>
      </c>
      <c r="I331" s="1">
        <f t="shared" si="44"/>
        <v>45</v>
      </c>
      <c r="J331" s="1">
        <f>VLOOKUP(B331,Cena!$A$2:$B$101,2)</f>
        <v>87</v>
      </c>
      <c r="K331" s="1">
        <f t="shared" si="40"/>
        <v>3915</v>
      </c>
      <c r="L331" s="1">
        <f t="shared" si="45"/>
        <v>900.45</v>
      </c>
      <c r="M331" s="22">
        <f t="shared" si="41"/>
        <v>4815.45</v>
      </c>
      <c r="N331" s="1">
        <f t="shared" ca="1" si="46"/>
        <v>9</v>
      </c>
      <c r="P331" s="1">
        <v>45.387395301804645</v>
      </c>
      <c r="Q331" s="1">
        <f t="shared" ca="1" si="47"/>
        <v>2</v>
      </c>
      <c r="R331" s="1">
        <v>11.253218329111405</v>
      </c>
    </row>
    <row r="332" spans="1:18" x14ac:dyDescent="0.3">
      <c r="A332" s="26">
        <v>331</v>
      </c>
      <c r="B332" s="1">
        <v>24</v>
      </c>
      <c r="C332" s="1">
        <f t="shared" si="43"/>
        <v>12</v>
      </c>
      <c r="D332" s="21">
        <f t="shared" ca="1" si="42"/>
        <v>44725</v>
      </c>
      <c r="E332" s="1" t="s">
        <v>26</v>
      </c>
      <c r="F332" s="1" t="s">
        <v>360</v>
      </c>
      <c r="G332" s="1" t="s">
        <v>28</v>
      </c>
      <c r="H332" s="1">
        <v>430</v>
      </c>
      <c r="I332" s="1">
        <f t="shared" si="44"/>
        <v>41</v>
      </c>
      <c r="J332" s="1">
        <f>VLOOKUP(B332,Cena!$A$2:$B$101,2)</f>
        <v>125</v>
      </c>
      <c r="K332" s="1">
        <f t="shared" si="40"/>
        <v>5125</v>
      </c>
      <c r="L332" s="1">
        <f t="shared" si="45"/>
        <v>1178.75</v>
      </c>
      <c r="M332" s="22">
        <f t="shared" si="41"/>
        <v>6303.75</v>
      </c>
      <c r="N332" s="1">
        <f t="shared" ca="1" si="46"/>
        <v>6</v>
      </c>
      <c r="P332" s="1">
        <v>41.857112036086619</v>
      </c>
      <c r="Q332" s="1">
        <f t="shared" ca="1" si="47"/>
        <v>2</v>
      </c>
      <c r="R332" s="1">
        <v>12.055236336673261</v>
      </c>
    </row>
    <row r="333" spans="1:18" x14ac:dyDescent="0.3">
      <c r="A333" s="26">
        <v>332</v>
      </c>
      <c r="B333" s="1">
        <v>25</v>
      </c>
      <c r="C333" s="1">
        <f t="shared" si="43"/>
        <v>10</v>
      </c>
      <c r="D333" s="21">
        <f t="shared" ca="1" si="42"/>
        <v>44796</v>
      </c>
      <c r="E333" s="1" t="s">
        <v>26</v>
      </c>
      <c r="F333" s="1" t="s">
        <v>361</v>
      </c>
      <c r="G333" s="1" t="s">
        <v>28</v>
      </c>
      <c r="H333" s="1">
        <v>431</v>
      </c>
      <c r="I333" s="1">
        <f t="shared" si="44"/>
        <v>54</v>
      </c>
      <c r="J333" s="1">
        <f>VLOOKUP(B333,Cena!$A$2:$B$101,2)</f>
        <v>108</v>
      </c>
      <c r="K333" s="1">
        <f t="shared" si="40"/>
        <v>5832</v>
      </c>
      <c r="L333" s="1">
        <f t="shared" si="45"/>
        <v>1341.3600000000001</v>
      </c>
      <c r="M333" s="22">
        <f t="shared" si="41"/>
        <v>7173.3600000000006</v>
      </c>
      <c r="N333" s="1">
        <f t="shared" ca="1" si="46"/>
        <v>8</v>
      </c>
      <c r="P333" s="1">
        <v>54.664570951717906</v>
      </c>
      <c r="Q333" s="1">
        <f t="shared" ca="1" si="47"/>
        <v>2</v>
      </c>
      <c r="R333" s="1">
        <v>10.995609639176109</v>
      </c>
    </row>
    <row r="334" spans="1:18" x14ac:dyDescent="0.3">
      <c r="A334" s="26">
        <v>333</v>
      </c>
      <c r="B334" s="1">
        <v>18</v>
      </c>
      <c r="C334" s="1">
        <f t="shared" si="43"/>
        <v>11</v>
      </c>
      <c r="D334" s="21">
        <f t="shared" ca="1" si="42"/>
        <v>44814</v>
      </c>
      <c r="E334" s="1" t="s">
        <v>26</v>
      </c>
      <c r="F334" s="1" t="s">
        <v>362</v>
      </c>
      <c r="G334" s="1" t="s">
        <v>28</v>
      </c>
      <c r="H334" s="1">
        <v>432</v>
      </c>
      <c r="I334" s="1">
        <f t="shared" si="44"/>
        <v>46</v>
      </c>
      <c r="J334" s="1">
        <f>VLOOKUP(B334,Cena!$A$2:$B$101,2)</f>
        <v>90</v>
      </c>
      <c r="K334" s="1">
        <f t="shared" si="40"/>
        <v>4140</v>
      </c>
      <c r="L334" s="1">
        <f t="shared" si="45"/>
        <v>952.2</v>
      </c>
      <c r="M334" s="22">
        <f t="shared" si="41"/>
        <v>5092.2</v>
      </c>
      <c r="N334" s="1">
        <f t="shared" ca="1" si="46"/>
        <v>9</v>
      </c>
      <c r="P334" s="1">
        <v>46.772021404467523</v>
      </c>
      <c r="Q334" s="1">
        <f t="shared" ca="1" si="47"/>
        <v>21</v>
      </c>
      <c r="R334" s="1">
        <v>11.884615130620659</v>
      </c>
    </row>
    <row r="335" spans="1:18" x14ac:dyDescent="0.3">
      <c r="A335" s="26">
        <v>334</v>
      </c>
      <c r="B335" s="1">
        <v>3</v>
      </c>
      <c r="C335" s="1">
        <f t="shared" si="43"/>
        <v>7</v>
      </c>
      <c r="D335" s="21">
        <f t="shared" ca="1" si="42"/>
        <v>44768</v>
      </c>
      <c r="E335" s="1" t="s">
        <v>26</v>
      </c>
      <c r="F335" s="1" t="s">
        <v>363</v>
      </c>
      <c r="G335" s="1" t="s">
        <v>28</v>
      </c>
      <c r="H335" s="1">
        <v>433</v>
      </c>
      <c r="I335" s="1">
        <f t="shared" si="44"/>
        <v>71</v>
      </c>
      <c r="J335" s="1">
        <f>VLOOKUP(B335,Cena!$A$2:$B$101,2)</f>
        <v>89</v>
      </c>
      <c r="K335" s="1">
        <f t="shared" si="40"/>
        <v>6319</v>
      </c>
      <c r="L335" s="1">
        <f t="shared" si="45"/>
        <v>1453.3700000000001</v>
      </c>
      <c r="M335" s="22">
        <f t="shared" si="41"/>
        <v>7772.37</v>
      </c>
      <c r="N335" s="1">
        <f t="shared" ca="1" si="46"/>
        <v>7</v>
      </c>
      <c r="P335" s="1">
        <v>71.179312170716003</v>
      </c>
      <c r="Q335" s="1">
        <f t="shared" ca="1" si="47"/>
        <v>19</v>
      </c>
      <c r="R335" s="1">
        <v>7.8931100486079231</v>
      </c>
    </row>
    <row r="336" spans="1:18" x14ac:dyDescent="0.3">
      <c r="A336" s="26">
        <v>335</v>
      </c>
      <c r="B336" s="1">
        <v>6</v>
      </c>
      <c r="C336" s="1">
        <f t="shared" si="43"/>
        <v>9</v>
      </c>
      <c r="D336" s="21">
        <f t="shared" ca="1" si="42"/>
        <v>44907</v>
      </c>
      <c r="E336" s="1" t="s">
        <v>26</v>
      </c>
      <c r="F336" s="1" t="s">
        <v>364</v>
      </c>
      <c r="G336" s="1" t="s">
        <v>28</v>
      </c>
      <c r="H336" s="1">
        <v>434</v>
      </c>
      <c r="I336" s="1">
        <f t="shared" si="44"/>
        <v>50</v>
      </c>
      <c r="J336" s="1">
        <f>VLOOKUP(B336,Cena!$A$2:$B$101,2)</f>
        <v>86</v>
      </c>
      <c r="K336" s="1">
        <f t="shared" si="40"/>
        <v>4300</v>
      </c>
      <c r="L336" s="1">
        <f t="shared" si="45"/>
        <v>989</v>
      </c>
      <c r="M336" s="22">
        <f t="shared" si="41"/>
        <v>5289</v>
      </c>
      <c r="N336" s="1">
        <f t="shared" ca="1" si="46"/>
        <v>12</v>
      </c>
      <c r="P336" s="1">
        <v>50.601255578658311</v>
      </c>
      <c r="Q336" s="1">
        <f t="shared" ca="1" si="47"/>
        <v>30</v>
      </c>
      <c r="R336" s="1">
        <v>9.4457539287395775</v>
      </c>
    </row>
    <row r="337" spans="1:18" x14ac:dyDescent="0.3">
      <c r="A337" s="26">
        <v>336</v>
      </c>
      <c r="B337" s="1">
        <v>11</v>
      </c>
      <c r="C337" s="1">
        <f t="shared" si="43"/>
        <v>8</v>
      </c>
      <c r="D337" s="21">
        <f t="shared" ca="1" si="42"/>
        <v>44920</v>
      </c>
      <c r="E337" s="1" t="s">
        <v>26</v>
      </c>
      <c r="F337" s="1" t="s">
        <v>365</v>
      </c>
      <c r="G337" s="1" t="s">
        <v>28</v>
      </c>
      <c r="H337" s="1">
        <v>435</v>
      </c>
      <c r="I337" s="1">
        <f t="shared" si="44"/>
        <v>67</v>
      </c>
      <c r="J337" s="1">
        <f>VLOOKUP(B337,Cena!$A$2:$B$101,2)</f>
        <v>83</v>
      </c>
      <c r="K337" s="1">
        <f t="shared" si="40"/>
        <v>5561</v>
      </c>
      <c r="L337" s="1">
        <f t="shared" si="45"/>
        <v>1279.03</v>
      </c>
      <c r="M337" s="22">
        <f t="shared" si="41"/>
        <v>6840.03</v>
      </c>
      <c r="N337" s="1">
        <f t="shared" ca="1" si="46"/>
        <v>12</v>
      </c>
      <c r="P337" s="1">
        <v>67.935917639988475</v>
      </c>
      <c r="Q337" s="1">
        <f t="shared" ca="1" si="47"/>
        <v>14</v>
      </c>
      <c r="R337" s="1">
        <v>8.588720018233289</v>
      </c>
    </row>
    <row r="338" spans="1:18" x14ac:dyDescent="0.3">
      <c r="A338" s="26">
        <v>337</v>
      </c>
      <c r="B338" s="1">
        <v>12</v>
      </c>
      <c r="C338" s="1">
        <f t="shared" si="43"/>
        <v>11</v>
      </c>
      <c r="D338" s="21">
        <f t="shared" ca="1" si="42"/>
        <v>44663</v>
      </c>
      <c r="E338" s="1" t="s">
        <v>26</v>
      </c>
      <c r="F338" s="1" t="s">
        <v>366</v>
      </c>
      <c r="G338" s="1" t="s">
        <v>28</v>
      </c>
      <c r="H338" s="1">
        <v>436</v>
      </c>
      <c r="I338" s="1">
        <f t="shared" si="44"/>
        <v>48</v>
      </c>
      <c r="J338" s="1">
        <f>VLOOKUP(B338,Cena!$A$2:$B$101,2)</f>
        <v>88</v>
      </c>
      <c r="K338" s="1">
        <f t="shared" si="40"/>
        <v>4224</v>
      </c>
      <c r="L338" s="1">
        <f t="shared" si="45"/>
        <v>971.5200000000001</v>
      </c>
      <c r="M338" s="22">
        <f t="shared" si="41"/>
        <v>5195.5200000000004</v>
      </c>
      <c r="N338" s="1">
        <f t="shared" ca="1" si="46"/>
        <v>4</v>
      </c>
      <c r="P338" s="1">
        <v>48.547946233884431</v>
      </c>
      <c r="Q338" s="1">
        <f t="shared" ca="1" si="47"/>
        <v>19</v>
      </c>
      <c r="R338" s="1">
        <v>11.3180510904931</v>
      </c>
    </row>
    <row r="339" spans="1:18" x14ac:dyDescent="0.3">
      <c r="A339" s="26">
        <v>338</v>
      </c>
      <c r="B339" s="1">
        <v>30</v>
      </c>
      <c r="C339" s="1">
        <f t="shared" si="43"/>
        <v>7</v>
      </c>
      <c r="D339" s="21">
        <f t="shared" ca="1" si="42"/>
        <v>44793</v>
      </c>
      <c r="E339" s="1" t="s">
        <v>26</v>
      </c>
      <c r="F339" s="1" t="s">
        <v>367</v>
      </c>
      <c r="G339" s="1" t="s">
        <v>28</v>
      </c>
      <c r="H339" s="1">
        <v>437</v>
      </c>
      <c r="I339" s="1">
        <f t="shared" si="44"/>
        <v>39</v>
      </c>
      <c r="J339" s="1">
        <f>VLOOKUP(B339,Cena!$A$2:$B$101,2)</f>
        <v>87</v>
      </c>
      <c r="K339" s="1">
        <f t="shared" si="40"/>
        <v>3393</v>
      </c>
      <c r="L339" s="1">
        <f t="shared" si="45"/>
        <v>780.39</v>
      </c>
      <c r="M339" s="22">
        <f t="shared" si="41"/>
        <v>4173.3900000000003</v>
      </c>
      <c r="N339" s="1">
        <f t="shared" ca="1" si="46"/>
        <v>8</v>
      </c>
      <c r="P339" s="1">
        <v>39.899015417904593</v>
      </c>
      <c r="Q339" s="1">
        <f t="shared" ca="1" si="47"/>
        <v>10</v>
      </c>
      <c r="R339" s="1">
        <v>7.2035197970399167</v>
      </c>
    </row>
    <row r="340" spans="1:18" x14ac:dyDescent="0.3">
      <c r="A340" s="26">
        <v>339</v>
      </c>
      <c r="B340" s="1">
        <v>17</v>
      </c>
      <c r="C340" s="1">
        <f t="shared" si="43"/>
        <v>14</v>
      </c>
      <c r="D340" s="21">
        <f t="shared" ca="1" si="42"/>
        <v>44605</v>
      </c>
      <c r="E340" s="1" t="s">
        <v>26</v>
      </c>
      <c r="F340" s="1" t="s">
        <v>368</v>
      </c>
      <c r="G340" s="1" t="s">
        <v>28</v>
      </c>
      <c r="H340" s="1">
        <v>438</v>
      </c>
      <c r="I340" s="1">
        <f t="shared" si="44"/>
        <v>48</v>
      </c>
      <c r="J340" s="1">
        <f>VLOOKUP(B340,Cena!$A$2:$B$101,2)</f>
        <v>84</v>
      </c>
      <c r="K340" s="1">
        <f t="shared" si="40"/>
        <v>4032</v>
      </c>
      <c r="L340" s="1">
        <f t="shared" si="45"/>
        <v>927.36</v>
      </c>
      <c r="M340" s="22">
        <f t="shared" si="41"/>
        <v>4959.3599999999997</v>
      </c>
      <c r="N340" s="1">
        <f t="shared" ca="1" si="46"/>
        <v>2</v>
      </c>
      <c r="P340" s="1">
        <v>48.401665379788028</v>
      </c>
      <c r="Q340" s="1">
        <f t="shared" ca="1" si="47"/>
        <v>20</v>
      </c>
      <c r="R340" s="1">
        <v>14.39783889305545</v>
      </c>
    </row>
    <row r="341" spans="1:18" x14ac:dyDescent="0.3">
      <c r="A341" s="26">
        <v>340</v>
      </c>
      <c r="B341" s="1">
        <v>14</v>
      </c>
      <c r="C341" s="1">
        <f t="shared" si="43"/>
        <v>7</v>
      </c>
      <c r="D341" s="21">
        <f t="shared" ca="1" si="42"/>
        <v>44851</v>
      </c>
      <c r="E341" s="1" t="s">
        <v>26</v>
      </c>
      <c r="F341" s="1" t="s">
        <v>369</v>
      </c>
      <c r="G341" s="1" t="s">
        <v>28</v>
      </c>
      <c r="H341" s="1">
        <v>439</v>
      </c>
      <c r="I341" s="1">
        <f t="shared" si="44"/>
        <v>41</v>
      </c>
      <c r="J341" s="1">
        <f>VLOOKUP(B341,Cena!$A$2:$B$101,2)</f>
        <v>129</v>
      </c>
      <c r="K341" s="1">
        <f t="shared" si="40"/>
        <v>5289</v>
      </c>
      <c r="L341" s="1">
        <f t="shared" si="45"/>
        <v>1216.47</v>
      </c>
      <c r="M341" s="22">
        <f t="shared" si="41"/>
        <v>6505.47</v>
      </c>
      <c r="N341" s="1">
        <f t="shared" ca="1" si="46"/>
        <v>10</v>
      </c>
      <c r="P341" s="1">
        <v>41.994877746037673</v>
      </c>
      <c r="Q341" s="1">
        <f t="shared" ca="1" si="47"/>
        <v>16</v>
      </c>
      <c r="R341" s="1">
        <v>7.6363881160068559</v>
      </c>
    </row>
    <row r="342" spans="1:18" x14ac:dyDescent="0.3">
      <c r="A342" s="26">
        <v>341</v>
      </c>
      <c r="B342" s="1">
        <v>10</v>
      </c>
      <c r="C342" s="1">
        <f t="shared" si="43"/>
        <v>11</v>
      </c>
      <c r="D342" s="21">
        <f t="shared" ca="1" si="42"/>
        <v>44792</v>
      </c>
      <c r="E342" s="1" t="s">
        <v>26</v>
      </c>
      <c r="F342" s="1" t="s">
        <v>370</v>
      </c>
      <c r="G342" s="1" t="s">
        <v>28</v>
      </c>
      <c r="H342" s="1">
        <v>440</v>
      </c>
      <c r="I342" s="1">
        <f t="shared" si="44"/>
        <v>62</v>
      </c>
      <c r="J342" s="1">
        <f>VLOOKUP(B342,Cena!$A$2:$B$101,2)</f>
        <v>109</v>
      </c>
      <c r="K342" s="1">
        <f t="shared" si="40"/>
        <v>6758</v>
      </c>
      <c r="L342" s="1">
        <f t="shared" si="45"/>
        <v>1554.3400000000001</v>
      </c>
      <c r="M342" s="22">
        <f t="shared" si="41"/>
        <v>8312.34</v>
      </c>
      <c r="N342" s="1">
        <f t="shared" ca="1" si="46"/>
        <v>8</v>
      </c>
      <c r="P342" s="1">
        <v>62.324517228989862</v>
      </c>
      <c r="Q342" s="1">
        <f t="shared" ca="1" si="47"/>
        <v>30</v>
      </c>
      <c r="R342" s="1">
        <v>11.73230887412501</v>
      </c>
    </row>
    <row r="343" spans="1:18" x14ac:dyDescent="0.3">
      <c r="A343" s="26">
        <v>342</v>
      </c>
      <c r="B343" s="1">
        <v>6</v>
      </c>
      <c r="C343" s="1">
        <f t="shared" si="43"/>
        <v>13</v>
      </c>
      <c r="D343" s="21">
        <f t="shared" ca="1" si="42"/>
        <v>44921</v>
      </c>
      <c r="E343" s="1" t="s">
        <v>26</v>
      </c>
      <c r="F343" s="1" t="s">
        <v>371</v>
      </c>
      <c r="G343" s="1" t="s">
        <v>28</v>
      </c>
      <c r="H343" s="1">
        <v>441</v>
      </c>
      <c r="I343" s="1">
        <f t="shared" si="44"/>
        <v>57</v>
      </c>
      <c r="J343" s="1">
        <f>VLOOKUP(B343,Cena!$A$2:$B$101,2)</f>
        <v>86</v>
      </c>
      <c r="K343" s="1">
        <f t="shared" si="40"/>
        <v>4902</v>
      </c>
      <c r="L343" s="1">
        <f t="shared" si="45"/>
        <v>1127.46</v>
      </c>
      <c r="M343" s="22">
        <f t="shared" si="41"/>
        <v>6029.46</v>
      </c>
      <c r="N343" s="1">
        <f t="shared" ca="1" si="46"/>
        <v>12</v>
      </c>
      <c r="P343" s="1">
        <v>57.684616321057547</v>
      </c>
      <c r="Q343" s="1">
        <f t="shared" ca="1" si="47"/>
        <v>20</v>
      </c>
      <c r="R343" s="1">
        <v>13.332741016492946</v>
      </c>
    </row>
    <row r="344" spans="1:18" x14ac:dyDescent="0.3">
      <c r="A344" s="26">
        <v>343</v>
      </c>
      <c r="B344" s="1">
        <v>6</v>
      </c>
      <c r="C344" s="1">
        <f t="shared" si="43"/>
        <v>10</v>
      </c>
      <c r="D344" s="21">
        <f t="shared" ca="1" si="42"/>
        <v>44850</v>
      </c>
      <c r="E344" s="1" t="s">
        <v>26</v>
      </c>
      <c r="F344" s="1" t="s">
        <v>372</v>
      </c>
      <c r="G344" s="1" t="s">
        <v>28</v>
      </c>
      <c r="H344" s="1">
        <v>442</v>
      </c>
      <c r="I344" s="1">
        <f t="shared" si="44"/>
        <v>28</v>
      </c>
      <c r="J344" s="1">
        <f>VLOOKUP(B344,Cena!$A$2:$B$101,2)</f>
        <v>86</v>
      </c>
      <c r="K344" s="1">
        <f t="shared" si="40"/>
        <v>2408</v>
      </c>
      <c r="L344" s="1">
        <f t="shared" si="45"/>
        <v>553.84</v>
      </c>
      <c r="M344" s="22">
        <f t="shared" si="41"/>
        <v>2961.84</v>
      </c>
      <c r="N344" s="1">
        <f t="shared" ca="1" si="46"/>
        <v>10</v>
      </c>
      <c r="P344" s="1">
        <v>28.25452737743035</v>
      </c>
      <c r="Q344" s="1">
        <f t="shared" ca="1" si="47"/>
        <v>16</v>
      </c>
      <c r="R344" s="1">
        <v>10.405009359383257</v>
      </c>
    </row>
    <row r="345" spans="1:18" x14ac:dyDescent="0.3">
      <c r="A345" s="26">
        <v>344</v>
      </c>
      <c r="B345" s="1">
        <v>10</v>
      </c>
      <c r="C345" s="1">
        <f t="shared" si="43"/>
        <v>8</v>
      </c>
      <c r="D345" s="21">
        <f t="shared" ca="1" si="42"/>
        <v>44605</v>
      </c>
      <c r="E345" s="1" t="s">
        <v>26</v>
      </c>
      <c r="F345" s="1" t="s">
        <v>373</v>
      </c>
      <c r="G345" s="1" t="s">
        <v>28</v>
      </c>
      <c r="H345" s="1">
        <v>443</v>
      </c>
      <c r="I345" s="1">
        <f t="shared" si="44"/>
        <v>35</v>
      </c>
      <c r="J345" s="1">
        <f>VLOOKUP(B345,Cena!$A$2:$B$101,2)</f>
        <v>109</v>
      </c>
      <c r="K345" s="1">
        <f t="shared" si="40"/>
        <v>3815</v>
      </c>
      <c r="L345" s="1">
        <f t="shared" si="45"/>
        <v>877.45</v>
      </c>
      <c r="M345" s="22">
        <f t="shared" si="41"/>
        <v>4692.45</v>
      </c>
      <c r="N345" s="1">
        <f t="shared" ca="1" si="46"/>
        <v>2</v>
      </c>
      <c r="P345" s="1">
        <v>35.752879183564801</v>
      </c>
      <c r="Q345" s="1">
        <f t="shared" ca="1" si="47"/>
        <v>14</v>
      </c>
      <c r="R345" s="1">
        <v>8.5231852406286635</v>
      </c>
    </row>
    <row r="346" spans="1:18" x14ac:dyDescent="0.3">
      <c r="A346" s="26">
        <v>345</v>
      </c>
      <c r="B346" s="1">
        <v>30</v>
      </c>
      <c r="C346" s="1">
        <f t="shared" si="43"/>
        <v>10</v>
      </c>
      <c r="D346" s="21">
        <f t="shared" ca="1" si="42"/>
        <v>44887</v>
      </c>
      <c r="E346" s="1" t="s">
        <v>26</v>
      </c>
      <c r="F346" s="1" t="s">
        <v>374</v>
      </c>
      <c r="G346" s="1" t="s">
        <v>28</v>
      </c>
      <c r="H346" s="1">
        <v>444</v>
      </c>
      <c r="I346" s="1">
        <f t="shared" si="44"/>
        <v>54</v>
      </c>
      <c r="J346" s="1">
        <f>VLOOKUP(B346,Cena!$A$2:$B$101,2)</f>
        <v>87</v>
      </c>
      <c r="K346" s="1">
        <f t="shared" si="40"/>
        <v>4698</v>
      </c>
      <c r="L346" s="1">
        <f t="shared" si="45"/>
        <v>1080.54</v>
      </c>
      <c r="M346" s="22">
        <f t="shared" si="41"/>
        <v>5778.54</v>
      </c>
      <c r="N346" s="1">
        <f t="shared" ca="1" si="46"/>
        <v>11</v>
      </c>
      <c r="P346" s="1">
        <v>54.537014319794253</v>
      </c>
      <c r="Q346" s="1">
        <f t="shared" ca="1" si="47"/>
        <v>6</v>
      </c>
      <c r="R346" s="1">
        <v>10.188845206139376</v>
      </c>
    </row>
    <row r="347" spans="1:18" x14ac:dyDescent="0.3">
      <c r="A347" s="26">
        <v>346</v>
      </c>
      <c r="B347" s="1">
        <v>9</v>
      </c>
      <c r="C347" s="1">
        <f t="shared" si="43"/>
        <v>12</v>
      </c>
      <c r="D347" s="21">
        <f t="shared" ca="1" si="42"/>
        <v>44636</v>
      </c>
      <c r="E347" s="1" t="s">
        <v>26</v>
      </c>
      <c r="F347" s="1" t="s">
        <v>375</v>
      </c>
      <c r="G347" s="1" t="s">
        <v>28</v>
      </c>
      <c r="H347" s="1">
        <v>445</v>
      </c>
      <c r="I347" s="1">
        <f t="shared" si="44"/>
        <v>56</v>
      </c>
      <c r="J347" s="1">
        <f>VLOOKUP(B347,Cena!$A$2:$B$101,2)</f>
        <v>96</v>
      </c>
      <c r="K347" s="1">
        <f t="shared" si="40"/>
        <v>5376</v>
      </c>
      <c r="L347" s="1">
        <f t="shared" si="45"/>
        <v>1236.48</v>
      </c>
      <c r="M347" s="22">
        <f t="shared" si="41"/>
        <v>6612.48</v>
      </c>
      <c r="N347" s="1">
        <f t="shared" ca="1" si="46"/>
        <v>3</v>
      </c>
      <c r="P347" s="1">
        <v>56.489460702141514</v>
      </c>
      <c r="Q347" s="1">
        <f t="shared" ca="1" si="47"/>
        <v>8</v>
      </c>
      <c r="R347" s="1">
        <v>12.132918552888441</v>
      </c>
    </row>
    <row r="348" spans="1:18" x14ac:dyDescent="0.3">
      <c r="A348" s="26">
        <v>347</v>
      </c>
      <c r="B348" s="1">
        <v>15</v>
      </c>
      <c r="C348" s="1">
        <f t="shared" si="43"/>
        <v>11</v>
      </c>
      <c r="D348" s="21">
        <f t="shared" ca="1" si="42"/>
        <v>44820</v>
      </c>
      <c r="E348" s="1" t="s">
        <v>26</v>
      </c>
      <c r="F348" s="1" t="s">
        <v>376</v>
      </c>
      <c r="G348" s="1" t="s">
        <v>28</v>
      </c>
      <c r="H348" s="1">
        <v>446</v>
      </c>
      <c r="I348" s="1">
        <f t="shared" si="44"/>
        <v>59</v>
      </c>
      <c r="J348" s="1">
        <f>VLOOKUP(B348,Cena!$A$2:$B$101,2)</f>
        <v>85</v>
      </c>
      <c r="K348" s="1">
        <f t="shared" si="40"/>
        <v>5015</v>
      </c>
      <c r="L348" s="1">
        <f t="shared" si="45"/>
        <v>1153.45</v>
      </c>
      <c r="M348" s="22">
        <f t="shared" si="41"/>
        <v>6168.45</v>
      </c>
      <c r="N348" s="1">
        <f t="shared" ca="1" si="46"/>
        <v>9</v>
      </c>
      <c r="P348" s="1">
        <v>59.047244020621292</v>
      </c>
      <c r="Q348" s="1">
        <f t="shared" ca="1" si="47"/>
        <v>28</v>
      </c>
      <c r="R348" s="1">
        <v>11.84822397386597</v>
      </c>
    </row>
    <row r="349" spans="1:18" x14ac:dyDescent="0.3">
      <c r="A349" s="26">
        <v>348</v>
      </c>
      <c r="B349" s="1">
        <v>11</v>
      </c>
      <c r="C349" s="1">
        <f t="shared" si="43"/>
        <v>9</v>
      </c>
      <c r="D349" s="21">
        <f t="shared" ca="1" si="42"/>
        <v>44717</v>
      </c>
      <c r="E349" s="1" t="s">
        <v>26</v>
      </c>
      <c r="F349" s="1" t="s">
        <v>377</v>
      </c>
      <c r="G349" s="1" t="s">
        <v>28</v>
      </c>
      <c r="H349" s="1">
        <v>447</v>
      </c>
      <c r="I349" s="1">
        <f t="shared" si="44"/>
        <v>55</v>
      </c>
      <c r="J349" s="1">
        <f>VLOOKUP(B349,Cena!$A$2:$B$101,2)</f>
        <v>83</v>
      </c>
      <c r="K349" s="1">
        <f t="shared" si="40"/>
        <v>4565</v>
      </c>
      <c r="L349" s="1">
        <f t="shared" si="45"/>
        <v>1049.95</v>
      </c>
      <c r="M349" s="22">
        <f t="shared" si="41"/>
        <v>5614.95</v>
      </c>
      <c r="N349" s="1">
        <f t="shared" ca="1" si="46"/>
        <v>6</v>
      </c>
      <c r="P349" s="1">
        <v>55.030233296565711</v>
      </c>
      <c r="Q349" s="1">
        <f t="shared" ca="1" si="47"/>
        <v>9</v>
      </c>
      <c r="R349" s="1">
        <v>9.1677810839973972</v>
      </c>
    </row>
    <row r="350" spans="1:18" x14ac:dyDescent="0.3">
      <c r="A350" s="26">
        <v>349</v>
      </c>
      <c r="B350" s="1">
        <v>30</v>
      </c>
      <c r="C350" s="1">
        <f t="shared" si="43"/>
        <v>16</v>
      </c>
      <c r="D350" s="21">
        <f t="shared" ca="1" si="42"/>
        <v>44719</v>
      </c>
      <c r="E350" s="1" t="s">
        <v>26</v>
      </c>
      <c r="F350" s="1" t="s">
        <v>378</v>
      </c>
      <c r="G350" s="1" t="s">
        <v>28</v>
      </c>
      <c r="H350" s="1">
        <v>448</v>
      </c>
      <c r="I350" s="1">
        <f t="shared" si="44"/>
        <v>49</v>
      </c>
      <c r="J350" s="1">
        <f>VLOOKUP(B350,Cena!$A$2:$B$101,2)</f>
        <v>87</v>
      </c>
      <c r="K350" s="1">
        <f t="shared" si="40"/>
        <v>4263</v>
      </c>
      <c r="L350" s="1">
        <f t="shared" si="45"/>
        <v>980.49</v>
      </c>
      <c r="M350" s="22">
        <f t="shared" si="41"/>
        <v>5243.49</v>
      </c>
      <c r="N350" s="1">
        <f t="shared" ca="1" si="46"/>
        <v>6</v>
      </c>
      <c r="P350" s="1">
        <v>49.36119365884224</v>
      </c>
      <c r="Q350" s="1">
        <f t="shared" ca="1" si="47"/>
        <v>24</v>
      </c>
      <c r="R350" s="1">
        <v>16.247682904358953</v>
      </c>
    </row>
    <row r="351" spans="1:18" x14ac:dyDescent="0.3">
      <c r="A351" s="26">
        <v>350</v>
      </c>
      <c r="B351" s="1">
        <v>6</v>
      </c>
      <c r="C351" s="1">
        <f t="shared" si="43"/>
        <v>10</v>
      </c>
      <c r="D351" s="21">
        <f t="shared" ca="1" si="42"/>
        <v>44850</v>
      </c>
      <c r="E351" s="1" t="s">
        <v>26</v>
      </c>
      <c r="F351" s="1" t="s">
        <v>379</v>
      </c>
      <c r="G351" s="1" t="s">
        <v>28</v>
      </c>
      <c r="H351" s="1">
        <v>449</v>
      </c>
      <c r="I351" s="1">
        <f t="shared" si="44"/>
        <v>43</v>
      </c>
      <c r="J351" s="1">
        <f>VLOOKUP(B351,Cena!$A$2:$B$101,2)</f>
        <v>86</v>
      </c>
      <c r="K351" s="1">
        <f t="shared" ref="K351:K414" si="48">I351*J351</f>
        <v>3698</v>
      </c>
      <c r="L351" s="1">
        <f t="shared" si="45"/>
        <v>850.54000000000008</v>
      </c>
      <c r="M351" s="22">
        <f t="shared" ref="M351:M414" si="49">K351+L351</f>
        <v>4548.54</v>
      </c>
      <c r="N351" s="1">
        <f t="shared" ca="1" si="46"/>
        <v>10</v>
      </c>
      <c r="P351" s="1">
        <v>43.790356711542699</v>
      </c>
      <c r="Q351" s="1">
        <f t="shared" ca="1" si="47"/>
        <v>12</v>
      </c>
      <c r="R351" s="1">
        <v>10.526446797266544</v>
      </c>
    </row>
    <row r="352" spans="1:18" x14ac:dyDescent="0.3">
      <c r="A352" s="26">
        <v>351</v>
      </c>
      <c r="B352" s="1">
        <v>24</v>
      </c>
      <c r="C352" s="1">
        <f t="shared" si="43"/>
        <v>11</v>
      </c>
      <c r="D352" s="21">
        <f t="shared" ca="1" si="42"/>
        <v>44760</v>
      </c>
      <c r="E352" s="1" t="s">
        <v>26</v>
      </c>
      <c r="F352" s="1" t="s">
        <v>380</v>
      </c>
      <c r="G352" s="1" t="s">
        <v>28</v>
      </c>
      <c r="H352" s="1">
        <v>450</v>
      </c>
      <c r="I352" s="1">
        <f t="shared" si="44"/>
        <v>61</v>
      </c>
      <c r="J352" s="1">
        <f>VLOOKUP(B352,Cena!$A$2:$B$101,2)</f>
        <v>125</v>
      </c>
      <c r="K352" s="1">
        <f t="shared" si="48"/>
        <v>7625</v>
      </c>
      <c r="L352" s="1">
        <f t="shared" si="45"/>
        <v>1753.75</v>
      </c>
      <c r="M352" s="22">
        <f t="shared" si="49"/>
        <v>9378.75</v>
      </c>
      <c r="N352" s="1">
        <f t="shared" ca="1" si="46"/>
        <v>7</v>
      </c>
      <c r="P352" s="1">
        <v>61.955307854805142</v>
      </c>
      <c r="Q352" s="1">
        <f t="shared" ca="1" si="47"/>
        <v>20</v>
      </c>
      <c r="R352" s="1">
        <v>11.595077492311248</v>
      </c>
    </row>
    <row r="353" spans="1:18" x14ac:dyDescent="0.3">
      <c r="A353" s="26">
        <v>352</v>
      </c>
      <c r="B353" s="1">
        <v>11</v>
      </c>
      <c r="C353" s="1">
        <f t="shared" si="43"/>
        <v>6</v>
      </c>
      <c r="D353" s="21">
        <f t="shared" ca="1" si="42"/>
        <v>44915</v>
      </c>
      <c r="E353" s="1" t="s">
        <v>26</v>
      </c>
      <c r="F353" s="1" t="s">
        <v>381</v>
      </c>
      <c r="G353" s="1" t="s">
        <v>28</v>
      </c>
      <c r="H353" s="1">
        <v>451</v>
      </c>
      <c r="I353" s="1">
        <f t="shared" si="44"/>
        <v>45</v>
      </c>
      <c r="J353" s="1">
        <f>VLOOKUP(B353,Cena!$A$2:$B$101,2)</f>
        <v>83</v>
      </c>
      <c r="K353" s="1">
        <f t="shared" si="48"/>
        <v>3735</v>
      </c>
      <c r="L353" s="1">
        <f t="shared" si="45"/>
        <v>859.05000000000007</v>
      </c>
      <c r="M353" s="22">
        <f t="shared" si="49"/>
        <v>4594.05</v>
      </c>
      <c r="N353" s="1">
        <f t="shared" ca="1" si="46"/>
        <v>12</v>
      </c>
      <c r="P353" s="1">
        <v>45.146959008707199</v>
      </c>
      <c r="Q353" s="1">
        <f t="shared" ca="1" si="47"/>
        <v>12</v>
      </c>
      <c r="R353" s="1">
        <v>6.3522327561804559</v>
      </c>
    </row>
    <row r="354" spans="1:18" x14ac:dyDescent="0.3">
      <c r="A354" s="26">
        <v>353</v>
      </c>
      <c r="B354" s="1">
        <v>2</v>
      </c>
      <c r="C354" s="1">
        <f t="shared" si="43"/>
        <v>9</v>
      </c>
      <c r="D354" s="21">
        <f t="shared" ca="1" si="42"/>
        <v>44905</v>
      </c>
      <c r="E354" s="1" t="s">
        <v>26</v>
      </c>
      <c r="F354" s="1" t="s">
        <v>382</v>
      </c>
      <c r="G354" s="1" t="s">
        <v>28</v>
      </c>
      <c r="H354" s="1">
        <v>452</v>
      </c>
      <c r="I354" s="1">
        <f t="shared" si="44"/>
        <v>62</v>
      </c>
      <c r="J354" s="1">
        <f>VLOOKUP(B354,Cena!$A$2:$B$101,2)</f>
        <v>121</v>
      </c>
      <c r="K354" s="1">
        <f t="shared" si="48"/>
        <v>7502</v>
      </c>
      <c r="L354" s="1">
        <f t="shared" si="45"/>
        <v>1725.46</v>
      </c>
      <c r="M354" s="22">
        <f t="shared" si="49"/>
        <v>9227.4599999999991</v>
      </c>
      <c r="N354" s="1">
        <f t="shared" ca="1" si="46"/>
        <v>12</v>
      </c>
      <c r="P354" s="1">
        <v>62.256145964784082</v>
      </c>
      <c r="Q354" s="1">
        <f t="shared" ca="1" si="47"/>
        <v>21</v>
      </c>
      <c r="R354" s="1">
        <v>9.780646930958028</v>
      </c>
    </row>
    <row r="355" spans="1:18" x14ac:dyDescent="0.3">
      <c r="A355" s="26">
        <v>354</v>
      </c>
      <c r="B355" s="1">
        <v>19</v>
      </c>
      <c r="C355" s="1">
        <f t="shared" si="43"/>
        <v>8</v>
      </c>
      <c r="D355" s="21">
        <f t="shared" ca="1" si="42"/>
        <v>44677</v>
      </c>
      <c r="E355" s="1" t="s">
        <v>26</v>
      </c>
      <c r="F355" s="1" t="s">
        <v>383</v>
      </c>
      <c r="G355" s="1" t="s">
        <v>28</v>
      </c>
      <c r="H355" s="1">
        <v>453</v>
      </c>
      <c r="I355" s="1">
        <f t="shared" si="44"/>
        <v>66</v>
      </c>
      <c r="J355" s="1">
        <f>VLOOKUP(B355,Cena!$A$2:$B$101,2)</f>
        <v>84</v>
      </c>
      <c r="K355" s="1">
        <f t="shared" si="48"/>
        <v>5544</v>
      </c>
      <c r="L355" s="1">
        <f t="shared" si="45"/>
        <v>1275.1200000000001</v>
      </c>
      <c r="M355" s="22">
        <f t="shared" si="49"/>
        <v>6819.12</v>
      </c>
      <c r="N355" s="1">
        <f t="shared" ca="1" si="46"/>
        <v>4</v>
      </c>
      <c r="P355" s="1">
        <v>66.672629499225877</v>
      </c>
      <c r="Q355" s="1">
        <f t="shared" ca="1" si="47"/>
        <v>4</v>
      </c>
      <c r="R355" s="1">
        <v>8.1585546038331813</v>
      </c>
    </row>
    <row r="356" spans="1:18" x14ac:dyDescent="0.3">
      <c r="A356" s="26">
        <v>355</v>
      </c>
      <c r="B356" s="1">
        <v>2</v>
      </c>
      <c r="C356" s="1">
        <f t="shared" si="43"/>
        <v>8</v>
      </c>
      <c r="D356" s="21">
        <f t="shared" ca="1" si="42"/>
        <v>44626</v>
      </c>
      <c r="E356" s="1" t="s">
        <v>26</v>
      </c>
      <c r="F356" s="1" t="s">
        <v>384</v>
      </c>
      <c r="G356" s="1" t="s">
        <v>28</v>
      </c>
      <c r="H356" s="1">
        <v>454</v>
      </c>
      <c r="I356" s="1">
        <f t="shared" si="44"/>
        <v>56</v>
      </c>
      <c r="J356" s="1">
        <f>VLOOKUP(B356,Cena!$A$2:$B$101,2)</f>
        <v>121</v>
      </c>
      <c r="K356" s="1">
        <f t="shared" si="48"/>
        <v>6776</v>
      </c>
      <c r="L356" s="1">
        <f t="shared" si="45"/>
        <v>1558.48</v>
      </c>
      <c r="M356" s="22">
        <f t="shared" si="49"/>
        <v>8334.48</v>
      </c>
      <c r="N356" s="1">
        <f t="shared" ca="1" si="46"/>
        <v>3</v>
      </c>
      <c r="P356" s="1">
        <v>56.249570105865132</v>
      </c>
      <c r="Q356" s="1">
        <f t="shared" ca="1" si="47"/>
        <v>15</v>
      </c>
      <c r="R356" s="1">
        <v>8.0405959831841756</v>
      </c>
    </row>
    <row r="357" spans="1:18" x14ac:dyDescent="0.3">
      <c r="A357" s="26">
        <v>356</v>
      </c>
      <c r="B357" s="1">
        <v>18</v>
      </c>
      <c r="C357" s="1">
        <f t="shared" si="43"/>
        <v>10</v>
      </c>
      <c r="D357" s="21">
        <f t="shared" ca="1" si="42"/>
        <v>44604</v>
      </c>
      <c r="E357" s="1" t="s">
        <v>26</v>
      </c>
      <c r="F357" s="1" t="s">
        <v>385</v>
      </c>
      <c r="G357" s="1" t="s">
        <v>28</v>
      </c>
      <c r="H357" s="1">
        <v>455</v>
      </c>
      <c r="I357" s="1">
        <f t="shared" si="44"/>
        <v>67</v>
      </c>
      <c r="J357" s="1">
        <f>VLOOKUP(B357,Cena!$A$2:$B$101,2)</f>
        <v>90</v>
      </c>
      <c r="K357" s="1">
        <f t="shared" si="48"/>
        <v>6030</v>
      </c>
      <c r="L357" s="1">
        <f t="shared" si="45"/>
        <v>1386.9</v>
      </c>
      <c r="M357" s="22">
        <f t="shared" si="49"/>
        <v>7416.9</v>
      </c>
      <c r="N357" s="1">
        <f t="shared" ca="1" si="46"/>
        <v>2</v>
      </c>
      <c r="P357" s="1">
        <v>67.242746253032237</v>
      </c>
      <c r="Q357" s="1">
        <f t="shared" ca="1" si="47"/>
        <v>23</v>
      </c>
      <c r="R357" s="1">
        <v>10.416056877838855</v>
      </c>
    </row>
    <row r="358" spans="1:18" x14ac:dyDescent="0.3">
      <c r="A358" s="26">
        <v>357</v>
      </c>
      <c r="B358" s="1">
        <v>28</v>
      </c>
      <c r="C358" s="1">
        <f t="shared" si="43"/>
        <v>10</v>
      </c>
      <c r="D358" s="21">
        <f t="shared" ca="1" si="42"/>
        <v>44805</v>
      </c>
      <c r="E358" s="1" t="s">
        <v>26</v>
      </c>
      <c r="F358" s="1" t="s">
        <v>386</v>
      </c>
      <c r="G358" s="1" t="s">
        <v>28</v>
      </c>
      <c r="H358" s="1">
        <v>456</v>
      </c>
      <c r="I358" s="1">
        <f t="shared" si="44"/>
        <v>53</v>
      </c>
      <c r="J358" s="1">
        <f>VLOOKUP(B358,Cena!$A$2:$B$101,2)</f>
        <v>59</v>
      </c>
      <c r="K358" s="1">
        <f t="shared" si="48"/>
        <v>3127</v>
      </c>
      <c r="L358" s="1">
        <f t="shared" si="45"/>
        <v>719.21</v>
      </c>
      <c r="M358" s="22">
        <f t="shared" si="49"/>
        <v>3846.21</v>
      </c>
      <c r="N358" s="1">
        <f t="shared" ca="1" si="46"/>
        <v>9</v>
      </c>
      <c r="P358" s="1">
        <v>53.904710865754168</v>
      </c>
      <c r="Q358" s="1">
        <f t="shared" ca="1" si="47"/>
        <v>7</v>
      </c>
      <c r="R358" s="1">
        <v>10.82050348737539</v>
      </c>
    </row>
    <row r="359" spans="1:18" x14ac:dyDescent="0.3">
      <c r="A359" s="26">
        <v>358</v>
      </c>
      <c r="B359" s="1">
        <v>2</v>
      </c>
      <c r="C359" s="1">
        <f t="shared" si="43"/>
        <v>10</v>
      </c>
      <c r="D359" s="21">
        <f t="shared" ca="1" si="42"/>
        <v>44758</v>
      </c>
      <c r="E359" s="1" t="s">
        <v>26</v>
      </c>
      <c r="F359" s="1" t="s">
        <v>387</v>
      </c>
      <c r="G359" s="1" t="s">
        <v>28</v>
      </c>
      <c r="H359" s="1">
        <v>457</v>
      </c>
      <c r="I359" s="1">
        <f t="shared" si="44"/>
        <v>57</v>
      </c>
      <c r="J359" s="1">
        <f>VLOOKUP(B359,Cena!$A$2:$B$101,2)</f>
        <v>121</v>
      </c>
      <c r="K359" s="1">
        <f t="shared" si="48"/>
        <v>6897</v>
      </c>
      <c r="L359" s="1">
        <f t="shared" si="45"/>
        <v>1586.3100000000002</v>
      </c>
      <c r="M359" s="22">
        <f t="shared" si="49"/>
        <v>8483.31</v>
      </c>
      <c r="N359" s="1">
        <f t="shared" ca="1" si="46"/>
        <v>7</v>
      </c>
      <c r="P359" s="1">
        <v>57.00822511134902</v>
      </c>
      <c r="Q359" s="1">
        <f t="shared" ca="1" si="47"/>
        <v>14</v>
      </c>
      <c r="R359" s="1">
        <v>10.061683635976806</v>
      </c>
    </row>
    <row r="360" spans="1:18" x14ac:dyDescent="0.3">
      <c r="A360" s="26">
        <v>359</v>
      </c>
      <c r="B360" s="1">
        <v>10</v>
      </c>
      <c r="C360" s="1">
        <f t="shared" si="43"/>
        <v>14</v>
      </c>
      <c r="D360" s="21">
        <f t="shared" ca="1" si="42"/>
        <v>44922</v>
      </c>
      <c r="E360" s="1" t="s">
        <v>26</v>
      </c>
      <c r="F360" s="1" t="s">
        <v>388</v>
      </c>
      <c r="G360" s="1" t="s">
        <v>28</v>
      </c>
      <c r="H360" s="1">
        <v>458</v>
      </c>
      <c r="I360" s="1">
        <f t="shared" si="44"/>
        <v>50</v>
      </c>
      <c r="J360" s="1">
        <f>VLOOKUP(B360,Cena!$A$2:$B$101,2)</f>
        <v>109</v>
      </c>
      <c r="K360" s="1">
        <f t="shared" si="48"/>
        <v>5450</v>
      </c>
      <c r="L360" s="1">
        <f t="shared" si="45"/>
        <v>1253.5</v>
      </c>
      <c r="M360" s="22">
        <f t="shared" si="49"/>
        <v>6703.5</v>
      </c>
      <c r="N360" s="1">
        <f t="shared" ca="1" si="46"/>
        <v>12</v>
      </c>
      <c r="P360" s="1">
        <v>50.444981651526177</v>
      </c>
      <c r="Q360" s="1">
        <f t="shared" ca="1" si="47"/>
        <v>22</v>
      </c>
      <c r="R360" s="1">
        <v>14.219714355713222</v>
      </c>
    </row>
    <row r="361" spans="1:18" x14ac:dyDescent="0.3">
      <c r="A361" s="26">
        <v>360</v>
      </c>
      <c r="B361" s="1">
        <v>16</v>
      </c>
      <c r="C361" s="1">
        <f t="shared" si="43"/>
        <v>14</v>
      </c>
      <c r="D361" s="21">
        <f t="shared" ca="1" si="42"/>
        <v>44689</v>
      </c>
      <c r="E361" s="1" t="s">
        <v>26</v>
      </c>
      <c r="F361" s="1" t="s">
        <v>389</v>
      </c>
      <c r="G361" s="1" t="s">
        <v>28</v>
      </c>
      <c r="H361" s="1">
        <v>459</v>
      </c>
      <c r="I361" s="1">
        <f t="shared" si="44"/>
        <v>51</v>
      </c>
      <c r="J361" s="1">
        <f>VLOOKUP(B361,Cena!$A$2:$B$101,2)</f>
        <v>93</v>
      </c>
      <c r="K361" s="1">
        <f t="shared" si="48"/>
        <v>4743</v>
      </c>
      <c r="L361" s="1">
        <f t="shared" si="45"/>
        <v>1090.8900000000001</v>
      </c>
      <c r="M361" s="22">
        <f t="shared" si="49"/>
        <v>5833.89</v>
      </c>
      <c r="N361" s="1">
        <f t="shared" ca="1" si="46"/>
        <v>5</v>
      </c>
      <c r="P361" s="1">
        <v>51.647936187509913</v>
      </c>
      <c r="Q361" s="1">
        <f t="shared" ca="1" si="47"/>
        <v>8</v>
      </c>
      <c r="R361" s="1">
        <v>14.831508704228327</v>
      </c>
    </row>
    <row r="362" spans="1:18" x14ac:dyDescent="0.3">
      <c r="A362" s="26">
        <v>361</v>
      </c>
      <c r="B362" s="1">
        <v>9</v>
      </c>
      <c r="C362" s="1">
        <f t="shared" si="43"/>
        <v>10</v>
      </c>
      <c r="D362" s="21">
        <f t="shared" ca="1" si="42"/>
        <v>44577</v>
      </c>
      <c r="E362" s="1" t="s">
        <v>26</v>
      </c>
      <c r="F362" s="1" t="s">
        <v>390</v>
      </c>
      <c r="G362" s="1" t="s">
        <v>28</v>
      </c>
      <c r="H362" s="1">
        <v>460</v>
      </c>
      <c r="I362" s="1">
        <f t="shared" si="44"/>
        <v>43</v>
      </c>
      <c r="J362" s="1">
        <f>VLOOKUP(B362,Cena!$A$2:$B$101,2)</f>
        <v>96</v>
      </c>
      <c r="K362" s="1">
        <f t="shared" si="48"/>
        <v>4128</v>
      </c>
      <c r="L362" s="1">
        <f t="shared" si="45"/>
        <v>949.44</v>
      </c>
      <c r="M362" s="22">
        <f t="shared" si="49"/>
        <v>5077.4400000000005</v>
      </c>
      <c r="N362" s="1">
        <f t="shared" ca="1" si="46"/>
        <v>1</v>
      </c>
      <c r="P362" s="1">
        <v>43.508652096352307</v>
      </c>
      <c r="Q362" s="1">
        <f t="shared" ca="1" si="47"/>
        <v>30</v>
      </c>
      <c r="R362" s="1">
        <v>10.055945292842807</v>
      </c>
    </row>
    <row r="363" spans="1:18" x14ac:dyDescent="0.3">
      <c r="A363" s="26">
        <v>362</v>
      </c>
      <c r="B363" s="1">
        <v>25</v>
      </c>
      <c r="C363" s="1">
        <f t="shared" si="43"/>
        <v>11</v>
      </c>
      <c r="D363" s="21">
        <f t="shared" ca="1" si="42"/>
        <v>44614</v>
      </c>
      <c r="E363" s="1" t="s">
        <v>26</v>
      </c>
      <c r="F363" s="1" t="s">
        <v>391</v>
      </c>
      <c r="G363" s="1" t="s">
        <v>28</v>
      </c>
      <c r="H363" s="1">
        <v>461</v>
      </c>
      <c r="I363" s="1">
        <f t="shared" si="44"/>
        <v>56</v>
      </c>
      <c r="J363" s="1">
        <f>VLOOKUP(B363,Cena!$A$2:$B$101,2)</f>
        <v>108</v>
      </c>
      <c r="K363" s="1">
        <f t="shared" si="48"/>
        <v>6048</v>
      </c>
      <c r="L363" s="1">
        <f t="shared" si="45"/>
        <v>1391.04</v>
      </c>
      <c r="M363" s="22">
        <f t="shared" si="49"/>
        <v>7439.04</v>
      </c>
      <c r="N363" s="1">
        <f t="shared" ca="1" si="46"/>
        <v>2</v>
      </c>
      <c r="P363" s="1">
        <v>56.152231435407884</v>
      </c>
      <c r="Q363" s="1">
        <f t="shared" ca="1" si="47"/>
        <v>20</v>
      </c>
      <c r="R363" s="1">
        <v>11.129166093960521</v>
      </c>
    </row>
    <row r="364" spans="1:18" x14ac:dyDescent="0.3">
      <c r="A364" s="26">
        <v>363</v>
      </c>
      <c r="B364" s="1">
        <v>10</v>
      </c>
      <c r="C364" s="1">
        <f t="shared" si="43"/>
        <v>11</v>
      </c>
      <c r="D364" s="21">
        <f t="shared" ca="1" si="42"/>
        <v>44746</v>
      </c>
      <c r="E364" s="1" t="s">
        <v>26</v>
      </c>
      <c r="F364" s="1" t="s">
        <v>392</v>
      </c>
      <c r="G364" s="1" t="s">
        <v>28</v>
      </c>
      <c r="H364" s="1">
        <v>462</v>
      </c>
      <c r="I364" s="1">
        <f t="shared" si="44"/>
        <v>72</v>
      </c>
      <c r="J364" s="1">
        <f>VLOOKUP(B364,Cena!$A$2:$B$101,2)</f>
        <v>109</v>
      </c>
      <c r="K364" s="1">
        <f t="shared" si="48"/>
        <v>7848</v>
      </c>
      <c r="L364" s="1">
        <f t="shared" si="45"/>
        <v>1805.0400000000002</v>
      </c>
      <c r="M364" s="22">
        <f t="shared" si="49"/>
        <v>9653.0400000000009</v>
      </c>
      <c r="N364" s="1">
        <f t="shared" ca="1" si="46"/>
        <v>7</v>
      </c>
      <c r="P364" s="1">
        <v>72.065614757593721</v>
      </c>
      <c r="Q364" s="1">
        <f t="shared" ca="1" si="47"/>
        <v>5</v>
      </c>
      <c r="R364" s="1">
        <v>11.391811110806884</v>
      </c>
    </row>
    <row r="365" spans="1:18" x14ac:dyDescent="0.3">
      <c r="A365" s="26">
        <v>364</v>
      </c>
      <c r="B365" s="1">
        <v>28</v>
      </c>
      <c r="C365" s="1">
        <f t="shared" si="43"/>
        <v>14</v>
      </c>
      <c r="D365" s="21">
        <f t="shared" ca="1" si="42"/>
        <v>44799</v>
      </c>
      <c r="E365" s="1" t="s">
        <v>26</v>
      </c>
      <c r="F365" s="1" t="s">
        <v>393</v>
      </c>
      <c r="G365" s="1" t="s">
        <v>28</v>
      </c>
      <c r="H365" s="1">
        <v>463</v>
      </c>
      <c r="I365" s="1">
        <f t="shared" si="44"/>
        <v>55</v>
      </c>
      <c r="J365" s="1">
        <f>VLOOKUP(B365,Cena!$A$2:$B$101,2)</f>
        <v>59</v>
      </c>
      <c r="K365" s="1">
        <f t="shared" si="48"/>
        <v>3245</v>
      </c>
      <c r="L365" s="1">
        <f t="shared" si="45"/>
        <v>746.35</v>
      </c>
      <c r="M365" s="22">
        <f t="shared" si="49"/>
        <v>3991.35</v>
      </c>
      <c r="N365" s="1">
        <f t="shared" ca="1" si="46"/>
        <v>8</v>
      </c>
      <c r="P365" s="1">
        <v>55.8972318583983</v>
      </c>
      <c r="Q365" s="1">
        <f t="shared" ca="1" si="47"/>
        <v>3</v>
      </c>
      <c r="R365" s="1">
        <v>14.22448920289753</v>
      </c>
    </row>
    <row r="366" spans="1:18" x14ac:dyDescent="0.3">
      <c r="A366" s="26">
        <v>365</v>
      </c>
      <c r="B366" s="1">
        <v>17</v>
      </c>
      <c r="C366" s="1">
        <f t="shared" si="43"/>
        <v>12</v>
      </c>
      <c r="D366" s="21">
        <f t="shared" ca="1" si="42"/>
        <v>44562</v>
      </c>
      <c r="E366" s="1" t="s">
        <v>26</v>
      </c>
      <c r="F366" s="1" t="s">
        <v>394</v>
      </c>
      <c r="G366" s="1" t="s">
        <v>28</v>
      </c>
      <c r="H366" s="1">
        <v>464</v>
      </c>
      <c r="I366" s="1">
        <f t="shared" si="44"/>
        <v>65</v>
      </c>
      <c r="J366" s="1">
        <f>VLOOKUP(B366,Cena!$A$2:$B$101,2)</f>
        <v>84</v>
      </c>
      <c r="K366" s="1">
        <f t="shared" si="48"/>
        <v>5460</v>
      </c>
      <c r="L366" s="1">
        <f t="shared" si="45"/>
        <v>1255.8</v>
      </c>
      <c r="M366" s="22">
        <f t="shared" si="49"/>
        <v>6715.8</v>
      </c>
      <c r="N366" s="1">
        <f t="shared" ca="1" si="46"/>
        <v>1</v>
      </c>
      <c r="P366" s="1">
        <v>65.365912986453623</v>
      </c>
      <c r="Q366" s="1">
        <f t="shared" ca="1" si="47"/>
        <v>8</v>
      </c>
      <c r="R366" s="1">
        <v>12.146157385141123</v>
      </c>
    </row>
    <row r="367" spans="1:18" x14ac:dyDescent="0.3">
      <c r="A367" s="26">
        <v>366</v>
      </c>
      <c r="B367" s="1">
        <v>14</v>
      </c>
      <c r="C367" s="1">
        <f t="shared" si="43"/>
        <v>6</v>
      </c>
      <c r="D367" s="21">
        <f t="shared" ca="1" si="42"/>
        <v>44923</v>
      </c>
      <c r="E367" s="1" t="s">
        <v>26</v>
      </c>
      <c r="F367" s="1" t="s">
        <v>395</v>
      </c>
      <c r="G367" s="1" t="s">
        <v>28</v>
      </c>
      <c r="H367" s="1">
        <v>465</v>
      </c>
      <c r="I367" s="1">
        <f t="shared" si="44"/>
        <v>56</v>
      </c>
      <c r="J367" s="1">
        <f>VLOOKUP(B367,Cena!$A$2:$B$101,2)</f>
        <v>129</v>
      </c>
      <c r="K367" s="1">
        <f t="shared" si="48"/>
        <v>7224</v>
      </c>
      <c r="L367" s="1">
        <f t="shared" si="45"/>
        <v>1661.52</v>
      </c>
      <c r="M367" s="22">
        <f t="shared" si="49"/>
        <v>8885.52</v>
      </c>
      <c r="N367" s="1">
        <f t="shared" ca="1" si="46"/>
        <v>12</v>
      </c>
      <c r="P367" s="1">
        <v>56.05269860898261</v>
      </c>
      <c r="Q367" s="1">
        <f t="shared" ca="1" si="47"/>
        <v>22</v>
      </c>
      <c r="R367" s="1">
        <v>6.603878571477253</v>
      </c>
    </row>
    <row r="368" spans="1:18" x14ac:dyDescent="0.3">
      <c r="A368" s="26">
        <v>367</v>
      </c>
      <c r="B368" s="1">
        <v>12</v>
      </c>
      <c r="C368" s="1">
        <f t="shared" si="43"/>
        <v>10</v>
      </c>
      <c r="D368" s="21">
        <f t="shared" ca="1" si="42"/>
        <v>44636</v>
      </c>
      <c r="E368" s="1" t="s">
        <v>26</v>
      </c>
      <c r="F368" s="1" t="s">
        <v>396</v>
      </c>
      <c r="G368" s="1" t="s">
        <v>28</v>
      </c>
      <c r="H368" s="1">
        <v>466</v>
      </c>
      <c r="I368" s="1">
        <f t="shared" si="44"/>
        <v>48</v>
      </c>
      <c r="J368" s="1">
        <f>VLOOKUP(B368,Cena!$A$2:$B$101,2)</f>
        <v>88</v>
      </c>
      <c r="K368" s="1">
        <f t="shared" si="48"/>
        <v>4224</v>
      </c>
      <c r="L368" s="1">
        <f t="shared" si="45"/>
        <v>971.5200000000001</v>
      </c>
      <c r="M368" s="22">
        <f t="shared" si="49"/>
        <v>5195.5200000000004</v>
      </c>
      <c r="N368" s="1">
        <f t="shared" ca="1" si="46"/>
        <v>3</v>
      </c>
      <c r="P368" s="1">
        <v>48.242628862499259</v>
      </c>
      <c r="Q368" s="1">
        <f t="shared" ca="1" si="47"/>
        <v>10</v>
      </c>
      <c r="R368" s="1">
        <v>10.119285914479406</v>
      </c>
    </row>
    <row r="369" spans="1:18" x14ac:dyDescent="0.3">
      <c r="A369" s="26">
        <v>368</v>
      </c>
      <c r="B369" s="1">
        <v>6</v>
      </c>
      <c r="C369" s="1">
        <f t="shared" si="43"/>
        <v>10</v>
      </c>
      <c r="D369" s="21">
        <f t="shared" ca="1" si="42"/>
        <v>44805</v>
      </c>
      <c r="E369" s="1" t="s">
        <v>26</v>
      </c>
      <c r="F369" s="1" t="s">
        <v>397</v>
      </c>
      <c r="G369" s="1" t="s">
        <v>28</v>
      </c>
      <c r="H369" s="1">
        <v>467</v>
      </c>
      <c r="I369" s="1">
        <f t="shared" si="44"/>
        <v>49</v>
      </c>
      <c r="J369" s="1">
        <f>VLOOKUP(B369,Cena!$A$2:$B$101,2)</f>
        <v>86</v>
      </c>
      <c r="K369" s="1">
        <f t="shared" si="48"/>
        <v>4214</v>
      </c>
      <c r="L369" s="1">
        <f t="shared" si="45"/>
        <v>969.22</v>
      </c>
      <c r="M369" s="22">
        <f t="shared" si="49"/>
        <v>5183.22</v>
      </c>
      <c r="N369" s="1">
        <f t="shared" ca="1" si="46"/>
        <v>9</v>
      </c>
      <c r="P369" s="1">
        <v>49.127965111256344</v>
      </c>
      <c r="Q369" s="1">
        <f t="shared" ca="1" si="47"/>
        <v>10</v>
      </c>
      <c r="R369" s="1">
        <v>10.308591552311555</v>
      </c>
    </row>
    <row r="370" spans="1:18" x14ac:dyDescent="0.3">
      <c r="A370" s="26">
        <v>369</v>
      </c>
      <c r="B370" s="1">
        <v>24</v>
      </c>
      <c r="C370" s="1">
        <f t="shared" si="43"/>
        <v>9</v>
      </c>
      <c r="D370" s="21">
        <f t="shared" ca="1" si="42"/>
        <v>44838</v>
      </c>
      <c r="E370" s="1" t="s">
        <v>26</v>
      </c>
      <c r="F370" s="1" t="s">
        <v>398</v>
      </c>
      <c r="G370" s="1" t="s">
        <v>28</v>
      </c>
      <c r="H370" s="1">
        <v>468</v>
      </c>
      <c r="I370" s="1">
        <f t="shared" si="44"/>
        <v>46</v>
      </c>
      <c r="J370" s="1">
        <f>VLOOKUP(B370,Cena!$A$2:$B$101,2)</f>
        <v>125</v>
      </c>
      <c r="K370" s="1">
        <f t="shared" si="48"/>
        <v>5750</v>
      </c>
      <c r="L370" s="1">
        <f t="shared" si="45"/>
        <v>1322.5</v>
      </c>
      <c r="M370" s="22">
        <f t="shared" si="49"/>
        <v>7072.5</v>
      </c>
      <c r="N370" s="1">
        <f t="shared" ca="1" si="46"/>
        <v>10</v>
      </c>
      <c r="P370" s="1">
        <v>46.245924194226973</v>
      </c>
      <c r="Q370" s="1">
        <f t="shared" ca="1" si="47"/>
        <v>18</v>
      </c>
      <c r="R370" s="1">
        <v>9.9446288256876869</v>
      </c>
    </row>
    <row r="371" spans="1:18" x14ac:dyDescent="0.3">
      <c r="A371" s="26">
        <v>370</v>
      </c>
      <c r="B371" s="1">
        <v>30</v>
      </c>
      <c r="C371" s="1">
        <f t="shared" si="43"/>
        <v>5</v>
      </c>
      <c r="D371" s="21">
        <f t="shared" ca="1" si="42"/>
        <v>44676</v>
      </c>
      <c r="E371" s="1" t="s">
        <v>26</v>
      </c>
      <c r="F371" s="1" t="s">
        <v>399</v>
      </c>
      <c r="G371" s="1" t="s">
        <v>28</v>
      </c>
      <c r="H371" s="1">
        <v>469</v>
      </c>
      <c r="I371" s="1">
        <f t="shared" si="44"/>
        <v>65</v>
      </c>
      <c r="J371" s="1">
        <f>VLOOKUP(B371,Cena!$A$2:$B$101,2)</f>
        <v>87</v>
      </c>
      <c r="K371" s="1">
        <f t="shared" si="48"/>
        <v>5655</v>
      </c>
      <c r="L371" s="1">
        <f t="shared" si="45"/>
        <v>1300.6500000000001</v>
      </c>
      <c r="M371" s="22">
        <f t="shared" si="49"/>
        <v>6955.65</v>
      </c>
      <c r="N371" s="1">
        <f t="shared" ca="1" si="46"/>
        <v>4</v>
      </c>
      <c r="P371" s="1">
        <v>65.395880836877041</v>
      </c>
      <c r="Q371" s="1">
        <f t="shared" ca="1" si="47"/>
        <v>17</v>
      </c>
      <c r="R371" s="1">
        <v>5.6271039991406724</v>
      </c>
    </row>
    <row r="372" spans="1:18" x14ac:dyDescent="0.3">
      <c r="A372" s="26">
        <v>371</v>
      </c>
      <c r="B372" s="1">
        <v>27</v>
      </c>
      <c r="C372" s="1">
        <f t="shared" si="43"/>
        <v>9</v>
      </c>
      <c r="D372" s="21">
        <f t="shared" ca="1" si="42"/>
        <v>44774</v>
      </c>
      <c r="E372" s="1" t="s">
        <v>26</v>
      </c>
      <c r="F372" s="1" t="s">
        <v>400</v>
      </c>
      <c r="G372" s="1" t="s">
        <v>28</v>
      </c>
      <c r="H372" s="1">
        <v>470</v>
      </c>
      <c r="I372" s="1">
        <f t="shared" si="44"/>
        <v>43</v>
      </c>
      <c r="J372" s="1">
        <f>VLOOKUP(B372,Cena!$A$2:$B$101,2)</f>
        <v>87</v>
      </c>
      <c r="K372" s="1">
        <f t="shared" si="48"/>
        <v>3741</v>
      </c>
      <c r="L372" s="1">
        <f t="shared" si="45"/>
        <v>860.43000000000006</v>
      </c>
      <c r="M372" s="22">
        <f t="shared" si="49"/>
        <v>4601.43</v>
      </c>
      <c r="N372" s="1">
        <f t="shared" ca="1" si="46"/>
        <v>8</v>
      </c>
      <c r="P372" s="1">
        <v>43.118331076402683</v>
      </c>
      <c r="Q372" s="1">
        <f t="shared" ca="1" si="47"/>
        <v>27</v>
      </c>
      <c r="R372" s="1">
        <v>9.0460736398745212</v>
      </c>
    </row>
    <row r="373" spans="1:18" x14ac:dyDescent="0.3">
      <c r="A373" s="26">
        <v>372</v>
      </c>
      <c r="B373" s="1">
        <v>12</v>
      </c>
      <c r="C373" s="1">
        <f t="shared" si="43"/>
        <v>12</v>
      </c>
      <c r="D373" s="21">
        <f t="shared" ca="1" si="42"/>
        <v>44645</v>
      </c>
      <c r="E373" s="1" t="s">
        <v>26</v>
      </c>
      <c r="F373" s="1" t="s">
        <v>401</v>
      </c>
      <c r="G373" s="1" t="s">
        <v>28</v>
      </c>
      <c r="H373" s="1">
        <v>471</v>
      </c>
      <c r="I373" s="1">
        <f t="shared" si="44"/>
        <v>41</v>
      </c>
      <c r="J373" s="1">
        <f>VLOOKUP(B373,Cena!$A$2:$B$101,2)</f>
        <v>88</v>
      </c>
      <c r="K373" s="1">
        <f t="shared" si="48"/>
        <v>3608</v>
      </c>
      <c r="L373" s="1">
        <f t="shared" si="45"/>
        <v>829.84</v>
      </c>
      <c r="M373" s="22">
        <f t="shared" si="49"/>
        <v>4437.84</v>
      </c>
      <c r="N373" s="1">
        <f t="shared" ca="1" si="46"/>
        <v>3</v>
      </c>
      <c r="P373" s="1">
        <v>41.937829690868966</v>
      </c>
      <c r="Q373" s="1">
        <f t="shared" ca="1" si="47"/>
        <v>6</v>
      </c>
      <c r="R373" s="1">
        <v>12.038120783254271</v>
      </c>
    </row>
    <row r="374" spans="1:18" x14ac:dyDescent="0.3">
      <c r="A374" s="26">
        <v>373</v>
      </c>
      <c r="B374" s="1">
        <v>6</v>
      </c>
      <c r="C374" s="1">
        <f t="shared" si="43"/>
        <v>6</v>
      </c>
      <c r="D374" s="21">
        <f t="shared" ca="1" si="42"/>
        <v>44672</v>
      </c>
      <c r="E374" s="1" t="s">
        <v>26</v>
      </c>
      <c r="F374" s="1" t="s">
        <v>402</v>
      </c>
      <c r="G374" s="1" t="s">
        <v>28</v>
      </c>
      <c r="H374" s="1">
        <v>472</v>
      </c>
      <c r="I374" s="1">
        <f t="shared" si="44"/>
        <v>66</v>
      </c>
      <c r="J374" s="1">
        <f>VLOOKUP(B374,Cena!$A$2:$B$101,2)</f>
        <v>86</v>
      </c>
      <c r="K374" s="1">
        <f t="shared" si="48"/>
        <v>5676</v>
      </c>
      <c r="L374" s="1">
        <f t="shared" si="45"/>
        <v>1305.48</v>
      </c>
      <c r="M374" s="22">
        <f t="shared" si="49"/>
        <v>6981.48</v>
      </c>
      <c r="N374" s="1">
        <f t="shared" ca="1" si="46"/>
        <v>4</v>
      </c>
      <c r="P374" s="1">
        <v>66.123976820381358</v>
      </c>
      <c r="Q374" s="1">
        <f t="shared" ca="1" si="47"/>
        <v>15</v>
      </c>
      <c r="R374" s="1">
        <v>6.7393478073063307</v>
      </c>
    </row>
    <row r="375" spans="1:18" x14ac:dyDescent="0.3">
      <c r="A375" s="26">
        <v>374</v>
      </c>
      <c r="B375" s="1">
        <v>7</v>
      </c>
      <c r="C375" s="1">
        <f t="shared" si="43"/>
        <v>10</v>
      </c>
      <c r="D375" s="21">
        <f t="shared" ca="1" si="42"/>
        <v>44562</v>
      </c>
      <c r="E375" s="1" t="s">
        <v>26</v>
      </c>
      <c r="F375" s="1" t="s">
        <v>403</v>
      </c>
      <c r="G375" s="1" t="s">
        <v>28</v>
      </c>
      <c r="H375" s="1">
        <v>473</v>
      </c>
      <c r="I375" s="1">
        <f t="shared" si="44"/>
        <v>49</v>
      </c>
      <c r="J375" s="1">
        <f>VLOOKUP(B375,Cena!$A$2:$B$101,2)</f>
        <v>104</v>
      </c>
      <c r="K375" s="1">
        <f t="shared" si="48"/>
        <v>5096</v>
      </c>
      <c r="L375" s="1">
        <f t="shared" si="45"/>
        <v>1172.0800000000002</v>
      </c>
      <c r="M375" s="22">
        <f t="shared" si="49"/>
        <v>6268.08</v>
      </c>
      <c r="N375" s="1">
        <f t="shared" ca="1" si="46"/>
        <v>1</v>
      </c>
      <c r="P375" s="1">
        <v>49.408703388326103</v>
      </c>
      <c r="Q375" s="1">
        <f t="shared" ca="1" si="47"/>
        <v>25</v>
      </c>
      <c r="R375" s="1">
        <v>10.314759063257952</v>
      </c>
    </row>
    <row r="376" spans="1:18" x14ac:dyDescent="0.3">
      <c r="A376" s="26">
        <v>375</v>
      </c>
      <c r="B376" s="1">
        <v>9</v>
      </c>
      <c r="C376" s="1">
        <f t="shared" si="43"/>
        <v>12</v>
      </c>
      <c r="D376" s="21">
        <f t="shared" ca="1" si="42"/>
        <v>44697</v>
      </c>
      <c r="E376" s="1" t="s">
        <v>26</v>
      </c>
      <c r="F376" s="1" t="s">
        <v>404</v>
      </c>
      <c r="G376" s="1" t="s">
        <v>28</v>
      </c>
      <c r="H376" s="1">
        <v>474</v>
      </c>
      <c r="I376" s="1">
        <f t="shared" si="44"/>
        <v>44</v>
      </c>
      <c r="J376" s="1">
        <f>VLOOKUP(B376,Cena!$A$2:$B$101,2)</f>
        <v>96</v>
      </c>
      <c r="K376" s="1">
        <f t="shared" si="48"/>
        <v>4224</v>
      </c>
      <c r="L376" s="1">
        <f t="shared" si="45"/>
        <v>971.5200000000001</v>
      </c>
      <c r="M376" s="22">
        <f t="shared" si="49"/>
        <v>5195.5200000000004</v>
      </c>
      <c r="N376" s="1">
        <f t="shared" ca="1" si="46"/>
        <v>5</v>
      </c>
      <c r="P376" s="1">
        <v>44.273048287141137</v>
      </c>
      <c r="Q376" s="1">
        <f t="shared" ca="1" si="47"/>
        <v>2</v>
      </c>
      <c r="R376" s="1">
        <v>12.670617504918482</v>
      </c>
    </row>
    <row r="377" spans="1:18" x14ac:dyDescent="0.3">
      <c r="A377" s="26">
        <v>376</v>
      </c>
      <c r="B377" s="1">
        <v>29</v>
      </c>
      <c r="C377" s="1">
        <f t="shared" si="43"/>
        <v>7</v>
      </c>
      <c r="D377" s="21">
        <f t="shared" ca="1" si="42"/>
        <v>44897</v>
      </c>
      <c r="E377" s="1" t="s">
        <v>26</v>
      </c>
      <c r="F377" s="1" t="s">
        <v>405</v>
      </c>
      <c r="G377" s="1" t="s">
        <v>28</v>
      </c>
      <c r="H377" s="1">
        <v>475</v>
      </c>
      <c r="I377" s="1">
        <f t="shared" si="44"/>
        <v>45</v>
      </c>
      <c r="J377" s="1">
        <f>VLOOKUP(B377,Cena!$A$2:$B$101,2)</f>
        <v>105</v>
      </c>
      <c r="K377" s="1">
        <f t="shared" si="48"/>
        <v>4725</v>
      </c>
      <c r="L377" s="1">
        <f t="shared" si="45"/>
        <v>1086.75</v>
      </c>
      <c r="M377" s="22">
        <f t="shared" si="49"/>
        <v>5811.75</v>
      </c>
      <c r="N377" s="1">
        <f t="shared" ca="1" si="46"/>
        <v>12</v>
      </c>
      <c r="P377" s="1">
        <v>45.556913745531347</v>
      </c>
      <c r="Q377" s="1">
        <f t="shared" ca="1" si="47"/>
        <v>9</v>
      </c>
      <c r="R377" s="1">
        <v>7.2804857861774508</v>
      </c>
    </row>
    <row r="378" spans="1:18" x14ac:dyDescent="0.3">
      <c r="A378" s="26">
        <v>377</v>
      </c>
      <c r="B378" s="1">
        <v>13</v>
      </c>
      <c r="C378" s="1">
        <f t="shared" si="43"/>
        <v>10</v>
      </c>
      <c r="D378" s="21">
        <f t="shared" ca="1" si="42"/>
        <v>44613</v>
      </c>
      <c r="E378" s="1" t="s">
        <v>26</v>
      </c>
      <c r="F378" s="1" t="s">
        <v>406</v>
      </c>
      <c r="G378" s="1" t="s">
        <v>28</v>
      </c>
      <c r="H378" s="1">
        <v>476</v>
      </c>
      <c r="I378" s="1">
        <f t="shared" si="44"/>
        <v>45</v>
      </c>
      <c r="J378" s="1">
        <f>VLOOKUP(B378,Cena!$A$2:$B$101,2)</f>
        <v>94</v>
      </c>
      <c r="K378" s="1">
        <f t="shared" si="48"/>
        <v>4230</v>
      </c>
      <c r="L378" s="1">
        <f t="shared" si="45"/>
        <v>972.90000000000009</v>
      </c>
      <c r="M378" s="22">
        <f t="shared" si="49"/>
        <v>5202.8999999999996</v>
      </c>
      <c r="N378" s="1">
        <f t="shared" ca="1" si="46"/>
        <v>2</v>
      </c>
      <c r="P378" s="1">
        <v>45.556913745531347</v>
      </c>
      <c r="Q378" s="1">
        <f t="shared" ca="1" si="47"/>
        <v>3</v>
      </c>
      <c r="R378" s="1">
        <v>10.35045673030254</v>
      </c>
    </row>
    <row r="379" spans="1:18" x14ac:dyDescent="0.3">
      <c r="A379" s="26">
        <v>378</v>
      </c>
      <c r="B379" s="1">
        <v>30</v>
      </c>
      <c r="C379" s="1">
        <f t="shared" si="43"/>
        <v>9</v>
      </c>
      <c r="D379" s="21">
        <f t="shared" ca="1" si="42"/>
        <v>44876</v>
      </c>
      <c r="E379" s="1" t="s">
        <v>26</v>
      </c>
      <c r="F379" s="1" t="s">
        <v>407</v>
      </c>
      <c r="G379" s="1" t="s">
        <v>28</v>
      </c>
      <c r="H379" s="1">
        <v>477</v>
      </c>
      <c r="I379" s="1">
        <f t="shared" si="44"/>
        <v>59</v>
      </c>
      <c r="J379" s="1">
        <f>VLOOKUP(B379,Cena!$A$2:$B$101,2)</f>
        <v>87</v>
      </c>
      <c r="K379" s="1">
        <f t="shared" si="48"/>
        <v>5133</v>
      </c>
      <c r="L379" s="1">
        <f t="shared" si="45"/>
        <v>1180.5900000000001</v>
      </c>
      <c r="M379" s="22">
        <f t="shared" si="49"/>
        <v>6313.59</v>
      </c>
      <c r="N379" s="1">
        <f t="shared" ca="1" si="46"/>
        <v>11</v>
      </c>
      <c r="P379" s="1">
        <v>59.361565389554016</v>
      </c>
      <c r="Q379" s="1">
        <f t="shared" ca="1" si="47"/>
        <v>18</v>
      </c>
      <c r="R379" s="1">
        <v>9.4690540461306227</v>
      </c>
    </row>
    <row r="380" spans="1:18" x14ac:dyDescent="0.3">
      <c r="A380" s="26">
        <v>379</v>
      </c>
      <c r="B380" s="1">
        <v>2</v>
      </c>
      <c r="C380" s="1">
        <f t="shared" si="43"/>
        <v>8</v>
      </c>
      <c r="D380" s="21">
        <f t="shared" ca="1" si="42"/>
        <v>44844</v>
      </c>
      <c r="E380" s="1" t="s">
        <v>26</v>
      </c>
      <c r="F380" s="1" t="s">
        <v>408</v>
      </c>
      <c r="G380" s="1" t="s">
        <v>28</v>
      </c>
      <c r="H380" s="1">
        <v>478</v>
      </c>
      <c r="I380" s="1">
        <f t="shared" si="44"/>
        <v>53</v>
      </c>
      <c r="J380" s="1">
        <f>VLOOKUP(B380,Cena!$A$2:$B$101,2)</f>
        <v>121</v>
      </c>
      <c r="K380" s="1">
        <f t="shared" si="48"/>
        <v>6413</v>
      </c>
      <c r="L380" s="1">
        <f t="shared" si="45"/>
        <v>1474.99</v>
      </c>
      <c r="M380" s="22">
        <f t="shared" si="49"/>
        <v>7887.99</v>
      </c>
      <c r="N380" s="1">
        <f t="shared" ca="1" si="46"/>
        <v>10</v>
      </c>
      <c r="P380" s="1">
        <v>53.527645731082885</v>
      </c>
      <c r="Q380" s="1">
        <f t="shared" ca="1" si="47"/>
        <v>15</v>
      </c>
      <c r="R380" s="1">
        <v>8.803707512706751</v>
      </c>
    </row>
    <row r="381" spans="1:18" x14ac:dyDescent="0.3">
      <c r="A381" s="26">
        <v>380</v>
      </c>
      <c r="B381" s="1">
        <v>4</v>
      </c>
      <c r="C381" s="1">
        <f t="shared" si="43"/>
        <v>8</v>
      </c>
      <c r="D381" s="21">
        <f t="shared" ca="1" si="42"/>
        <v>44862</v>
      </c>
      <c r="E381" s="1" t="s">
        <v>26</v>
      </c>
      <c r="F381" s="1" t="s">
        <v>409</v>
      </c>
      <c r="G381" s="1" t="s">
        <v>28</v>
      </c>
      <c r="H381" s="1">
        <v>479</v>
      </c>
      <c r="I381" s="1">
        <f t="shared" si="44"/>
        <v>47</v>
      </c>
      <c r="J381" s="1">
        <f>VLOOKUP(B381,Cena!$A$2:$B$101,2)</f>
        <v>99</v>
      </c>
      <c r="K381" s="1">
        <f t="shared" si="48"/>
        <v>4653</v>
      </c>
      <c r="L381" s="1">
        <f t="shared" si="45"/>
        <v>1070.19</v>
      </c>
      <c r="M381" s="22">
        <f t="shared" si="49"/>
        <v>5723.1900000000005</v>
      </c>
      <c r="N381" s="1">
        <f t="shared" ca="1" si="46"/>
        <v>10</v>
      </c>
      <c r="P381" s="1">
        <v>47.644033555843635</v>
      </c>
      <c r="Q381" s="1">
        <f t="shared" ca="1" si="47"/>
        <v>3</v>
      </c>
      <c r="R381" s="1">
        <v>8.0662323650904</v>
      </c>
    </row>
    <row r="382" spans="1:18" x14ac:dyDescent="0.3">
      <c r="A382" s="26">
        <v>381</v>
      </c>
      <c r="B382" s="1">
        <v>13</v>
      </c>
      <c r="C382" s="1">
        <f t="shared" si="43"/>
        <v>6</v>
      </c>
      <c r="D382" s="21">
        <f t="shared" ca="1" si="42"/>
        <v>44605</v>
      </c>
      <c r="E382" s="1" t="s">
        <v>26</v>
      </c>
      <c r="F382" s="1" t="s">
        <v>410</v>
      </c>
      <c r="G382" s="1" t="s">
        <v>28</v>
      </c>
      <c r="H382" s="1">
        <v>480</v>
      </c>
      <c r="I382" s="1">
        <f t="shared" si="44"/>
        <v>53</v>
      </c>
      <c r="J382" s="1">
        <f>VLOOKUP(B382,Cena!$A$2:$B$101,2)</f>
        <v>94</v>
      </c>
      <c r="K382" s="1">
        <f t="shared" si="48"/>
        <v>4982</v>
      </c>
      <c r="L382" s="1">
        <f t="shared" si="45"/>
        <v>1145.8600000000001</v>
      </c>
      <c r="M382" s="22">
        <f t="shared" si="49"/>
        <v>6127.8600000000006</v>
      </c>
      <c r="N382" s="1">
        <f t="shared" ca="1" si="46"/>
        <v>2</v>
      </c>
      <c r="P382" s="1">
        <v>53.332911546749528</v>
      </c>
      <c r="Q382" s="1">
        <f t="shared" ca="1" si="47"/>
        <v>25</v>
      </c>
      <c r="R382" s="1">
        <v>6.0596483106201049</v>
      </c>
    </row>
    <row r="383" spans="1:18" x14ac:dyDescent="0.3">
      <c r="A383" s="26">
        <v>382</v>
      </c>
      <c r="B383" s="1">
        <v>8</v>
      </c>
      <c r="C383" s="1">
        <f t="shared" si="43"/>
        <v>8</v>
      </c>
      <c r="D383" s="21">
        <f t="shared" ca="1" si="42"/>
        <v>44632</v>
      </c>
      <c r="E383" s="1" t="s">
        <v>26</v>
      </c>
      <c r="F383" s="1" t="s">
        <v>411</v>
      </c>
      <c r="G383" s="1" t="s">
        <v>28</v>
      </c>
      <c r="H383" s="1">
        <v>481</v>
      </c>
      <c r="I383" s="1">
        <f t="shared" si="44"/>
        <v>47</v>
      </c>
      <c r="J383" s="1">
        <f>VLOOKUP(B383,Cena!$A$2:$B$101,2)</f>
        <v>88</v>
      </c>
      <c r="K383" s="1">
        <f t="shared" si="48"/>
        <v>4136</v>
      </c>
      <c r="L383" s="1">
        <f t="shared" si="45"/>
        <v>951.28000000000009</v>
      </c>
      <c r="M383" s="22">
        <f t="shared" si="49"/>
        <v>5087.28</v>
      </c>
      <c r="N383" s="1">
        <f t="shared" ca="1" si="46"/>
        <v>3</v>
      </c>
      <c r="P383" s="1">
        <v>47.92001972309663</v>
      </c>
      <c r="Q383" s="1">
        <f t="shared" ca="1" si="47"/>
        <v>22</v>
      </c>
      <c r="R383" s="1">
        <v>8.8060665145894745</v>
      </c>
    </row>
    <row r="384" spans="1:18" x14ac:dyDescent="0.3">
      <c r="A384" s="26">
        <v>383</v>
      </c>
      <c r="B384" s="1">
        <v>6</v>
      </c>
      <c r="C384" s="1">
        <f t="shared" si="43"/>
        <v>9</v>
      </c>
      <c r="D384" s="21">
        <f t="shared" ca="1" si="42"/>
        <v>44643</v>
      </c>
      <c r="E384" s="1" t="s">
        <v>26</v>
      </c>
      <c r="F384" s="1" t="s">
        <v>412</v>
      </c>
      <c r="G384" s="1" t="s">
        <v>28</v>
      </c>
      <c r="H384" s="1">
        <v>482</v>
      </c>
      <c r="I384" s="1">
        <f t="shared" si="44"/>
        <v>31</v>
      </c>
      <c r="J384" s="1">
        <f>VLOOKUP(B384,Cena!$A$2:$B$101,2)</f>
        <v>86</v>
      </c>
      <c r="K384" s="1">
        <f t="shared" si="48"/>
        <v>2666</v>
      </c>
      <c r="L384" s="1">
        <f t="shared" si="45"/>
        <v>613.18000000000006</v>
      </c>
      <c r="M384" s="22">
        <f t="shared" si="49"/>
        <v>3279.1800000000003</v>
      </c>
      <c r="N384" s="1">
        <f t="shared" ca="1" si="46"/>
        <v>3</v>
      </c>
      <c r="P384" s="1">
        <v>31.364180712262169</v>
      </c>
      <c r="Q384" s="1">
        <f t="shared" ca="1" si="47"/>
        <v>8</v>
      </c>
      <c r="R384" s="1">
        <v>9.8075111307116458</v>
      </c>
    </row>
    <row r="385" spans="1:18" x14ac:dyDescent="0.3">
      <c r="A385" s="26">
        <v>384</v>
      </c>
      <c r="B385" s="1">
        <v>8</v>
      </c>
      <c r="C385" s="1">
        <f t="shared" si="43"/>
        <v>15</v>
      </c>
      <c r="D385" s="21">
        <f t="shared" ca="1" si="42"/>
        <v>44870</v>
      </c>
      <c r="E385" s="1" t="s">
        <v>26</v>
      </c>
      <c r="F385" s="1" t="s">
        <v>413</v>
      </c>
      <c r="G385" s="1" t="s">
        <v>28</v>
      </c>
      <c r="H385" s="1">
        <v>483</v>
      </c>
      <c r="I385" s="1">
        <f t="shared" si="44"/>
        <v>55</v>
      </c>
      <c r="J385" s="1">
        <f>VLOOKUP(B385,Cena!$A$2:$B$101,2)</f>
        <v>88</v>
      </c>
      <c r="K385" s="1">
        <f t="shared" si="48"/>
        <v>4840</v>
      </c>
      <c r="L385" s="1">
        <f t="shared" si="45"/>
        <v>1113.2</v>
      </c>
      <c r="M385" s="22">
        <f t="shared" si="49"/>
        <v>5953.2</v>
      </c>
      <c r="N385" s="1">
        <f t="shared" ca="1" si="46"/>
        <v>11</v>
      </c>
      <c r="P385" s="1">
        <v>55.791071089333855</v>
      </c>
      <c r="Q385" s="1">
        <f t="shared" ca="1" si="47"/>
        <v>2</v>
      </c>
      <c r="R385" s="1">
        <v>15.073411557532381</v>
      </c>
    </row>
    <row r="386" spans="1:18" x14ac:dyDescent="0.3">
      <c r="A386" s="26">
        <v>385</v>
      </c>
      <c r="B386" s="1">
        <v>27</v>
      </c>
      <c r="C386" s="1">
        <f t="shared" si="43"/>
        <v>11</v>
      </c>
      <c r="D386" s="21">
        <f t="shared" ref="D386:D449" ca="1" si="50">DATE(2022,RANDBETWEEN(1,12),RANDBETWEEN(1,28))</f>
        <v>44765</v>
      </c>
      <c r="E386" s="1" t="s">
        <v>26</v>
      </c>
      <c r="F386" s="1" t="s">
        <v>414</v>
      </c>
      <c r="G386" s="1" t="s">
        <v>28</v>
      </c>
      <c r="H386" s="1">
        <v>484</v>
      </c>
      <c r="I386" s="1">
        <f t="shared" si="44"/>
        <v>42</v>
      </c>
      <c r="J386" s="1">
        <f>VLOOKUP(B386,Cena!$A$2:$B$101,2)</f>
        <v>87</v>
      </c>
      <c r="K386" s="1">
        <f t="shared" si="48"/>
        <v>3654</v>
      </c>
      <c r="L386" s="1">
        <f t="shared" si="45"/>
        <v>840.42000000000007</v>
      </c>
      <c r="M386" s="22">
        <f t="shared" si="49"/>
        <v>4494.42</v>
      </c>
      <c r="N386" s="1">
        <f t="shared" ca="1" si="46"/>
        <v>7</v>
      </c>
      <c r="P386" s="1">
        <v>42.051652952795848</v>
      </c>
      <c r="Q386" s="1">
        <f t="shared" ca="1" si="47"/>
        <v>10</v>
      </c>
      <c r="R386" s="1">
        <v>11.885121037048521</v>
      </c>
    </row>
    <row r="387" spans="1:18" x14ac:dyDescent="0.3">
      <c r="A387" s="26">
        <v>386</v>
      </c>
      <c r="B387" s="1">
        <v>14</v>
      </c>
      <c r="C387" s="1">
        <f t="shared" ref="C387:C450" si="51">INT(R387)</f>
        <v>8</v>
      </c>
      <c r="D387" s="21">
        <f t="shared" ca="1" si="50"/>
        <v>44704</v>
      </c>
      <c r="E387" s="1" t="s">
        <v>26</v>
      </c>
      <c r="F387" s="1" t="s">
        <v>415</v>
      </c>
      <c r="G387" s="1" t="s">
        <v>28</v>
      </c>
      <c r="H387" s="1">
        <v>485</v>
      </c>
      <c r="I387" s="1">
        <f t="shared" ref="I387:I450" si="52">INT(P387)</f>
        <v>38</v>
      </c>
      <c r="J387" s="1">
        <f>VLOOKUP(B387,Cena!$A$2:$B$101,2)</f>
        <v>129</v>
      </c>
      <c r="K387" s="1">
        <f t="shared" si="48"/>
        <v>4902</v>
      </c>
      <c r="L387" s="1">
        <f t="shared" ref="L387:L450" si="53">K387*23%</f>
        <v>1127.46</v>
      </c>
      <c r="M387" s="22">
        <f t="shared" si="49"/>
        <v>6029.46</v>
      </c>
      <c r="N387" s="1">
        <f t="shared" ref="N387:N450" ca="1" si="54">MONTH(D387)</f>
        <v>5</v>
      </c>
      <c r="P387" s="1">
        <v>38.805484463227913</v>
      </c>
      <c r="Q387" s="1">
        <f t="shared" ref="Q387:Q450" ca="1" si="55">RANDBETWEEN(1,30)</f>
        <v>22</v>
      </c>
      <c r="R387" s="1">
        <v>8.1570510954043129</v>
      </c>
    </row>
    <row r="388" spans="1:18" x14ac:dyDescent="0.3">
      <c r="A388" s="26">
        <v>387</v>
      </c>
      <c r="B388" s="1">
        <v>16</v>
      </c>
      <c r="C388" s="1">
        <f t="shared" si="51"/>
        <v>9</v>
      </c>
      <c r="D388" s="21">
        <f t="shared" ca="1" si="50"/>
        <v>44902</v>
      </c>
      <c r="E388" s="1" t="s">
        <v>26</v>
      </c>
      <c r="F388" s="1" t="s">
        <v>416</v>
      </c>
      <c r="G388" s="1" t="s">
        <v>28</v>
      </c>
      <c r="H388" s="1">
        <v>486</v>
      </c>
      <c r="I388" s="1">
        <f t="shared" si="52"/>
        <v>48</v>
      </c>
      <c r="J388" s="1">
        <f>VLOOKUP(B388,Cena!$A$2:$B$101,2)</f>
        <v>93</v>
      </c>
      <c r="K388" s="1">
        <f t="shared" si="48"/>
        <v>4464</v>
      </c>
      <c r="L388" s="1">
        <f t="shared" si="53"/>
        <v>1026.72</v>
      </c>
      <c r="M388" s="22">
        <f t="shared" si="49"/>
        <v>5490.72</v>
      </c>
      <c r="N388" s="1">
        <f t="shared" ca="1" si="54"/>
        <v>12</v>
      </c>
      <c r="P388" s="1">
        <v>48.740963746968191</v>
      </c>
      <c r="Q388" s="1">
        <f t="shared" ca="1" si="55"/>
        <v>1</v>
      </c>
      <c r="R388" s="1">
        <v>9.2690050021337811</v>
      </c>
    </row>
    <row r="389" spans="1:18" x14ac:dyDescent="0.3">
      <c r="A389" s="26">
        <v>388</v>
      </c>
      <c r="B389" s="1">
        <v>12</v>
      </c>
      <c r="C389" s="1">
        <f t="shared" si="51"/>
        <v>11</v>
      </c>
      <c r="D389" s="21">
        <f t="shared" ca="1" si="50"/>
        <v>44583</v>
      </c>
      <c r="E389" s="1" t="s">
        <v>26</v>
      </c>
      <c r="F389" s="1" t="s">
        <v>417</v>
      </c>
      <c r="G389" s="1" t="s">
        <v>28</v>
      </c>
      <c r="H389" s="1">
        <v>487</v>
      </c>
      <c r="I389" s="1">
        <f t="shared" si="52"/>
        <v>65</v>
      </c>
      <c r="J389" s="1">
        <f>VLOOKUP(B389,Cena!$A$2:$B$101,2)</f>
        <v>88</v>
      </c>
      <c r="K389" s="1">
        <f t="shared" si="48"/>
        <v>5720</v>
      </c>
      <c r="L389" s="1">
        <f t="shared" si="53"/>
        <v>1315.6000000000001</v>
      </c>
      <c r="M389" s="22">
        <f t="shared" si="49"/>
        <v>7035.6</v>
      </c>
      <c r="N389" s="1">
        <f t="shared" ca="1" si="54"/>
        <v>1</v>
      </c>
      <c r="P389" s="1">
        <v>65.540126696578227</v>
      </c>
      <c r="Q389" s="1">
        <f t="shared" ca="1" si="55"/>
        <v>25</v>
      </c>
      <c r="R389" s="1">
        <v>11.296342588830157</v>
      </c>
    </row>
    <row r="390" spans="1:18" x14ac:dyDescent="0.3">
      <c r="A390" s="26">
        <v>389</v>
      </c>
      <c r="B390" s="1">
        <v>9</v>
      </c>
      <c r="C390" s="1">
        <f t="shared" si="51"/>
        <v>13</v>
      </c>
      <c r="D390" s="21">
        <f t="shared" ca="1" si="50"/>
        <v>44762</v>
      </c>
      <c r="E390" s="1" t="s">
        <v>26</v>
      </c>
      <c r="F390" s="1" t="s">
        <v>418</v>
      </c>
      <c r="G390" s="1" t="s">
        <v>28</v>
      </c>
      <c r="H390" s="1">
        <v>488</v>
      </c>
      <c r="I390" s="1">
        <f t="shared" si="52"/>
        <v>53</v>
      </c>
      <c r="J390" s="1">
        <f>VLOOKUP(B390,Cena!$A$2:$B$101,2)</f>
        <v>96</v>
      </c>
      <c r="K390" s="1">
        <f t="shared" si="48"/>
        <v>5088</v>
      </c>
      <c r="L390" s="1">
        <f t="shared" si="53"/>
        <v>1170.24</v>
      </c>
      <c r="M390" s="22">
        <f t="shared" si="49"/>
        <v>6258.24</v>
      </c>
      <c r="N390" s="1">
        <f t="shared" ca="1" si="54"/>
        <v>7</v>
      </c>
      <c r="P390" s="1">
        <v>53.67620032193372</v>
      </c>
      <c r="Q390" s="1">
        <f t="shared" ca="1" si="55"/>
        <v>7</v>
      </c>
      <c r="R390" s="1">
        <v>13.204615950380685</v>
      </c>
    </row>
    <row r="391" spans="1:18" x14ac:dyDescent="0.3">
      <c r="A391" s="26">
        <v>390</v>
      </c>
      <c r="B391" s="1">
        <v>13</v>
      </c>
      <c r="C391" s="1">
        <f t="shared" si="51"/>
        <v>14</v>
      </c>
      <c r="D391" s="21">
        <f t="shared" ca="1" si="50"/>
        <v>44821</v>
      </c>
      <c r="E391" s="1" t="s">
        <v>26</v>
      </c>
      <c r="F391" s="1" t="s">
        <v>419</v>
      </c>
      <c r="G391" s="1" t="s">
        <v>28</v>
      </c>
      <c r="H391" s="1">
        <v>489</v>
      </c>
      <c r="I391" s="1">
        <f t="shared" si="52"/>
        <v>71</v>
      </c>
      <c r="J391" s="1">
        <f>VLOOKUP(B391,Cena!$A$2:$B$101,2)</f>
        <v>94</v>
      </c>
      <c r="K391" s="1">
        <f t="shared" si="48"/>
        <v>6674</v>
      </c>
      <c r="L391" s="1">
        <f t="shared" si="53"/>
        <v>1535.02</v>
      </c>
      <c r="M391" s="22">
        <f t="shared" si="49"/>
        <v>8209.02</v>
      </c>
      <c r="N391" s="1">
        <f t="shared" ca="1" si="54"/>
        <v>9</v>
      </c>
      <c r="P391" s="1">
        <v>71.609230316244066</v>
      </c>
      <c r="Q391" s="1">
        <f t="shared" ca="1" si="55"/>
        <v>24</v>
      </c>
      <c r="R391" s="1">
        <v>14.38263896285207</v>
      </c>
    </row>
    <row r="392" spans="1:18" x14ac:dyDescent="0.3">
      <c r="A392" s="26">
        <v>391</v>
      </c>
      <c r="B392" s="1">
        <v>25</v>
      </c>
      <c r="C392" s="1">
        <f t="shared" si="51"/>
        <v>4</v>
      </c>
      <c r="D392" s="21">
        <f t="shared" ca="1" si="50"/>
        <v>44624</v>
      </c>
      <c r="E392" s="1" t="s">
        <v>26</v>
      </c>
      <c r="F392" s="1" t="s">
        <v>420</v>
      </c>
      <c r="G392" s="1" t="s">
        <v>28</v>
      </c>
      <c r="H392" s="1">
        <v>490</v>
      </c>
      <c r="I392" s="1">
        <f t="shared" si="52"/>
        <v>41</v>
      </c>
      <c r="J392" s="1">
        <f>VLOOKUP(B392,Cena!$A$2:$B$101,2)</f>
        <v>108</v>
      </c>
      <c r="K392" s="1">
        <f t="shared" si="48"/>
        <v>4428</v>
      </c>
      <c r="L392" s="1">
        <f t="shared" si="53"/>
        <v>1018.44</v>
      </c>
      <c r="M392" s="22">
        <f t="shared" si="49"/>
        <v>5446.4400000000005</v>
      </c>
      <c r="N392" s="1">
        <f t="shared" ca="1" si="54"/>
        <v>3</v>
      </c>
      <c r="P392" s="1">
        <v>41.192066772782709</v>
      </c>
      <c r="Q392" s="1">
        <f t="shared" ca="1" si="55"/>
        <v>21</v>
      </c>
      <c r="R392" s="1">
        <v>4.402151060057804</v>
      </c>
    </row>
    <row r="393" spans="1:18" x14ac:dyDescent="0.3">
      <c r="A393" s="26">
        <v>392</v>
      </c>
      <c r="B393" s="1">
        <v>8</v>
      </c>
      <c r="C393" s="1">
        <f t="shared" si="51"/>
        <v>14</v>
      </c>
      <c r="D393" s="21">
        <f t="shared" ca="1" si="50"/>
        <v>44800</v>
      </c>
      <c r="E393" s="1" t="s">
        <v>26</v>
      </c>
      <c r="F393" s="1" t="s">
        <v>421</v>
      </c>
      <c r="G393" s="1" t="s">
        <v>28</v>
      </c>
      <c r="H393" s="1">
        <v>491</v>
      </c>
      <c r="I393" s="1">
        <f t="shared" si="52"/>
        <v>53</v>
      </c>
      <c r="J393" s="1">
        <f>VLOOKUP(B393,Cena!$A$2:$B$101,2)</f>
        <v>88</v>
      </c>
      <c r="K393" s="1">
        <f t="shared" si="48"/>
        <v>4664</v>
      </c>
      <c r="L393" s="1">
        <f t="shared" si="53"/>
        <v>1072.72</v>
      </c>
      <c r="M393" s="22">
        <f t="shared" si="49"/>
        <v>5736.72</v>
      </c>
      <c r="N393" s="1">
        <f t="shared" ca="1" si="54"/>
        <v>8</v>
      </c>
      <c r="P393" s="1">
        <v>53.590400865505217</v>
      </c>
      <c r="Q393" s="1">
        <f t="shared" ca="1" si="55"/>
        <v>10</v>
      </c>
      <c r="R393" s="1">
        <v>14.410469500726322</v>
      </c>
    </row>
    <row r="394" spans="1:18" x14ac:dyDescent="0.3">
      <c r="A394" s="26">
        <v>393</v>
      </c>
      <c r="B394" s="1">
        <v>11</v>
      </c>
      <c r="C394" s="1">
        <f t="shared" si="51"/>
        <v>13</v>
      </c>
      <c r="D394" s="21">
        <f t="shared" ca="1" si="50"/>
        <v>44809</v>
      </c>
      <c r="E394" s="1" t="s">
        <v>26</v>
      </c>
      <c r="F394" s="1" t="s">
        <v>422</v>
      </c>
      <c r="G394" s="1" t="s">
        <v>28</v>
      </c>
      <c r="H394" s="1">
        <v>492</v>
      </c>
      <c r="I394" s="1">
        <f t="shared" si="52"/>
        <v>45</v>
      </c>
      <c r="J394" s="1">
        <f>VLOOKUP(B394,Cena!$A$2:$B$101,2)</f>
        <v>83</v>
      </c>
      <c r="K394" s="1">
        <f t="shared" si="48"/>
        <v>3735</v>
      </c>
      <c r="L394" s="1">
        <f t="shared" si="53"/>
        <v>859.05000000000007</v>
      </c>
      <c r="M394" s="22">
        <f t="shared" si="49"/>
        <v>4594.05</v>
      </c>
      <c r="N394" s="1">
        <f t="shared" ca="1" si="54"/>
        <v>9</v>
      </c>
      <c r="P394" s="1">
        <v>45.995199242315721</v>
      </c>
      <c r="Q394" s="1">
        <f t="shared" ca="1" si="55"/>
        <v>3</v>
      </c>
      <c r="R394" s="1">
        <v>13.008858584507834</v>
      </c>
    </row>
    <row r="395" spans="1:18" x14ac:dyDescent="0.3">
      <c r="A395" s="26">
        <v>394</v>
      </c>
      <c r="B395" s="1">
        <v>30</v>
      </c>
      <c r="C395" s="1">
        <f t="shared" si="51"/>
        <v>5</v>
      </c>
      <c r="D395" s="21">
        <f t="shared" ca="1" si="50"/>
        <v>44918</v>
      </c>
      <c r="E395" s="1" t="s">
        <v>26</v>
      </c>
      <c r="F395" s="1" t="s">
        <v>423</v>
      </c>
      <c r="G395" s="1" t="s">
        <v>28</v>
      </c>
      <c r="H395" s="1">
        <v>493</v>
      </c>
      <c r="I395" s="1">
        <f t="shared" si="52"/>
        <v>58</v>
      </c>
      <c r="J395" s="1">
        <f>VLOOKUP(B395,Cena!$A$2:$B$101,2)</f>
        <v>87</v>
      </c>
      <c r="K395" s="1">
        <f t="shared" si="48"/>
        <v>5046</v>
      </c>
      <c r="L395" s="1">
        <f t="shared" si="53"/>
        <v>1160.5800000000002</v>
      </c>
      <c r="M395" s="22">
        <f t="shared" si="49"/>
        <v>6206.58</v>
      </c>
      <c r="N395" s="1">
        <f t="shared" ca="1" si="54"/>
        <v>12</v>
      </c>
      <c r="P395" s="1">
        <v>58.631172931927722</v>
      </c>
      <c r="Q395" s="1">
        <f t="shared" ca="1" si="55"/>
        <v>5</v>
      </c>
      <c r="R395" s="1">
        <v>5.6075498630525544</v>
      </c>
    </row>
    <row r="396" spans="1:18" x14ac:dyDescent="0.3">
      <c r="A396" s="26">
        <v>395</v>
      </c>
      <c r="B396" s="1">
        <v>5</v>
      </c>
      <c r="C396" s="1">
        <f t="shared" si="51"/>
        <v>10</v>
      </c>
      <c r="D396" s="21">
        <f t="shared" ca="1" si="50"/>
        <v>44631</v>
      </c>
      <c r="E396" s="1" t="s">
        <v>26</v>
      </c>
      <c r="F396" s="1" t="s">
        <v>424</v>
      </c>
      <c r="G396" s="1" t="s">
        <v>28</v>
      </c>
      <c r="H396" s="1">
        <v>494</v>
      </c>
      <c r="I396" s="1">
        <f t="shared" si="52"/>
        <v>67</v>
      </c>
      <c r="J396" s="1">
        <f>VLOOKUP(B396,Cena!$A$2:$B$101,2)</f>
        <v>91</v>
      </c>
      <c r="K396" s="1">
        <f t="shared" si="48"/>
        <v>6097</v>
      </c>
      <c r="L396" s="1">
        <f t="shared" si="53"/>
        <v>1402.3100000000002</v>
      </c>
      <c r="M396" s="22">
        <f t="shared" si="49"/>
        <v>7499.31</v>
      </c>
      <c r="N396" s="1">
        <f t="shared" ca="1" si="54"/>
        <v>3</v>
      </c>
      <c r="P396" s="1">
        <v>67.766524251783267</v>
      </c>
      <c r="Q396" s="1">
        <f t="shared" ca="1" si="55"/>
        <v>18</v>
      </c>
      <c r="R396" s="1">
        <v>10.521754373039585</v>
      </c>
    </row>
    <row r="397" spans="1:18" x14ac:dyDescent="0.3">
      <c r="A397" s="26">
        <v>396</v>
      </c>
      <c r="B397" s="1">
        <v>15</v>
      </c>
      <c r="C397" s="1">
        <f t="shared" si="51"/>
        <v>6</v>
      </c>
      <c r="D397" s="21">
        <f t="shared" ca="1" si="50"/>
        <v>44852</v>
      </c>
      <c r="E397" s="1" t="s">
        <v>26</v>
      </c>
      <c r="F397" s="1" t="s">
        <v>425</v>
      </c>
      <c r="G397" s="1" t="s">
        <v>28</v>
      </c>
      <c r="H397" s="1">
        <v>495</v>
      </c>
      <c r="I397" s="1">
        <f t="shared" si="52"/>
        <v>52</v>
      </c>
      <c r="J397" s="1">
        <f>VLOOKUP(B397,Cena!$A$2:$B$101,2)</f>
        <v>85</v>
      </c>
      <c r="K397" s="1">
        <f t="shared" si="48"/>
        <v>4420</v>
      </c>
      <c r="L397" s="1">
        <f t="shared" si="53"/>
        <v>1016.6</v>
      </c>
      <c r="M397" s="22">
        <f t="shared" si="49"/>
        <v>5436.6</v>
      </c>
      <c r="N397" s="1">
        <f t="shared" ca="1" si="54"/>
        <v>10</v>
      </c>
      <c r="P397" s="1">
        <v>52.056538050965173</v>
      </c>
      <c r="Q397" s="1">
        <f t="shared" ca="1" si="55"/>
        <v>16</v>
      </c>
      <c r="R397" s="1">
        <v>6.4701146382139996</v>
      </c>
    </row>
    <row r="398" spans="1:18" x14ac:dyDescent="0.3">
      <c r="A398" s="26">
        <v>397</v>
      </c>
      <c r="B398" s="1">
        <v>24</v>
      </c>
      <c r="C398" s="1">
        <f t="shared" si="51"/>
        <v>8</v>
      </c>
      <c r="D398" s="21">
        <f t="shared" ca="1" si="50"/>
        <v>44899</v>
      </c>
      <c r="E398" s="1" t="s">
        <v>26</v>
      </c>
      <c r="F398" s="1" t="s">
        <v>426</v>
      </c>
      <c r="G398" s="1" t="s">
        <v>28</v>
      </c>
      <c r="H398" s="1">
        <v>496</v>
      </c>
      <c r="I398" s="1">
        <f t="shared" si="52"/>
        <v>59</v>
      </c>
      <c r="J398" s="1">
        <f>VLOOKUP(B398,Cena!$A$2:$B$101,2)</f>
        <v>125</v>
      </c>
      <c r="K398" s="1">
        <f t="shared" si="48"/>
        <v>7375</v>
      </c>
      <c r="L398" s="1">
        <f t="shared" si="53"/>
        <v>1696.25</v>
      </c>
      <c r="M398" s="22">
        <f t="shared" si="49"/>
        <v>9071.25</v>
      </c>
      <c r="N398" s="1">
        <f t="shared" ca="1" si="54"/>
        <v>12</v>
      </c>
      <c r="P398" s="1">
        <v>59.477207640884444</v>
      </c>
      <c r="Q398" s="1">
        <f t="shared" ca="1" si="55"/>
        <v>11</v>
      </c>
      <c r="R398" s="1">
        <v>8.6304629828737234</v>
      </c>
    </row>
    <row r="399" spans="1:18" x14ac:dyDescent="0.3">
      <c r="A399" s="26">
        <v>398</v>
      </c>
      <c r="B399" s="1">
        <v>14</v>
      </c>
      <c r="C399" s="1">
        <f t="shared" si="51"/>
        <v>12</v>
      </c>
      <c r="D399" s="21">
        <f t="shared" ca="1" si="50"/>
        <v>44810</v>
      </c>
      <c r="E399" s="1" t="s">
        <v>26</v>
      </c>
      <c r="F399" s="1" t="s">
        <v>427</v>
      </c>
      <c r="G399" s="1" t="s">
        <v>28</v>
      </c>
      <c r="H399" s="1">
        <v>497</v>
      </c>
      <c r="I399" s="1">
        <f t="shared" si="52"/>
        <v>40</v>
      </c>
      <c r="J399" s="1">
        <f>VLOOKUP(B399,Cena!$A$2:$B$101,2)</f>
        <v>129</v>
      </c>
      <c r="K399" s="1">
        <f t="shared" si="48"/>
        <v>5160</v>
      </c>
      <c r="L399" s="1">
        <f t="shared" si="53"/>
        <v>1186.8</v>
      </c>
      <c r="M399" s="22">
        <f t="shared" si="49"/>
        <v>6346.8</v>
      </c>
      <c r="N399" s="1">
        <f t="shared" ca="1" si="54"/>
        <v>9</v>
      </c>
      <c r="P399" s="1">
        <v>40.352421264105942</v>
      </c>
      <c r="Q399" s="1">
        <f t="shared" ca="1" si="55"/>
        <v>17</v>
      </c>
      <c r="R399" s="1">
        <v>12.180922820116393</v>
      </c>
    </row>
    <row r="400" spans="1:18" x14ac:dyDescent="0.3">
      <c r="A400" s="26">
        <v>399</v>
      </c>
      <c r="B400" s="1">
        <v>8</v>
      </c>
      <c r="C400" s="1">
        <f t="shared" si="51"/>
        <v>10</v>
      </c>
      <c r="D400" s="21">
        <f t="shared" ca="1" si="50"/>
        <v>44664</v>
      </c>
      <c r="E400" s="1" t="s">
        <v>26</v>
      </c>
      <c r="F400" s="1" t="s">
        <v>428</v>
      </c>
      <c r="G400" s="1" t="s">
        <v>28</v>
      </c>
      <c r="H400" s="1">
        <v>498</v>
      </c>
      <c r="I400" s="1">
        <f t="shared" si="52"/>
        <v>42</v>
      </c>
      <c r="J400" s="1">
        <f>VLOOKUP(B400,Cena!$A$2:$B$101,2)</f>
        <v>88</v>
      </c>
      <c r="K400" s="1">
        <f t="shared" si="48"/>
        <v>3696</v>
      </c>
      <c r="L400" s="1">
        <f t="shared" si="53"/>
        <v>850.08</v>
      </c>
      <c r="M400" s="22">
        <f t="shared" si="49"/>
        <v>4546.08</v>
      </c>
      <c r="N400" s="1">
        <f t="shared" ca="1" si="54"/>
        <v>4</v>
      </c>
      <c r="P400" s="1">
        <v>42.586981534259394</v>
      </c>
      <c r="Q400" s="1">
        <f t="shared" ca="1" si="55"/>
        <v>18</v>
      </c>
      <c r="R400" s="1">
        <v>10.056326143749175</v>
      </c>
    </row>
    <row r="401" spans="1:18" x14ac:dyDescent="0.3">
      <c r="A401" s="26">
        <v>400</v>
      </c>
      <c r="B401" s="1">
        <v>7</v>
      </c>
      <c r="C401" s="1">
        <f t="shared" si="51"/>
        <v>3</v>
      </c>
      <c r="D401" s="21">
        <f t="shared" ca="1" si="50"/>
        <v>44612</v>
      </c>
      <c r="E401" s="1" t="s">
        <v>26</v>
      </c>
      <c r="F401" s="1" t="s">
        <v>429</v>
      </c>
      <c r="G401" s="1" t="s">
        <v>28</v>
      </c>
      <c r="H401" s="1">
        <v>499</v>
      </c>
      <c r="I401" s="1">
        <f t="shared" si="52"/>
        <v>46</v>
      </c>
      <c r="J401" s="1">
        <f>VLOOKUP(B401,Cena!$A$2:$B$101,2)</f>
        <v>104</v>
      </c>
      <c r="K401" s="1">
        <f t="shared" si="48"/>
        <v>4784</v>
      </c>
      <c r="L401" s="1">
        <f t="shared" si="53"/>
        <v>1100.32</v>
      </c>
      <c r="M401" s="22">
        <f t="shared" si="49"/>
        <v>5884.32</v>
      </c>
      <c r="N401" s="1">
        <f t="shared" ca="1" si="54"/>
        <v>2</v>
      </c>
      <c r="P401" s="1">
        <v>46.233623278385494</v>
      </c>
      <c r="Q401" s="1">
        <f t="shared" ca="1" si="55"/>
        <v>10</v>
      </c>
      <c r="R401" s="1">
        <v>3.9772351353894919</v>
      </c>
    </row>
    <row r="402" spans="1:18" x14ac:dyDescent="0.3">
      <c r="A402" s="26">
        <v>401</v>
      </c>
      <c r="B402" s="1">
        <v>7</v>
      </c>
      <c r="C402" s="1">
        <f t="shared" si="51"/>
        <v>7</v>
      </c>
      <c r="D402" s="21">
        <f t="shared" ca="1" si="50"/>
        <v>44922</v>
      </c>
      <c r="E402" s="1" t="s">
        <v>26</v>
      </c>
      <c r="F402" s="1" t="s">
        <v>430</v>
      </c>
      <c r="G402" s="1" t="s">
        <v>28</v>
      </c>
      <c r="H402" s="1">
        <v>500</v>
      </c>
      <c r="I402" s="1">
        <f t="shared" si="52"/>
        <v>63</v>
      </c>
      <c r="J402" s="1">
        <f>VLOOKUP(B402,Cena!$A$2:$B$101,2)</f>
        <v>104</v>
      </c>
      <c r="K402" s="1">
        <f t="shared" si="48"/>
        <v>6552</v>
      </c>
      <c r="L402" s="1">
        <f t="shared" si="53"/>
        <v>1506.96</v>
      </c>
      <c r="M402" s="22">
        <f t="shared" si="49"/>
        <v>8058.96</v>
      </c>
      <c r="N402" s="1">
        <f t="shared" ca="1" si="54"/>
        <v>12</v>
      </c>
      <c r="P402" s="1">
        <v>63.590261005447246</v>
      </c>
      <c r="Q402" s="1">
        <f t="shared" ca="1" si="55"/>
        <v>12</v>
      </c>
      <c r="R402" s="1">
        <v>7.4753905007673893</v>
      </c>
    </row>
    <row r="403" spans="1:18" x14ac:dyDescent="0.3">
      <c r="A403" s="26">
        <v>402</v>
      </c>
      <c r="B403" s="1">
        <v>30</v>
      </c>
      <c r="C403" s="1">
        <f t="shared" si="51"/>
        <v>13</v>
      </c>
      <c r="D403" s="21">
        <f t="shared" ca="1" si="50"/>
        <v>44623</v>
      </c>
      <c r="E403" s="1" t="s">
        <v>26</v>
      </c>
      <c r="F403" s="1" t="s">
        <v>431</v>
      </c>
      <c r="G403" s="1" t="s">
        <v>28</v>
      </c>
      <c r="H403" s="1">
        <v>501</v>
      </c>
      <c r="I403" s="1">
        <f t="shared" si="52"/>
        <v>46</v>
      </c>
      <c r="J403" s="1">
        <f>VLOOKUP(B403,Cena!$A$2:$B$101,2)</f>
        <v>87</v>
      </c>
      <c r="K403" s="1">
        <f t="shared" si="48"/>
        <v>4002</v>
      </c>
      <c r="L403" s="1">
        <f t="shared" si="53"/>
        <v>920.46</v>
      </c>
      <c r="M403" s="22">
        <f t="shared" si="49"/>
        <v>4922.46</v>
      </c>
      <c r="N403" s="1">
        <f t="shared" ca="1" si="54"/>
        <v>3</v>
      </c>
      <c r="P403" s="1">
        <v>46.322162587603088</v>
      </c>
      <c r="Q403" s="1">
        <f t="shared" ca="1" si="55"/>
        <v>13</v>
      </c>
      <c r="R403" s="1">
        <v>13.787579316849587</v>
      </c>
    </row>
    <row r="404" spans="1:18" x14ac:dyDescent="0.3">
      <c r="A404" s="26">
        <v>403</v>
      </c>
      <c r="B404" s="1">
        <v>11</v>
      </c>
      <c r="C404" s="1">
        <f t="shared" si="51"/>
        <v>14</v>
      </c>
      <c r="D404" s="21">
        <f t="shared" ca="1" si="50"/>
        <v>44774</v>
      </c>
      <c r="E404" s="1" t="s">
        <v>26</v>
      </c>
      <c r="F404" s="1" t="s">
        <v>432</v>
      </c>
      <c r="G404" s="1" t="s">
        <v>28</v>
      </c>
      <c r="H404" s="1">
        <v>502</v>
      </c>
      <c r="I404" s="1">
        <f t="shared" si="52"/>
        <v>47</v>
      </c>
      <c r="J404" s="1">
        <f>VLOOKUP(B404,Cena!$A$2:$B$101,2)</f>
        <v>83</v>
      </c>
      <c r="K404" s="1">
        <f t="shared" si="48"/>
        <v>3901</v>
      </c>
      <c r="L404" s="1">
        <f t="shared" si="53"/>
        <v>897.23</v>
      </c>
      <c r="M404" s="22">
        <f t="shared" si="49"/>
        <v>4798.2299999999996</v>
      </c>
      <c r="N404" s="1">
        <f t="shared" ca="1" si="54"/>
        <v>8</v>
      </c>
      <c r="P404" s="1">
        <v>47.601537415903294</v>
      </c>
      <c r="Q404" s="1">
        <f t="shared" ca="1" si="55"/>
        <v>23</v>
      </c>
      <c r="R404" s="1">
        <v>14.080902726855129</v>
      </c>
    </row>
    <row r="405" spans="1:18" x14ac:dyDescent="0.3">
      <c r="A405" s="26">
        <v>404</v>
      </c>
      <c r="B405" s="1">
        <v>28</v>
      </c>
      <c r="C405" s="1">
        <f t="shared" si="51"/>
        <v>8</v>
      </c>
      <c r="D405" s="21">
        <f t="shared" ca="1" si="50"/>
        <v>44897</v>
      </c>
      <c r="E405" s="1" t="s">
        <v>26</v>
      </c>
      <c r="F405" s="1" t="s">
        <v>433</v>
      </c>
      <c r="G405" s="1" t="s">
        <v>28</v>
      </c>
      <c r="H405" s="1">
        <v>503</v>
      </c>
      <c r="I405" s="1">
        <f t="shared" si="52"/>
        <v>46</v>
      </c>
      <c r="J405" s="1">
        <f>VLOOKUP(B405,Cena!$A$2:$B$101,2)</f>
        <v>59</v>
      </c>
      <c r="K405" s="1">
        <f t="shared" si="48"/>
        <v>2714</v>
      </c>
      <c r="L405" s="1">
        <f t="shared" si="53"/>
        <v>624.22</v>
      </c>
      <c r="M405" s="22">
        <f t="shared" si="49"/>
        <v>3338.2200000000003</v>
      </c>
      <c r="N405" s="1">
        <f t="shared" ca="1" si="54"/>
        <v>12</v>
      </c>
      <c r="P405" s="1">
        <v>46.890278453065548</v>
      </c>
      <c r="Q405" s="1">
        <f t="shared" ca="1" si="55"/>
        <v>5</v>
      </c>
      <c r="R405" s="1">
        <v>8.651966848228767</v>
      </c>
    </row>
    <row r="406" spans="1:18" x14ac:dyDescent="0.3">
      <c r="A406" s="26">
        <v>405</v>
      </c>
      <c r="B406" s="1">
        <v>11</v>
      </c>
      <c r="C406" s="1">
        <f t="shared" si="51"/>
        <v>8</v>
      </c>
      <c r="D406" s="21">
        <f t="shared" ca="1" si="50"/>
        <v>44718</v>
      </c>
      <c r="E406" s="1" t="s">
        <v>26</v>
      </c>
      <c r="F406" s="1" t="s">
        <v>434</v>
      </c>
      <c r="G406" s="1" t="s">
        <v>28</v>
      </c>
      <c r="H406" s="1">
        <v>504</v>
      </c>
      <c r="I406" s="1">
        <f t="shared" si="52"/>
        <v>59</v>
      </c>
      <c r="J406" s="1">
        <f>VLOOKUP(B406,Cena!$A$2:$B$101,2)</f>
        <v>83</v>
      </c>
      <c r="K406" s="1">
        <f t="shared" si="48"/>
        <v>4897</v>
      </c>
      <c r="L406" s="1">
        <f t="shared" si="53"/>
        <v>1126.31</v>
      </c>
      <c r="M406" s="22">
        <f t="shared" si="49"/>
        <v>6023.3099999999995</v>
      </c>
      <c r="N406" s="1">
        <f t="shared" ca="1" si="54"/>
        <v>6</v>
      </c>
      <c r="P406" s="1">
        <v>59.600171324564144</v>
      </c>
      <c r="Q406" s="1">
        <f t="shared" ca="1" si="55"/>
        <v>2</v>
      </c>
      <c r="R406" s="1">
        <v>8.574790538441448</v>
      </c>
    </row>
    <row r="407" spans="1:18" x14ac:dyDescent="0.3">
      <c r="A407" s="26">
        <v>406</v>
      </c>
      <c r="B407" s="1">
        <v>6</v>
      </c>
      <c r="C407" s="1">
        <f t="shared" si="51"/>
        <v>7</v>
      </c>
      <c r="D407" s="21">
        <f t="shared" ca="1" si="50"/>
        <v>44659</v>
      </c>
      <c r="E407" s="1" t="s">
        <v>26</v>
      </c>
      <c r="F407" s="1" t="s">
        <v>435</v>
      </c>
      <c r="G407" s="1" t="s">
        <v>28</v>
      </c>
      <c r="H407" s="1">
        <v>505</v>
      </c>
      <c r="I407" s="1">
        <f t="shared" si="52"/>
        <v>54</v>
      </c>
      <c r="J407" s="1">
        <f>VLOOKUP(B407,Cena!$A$2:$B$101,2)</f>
        <v>86</v>
      </c>
      <c r="K407" s="1">
        <f t="shared" si="48"/>
        <v>4644</v>
      </c>
      <c r="L407" s="1">
        <f t="shared" si="53"/>
        <v>1068.1200000000001</v>
      </c>
      <c r="M407" s="22">
        <f t="shared" si="49"/>
        <v>5712.12</v>
      </c>
      <c r="N407" s="1">
        <f t="shared" ca="1" si="54"/>
        <v>4</v>
      </c>
      <c r="P407" s="1">
        <v>54.455750968190841</v>
      </c>
      <c r="Q407" s="1">
        <f t="shared" ca="1" si="55"/>
        <v>8</v>
      </c>
      <c r="R407" s="1">
        <v>7.5642367644468322</v>
      </c>
    </row>
    <row r="408" spans="1:18" x14ac:dyDescent="0.3">
      <c r="A408" s="26">
        <v>407</v>
      </c>
      <c r="B408" s="1">
        <v>15</v>
      </c>
      <c r="C408" s="1">
        <f t="shared" si="51"/>
        <v>11</v>
      </c>
      <c r="D408" s="21">
        <f t="shared" ca="1" si="50"/>
        <v>44885</v>
      </c>
      <c r="E408" s="1" t="s">
        <v>26</v>
      </c>
      <c r="F408" s="1" t="s">
        <v>436</v>
      </c>
      <c r="G408" s="1" t="s">
        <v>28</v>
      </c>
      <c r="H408" s="1">
        <v>506</v>
      </c>
      <c r="I408" s="1">
        <f t="shared" si="52"/>
        <v>37</v>
      </c>
      <c r="J408" s="1">
        <f>VLOOKUP(B408,Cena!$A$2:$B$101,2)</f>
        <v>85</v>
      </c>
      <c r="K408" s="1">
        <f t="shared" si="48"/>
        <v>3145</v>
      </c>
      <c r="L408" s="1">
        <f t="shared" si="53"/>
        <v>723.35</v>
      </c>
      <c r="M408" s="22">
        <f t="shared" si="49"/>
        <v>3868.35</v>
      </c>
      <c r="N408" s="1">
        <f t="shared" ca="1" si="54"/>
        <v>11</v>
      </c>
      <c r="P408" s="1">
        <v>37.11689386254875</v>
      </c>
      <c r="Q408" s="1">
        <f t="shared" ca="1" si="55"/>
        <v>7</v>
      </c>
      <c r="R408" s="1">
        <v>11.147409989243897</v>
      </c>
    </row>
    <row r="409" spans="1:18" x14ac:dyDescent="0.3">
      <c r="A409" s="26">
        <v>408</v>
      </c>
      <c r="B409" s="1">
        <v>24</v>
      </c>
      <c r="C409" s="1">
        <f t="shared" si="51"/>
        <v>6</v>
      </c>
      <c r="D409" s="21">
        <f t="shared" ca="1" si="50"/>
        <v>44600</v>
      </c>
      <c r="E409" s="1" t="s">
        <v>26</v>
      </c>
      <c r="F409" s="1" t="s">
        <v>437</v>
      </c>
      <c r="G409" s="1" t="s">
        <v>28</v>
      </c>
      <c r="H409" s="1">
        <v>507</v>
      </c>
      <c r="I409" s="1">
        <f t="shared" si="52"/>
        <v>59</v>
      </c>
      <c r="J409" s="1">
        <f>VLOOKUP(B409,Cena!$A$2:$B$101,2)</f>
        <v>125</v>
      </c>
      <c r="K409" s="1">
        <f t="shared" si="48"/>
        <v>7375</v>
      </c>
      <c r="L409" s="1">
        <f t="shared" si="53"/>
        <v>1696.25</v>
      </c>
      <c r="M409" s="22">
        <f t="shared" si="49"/>
        <v>9071.25</v>
      </c>
      <c r="N409" s="1">
        <f t="shared" ca="1" si="54"/>
        <v>2</v>
      </c>
      <c r="P409" s="1">
        <v>59.00583927432308</v>
      </c>
      <c r="Q409" s="1">
        <f t="shared" ca="1" si="55"/>
        <v>16</v>
      </c>
      <c r="R409" s="1">
        <v>6.4482185532688163</v>
      </c>
    </row>
    <row r="410" spans="1:18" x14ac:dyDescent="0.3">
      <c r="A410" s="26">
        <v>409</v>
      </c>
      <c r="B410" s="1">
        <v>5</v>
      </c>
      <c r="C410" s="1">
        <f t="shared" si="51"/>
        <v>9</v>
      </c>
      <c r="D410" s="21">
        <f t="shared" ca="1" si="50"/>
        <v>44792</v>
      </c>
      <c r="E410" s="1" t="s">
        <v>26</v>
      </c>
      <c r="F410" s="1" t="s">
        <v>438</v>
      </c>
      <c r="G410" s="1" t="s">
        <v>28</v>
      </c>
      <c r="H410" s="1">
        <v>508</v>
      </c>
      <c r="I410" s="1">
        <f t="shared" si="52"/>
        <v>53</v>
      </c>
      <c r="J410" s="1">
        <f>VLOOKUP(B410,Cena!$A$2:$B$101,2)</f>
        <v>91</v>
      </c>
      <c r="K410" s="1">
        <f t="shared" si="48"/>
        <v>4823</v>
      </c>
      <c r="L410" s="1">
        <f t="shared" si="53"/>
        <v>1109.29</v>
      </c>
      <c r="M410" s="22">
        <f t="shared" si="49"/>
        <v>5932.29</v>
      </c>
      <c r="N410" s="1">
        <f t="shared" ca="1" si="54"/>
        <v>8</v>
      </c>
      <c r="P410" s="1">
        <v>53.631225808931049</v>
      </c>
      <c r="Q410" s="1">
        <f t="shared" ca="1" si="55"/>
        <v>7</v>
      </c>
      <c r="R410" s="1">
        <v>9.1815144539941684</v>
      </c>
    </row>
    <row r="411" spans="1:18" x14ac:dyDescent="0.3">
      <c r="A411" s="26">
        <v>410</v>
      </c>
      <c r="B411" s="1">
        <v>25</v>
      </c>
      <c r="C411" s="1">
        <f t="shared" si="51"/>
        <v>10</v>
      </c>
      <c r="D411" s="21">
        <f t="shared" ca="1" si="50"/>
        <v>44861</v>
      </c>
      <c r="E411" s="1" t="s">
        <v>26</v>
      </c>
      <c r="F411" s="1" t="s">
        <v>439</v>
      </c>
      <c r="G411" s="1" t="s">
        <v>28</v>
      </c>
      <c r="H411" s="1">
        <v>509</v>
      </c>
      <c r="I411" s="1">
        <f t="shared" si="52"/>
        <v>59</v>
      </c>
      <c r="J411" s="1">
        <f>VLOOKUP(B411,Cena!$A$2:$B$101,2)</f>
        <v>108</v>
      </c>
      <c r="K411" s="1">
        <f t="shared" si="48"/>
        <v>6372</v>
      </c>
      <c r="L411" s="1">
        <f t="shared" si="53"/>
        <v>1465.5600000000002</v>
      </c>
      <c r="M411" s="22">
        <f t="shared" si="49"/>
        <v>7837.56</v>
      </c>
      <c r="N411" s="1">
        <f t="shared" ca="1" si="54"/>
        <v>10</v>
      </c>
      <c r="P411" s="1">
        <v>59.22489107324509</v>
      </c>
      <c r="Q411" s="1">
        <f t="shared" ca="1" si="55"/>
        <v>6</v>
      </c>
      <c r="R411" s="1">
        <v>10.51471999995556</v>
      </c>
    </row>
    <row r="412" spans="1:18" x14ac:dyDescent="0.3">
      <c r="A412" s="26">
        <v>411</v>
      </c>
      <c r="B412" s="1">
        <v>18</v>
      </c>
      <c r="C412" s="1">
        <f t="shared" si="51"/>
        <v>9</v>
      </c>
      <c r="D412" s="21">
        <f t="shared" ca="1" si="50"/>
        <v>44813</v>
      </c>
      <c r="E412" s="1" t="s">
        <v>26</v>
      </c>
      <c r="F412" s="1" t="s">
        <v>440</v>
      </c>
      <c r="G412" s="1" t="s">
        <v>28</v>
      </c>
      <c r="H412" s="1">
        <v>510</v>
      </c>
      <c r="I412" s="1">
        <f t="shared" si="52"/>
        <v>32</v>
      </c>
      <c r="J412" s="1">
        <f>VLOOKUP(B412,Cena!$A$2:$B$101,2)</f>
        <v>90</v>
      </c>
      <c r="K412" s="1">
        <f t="shared" si="48"/>
        <v>2880</v>
      </c>
      <c r="L412" s="1">
        <f t="shared" si="53"/>
        <v>662.4</v>
      </c>
      <c r="M412" s="22">
        <f t="shared" si="49"/>
        <v>3542.4</v>
      </c>
      <c r="N412" s="1">
        <f t="shared" ca="1" si="54"/>
        <v>9</v>
      </c>
      <c r="P412" s="1">
        <v>32.733515935251489</v>
      </c>
      <c r="Q412" s="1">
        <f t="shared" ca="1" si="55"/>
        <v>27</v>
      </c>
      <c r="R412" s="1">
        <v>9.5713324096868746</v>
      </c>
    </row>
    <row r="413" spans="1:18" x14ac:dyDescent="0.3">
      <c r="A413" s="26">
        <v>412</v>
      </c>
      <c r="B413" s="1">
        <v>11</v>
      </c>
      <c r="C413" s="1">
        <f t="shared" si="51"/>
        <v>11</v>
      </c>
      <c r="D413" s="21">
        <f t="shared" ca="1" si="50"/>
        <v>44846</v>
      </c>
      <c r="E413" s="1" t="s">
        <v>26</v>
      </c>
      <c r="F413" s="1" t="s">
        <v>441</v>
      </c>
      <c r="G413" s="1" t="s">
        <v>28</v>
      </c>
      <c r="H413" s="1">
        <v>511</v>
      </c>
      <c r="I413" s="1">
        <f t="shared" si="52"/>
        <v>47</v>
      </c>
      <c r="J413" s="1">
        <f>VLOOKUP(B413,Cena!$A$2:$B$101,2)</f>
        <v>83</v>
      </c>
      <c r="K413" s="1">
        <f t="shared" si="48"/>
        <v>3901</v>
      </c>
      <c r="L413" s="1">
        <f t="shared" si="53"/>
        <v>897.23</v>
      </c>
      <c r="M413" s="22">
        <f t="shared" si="49"/>
        <v>4798.2299999999996</v>
      </c>
      <c r="N413" s="1">
        <f t="shared" ca="1" si="54"/>
        <v>10</v>
      </c>
      <c r="P413" s="1">
        <v>47.559007169911638</v>
      </c>
      <c r="Q413" s="1">
        <f t="shared" ca="1" si="55"/>
        <v>29</v>
      </c>
      <c r="R413" s="1">
        <v>11.133827254307107</v>
      </c>
    </row>
    <row r="414" spans="1:18" x14ac:dyDescent="0.3">
      <c r="A414" s="26">
        <v>413</v>
      </c>
      <c r="B414" s="1">
        <v>23</v>
      </c>
      <c r="C414" s="1">
        <f t="shared" si="51"/>
        <v>9</v>
      </c>
      <c r="D414" s="21">
        <f t="shared" ca="1" si="50"/>
        <v>44613</v>
      </c>
      <c r="E414" s="1" t="s">
        <v>26</v>
      </c>
      <c r="F414" s="1" t="s">
        <v>442</v>
      </c>
      <c r="G414" s="1" t="s">
        <v>28</v>
      </c>
      <c r="H414" s="1">
        <v>512</v>
      </c>
      <c r="I414" s="1">
        <f t="shared" si="52"/>
        <v>59</v>
      </c>
      <c r="J414" s="1">
        <f>VLOOKUP(B414,Cena!$A$2:$B$101,2)</f>
        <v>132</v>
      </c>
      <c r="K414" s="1">
        <f t="shared" si="48"/>
        <v>7788</v>
      </c>
      <c r="L414" s="1">
        <f t="shared" si="53"/>
        <v>1791.24</v>
      </c>
      <c r="M414" s="22">
        <f t="shared" si="49"/>
        <v>9579.24</v>
      </c>
      <c r="N414" s="1">
        <f t="shared" ca="1" si="54"/>
        <v>2</v>
      </c>
      <c r="P414" s="1">
        <v>59.942982615029905</v>
      </c>
      <c r="Q414" s="1">
        <f t="shared" ca="1" si="55"/>
        <v>17</v>
      </c>
      <c r="R414" s="1">
        <v>9.117886773092323</v>
      </c>
    </row>
    <row r="415" spans="1:18" x14ac:dyDescent="0.3">
      <c r="A415" s="26">
        <v>414</v>
      </c>
      <c r="B415" s="1">
        <v>18</v>
      </c>
      <c r="C415" s="1">
        <f t="shared" si="51"/>
        <v>7</v>
      </c>
      <c r="D415" s="21">
        <f t="shared" ca="1" si="50"/>
        <v>44623</v>
      </c>
      <c r="E415" s="1" t="s">
        <v>26</v>
      </c>
      <c r="F415" s="1" t="s">
        <v>443</v>
      </c>
      <c r="G415" s="1" t="s">
        <v>28</v>
      </c>
      <c r="H415" s="1">
        <v>513</v>
      </c>
      <c r="I415" s="1">
        <f t="shared" si="52"/>
        <v>55</v>
      </c>
      <c r="J415" s="1">
        <f>VLOOKUP(B415,Cena!$A$2:$B$101,2)</f>
        <v>90</v>
      </c>
      <c r="K415" s="1">
        <f t="shared" ref="K415:K478" si="56">I415*J415</f>
        <v>4950</v>
      </c>
      <c r="L415" s="1">
        <f t="shared" si="53"/>
        <v>1138.5</v>
      </c>
      <c r="M415" s="22">
        <f t="shared" ref="M415:M478" si="57">K415+L415</f>
        <v>6088.5</v>
      </c>
      <c r="N415" s="1">
        <f t="shared" ca="1" si="54"/>
        <v>3</v>
      </c>
      <c r="P415" s="1">
        <v>55.436413630377501</v>
      </c>
      <c r="Q415" s="1">
        <f t="shared" ca="1" si="55"/>
        <v>11</v>
      </c>
      <c r="R415" s="1">
        <v>7.4823879256291548</v>
      </c>
    </row>
    <row r="416" spans="1:18" x14ac:dyDescent="0.3">
      <c r="A416" s="26">
        <v>415</v>
      </c>
      <c r="B416" s="1">
        <v>24</v>
      </c>
      <c r="C416" s="1">
        <f t="shared" si="51"/>
        <v>9</v>
      </c>
      <c r="D416" s="21">
        <f t="shared" ca="1" si="50"/>
        <v>44750</v>
      </c>
      <c r="E416" s="1" t="s">
        <v>26</v>
      </c>
      <c r="F416" s="1" t="s">
        <v>444</v>
      </c>
      <c r="G416" s="1" t="s">
        <v>28</v>
      </c>
      <c r="H416" s="1">
        <v>514</v>
      </c>
      <c r="I416" s="1">
        <f t="shared" si="52"/>
        <v>61</v>
      </c>
      <c r="J416" s="1">
        <f>VLOOKUP(B416,Cena!$A$2:$B$101,2)</f>
        <v>125</v>
      </c>
      <c r="K416" s="1">
        <f t="shared" si="56"/>
        <v>7625</v>
      </c>
      <c r="L416" s="1">
        <f t="shared" si="53"/>
        <v>1753.75</v>
      </c>
      <c r="M416" s="22">
        <f t="shared" si="57"/>
        <v>9378.75</v>
      </c>
      <c r="N416" s="1">
        <f t="shared" ca="1" si="54"/>
        <v>7</v>
      </c>
      <c r="P416" s="1">
        <v>61.060956239816733</v>
      </c>
      <c r="Q416" s="1">
        <f t="shared" ca="1" si="55"/>
        <v>14</v>
      </c>
      <c r="R416" s="1">
        <v>9.2881441812642151</v>
      </c>
    </row>
    <row r="417" spans="1:18" x14ac:dyDescent="0.3">
      <c r="A417" s="26">
        <v>416</v>
      </c>
      <c r="B417" s="1">
        <v>29</v>
      </c>
      <c r="C417" s="1">
        <f t="shared" si="51"/>
        <v>12</v>
      </c>
      <c r="D417" s="21">
        <f t="shared" ca="1" si="50"/>
        <v>44663</v>
      </c>
      <c r="E417" s="1" t="s">
        <v>26</v>
      </c>
      <c r="F417" s="1" t="s">
        <v>445</v>
      </c>
      <c r="G417" s="1" t="s">
        <v>28</v>
      </c>
      <c r="H417" s="1">
        <v>515</v>
      </c>
      <c r="I417" s="1">
        <f t="shared" si="52"/>
        <v>56</v>
      </c>
      <c r="J417" s="1">
        <f>VLOOKUP(B417,Cena!$A$2:$B$101,2)</f>
        <v>105</v>
      </c>
      <c r="K417" s="1">
        <f t="shared" si="56"/>
        <v>5880</v>
      </c>
      <c r="L417" s="1">
        <f t="shared" si="53"/>
        <v>1352.4</v>
      </c>
      <c r="M417" s="22">
        <f t="shared" si="57"/>
        <v>7232.4</v>
      </c>
      <c r="N417" s="1">
        <f t="shared" ca="1" si="54"/>
        <v>4</v>
      </c>
      <c r="P417" s="1">
        <v>56.786967787775211</v>
      </c>
      <c r="Q417" s="1">
        <f t="shared" ca="1" si="55"/>
        <v>27</v>
      </c>
      <c r="R417" s="1">
        <v>12.045061364697176</v>
      </c>
    </row>
    <row r="418" spans="1:18" x14ac:dyDescent="0.3">
      <c r="A418" s="26">
        <v>417</v>
      </c>
      <c r="B418" s="1">
        <v>1</v>
      </c>
      <c r="C418" s="1">
        <f t="shared" si="51"/>
        <v>14</v>
      </c>
      <c r="D418" s="21">
        <f t="shared" ca="1" si="50"/>
        <v>44891</v>
      </c>
      <c r="E418" s="1" t="s">
        <v>26</v>
      </c>
      <c r="F418" s="1" t="s">
        <v>446</v>
      </c>
      <c r="G418" s="1" t="s">
        <v>28</v>
      </c>
      <c r="H418" s="1">
        <v>516</v>
      </c>
      <c r="I418" s="1">
        <f t="shared" si="52"/>
        <v>52</v>
      </c>
      <c r="J418" s="1">
        <f>VLOOKUP(B418,Cena!$A$2:$B$101,2)</f>
        <v>84</v>
      </c>
      <c r="K418" s="1">
        <f t="shared" si="56"/>
        <v>4368</v>
      </c>
      <c r="L418" s="1">
        <f t="shared" si="53"/>
        <v>1004.6400000000001</v>
      </c>
      <c r="M418" s="22">
        <f t="shared" si="57"/>
        <v>5372.64</v>
      </c>
      <c r="N418" s="1">
        <f t="shared" ca="1" si="54"/>
        <v>11</v>
      </c>
      <c r="P418" s="1">
        <v>52.167610091419192</v>
      </c>
      <c r="Q418" s="1">
        <f t="shared" ca="1" si="55"/>
        <v>5</v>
      </c>
      <c r="R418" s="1">
        <v>14.063610958837671</v>
      </c>
    </row>
    <row r="419" spans="1:18" x14ac:dyDescent="0.3">
      <c r="A419" s="26">
        <v>418</v>
      </c>
      <c r="B419" s="1">
        <v>30</v>
      </c>
      <c r="C419" s="1">
        <f t="shared" si="51"/>
        <v>12</v>
      </c>
      <c r="D419" s="21">
        <f t="shared" ca="1" si="50"/>
        <v>44796</v>
      </c>
      <c r="E419" s="1" t="s">
        <v>26</v>
      </c>
      <c r="F419" s="1" t="s">
        <v>447</v>
      </c>
      <c r="G419" s="1" t="s">
        <v>28</v>
      </c>
      <c r="H419" s="1">
        <v>517</v>
      </c>
      <c r="I419" s="1">
        <f t="shared" si="52"/>
        <v>46</v>
      </c>
      <c r="J419" s="1">
        <f>VLOOKUP(B419,Cena!$A$2:$B$101,2)</f>
        <v>87</v>
      </c>
      <c r="K419" s="1">
        <f t="shared" si="56"/>
        <v>4002</v>
      </c>
      <c r="L419" s="1">
        <f t="shared" si="53"/>
        <v>920.46</v>
      </c>
      <c r="M419" s="22">
        <f t="shared" si="57"/>
        <v>4922.46</v>
      </c>
      <c r="N419" s="1">
        <f t="shared" ca="1" si="54"/>
        <v>8</v>
      </c>
      <c r="P419" s="1">
        <v>46.658993950404692</v>
      </c>
      <c r="Q419" s="1">
        <f t="shared" ca="1" si="55"/>
        <v>9</v>
      </c>
      <c r="R419" s="1">
        <v>12.877311544580152</v>
      </c>
    </row>
    <row r="420" spans="1:18" x14ac:dyDescent="0.3">
      <c r="A420" s="26">
        <v>419</v>
      </c>
      <c r="B420" s="1">
        <v>30</v>
      </c>
      <c r="C420" s="1">
        <f t="shared" si="51"/>
        <v>13</v>
      </c>
      <c r="D420" s="21">
        <f t="shared" ca="1" si="50"/>
        <v>44916</v>
      </c>
      <c r="E420" s="1" t="s">
        <v>26</v>
      </c>
      <c r="F420" s="1" t="s">
        <v>448</v>
      </c>
      <c r="G420" s="1" t="s">
        <v>28</v>
      </c>
      <c r="H420" s="1">
        <v>518</v>
      </c>
      <c r="I420" s="1">
        <f t="shared" si="52"/>
        <v>46</v>
      </c>
      <c r="J420" s="1">
        <f>VLOOKUP(B420,Cena!$A$2:$B$101,2)</f>
        <v>87</v>
      </c>
      <c r="K420" s="1">
        <f t="shared" si="56"/>
        <v>4002</v>
      </c>
      <c r="L420" s="1">
        <f t="shared" si="53"/>
        <v>920.46</v>
      </c>
      <c r="M420" s="22">
        <f t="shared" si="57"/>
        <v>4922.46</v>
      </c>
      <c r="N420" s="1">
        <f t="shared" ca="1" si="54"/>
        <v>12</v>
      </c>
      <c r="P420" s="1">
        <v>46.819542502635159</v>
      </c>
      <c r="Q420" s="1">
        <f t="shared" ca="1" si="55"/>
        <v>27</v>
      </c>
      <c r="R420" s="1">
        <v>13.352840849402128</v>
      </c>
    </row>
    <row r="421" spans="1:18" x14ac:dyDescent="0.3">
      <c r="A421" s="26">
        <v>420</v>
      </c>
      <c r="B421" s="1">
        <v>25</v>
      </c>
      <c r="C421" s="1">
        <f t="shared" si="51"/>
        <v>13</v>
      </c>
      <c r="D421" s="21">
        <f t="shared" ca="1" si="50"/>
        <v>44673</v>
      </c>
      <c r="E421" s="1" t="s">
        <v>26</v>
      </c>
      <c r="F421" s="1" t="s">
        <v>449</v>
      </c>
      <c r="G421" s="1" t="s">
        <v>28</v>
      </c>
      <c r="H421" s="1">
        <v>519</v>
      </c>
      <c r="I421" s="1">
        <f t="shared" si="52"/>
        <v>39</v>
      </c>
      <c r="J421" s="1">
        <f>VLOOKUP(B421,Cena!$A$2:$B$101,2)</f>
        <v>108</v>
      </c>
      <c r="K421" s="1">
        <f t="shared" si="56"/>
        <v>4212</v>
      </c>
      <c r="L421" s="1">
        <f t="shared" si="53"/>
        <v>968.76</v>
      </c>
      <c r="M421" s="22">
        <f t="shared" si="57"/>
        <v>5180.76</v>
      </c>
      <c r="N421" s="1">
        <f t="shared" ca="1" si="54"/>
        <v>4</v>
      </c>
      <c r="P421" s="1">
        <v>39.178445503057446</v>
      </c>
      <c r="Q421" s="1">
        <f t="shared" ca="1" si="55"/>
        <v>29</v>
      </c>
      <c r="R421" s="1">
        <v>13.02429725707043</v>
      </c>
    </row>
    <row r="422" spans="1:18" x14ac:dyDescent="0.3">
      <c r="A422" s="26">
        <v>421</v>
      </c>
      <c r="B422" s="1">
        <v>15</v>
      </c>
      <c r="C422" s="1">
        <f t="shared" si="51"/>
        <v>10</v>
      </c>
      <c r="D422" s="21">
        <f t="shared" ca="1" si="50"/>
        <v>44915</v>
      </c>
      <c r="E422" s="1" t="s">
        <v>26</v>
      </c>
      <c r="F422" s="1" t="s">
        <v>450</v>
      </c>
      <c r="G422" s="1" t="s">
        <v>28</v>
      </c>
      <c r="H422" s="1">
        <v>520</v>
      </c>
      <c r="I422" s="1">
        <f t="shared" si="52"/>
        <v>48</v>
      </c>
      <c r="J422" s="1">
        <f>VLOOKUP(B422,Cena!$A$2:$B$101,2)</f>
        <v>85</v>
      </c>
      <c r="K422" s="1">
        <f t="shared" si="56"/>
        <v>4080</v>
      </c>
      <c r="L422" s="1">
        <f t="shared" si="53"/>
        <v>938.40000000000009</v>
      </c>
      <c r="M422" s="22">
        <f t="shared" si="57"/>
        <v>5018.3999999999996</v>
      </c>
      <c r="N422" s="1">
        <f t="shared" ca="1" si="54"/>
        <v>12</v>
      </c>
      <c r="P422" s="1">
        <v>48.627527020289563</v>
      </c>
      <c r="Q422" s="1">
        <f t="shared" ca="1" si="55"/>
        <v>6</v>
      </c>
      <c r="R422" s="1">
        <v>10.761590968068049</v>
      </c>
    </row>
    <row r="423" spans="1:18" x14ac:dyDescent="0.3">
      <c r="A423" s="26">
        <v>422</v>
      </c>
      <c r="B423" s="1">
        <v>27</v>
      </c>
      <c r="C423" s="1">
        <f t="shared" si="51"/>
        <v>7</v>
      </c>
      <c r="D423" s="21">
        <f t="shared" ca="1" si="50"/>
        <v>44734</v>
      </c>
      <c r="E423" s="1" t="s">
        <v>26</v>
      </c>
      <c r="F423" s="1" t="s">
        <v>451</v>
      </c>
      <c r="G423" s="1" t="s">
        <v>28</v>
      </c>
      <c r="H423" s="1">
        <v>521</v>
      </c>
      <c r="I423" s="1">
        <f t="shared" si="52"/>
        <v>47</v>
      </c>
      <c r="J423" s="1">
        <f>VLOOKUP(B423,Cena!$A$2:$B$101,2)</f>
        <v>87</v>
      </c>
      <c r="K423" s="1">
        <f t="shared" si="56"/>
        <v>4089</v>
      </c>
      <c r="L423" s="1">
        <f t="shared" si="53"/>
        <v>940.47</v>
      </c>
      <c r="M423" s="22">
        <f t="shared" si="57"/>
        <v>5029.47</v>
      </c>
      <c r="N423" s="1">
        <f t="shared" ca="1" si="54"/>
        <v>6</v>
      </c>
      <c r="P423" s="1">
        <v>47.227382664277684</v>
      </c>
      <c r="Q423" s="1">
        <f t="shared" ca="1" si="55"/>
        <v>2</v>
      </c>
      <c r="R423" s="1">
        <v>7.970132881164318</v>
      </c>
    </row>
    <row r="424" spans="1:18" x14ac:dyDescent="0.3">
      <c r="A424" s="26">
        <v>423</v>
      </c>
      <c r="B424" s="1">
        <v>17</v>
      </c>
      <c r="C424" s="1">
        <f t="shared" si="51"/>
        <v>8</v>
      </c>
      <c r="D424" s="21">
        <f t="shared" ca="1" si="50"/>
        <v>44620</v>
      </c>
      <c r="E424" s="1" t="s">
        <v>26</v>
      </c>
      <c r="F424" s="1" t="s">
        <v>452</v>
      </c>
      <c r="G424" s="1" t="s">
        <v>28</v>
      </c>
      <c r="H424" s="1">
        <v>522</v>
      </c>
      <c r="I424" s="1">
        <f t="shared" si="52"/>
        <v>49</v>
      </c>
      <c r="J424" s="1">
        <f>VLOOKUP(B424,Cena!$A$2:$B$101,2)</f>
        <v>84</v>
      </c>
      <c r="K424" s="1">
        <f t="shared" si="56"/>
        <v>4116</v>
      </c>
      <c r="L424" s="1">
        <f t="shared" si="53"/>
        <v>946.68000000000006</v>
      </c>
      <c r="M424" s="22">
        <f t="shared" si="57"/>
        <v>5062.68</v>
      </c>
      <c r="N424" s="1">
        <f t="shared" ca="1" si="54"/>
        <v>2</v>
      </c>
      <c r="P424" s="1">
        <v>49.680562723369803</v>
      </c>
      <c r="Q424" s="1">
        <f t="shared" ca="1" si="55"/>
        <v>29</v>
      </c>
      <c r="R424" s="1">
        <v>8.3095108291308861</v>
      </c>
    </row>
    <row r="425" spans="1:18" x14ac:dyDescent="0.3">
      <c r="A425" s="26">
        <v>424</v>
      </c>
      <c r="B425" s="1">
        <v>8</v>
      </c>
      <c r="C425" s="1">
        <f t="shared" si="51"/>
        <v>11</v>
      </c>
      <c r="D425" s="21">
        <f t="shared" ca="1" si="50"/>
        <v>44793</v>
      </c>
      <c r="E425" s="1" t="s">
        <v>26</v>
      </c>
      <c r="F425" s="1" t="s">
        <v>453</v>
      </c>
      <c r="G425" s="1" t="s">
        <v>28</v>
      </c>
      <c r="H425" s="1">
        <v>523</v>
      </c>
      <c r="I425" s="1">
        <f t="shared" si="52"/>
        <v>45</v>
      </c>
      <c r="J425" s="1">
        <f>VLOOKUP(B425,Cena!$A$2:$B$101,2)</f>
        <v>88</v>
      </c>
      <c r="K425" s="1">
        <f t="shared" si="56"/>
        <v>3960</v>
      </c>
      <c r="L425" s="1">
        <f t="shared" si="53"/>
        <v>910.80000000000007</v>
      </c>
      <c r="M425" s="22">
        <f t="shared" si="57"/>
        <v>4870.8</v>
      </c>
      <c r="N425" s="1">
        <f t="shared" ca="1" si="54"/>
        <v>8</v>
      </c>
      <c r="P425" s="1">
        <v>45.800476426666137</v>
      </c>
      <c r="Q425" s="1">
        <f t="shared" ca="1" si="55"/>
        <v>28</v>
      </c>
      <c r="R425" s="1">
        <v>11.284979589399882</v>
      </c>
    </row>
    <row r="426" spans="1:18" x14ac:dyDescent="0.3">
      <c r="A426" s="26">
        <v>425</v>
      </c>
      <c r="B426" s="1">
        <v>3</v>
      </c>
      <c r="C426" s="1">
        <f t="shared" si="51"/>
        <v>7</v>
      </c>
      <c r="D426" s="21">
        <f t="shared" ca="1" si="50"/>
        <v>44562</v>
      </c>
      <c r="E426" s="1" t="s">
        <v>26</v>
      </c>
      <c r="F426" s="1" t="s">
        <v>454</v>
      </c>
      <c r="G426" s="1" t="s">
        <v>28</v>
      </c>
      <c r="H426" s="1">
        <v>524</v>
      </c>
      <c r="I426" s="1">
        <f t="shared" si="52"/>
        <v>34</v>
      </c>
      <c r="J426" s="1">
        <f>VLOOKUP(B426,Cena!$A$2:$B$101,2)</f>
        <v>89</v>
      </c>
      <c r="K426" s="1">
        <f t="shared" si="56"/>
        <v>3026</v>
      </c>
      <c r="L426" s="1">
        <f t="shared" si="53"/>
        <v>695.98</v>
      </c>
      <c r="M426" s="22">
        <f t="shared" si="57"/>
        <v>3721.98</v>
      </c>
      <c r="N426" s="1">
        <f t="shared" ca="1" si="54"/>
        <v>1</v>
      </c>
      <c r="P426" s="1">
        <v>34.278201736742631</v>
      </c>
      <c r="Q426" s="1">
        <f t="shared" ca="1" si="55"/>
        <v>6</v>
      </c>
      <c r="R426" s="1">
        <v>7.6186870753736002</v>
      </c>
    </row>
    <row r="427" spans="1:18" x14ac:dyDescent="0.3">
      <c r="A427" s="26">
        <v>426</v>
      </c>
      <c r="B427" s="1">
        <v>28</v>
      </c>
      <c r="C427" s="1">
        <f t="shared" si="51"/>
        <v>8</v>
      </c>
      <c r="D427" s="21">
        <f t="shared" ca="1" si="50"/>
        <v>44601</v>
      </c>
      <c r="E427" s="1" t="s">
        <v>26</v>
      </c>
      <c r="F427" s="1" t="s">
        <v>455</v>
      </c>
      <c r="G427" s="1" t="s">
        <v>28</v>
      </c>
      <c r="H427" s="1">
        <v>525</v>
      </c>
      <c r="I427" s="1">
        <f t="shared" si="52"/>
        <v>50</v>
      </c>
      <c r="J427" s="1">
        <f>VLOOKUP(B427,Cena!$A$2:$B$101,2)</f>
        <v>59</v>
      </c>
      <c r="K427" s="1">
        <f t="shared" si="56"/>
        <v>2950</v>
      </c>
      <c r="L427" s="1">
        <f t="shared" si="53"/>
        <v>678.5</v>
      </c>
      <c r="M427" s="22">
        <f t="shared" si="57"/>
        <v>3628.5</v>
      </c>
      <c r="N427" s="1">
        <f t="shared" ca="1" si="54"/>
        <v>2</v>
      </c>
      <c r="P427" s="1">
        <v>50.420482137997169</v>
      </c>
      <c r="Q427" s="1">
        <f t="shared" ca="1" si="55"/>
        <v>20</v>
      </c>
      <c r="R427" s="1">
        <v>8.1464924303509179</v>
      </c>
    </row>
    <row r="428" spans="1:18" x14ac:dyDescent="0.3">
      <c r="A428" s="26">
        <v>427</v>
      </c>
      <c r="B428" s="1">
        <v>27</v>
      </c>
      <c r="C428" s="1">
        <f t="shared" si="51"/>
        <v>8</v>
      </c>
      <c r="D428" s="21">
        <f t="shared" ca="1" si="50"/>
        <v>44718</v>
      </c>
      <c r="E428" s="1" t="s">
        <v>26</v>
      </c>
      <c r="F428" s="1" t="s">
        <v>456</v>
      </c>
      <c r="G428" s="1" t="s">
        <v>28</v>
      </c>
      <c r="H428" s="1">
        <v>526</v>
      </c>
      <c r="I428" s="1">
        <f t="shared" si="52"/>
        <v>49</v>
      </c>
      <c r="J428" s="1">
        <f>VLOOKUP(B428,Cena!$A$2:$B$101,2)</f>
        <v>87</v>
      </c>
      <c r="K428" s="1">
        <f t="shared" si="56"/>
        <v>4263</v>
      </c>
      <c r="L428" s="1">
        <f t="shared" si="53"/>
        <v>980.49</v>
      </c>
      <c r="M428" s="22">
        <f t="shared" si="57"/>
        <v>5243.49</v>
      </c>
      <c r="N428" s="1">
        <f t="shared" ca="1" si="54"/>
        <v>6</v>
      </c>
      <c r="P428" s="1">
        <v>49.455440047313459</v>
      </c>
      <c r="Q428" s="1">
        <f t="shared" ca="1" si="55"/>
        <v>4</v>
      </c>
      <c r="R428" s="1">
        <v>8.9283537615847308</v>
      </c>
    </row>
    <row r="429" spans="1:18" x14ac:dyDescent="0.3">
      <c r="A429" s="26">
        <v>428</v>
      </c>
      <c r="B429" s="1">
        <v>10</v>
      </c>
      <c r="C429" s="1">
        <f t="shared" si="51"/>
        <v>10</v>
      </c>
      <c r="D429" s="21">
        <f t="shared" ca="1" si="50"/>
        <v>44655</v>
      </c>
      <c r="E429" s="1" t="s">
        <v>26</v>
      </c>
      <c r="F429" s="1" t="s">
        <v>457</v>
      </c>
      <c r="G429" s="1" t="s">
        <v>28</v>
      </c>
      <c r="H429" s="1">
        <v>527</v>
      </c>
      <c r="I429" s="1">
        <f t="shared" si="52"/>
        <v>49</v>
      </c>
      <c r="J429" s="1">
        <f>VLOOKUP(B429,Cena!$A$2:$B$101,2)</f>
        <v>109</v>
      </c>
      <c r="K429" s="1">
        <f t="shared" si="56"/>
        <v>5341</v>
      </c>
      <c r="L429" s="1">
        <f t="shared" si="53"/>
        <v>1228.43</v>
      </c>
      <c r="M429" s="22">
        <f t="shared" si="57"/>
        <v>6569.43</v>
      </c>
      <c r="N429" s="1">
        <f t="shared" ca="1" si="54"/>
        <v>4</v>
      </c>
      <c r="P429" s="1">
        <v>49.447015852638287</v>
      </c>
      <c r="Q429" s="1">
        <f t="shared" ca="1" si="55"/>
        <v>17</v>
      </c>
      <c r="R429" s="1">
        <v>10.020366996977828</v>
      </c>
    </row>
    <row r="430" spans="1:18" x14ac:dyDescent="0.3">
      <c r="A430" s="26">
        <v>429</v>
      </c>
      <c r="B430" s="1">
        <v>5</v>
      </c>
      <c r="C430" s="1">
        <f t="shared" si="51"/>
        <v>6</v>
      </c>
      <c r="D430" s="21">
        <f t="shared" ca="1" si="50"/>
        <v>44797</v>
      </c>
      <c r="E430" s="1" t="s">
        <v>26</v>
      </c>
      <c r="F430" s="1" t="s">
        <v>458</v>
      </c>
      <c r="G430" s="1" t="s">
        <v>28</v>
      </c>
      <c r="H430" s="1">
        <v>528</v>
      </c>
      <c r="I430" s="1">
        <f t="shared" si="52"/>
        <v>53</v>
      </c>
      <c r="J430" s="1">
        <f>VLOOKUP(B430,Cena!$A$2:$B$101,2)</f>
        <v>91</v>
      </c>
      <c r="K430" s="1">
        <f t="shared" si="56"/>
        <v>4823</v>
      </c>
      <c r="L430" s="1">
        <f t="shared" si="53"/>
        <v>1109.29</v>
      </c>
      <c r="M430" s="22">
        <f t="shared" si="57"/>
        <v>5932.29</v>
      </c>
      <c r="N430" s="1">
        <f t="shared" ca="1" si="54"/>
        <v>8</v>
      </c>
      <c r="P430" s="1">
        <v>53.378238488949137</v>
      </c>
      <c r="Q430" s="1">
        <f t="shared" ca="1" si="55"/>
        <v>16</v>
      </c>
      <c r="R430" s="1">
        <v>6.1479034027433954</v>
      </c>
    </row>
    <row r="431" spans="1:18" x14ac:dyDescent="0.3">
      <c r="A431" s="26">
        <v>430</v>
      </c>
      <c r="B431" s="1">
        <v>11</v>
      </c>
      <c r="C431" s="1">
        <f t="shared" si="51"/>
        <v>7</v>
      </c>
      <c r="D431" s="21">
        <f t="shared" ca="1" si="50"/>
        <v>44571</v>
      </c>
      <c r="E431" s="1" t="s">
        <v>26</v>
      </c>
      <c r="F431" s="1" t="s">
        <v>459</v>
      </c>
      <c r="G431" s="1" t="s">
        <v>28</v>
      </c>
      <c r="H431" s="1">
        <v>529</v>
      </c>
      <c r="I431" s="1">
        <f t="shared" si="52"/>
        <v>58</v>
      </c>
      <c r="J431" s="1">
        <f>VLOOKUP(B431,Cena!$A$2:$B$101,2)</f>
        <v>83</v>
      </c>
      <c r="K431" s="1">
        <f t="shared" si="56"/>
        <v>4814</v>
      </c>
      <c r="L431" s="1">
        <f t="shared" si="53"/>
        <v>1107.22</v>
      </c>
      <c r="M431" s="22">
        <f t="shared" si="57"/>
        <v>5921.22</v>
      </c>
      <c r="N431" s="1">
        <f t="shared" ca="1" si="54"/>
        <v>1</v>
      </c>
      <c r="P431" s="1">
        <v>58.098209036688786</v>
      </c>
      <c r="Q431" s="1">
        <f t="shared" ca="1" si="55"/>
        <v>5</v>
      </c>
      <c r="R431" s="1">
        <v>7.2690488903026562</v>
      </c>
    </row>
    <row r="432" spans="1:18" x14ac:dyDescent="0.3">
      <c r="A432" s="26">
        <v>431</v>
      </c>
      <c r="B432" s="1">
        <v>8</v>
      </c>
      <c r="C432" s="1">
        <f t="shared" si="51"/>
        <v>8</v>
      </c>
      <c r="D432" s="21">
        <f t="shared" ca="1" si="50"/>
        <v>44808</v>
      </c>
      <c r="E432" s="1" t="s">
        <v>26</v>
      </c>
      <c r="F432" s="1" t="s">
        <v>460</v>
      </c>
      <c r="G432" s="1" t="s">
        <v>28</v>
      </c>
      <c r="H432" s="1">
        <v>530</v>
      </c>
      <c r="I432" s="1">
        <f t="shared" si="52"/>
        <v>55</v>
      </c>
      <c r="J432" s="1">
        <f>VLOOKUP(B432,Cena!$A$2:$B$101,2)</f>
        <v>88</v>
      </c>
      <c r="K432" s="1">
        <f t="shared" si="56"/>
        <v>4840</v>
      </c>
      <c r="L432" s="1">
        <f t="shared" si="53"/>
        <v>1113.2</v>
      </c>
      <c r="M432" s="22">
        <f t="shared" si="57"/>
        <v>5953.2</v>
      </c>
      <c r="N432" s="1">
        <f t="shared" ca="1" si="54"/>
        <v>9</v>
      </c>
      <c r="P432" s="1">
        <v>55.400988811743446</v>
      </c>
      <c r="Q432" s="1">
        <f t="shared" ca="1" si="55"/>
        <v>24</v>
      </c>
      <c r="R432" s="1">
        <v>8.7684191182779614</v>
      </c>
    </row>
    <row r="433" spans="1:18" x14ac:dyDescent="0.3">
      <c r="A433" s="26">
        <v>432</v>
      </c>
      <c r="B433" s="1">
        <v>13</v>
      </c>
      <c r="C433" s="1">
        <f t="shared" si="51"/>
        <v>7</v>
      </c>
      <c r="D433" s="21">
        <f t="shared" ca="1" si="50"/>
        <v>44787</v>
      </c>
      <c r="E433" s="1" t="s">
        <v>26</v>
      </c>
      <c r="F433" s="1" t="s">
        <v>461</v>
      </c>
      <c r="G433" s="1" t="s">
        <v>28</v>
      </c>
      <c r="H433" s="1">
        <v>531</v>
      </c>
      <c r="I433" s="1">
        <f t="shared" si="52"/>
        <v>50</v>
      </c>
      <c r="J433" s="1">
        <f>VLOOKUP(B433,Cena!$A$2:$B$101,2)</f>
        <v>94</v>
      </c>
      <c r="K433" s="1">
        <f t="shared" si="56"/>
        <v>4700</v>
      </c>
      <c r="L433" s="1">
        <f t="shared" si="53"/>
        <v>1081</v>
      </c>
      <c r="M433" s="22">
        <f t="shared" si="57"/>
        <v>5781</v>
      </c>
      <c r="N433" s="1">
        <f t="shared" ca="1" si="54"/>
        <v>8</v>
      </c>
      <c r="P433" s="1">
        <v>50.606621597398771</v>
      </c>
      <c r="Q433" s="1">
        <f t="shared" ca="1" si="55"/>
        <v>19</v>
      </c>
      <c r="R433" s="1">
        <v>7.136001184117049</v>
      </c>
    </row>
    <row r="434" spans="1:18" x14ac:dyDescent="0.3">
      <c r="A434" s="26">
        <v>433</v>
      </c>
      <c r="B434" s="1">
        <v>16</v>
      </c>
      <c r="C434" s="1">
        <f t="shared" si="51"/>
        <v>10</v>
      </c>
      <c r="D434" s="21">
        <f t="shared" ca="1" si="50"/>
        <v>44631</v>
      </c>
      <c r="E434" s="1" t="s">
        <v>26</v>
      </c>
      <c r="F434" s="1" t="s">
        <v>462</v>
      </c>
      <c r="G434" s="1" t="s">
        <v>28</v>
      </c>
      <c r="H434" s="1">
        <v>532</v>
      </c>
      <c r="I434" s="1">
        <f t="shared" si="52"/>
        <v>54</v>
      </c>
      <c r="J434" s="1">
        <f>VLOOKUP(B434,Cena!$A$2:$B$101,2)</f>
        <v>93</v>
      </c>
      <c r="K434" s="1">
        <f t="shared" si="56"/>
        <v>5022</v>
      </c>
      <c r="L434" s="1">
        <f t="shared" si="53"/>
        <v>1155.06</v>
      </c>
      <c r="M434" s="22">
        <f t="shared" si="57"/>
        <v>6177.0599999999995</v>
      </c>
      <c r="N434" s="1">
        <f t="shared" ca="1" si="54"/>
        <v>3</v>
      </c>
      <c r="P434" s="1">
        <v>54.673950115829939</v>
      </c>
      <c r="Q434" s="1">
        <f t="shared" ca="1" si="55"/>
        <v>23</v>
      </c>
      <c r="R434" s="1">
        <v>10.358181750925723</v>
      </c>
    </row>
    <row r="435" spans="1:18" x14ac:dyDescent="0.3">
      <c r="A435" s="26">
        <v>434</v>
      </c>
      <c r="B435" s="1">
        <v>28</v>
      </c>
      <c r="C435" s="1">
        <f t="shared" si="51"/>
        <v>9</v>
      </c>
      <c r="D435" s="21">
        <f t="shared" ca="1" si="50"/>
        <v>44815</v>
      </c>
      <c r="E435" s="1" t="s">
        <v>26</v>
      </c>
      <c r="F435" s="1" t="s">
        <v>463</v>
      </c>
      <c r="G435" s="1" t="s">
        <v>28</v>
      </c>
      <c r="H435" s="1">
        <v>533</v>
      </c>
      <c r="I435" s="1">
        <f t="shared" si="52"/>
        <v>70</v>
      </c>
      <c r="J435" s="1">
        <f>VLOOKUP(B435,Cena!$A$2:$B$101,2)</f>
        <v>59</v>
      </c>
      <c r="K435" s="1">
        <f t="shared" si="56"/>
        <v>4130</v>
      </c>
      <c r="L435" s="1">
        <f t="shared" si="53"/>
        <v>949.90000000000009</v>
      </c>
      <c r="M435" s="22">
        <f t="shared" si="57"/>
        <v>5079.8999999999996</v>
      </c>
      <c r="N435" s="1">
        <f t="shared" ca="1" si="54"/>
        <v>9</v>
      </c>
      <c r="P435" s="1">
        <v>70.954212232027203</v>
      </c>
      <c r="Q435" s="1">
        <f t="shared" ca="1" si="55"/>
        <v>20</v>
      </c>
      <c r="R435" s="1">
        <v>9.9040653619886143</v>
      </c>
    </row>
    <row r="436" spans="1:18" x14ac:dyDescent="0.3">
      <c r="A436" s="26">
        <v>435</v>
      </c>
      <c r="B436" s="1">
        <v>9</v>
      </c>
      <c r="C436" s="1">
        <f t="shared" si="51"/>
        <v>17</v>
      </c>
      <c r="D436" s="21">
        <f t="shared" ca="1" si="50"/>
        <v>44861</v>
      </c>
      <c r="E436" s="1" t="s">
        <v>26</v>
      </c>
      <c r="F436" s="1" t="s">
        <v>464</v>
      </c>
      <c r="G436" s="1" t="s">
        <v>28</v>
      </c>
      <c r="H436" s="1">
        <v>534</v>
      </c>
      <c r="I436" s="1">
        <f t="shared" si="52"/>
        <v>48</v>
      </c>
      <c r="J436" s="1">
        <f>VLOOKUP(B436,Cena!$A$2:$B$101,2)</f>
        <v>96</v>
      </c>
      <c r="K436" s="1">
        <f t="shared" si="56"/>
        <v>4608</v>
      </c>
      <c r="L436" s="1">
        <f t="shared" si="53"/>
        <v>1059.8400000000001</v>
      </c>
      <c r="M436" s="22">
        <f t="shared" si="57"/>
        <v>5667.84</v>
      </c>
      <c r="N436" s="1">
        <f t="shared" ca="1" si="54"/>
        <v>10</v>
      </c>
      <c r="P436" s="1">
        <v>48.832663550274447</v>
      </c>
      <c r="Q436" s="1">
        <f t="shared" ca="1" si="55"/>
        <v>9</v>
      </c>
      <c r="R436" s="1">
        <v>17.189737516455352</v>
      </c>
    </row>
    <row r="437" spans="1:18" x14ac:dyDescent="0.3">
      <c r="A437" s="26">
        <v>436</v>
      </c>
      <c r="B437" s="1">
        <v>29</v>
      </c>
      <c r="C437" s="1">
        <f t="shared" si="51"/>
        <v>7</v>
      </c>
      <c r="D437" s="21">
        <f t="shared" ca="1" si="50"/>
        <v>44743</v>
      </c>
      <c r="E437" s="1" t="s">
        <v>26</v>
      </c>
      <c r="F437" s="1" t="s">
        <v>465</v>
      </c>
      <c r="G437" s="1" t="s">
        <v>28</v>
      </c>
      <c r="H437" s="1">
        <v>535</v>
      </c>
      <c r="I437" s="1">
        <f t="shared" si="52"/>
        <v>46</v>
      </c>
      <c r="J437" s="1">
        <f>VLOOKUP(B437,Cena!$A$2:$B$101,2)</f>
        <v>105</v>
      </c>
      <c r="K437" s="1">
        <f t="shared" si="56"/>
        <v>4830</v>
      </c>
      <c r="L437" s="1">
        <f t="shared" si="53"/>
        <v>1110.9000000000001</v>
      </c>
      <c r="M437" s="22">
        <f t="shared" si="57"/>
        <v>5940.9</v>
      </c>
      <c r="N437" s="1">
        <f t="shared" ca="1" si="54"/>
        <v>7</v>
      </c>
      <c r="P437" s="1">
        <v>46.153837855672464</v>
      </c>
      <c r="Q437" s="1">
        <f t="shared" ca="1" si="55"/>
        <v>17</v>
      </c>
      <c r="R437" s="1">
        <v>7.8344249029760249</v>
      </c>
    </row>
    <row r="438" spans="1:18" x14ac:dyDescent="0.3">
      <c r="A438" s="26">
        <v>437</v>
      </c>
      <c r="B438" s="1">
        <v>25</v>
      </c>
      <c r="C438" s="1">
        <f t="shared" si="51"/>
        <v>5</v>
      </c>
      <c r="D438" s="21">
        <f t="shared" ca="1" si="50"/>
        <v>44598</v>
      </c>
      <c r="E438" s="1" t="s">
        <v>26</v>
      </c>
      <c r="F438" s="1" t="s">
        <v>466</v>
      </c>
      <c r="G438" s="1" t="s">
        <v>28</v>
      </c>
      <c r="H438" s="1">
        <v>536</v>
      </c>
      <c r="I438" s="1">
        <f t="shared" si="52"/>
        <v>62</v>
      </c>
      <c r="J438" s="1">
        <f>VLOOKUP(B438,Cena!$A$2:$B$101,2)</f>
        <v>108</v>
      </c>
      <c r="K438" s="1">
        <f t="shared" si="56"/>
        <v>6696</v>
      </c>
      <c r="L438" s="1">
        <f t="shared" si="53"/>
        <v>1540.0800000000002</v>
      </c>
      <c r="M438" s="22">
        <f t="shared" si="57"/>
        <v>8236.08</v>
      </c>
      <c r="N438" s="1">
        <f t="shared" ca="1" si="54"/>
        <v>2</v>
      </c>
      <c r="P438" s="1">
        <v>62.306554708629847</v>
      </c>
      <c r="Q438" s="1">
        <f t="shared" ca="1" si="55"/>
        <v>10</v>
      </c>
      <c r="R438" s="1">
        <v>5.2535290503874421</v>
      </c>
    </row>
    <row r="439" spans="1:18" x14ac:dyDescent="0.3">
      <c r="A439" s="26">
        <v>438</v>
      </c>
      <c r="B439" s="1">
        <v>9</v>
      </c>
      <c r="C439" s="1">
        <f t="shared" si="51"/>
        <v>12</v>
      </c>
      <c r="D439" s="21">
        <f t="shared" ca="1" si="50"/>
        <v>44877</v>
      </c>
      <c r="E439" s="1" t="s">
        <v>26</v>
      </c>
      <c r="F439" s="1" t="s">
        <v>467</v>
      </c>
      <c r="G439" s="1" t="s">
        <v>28</v>
      </c>
      <c r="H439" s="1">
        <v>537</v>
      </c>
      <c r="I439" s="1">
        <f t="shared" si="52"/>
        <v>52</v>
      </c>
      <c r="J439" s="1">
        <f>VLOOKUP(B439,Cena!$A$2:$B$101,2)</f>
        <v>96</v>
      </c>
      <c r="K439" s="1">
        <f t="shared" si="56"/>
        <v>4992</v>
      </c>
      <c r="L439" s="1">
        <f t="shared" si="53"/>
        <v>1148.1600000000001</v>
      </c>
      <c r="M439" s="22">
        <f t="shared" si="57"/>
        <v>6140.16</v>
      </c>
      <c r="N439" s="1">
        <f t="shared" ca="1" si="54"/>
        <v>11</v>
      </c>
      <c r="P439" s="1">
        <v>52.039348601101665</v>
      </c>
      <c r="Q439" s="1">
        <f t="shared" ca="1" si="55"/>
        <v>12</v>
      </c>
      <c r="R439" s="1">
        <v>12.92076833829924</v>
      </c>
    </row>
    <row r="440" spans="1:18" x14ac:dyDescent="0.3">
      <c r="A440" s="26">
        <v>439</v>
      </c>
      <c r="B440" s="1">
        <v>3</v>
      </c>
      <c r="C440" s="1">
        <f t="shared" si="51"/>
        <v>13</v>
      </c>
      <c r="D440" s="21">
        <f t="shared" ca="1" si="50"/>
        <v>44580</v>
      </c>
      <c r="E440" s="1" t="s">
        <v>26</v>
      </c>
      <c r="F440" s="1" t="s">
        <v>468</v>
      </c>
      <c r="G440" s="1" t="s">
        <v>28</v>
      </c>
      <c r="H440" s="1">
        <v>538</v>
      </c>
      <c r="I440" s="1">
        <f t="shared" si="52"/>
        <v>34</v>
      </c>
      <c r="J440" s="1">
        <f>VLOOKUP(B440,Cena!$A$2:$B$101,2)</f>
        <v>89</v>
      </c>
      <c r="K440" s="1">
        <f t="shared" si="56"/>
        <v>3026</v>
      </c>
      <c r="L440" s="1">
        <f t="shared" si="53"/>
        <v>695.98</v>
      </c>
      <c r="M440" s="22">
        <f t="shared" si="57"/>
        <v>3721.98</v>
      </c>
      <c r="N440" s="1">
        <f t="shared" ca="1" si="54"/>
        <v>1</v>
      </c>
      <c r="P440" s="1">
        <v>34.921623763511889</v>
      </c>
      <c r="Q440" s="1">
        <f t="shared" ca="1" si="55"/>
        <v>12</v>
      </c>
      <c r="R440" s="1">
        <v>13.165860107401386</v>
      </c>
    </row>
    <row r="441" spans="1:18" x14ac:dyDescent="0.3">
      <c r="A441" s="26">
        <v>440</v>
      </c>
      <c r="B441" s="1">
        <v>8</v>
      </c>
      <c r="C441" s="1">
        <f t="shared" si="51"/>
        <v>11</v>
      </c>
      <c r="D441" s="21">
        <f t="shared" ca="1" si="50"/>
        <v>44643</v>
      </c>
      <c r="E441" s="1" t="s">
        <v>26</v>
      </c>
      <c r="F441" s="1" t="s">
        <v>469</v>
      </c>
      <c r="G441" s="1" t="s">
        <v>28</v>
      </c>
      <c r="H441" s="1">
        <v>539</v>
      </c>
      <c r="I441" s="1">
        <f t="shared" si="52"/>
        <v>69</v>
      </c>
      <c r="J441" s="1">
        <f>VLOOKUP(B441,Cena!$A$2:$B$101,2)</f>
        <v>88</v>
      </c>
      <c r="K441" s="1">
        <f t="shared" si="56"/>
        <v>6072</v>
      </c>
      <c r="L441" s="1">
        <f t="shared" si="53"/>
        <v>1396.5600000000002</v>
      </c>
      <c r="M441" s="22">
        <f t="shared" si="57"/>
        <v>7468.56</v>
      </c>
      <c r="N441" s="1">
        <f t="shared" ca="1" si="54"/>
        <v>3</v>
      </c>
      <c r="P441" s="1">
        <v>69.770504877669737</v>
      </c>
      <c r="Q441" s="1">
        <f t="shared" ca="1" si="55"/>
        <v>22</v>
      </c>
      <c r="R441" s="1">
        <v>11.476814759371337</v>
      </c>
    </row>
    <row r="442" spans="1:18" x14ac:dyDescent="0.3">
      <c r="A442" s="26">
        <v>441</v>
      </c>
      <c r="B442" s="1">
        <v>10</v>
      </c>
      <c r="C442" s="1">
        <f t="shared" si="51"/>
        <v>9</v>
      </c>
      <c r="D442" s="21">
        <f t="shared" ca="1" si="50"/>
        <v>44918</v>
      </c>
      <c r="E442" s="1" t="s">
        <v>26</v>
      </c>
      <c r="F442" s="1" t="s">
        <v>470</v>
      </c>
      <c r="G442" s="1" t="s">
        <v>28</v>
      </c>
      <c r="H442" s="1">
        <v>540</v>
      </c>
      <c r="I442" s="1">
        <f t="shared" si="52"/>
        <v>51</v>
      </c>
      <c r="J442" s="1">
        <f>VLOOKUP(B442,Cena!$A$2:$B$101,2)</f>
        <v>109</v>
      </c>
      <c r="K442" s="1">
        <f t="shared" si="56"/>
        <v>5559</v>
      </c>
      <c r="L442" s="1">
        <f t="shared" si="53"/>
        <v>1278.5700000000002</v>
      </c>
      <c r="M442" s="22">
        <f t="shared" si="57"/>
        <v>6837.57</v>
      </c>
      <c r="N442" s="1">
        <f t="shared" ca="1" si="54"/>
        <v>12</v>
      </c>
      <c r="P442" s="1">
        <v>51.448961484129541</v>
      </c>
      <c r="Q442" s="1">
        <f t="shared" ca="1" si="55"/>
        <v>12</v>
      </c>
      <c r="R442" s="1">
        <v>9.0120471693444415</v>
      </c>
    </row>
    <row r="443" spans="1:18" x14ac:dyDescent="0.3">
      <c r="A443" s="26">
        <v>442</v>
      </c>
      <c r="B443" s="1">
        <v>24</v>
      </c>
      <c r="C443" s="1">
        <f t="shared" si="51"/>
        <v>9</v>
      </c>
      <c r="D443" s="21">
        <f t="shared" ca="1" si="50"/>
        <v>44594</v>
      </c>
      <c r="E443" s="1" t="s">
        <v>26</v>
      </c>
      <c r="F443" s="1" t="s">
        <v>471</v>
      </c>
      <c r="G443" s="1" t="s">
        <v>28</v>
      </c>
      <c r="H443" s="1">
        <v>541</v>
      </c>
      <c r="I443" s="1">
        <f t="shared" si="52"/>
        <v>39</v>
      </c>
      <c r="J443" s="1">
        <f>VLOOKUP(B443,Cena!$A$2:$B$101,2)</f>
        <v>125</v>
      </c>
      <c r="K443" s="1">
        <f t="shared" si="56"/>
        <v>4875</v>
      </c>
      <c r="L443" s="1">
        <f t="shared" si="53"/>
        <v>1121.25</v>
      </c>
      <c r="M443" s="22">
        <f t="shared" si="57"/>
        <v>5996.25</v>
      </c>
      <c r="N443" s="1">
        <f t="shared" ca="1" si="54"/>
        <v>2</v>
      </c>
      <c r="P443" s="1">
        <v>39.777234077337198</v>
      </c>
      <c r="Q443" s="1">
        <f t="shared" ca="1" si="55"/>
        <v>20</v>
      </c>
      <c r="R443" s="1">
        <v>9.653599047633179</v>
      </c>
    </row>
    <row r="444" spans="1:18" x14ac:dyDescent="0.3">
      <c r="A444" s="26">
        <v>443</v>
      </c>
      <c r="B444" s="1">
        <v>27</v>
      </c>
      <c r="C444" s="1">
        <f t="shared" si="51"/>
        <v>13</v>
      </c>
      <c r="D444" s="21">
        <f t="shared" ca="1" si="50"/>
        <v>44838</v>
      </c>
      <c r="E444" s="1" t="s">
        <v>26</v>
      </c>
      <c r="F444" s="1" t="s">
        <v>472</v>
      </c>
      <c r="G444" s="1" t="s">
        <v>28</v>
      </c>
      <c r="H444" s="1">
        <v>542</v>
      </c>
      <c r="I444" s="1">
        <f t="shared" si="52"/>
        <v>27</v>
      </c>
      <c r="J444" s="1">
        <f>VLOOKUP(B444,Cena!$A$2:$B$101,2)</f>
        <v>87</v>
      </c>
      <c r="K444" s="1">
        <f t="shared" si="56"/>
        <v>2349</v>
      </c>
      <c r="L444" s="1">
        <f t="shared" si="53"/>
        <v>540.27</v>
      </c>
      <c r="M444" s="22">
        <f t="shared" si="57"/>
        <v>2889.27</v>
      </c>
      <c r="N444" s="1">
        <f t="shared" ca="1" si="54"/>
        <v>10</v>
      </c>
      <c r="P444" s="1">
        <v>27.934385242406279</v>
      </c>
      <c r="Q444" s="1">
        <f t="shared" ca="1" si="55"/>
        <v>8</v>
      </c>
      <c r="R444" s="1">
        <v>13.748277777049225</v>
      </c>
    </row>
    <row r="445" spans="1:18" x14ac:dyDescent="0.3">
      <c r="A445" s="26">
        <v>444</v>
      </c>
      <c r="B445" s="1">
        <v>15</v>
      </c>
      <c r="C445" s="1">
        <f t="shared" si="51"/>
        <v>10</v>
      </c>
      <c r="D445" s="21">
        <f t="shared" ca="1" si="50"/>
        <v>44824</v>
      </c>
      <c r="E445" s="1" t="s">
        <v>26</v>
      </c>
      <c r="F445" s="1" t="s">
        <v>473</v>
      </c>
      <c r="G445" s="1" t="s">
        <v>28</v>
      </c>
      <c r="H445" s="1">
        <v>543</v>
      </c>
      <c r="I445" s="1">
        <f t="shared" si="52"/>
        <v>70</v>
      </c>
      <c r="J445" s="1">
        <f>VLOOKUP(B445,Cena!$A$2:$B$101,2)</f>
        <v>85</v>
      </c>
      <c r="K445" s="1">
        <f t="shared" si="56"/>
        <v>5950</v>
      </c>
      <c r="L445" s="1">
        <f t="shared" si="53"/>
        <v>1368.5</v>
      </c>
      <c r="M445" s="22">
        <f t="shared" si="57"/>
        <v>7318.5</v>
      </c>
      <c r="N445" s="1">
        <f t="shared" ca="1" si="54"/>
        <v>9</v>
      </c>
      <c r="P445" s="1">
        <v>70.899460650980473</v>
      </c>
      <c r="Q445" s="1">
        <f t="shared" ca="1" si="55"/>
        <v>5</v>
      </c>
      <c r="R445" s="1">
        <v>10.241055886363029</v>
      </c>
    </row>
    <row r="446" spans="1:18" x14ac:dyDescent="0.3">
      <c r="A446" s="26">
        <v>445</v>
      </c>
      <c r="B446" s="1">
        <v>3</v>
      </c>
      <c r="C446" s="1">
        <f t="shared" si="51"/>
        <v>11</v>
      </c>
      <c r="D446" s="21">
        <f t="shared" ca="1" si="50"/>
        <v>44722</v>
      </c>
      <c r="E446" s="1" t="s">
        <v>26</v>
      </c>
      <c r="F446" s="1" t="s">
        <v>474</v>
      </c>
      <c r="G446" s="1" t="s">
        <v>28</v>
      </c>
      <c r="H446" s="1">
        <v>544</v>
      </c>
      <c r="I446" s="1">
        <f t="shared" si="52"/>
        <v>48</v>
      </c>
      <c r="J446" s="1">
        <f>VLOOKUP(B446,Cena!$A$2:$B$101,2)</f>
        <v>89</v>
      </c>
      <c r="K446" s="1">
        <f t="shared" si="56"/>
        <v>4272</v>
      </c>
      <c r="L446" s="1">
        <f t="shared" si="53"/>
        <v>982.56000000000006</v>
      </c>
      <c r="M446" s="22">
        <f t="shared" si="57"/>
        <v>5254.56</v>
      </c>
      <c r="N446" s="1">
        <f t="shared" ca="1" si="54"/>
        <v>6</v>
      </c>
      <c r="P446" s="1">
        <v>48.88117372393026</v>
      </c>
      <c r="Q446" s="1">
        <f t="shared" ca="1" si="55"/>
        <v>18</v>
      </c>
      <c r="R446" s="1">
        <v>11.676093575042614</v>
      </c>
    </row>
    <row r="447" spans="1:18" x14ac:dyDescent="0.3">
      <c r="A447" s="26">
        <v>446</v>
      </c>
      <c r="B447" s="1">
        <v>16</v>
      </c>
      <c r="C447" s="1">
        <f t="shared" si="51"/>
        <v>12</v>
      </c>
      <c r="D447" s="21">
        <f t="shared" ca="1" si="50"/>
        <v>44749</v>
      </c>
      <c r="E447" s="1" t="s">
        <v>26</v>
      </c>
      <c r="F447" s="1" t="s">
        <v>475</v>
      </c>
      <c r="G447" s="1" t="s">
        <v>28</v>
      </c>
      <c r="H447" s="1">
        <v>545</v>
      </c>
      <c r="I447" s="1">
        <f t="shared" si="52"/>
        <v>45</v>
      </c>
      <c r="J447" s="1">
        <f>VLOOKUP(B447,Cena!$A$2:$B$101,2)</f>
        <v>93</v>
      </c>
      <c r="K447" s="1">
        <f t="shared" si="56"/>
        <v>4185</v>
      </c>
      <c r="L447" s="1">
        <f t="shared" si="53"/>
        <v>962.55000000000007</v>
      </c>
      <c r="M447" s="22">
        <f t="shared" si="57"/>
        <v>5147.55</v>
      </c>
      <c r="N447" s="1">
        <f t="shared" ca="1" si="54"/>
        <v>7</v>
      </c>
      <c r="P447" s="1">
        <v>45.491805293568177</v>
      </c>
      <c r="Q447" s="1">
        <f t="shared" ca="1" si="55"/>
        <v>1</v>
      </c>
      <c r="R447" s="1">
        <v>12.40216877500643</v>
      </c>
    </row>
    <row r="448" spans="1:18" x14ac:dyDescent="0.3">
      <c r="A448" s="26">
        <v>447</v>
      </c>
      <c r="B448" s="1">
        <v>29</v>
      </c>
      <c r="C448" s="1">
        <f t="shared" si="51"/>
        <v>10</v>
      </c>
      <c r="D448" s="21">
        <f t="shared" ca="1" si="50"/>
        <v>44702</v>
      </c>
      <c r="E448" s="1" t="s">
        <v>26</v>
      </c>
      <c r="F448" s="1" t="s">
        <v>476</v>
      </c>
      <c r="G448" s="1" t="s">
        <v>28</v>
      </c>
      <c r="H448" s="1">
        <v>546</v>
      </c>
      <c r="I448" s="1">
        <f t="shared" si="52"/>
        <v>34</v>
      </c>
      <c r="J448" s="1">
        <f>VLOOKUP(B448,Cena!$A$2:$B$101,2)</f>
        <v>105</v>
      </c>
      <c r="K448" s="1">
        <f t="shared" si="56"/>
        <v>3570</v>
      </c>
      <c r="L448" s="1">
        <f t="shared" si="53"/>
        <v>821.1</v>
      </c>
      <c r="M448" s="22">
        <f t="shared" si="57"/>
        <v>4391.1000000000004</v>
      </c>
      <c r="N448" s="1">
        <f t="shared" ca="1" si="54"/>
        <v>5</v>
      </c>
      <c r="P448" s="1">
        <v>34.654004947515205</v>
      </c>
      <c r="Q448" s="1">
        <f t="shared" ca="1" si="55"/>
        <v>4</v>
      </c>
      <c r="R448" s="1">
        <v>10.400939370592823</v>
      </c>
    </row>
    <row r="449" spans="1:18" x14ac:dyDescent="0.3">
      <c r="A449" s="26">
        <v>448</v>
      </c>
      <c r="B449" s="1">
        <v>30</v>
      </c>
      <c r="C449" s="1">
        <f t="shared" si="51"/>
        <v>10</v>
      </c>
      <c r="D449" s="21">
        <f t="shared" ca="1" si="50"/>
        <v>44878</v>
      </c>
      <c r="E449" s="1" t="s">
        <v>26</v>
      </c>
      <c r="F449" s="1" t="s">
        <v>477</v>
      </c>
      <c r="G449" s="1" t="s">
        <v>28</v>
      </c>
      <c r="H449" s="1">
        <v>547</v>
      </c>
      <c r="I449" s="1">
        <f t="shared" si="52"/>
        <v>53</v>
      </c>
      <c r="J449" s="1">
        <f>VLOOKUP(B449,Cena!$A$2:$B$101,2)</f>
        <v>87</v>
      </c>
      <c r="K449" s="1">
        <f t="shared" si="56"/>
        <v>4611</v>
      </c>
      <c r="L449" s="1">
        <f t="shared" si="53"/>
        <v>1060.53</v>
      </c>
      <c r="M449" s="22">
        <f t="shared" si="57"/>
        <v>5671.53</v>
      </c>
      <c r="N449" s="1">
        <f t="shared" ca="1" si="54"/>
        <v>11</v>
      </c>
      <c r="P449" s="1">
        <v>53.488594302325509</v>
      </c>
      <c r="Q449" s="1">
        <f t="shared" ca="1" si="55"/>
        <v>4</v>
      </c>
      <c r="R449" s="1">
        <v>10.359148089046357</v>
      </c>
    </row>
    <row r="450" spans="1:18" x14ac:dyDescent="0.3">
      <c r="A450" s="26">
        <v>449</v>
      </c>
      <c r="B450" s="1">
        <v>11</v>
      </c>
      <c r="C450" s="1">
        <f t="shared" si="51"/>
        <v>6</v>
      </c>
      <c r="D450" s="21">
        <f t="shared" ref="D450:D513" ca="1" si="58">DATE(2022,RANDBETWEEN(1,12),RANDBETWEEN(1,28))</f>
        <v>44877</v>
      </c>
      <c r="E450" s="1" t="s">
        <v>26</v>
      </c>
      <c r="F450" s="1" t="s">
        <v>478</v>
      </c>
      <c r="G450" s="1" t="s">
        <v>28</v>
      </c>
      <c r="H450" s="1">
        <v>548</v>
      </c>
      <c r="I450" s="1">
        <f t="shared" si="52"/>
        <v>52</v>
      </c>
      <c r="J450" s="1">
        <f>VLOOKUP(B450,Cena!$A$2:$B$101,2)</f>
        <v>83</v>
      </c>
      <c r="K450" s="1">
        <f t="shared" si="56"/>
        <v>4316</v>
      </c>
      <c r="L450" s="1">
        <f t="shared" si="53"/>
        <v>992.68000000000006</v>
      </c>
      <c r="M450" s="22">
        <f t="shared" si="57"/>
        <v>5308.68</v>
      </c>
      <c r="N450" s="1">
        <f t="shared" ca="1" si="54"/>
        <v>11</v>
      </c>
      <c r="P450" s="1">
        <v>52.083891104120994</v>
      </c>
      <c r="Q450" s="1">
        <f t="shared" ca="1" si="55"/>
        <v>2</v>
      </c>
      <c r="R450" s="1">
        <v>6.9521127241023351</v>
      </c>
    </row>
    <row r="451" spans="1:18" x14ac:dyDescent="0.3">
      <c r="A451" s="26">
        <v>450</v>
      </c>
      <c r="B451" s="1">
        <v>7</v>
      </c>
      <c r="C451" s="1">
        <f t="shared" ref="C451:C514" si="59">INT(R451)</f>
        <v>5</v>
      </c>
      <c r="D451" s="21">
        <f t="shared" ca="1" si="58"/>
        <v>44904</v>
      </c>
      <c r="E451" s="1" t="s">
        <v>26</v>
      </c>
      <c r="F451" s="1" t="s">
        <v>479</v>
      </c>
      <c r="G451" s="1" t="s">
        <v>28</v>
      </c>
      <c r="H451" s="1">
        <v>549</v>
      </c>
      <c r="I451" s="1">
        <f t="shared" ref="I451:I514" si="60">INT(P451)</f>
        <v>41</v>
      </c>
      <c r="J451" s="1">
        <f>VLOOKUP(B451,Cena!$A$2:$B$101,2)</f>
        <v>104</v>
      </c>
      <c r="K451" s="1">
        <f t="shared" si="56"/>
        <v>4264</v>
      </c>
      <c r="L451" s="1">
        <f t="shared" ref="L451:L514" si="61">K451*23%</f>
        <v>980.72</v>
      </c>
      <c r="M451" s="22">
        <f t="shared" si="57"/>
        <v>5244.72</v>
      </c>
      <c r="N451" s="1">
        <f t="shared" ref="N451:N514" ca="1" si="62">MONTH(D451)</f>
        <v>12</v>
      </c>
      <c r="P451" s="1">
        <v>41.181903169490397</v>
      </c>
      <c r="Q451" s="1">
        <f t="shared" ref="Q451:Q514" ca="1" si="63">RANDBETWEEN(1,30)</f>
        <v>21</v>
      </c>
      <c r="R451" s="1">
        <v>5.4967734083766118</v>
      </c>
    </row>
    <row r="452" spans="1:18" x14ac:dyDescent="0.3">
      <c r="A452" s="26">
        <v>451</v>
      </c>
      <c r="B452" s="1">
        <v>1</v>
      </c>
      <c r="C452" s="1">
        <f t="shared" si="59"/>
        <v>9</v>
      </c>
      <c r="D452" s="21">
        <f t="shared" ca="1" si="58"/>
        <v>44755</v>
      </c>
      <c r="E452" s="1" t="s">
        <v>26</v>
      </c>
      <c r="F452" s="1" t="s">
        <v>480</v>
      </c>
      <c r="G452" s="1" t="s">
        <v>28</v>
      </c>
      <c r="H452" s="1">
        <v>550</v>
      </c>
      <c r="I452" s="1">
        <f t="shared" si="60"/>
        <v>41</v>
      </c>
      <c r="J452" s="1">
        <f>VLOOKUP(B452,Cena!$A$2:$B$101,2)</f>
        <v>84</v>
      </c>
      <c r="K452" s="1">
        <f t="shared" si="56"/>
        <v>3444</v>
      </c>
      <c r="L452" s="1">
        <f t="shared" si="61"/>
        <v>792.12</v>
      </c>
      <c r="M452" s="22">
        <f t="shared" si="57"/>
        <v>4236.12</v>
      </c>
      <c r="N452" s="1">
        <f t="shared" ca="1" si="62"/>
        <v>7</v>
      </c>
      <c r="P452" s="1">
        <v>41.180789038480725</v>
      </c>
      <c r="Q452" s="1">
        <f t="shared" ca="1" si="63"/>
        <v>10</v>
      </c>
      <c r="R452" s="1">
        <v>9.5447183209762443</v>
      </c>
    </row>
    <row r="453" spans="1:18" x14ac:dyDescent="0.3">
      <c r="A453" s="26">
        <v>452</v>
      </c>
      <c r="B453" s="1">
        <v>8</v>
      </c>
      <c r="C453" s="1">
        <f t="shared" si="59"/>
        <v>9</v>
      </c>
      <c r="D453" s="21">
        <f t="shared" ca="1" si="58"/>
        <v>44736</v>
      </c>
      <c r="E453" s="1" t="s">
        <v>26</v>
      </c>
      <c r="F453" s="1" t="s">
        <v>481</v>
      </c>
      <c r="G453" s="1" t="s">
        <v>28</v>
      </c>
      <c r="H453" s="1">
        <v>551</v>
      </c>
      <c r="I453" s="1">
        <f t="shared" si="60"/>
        <v>57</v>
      </c>
      <c r="J453" s="1">
        <f>VLOOKUP(B453,Cena!$A$2:$B$101,2)</f>
        <v>88</v>
      </c>
      <c r="K453" s="1">
        <f t="shared" si="56"/>
        <v>5016</v>
      </c>
      <c r="L453" s="1">
        <f t="shared" si="61"/>
        <v>1153.68</v>
      </c>
      <c r="M453" s="22">
        <f t="shared" si="57"/>
        <v>6169.68</v>
      </c>
      <c r="N453" s="1">
        <f t="shared" ca="1" si="62"/>
        <v>6</v>
      </c>
      <c r="P453" s="1">
        <v>57.385870048892684</v>
      </c>
      <c r="Q453" s="1">
        <f t="shared" ca="1" si="63"/>
        <v>2</v>
      </c>
      <c r="R453" s="1">
        <v>9.840872533241054</v>
      </c>
    </row>
    <row r="454" spans="1:18" x14ac:dyDescent="0.3">
      <c r="A454" s="26">
        <v>453</v>
      </c>
      <c r="B454" s="1">
        <v>17</v>
      </c>
      <c r="C454" s="1">
        <f t="shared" si="59"/>
        <v>4</v>
      </c>
      <c r="D454" s="21">
        <f t="shared" ca="1" si="58"/>
        <v>44861</v>
      </c>
      <c r="E454" s="1" t="s">
        <v>26</v>
      </c>
      <c r="F454" s="1" t="s">
        <v>482</v>
      </c>
      <c r="G454" s="1" t="s">
        <v>28</v>
      </c>
      <c r="H454" s="1">
        <v>552</v>
      </c>
      <c r="I454" s="1">
        <f t="shared" si="60"/>
        <v>54</v>
      </c>
      <c r="J454" s="1">
        <f>VLOOKUP(B454,Cena!$A$2:$B$101,2)</f>
        <v>84</v>
      </c>
      <c r="K454" s="1">
        <f t="shared" si="56"/>
        <v>4536</v>
      </c>
      <c r="L454" s="1">
        <f t="shared" si="61"/>
        <v>1043.28</v>
      </c>
      <c r="M454" s="22">
        <f t="shared" si="57"/>
        <v>5579.28</v>
      </c>
      <c r="N454" s="1">
        <f t="shared" ca="1" si="62"/>
        <v>10</v>
      </c>
      <c r="P454" s="1">
        <v>54.358810201665619</v>
      </c>
      <c r="Q454" s="1">
        <f t="shared" ca="1" si="63"/>
        <v>18</v>
      </c>
      <c r="R454" s="1">
        <v>4.3092461762716994</v>
      </c>
    </row>
    <row r="455" spans="1:18" x14ac:dyDescent="0.3">
      <c r="A455" s="26">
        <v>454</v>
      </c>
      <c r="B455" s="1">
        <v>16</v>
      </c>
      <c r="C455" s="1">
        <f t="shared" si="59"/>
        <v>12</v>
      </c>
      <c r="D455" s="21">
        <f t="shared" ca="1" si="58"/>
        <v>44893</v>
      </c>
      <c r="E455" s="1" t="s">
        <v>26</v>
      </c>
      <c r="F455" s="1" t="s">
        <v>483</v>
      </c>
      <c r="G455" s="1" t="s">
        <v>28</v>
      </c>
      <c r="H455" s="1">
        <v>553</v>
      </c>
      <c r="I455" s="1">
        <f t="shared" si="60"/>
        <v>47</v>
      </c>
      <c r="J455" s="1">
        <f>VLOOKUP(B455,Cena!$A$2:$B$101,2)</f>
        <v>93</v>
      </c>
      <c r="K455" s="1">
        <f t="shared" si="56"/>
        <v>4371</v>
      </c>
      <c r="L455" s="1">
        <f t="shared" si="61"/>
        <v>1005.33</v>
      </c>
      <c r="M455" s="22">
        <f t="shared" si="57"/>
        <v>5376.33</v>
      </c>
      <c r="N455" s="1">
        <f t="shared" ca="1" si="62"/>
        <v>11</v>
      </c>
      <c r="P455" s="1">
        <v>47.33612412455841</v>
      </c>
      <c r="Q455" s="1">
        <f t="shared" ca="1" si="63"/>
        <v>12</v>
      </c>
      <c r="R455" s="1">
        <v>12.414333266642643</v>
      </c>
    </row>
    <row r="456" spans="1:18" x14ac:dyDescent="0.3">
      <c r="A456" s="26">
        <v>455</v>
      </c>
      <c r="B456" s="1">
        <v>7</v>
      </c>
      <c r="C456" s="1">
        <f t="shared" si="59"/>
        <v>7</v>
      </c>
      <c r="D456" s="21">
        <f t="shared" ca="1" si="58"/>
        <v>44745</v>
      </c>
      <c r="E456" s="1" t="s">
        <v>26</v>
      </c>
      <c r="F456" s="1" t="s">
        <v>484</v>
      </c>
      <c r="G456" s="1" t="s">
        <v>28</v>
      </c>
      <c r="H456" s="1">
        <v>554</v>
      </c>
      <c r="I456" s="1">
        <f t="shared" si="60"/>
        <v>47</v>
      </c>
      <c r="J456" s="1">
        <f>VLOOKUP(B456,Cena!$A$2:$B$101,2)</f>
        <v>104</v>
      </c>
      <c r="K456" s="1">
        <f t="shared" si="56"/>
        <v>4888</v>
      </c>
      <c r="L456" s="1">
        <f t="shared" si="61"/>
        <v>1124.24</v>
      </c>
      <c r="M456" s="22">
        <f t="shared" si="57"/>
        <v>6012.24</v>
      </c>
      <c r="N456" s="1">
        <f t="shared" ca="1" si="62"/>
        <v>7</v>
      </c>
      <c r="P456" s="1">
        <v>47.65268512419425</v>
      </c>
      <c r="Q456" s="1">
        <f t="shared" ca="1" si="63"/>
        <v>25</v>
      </c>
      <c r="R456" s="1">
        <v>7.7098241288331337</v>
      </c>
    </row>
    <row r="457" spans="1:18" x14ac:dyDescent="0.3">
      <c r="A457" s="26">
        <v>456</v>
      </c>
      <c r="B457" s="1">
        <v>13</v>
      </c>
      <c r="C457" s="1">
        <f t="shared" si="59"/>
        <v>12</v>
      </c>
      <c r="D457" s="21">
        <f t="shared" ca="1" si="58"/>
        <v>44683</v>
      </c>
      <c r="E457" s="1" t="s">
        <v>26</v>
      </c>
      <c r="F457" s="1" t="s">
        <v>485</v>
      </c>
      <c r="G457" s="1" t="s">
        <v>28</v>
      </c>
      <c r="H457" s="1">
        <v>555</v>
      </c>
      <c r="I457" s="1">
        <f t="shared" si="60"/>
        <v>64</v>
      </c>
      <c r="J457" s="1">
        <f>VLOOKUP(B457,Cena!$A$2:$B$101,2)</f>
        <v>94</v>
      </c>
      <c r="K457" s="1">
        <f t="shared" si="56"/>
        <v>6016</v>
      </c>
      <c r="L457" s="1">
        <f t="shared" si="61"/>
        <v>1383.68</v>
      </c>
      <c r="M457" s="22">
        <f t="shared" si="57"/>
        <v>7399.68</v>
      </c>
      <c r="N457" s="1">
        <f t="shared" ca="1" si="62"/>
        <v>5</v>
      </c>
      <c r="P457" s="1">
        <v>64.084389476920478</v>
      </c>
      <c r="Q457" s="1">
        <f t="shared" ca="1" si="63"/>
        <v>26</v>
      </c>
      <c r="R457" s="1">
        <v>12.992737790918909</v>
      </c>
    </row>
    <row r="458" spans="1:18" x14ac:dyDescent="0.3">
      <c r="A458" s="26">
        <v>457</v>
      </c>
      <c r="B458" s="1">
        <v>29</v>
      </c>
      <c r="C458" s="1">
        <f t="shared" si="59"/>
        <v>9</v>
      </c>
      <c r="D458" s="21">
        <f t="shared" ca="1" si="58"/>
        <v>44877</v>
      </c>
      <c r="E458" s="1" t="s">
        <v>26</v>
      </c>
      <c r="F458" s="1" t="s">
        <v>486</v>
      </c>
      <c r="G458" s="1" t="s">
        <v>28</v>
      </c>
      <c r="H458" s="1">
        <v>556</v>
      </c>
      <c r="I458" s="1">
        <f t="shared" si="60"/>
        <v>60</v>
      </c>
      <c r="J458" s="1">
        <f>VLOOKUP(B458,Cena!$A$2:$B$101,2)</f>
        <v>105</v>
      </c>
      <c r="K458" s="1">
        <f t="shared" si="56"/>
        <v>6300</v>
      </c>
      <c r="L458" s="1">
        <f t="shared" si="61"/>
        <v>1449</v>
      </c>
      <c r="M458" s="22">
        <f t="shared" si="57"/>
        <v>7749</v>
      </c>
      <c r="N458" s="1">
        <f t="shared" ca="1" si="62"/>
        <v>11</v>
      </c>
      <c r="P458" s="1">
        <v>60.674352779460605</v>
      </c>
      <c r="Q458" s="1">
        <f t="shared" ca="1" si="63"/>
        <v>25</v>
      </c>
      <c r="R458" s="1">
        <v>9.9832652974873781</v>
      </c>
    </row>
    <row r="459" spans="1:18" x14ac:dyDescent="0.3">
      <c r="A459" s="26">
        <v>458</v>
      </c>
      <c r="B459" s="1">
        <v>10</v>
      </c>
      <c r="C459" s="1">
        <f t="shared" si="59"/>
        <v>6</v>
      </c>
      <c r="D459" s="21">
        <f t="shared" ca="1" si="58"/>
        <v>44816</v>
      </c>
      <c r="E459" s="1" t="s">
        <v>26</v>
      </c>
      <c r="F459" s="1" t="s">
        <v>487</v>
      </c>
      <c r="G459" s="1" t="s">
        <v>28</v>
      </c>
      <c r="H459" s="1">
        <v>557</v>
      </c>
      <c r="I459" s="1">
        <f t="shared" si="60"/>
        <v>56</v>
      </c>
      <c r="J459" s="1">
        <f>VLOOKUP(B459,Cena!$A$2:$B$101,2)</f>
        <v>109</v>
      </c>
      <c r="K459" s="1">
        <f t="shared" si="56"/>
        <v>6104</v>
      </c>
      <c r="L459" s="1">
        <f t="shared" si="61"/>
        <v>1403.92</v>
      </c>
      <c r="M459" s="22">
        <f t="shared" si="57"/>
        <v>7507.92</v>
      </c>
      <c r="N459" s="1">
        <f t="shared" ca="1" si="62"/>
        <v>9</v>
      </c>
      <c r="P459" s="1">
        <v>56.3868810684653</v>
      </c>
      <c r="Q459" s="1">
        <f t="shared" ca="1" si="63"/>
        <v>10</v>
      </c>
      <c r="R459" s="1">
        <v>6.6695895636803471</v>
      </c>
    </row>
    <row r="460" spans="1:18" x14ac:dyDescent="0.3">
      <c r="A460" s="26">
        <v>459</v>
      </c>
      <c r="B460" s="1">
        <v>25</v>
      </c>
      <c r="C460" s="1">
        <f t="shared" si="59"/>
        <v>11</v>
      </c>
      <c r="D460" s="21">
        <f t="shared" ca="1" si="58"/>
        <v>44708</v>
      </c>
      <c r="E460" s="1" t="s">
        <v>26</v>
      </c>
      <c r="F460" s="1" t="s">
        <v>488</v>
      </c>
      <c r="G460" s="1" t="s">
        <v>28</v>
      </c>
      <c r="H460" s="1">
        <v>558</v>
      </c>
      <c r="I460" s="1">
        <f t="shared" si="60"/>
        <v>40</v>
      </c>
      <c r="J460" s="1">
        <f>VLOOKUP(B460,Cena!$A$2:$B$101,2)</f>
        <v>108</v>
      </c>
      <c r="K460" s="1">
        <f t="shared" si="56"/>
        <v>4320</v>
      </c>
      <c r="L460" s="1">
        <f t="shared" si="61"/>
        <v>993.6</v>
      </c>
      <c r="M460" s="22">
        <f t="shared" si="57"/>
        <v>5313.6</v>
      </c>
      <c r="N460" s="1">
        <f t="shared" ca="1" si="62"/>
        <v>5</v>
      </c>
      <c r="P460" s="1">
        <v>40.013043316139374</v>
      </c>
      <c r="Q460" s="1">
        <f t="shared" ca="1" si="63"/>
        <v>18</v>
      </c>
      <c r="R460" s="1">
        <v>11.111828851207974</v>
      </c>
    </row>
    <row r="461" spans="1:18" x14ac:dyDescent="0.3">
      <c r="A461" s="26">
        <v>460</v>
      </c>
      <c r="B461" s="1">
        <v>19</v>
      </c>
      <c r="C461" s="1">
        <f t="shared" si="59"/>
        <v>9</v>
      </c>
      <c r="D461" s="21">
        <f t="shared" ca="1" si="58"/>
        <v>44635</v>
      </c>
      <c r="E461" s="1" t="s">
        <v>26</v>
      </c>
      <c r="F461" s="1" t="s">
        <v>489</v>
      </c>
      <c r="G461" s="1" t="s">
        <v>28</v>
      </c>
      <c r="H461" s="1">
        <v>559</v>
      </c>
      <c r="I461" s="1">
        <f t="shared" si="60"/>
        <v>58</v>
      </c>
      <c r="J461" s="1">
        <f>VLOOKUP(B461,Cena!$A$2:$B$101,2)</f>
        <v>84</v>
      </c>
      <c r="K461" s="1">
        <f t="shared" si="56"/>
        <v>4872</v>
      </c>
      <c r="L461" s="1">
        <f t="shared" si="61"/>
        <v>1120.56</v>
      </c>
      <c r="M461" s="22">
        <f t="shared" si="57"/>
        <v>5992.5599999999995</v>
      </c>
      <c r="N461" s="1">
        <f t="shared" ca="1" si="62"/>
        <v>3</v>
      </c>
      <c r="P461" s="1">
        <v>58.030451681406703</v>
      </c>
      <c r="Q461" s="1">
        <f t="shared" ca="1" si="63"/>
        <v>10</v>
      </c>
      <c r="R461" s="1">
        <v>9.0923981840751367</v>
      </c>
    </row>
    <row r="462" spans="1:18" x14ac:dyDescent="0.3">
      <c r="A462" s="26">
        <v>461</v>
      </c>
      <c r="B462" s="1">
        <v>23</v>
      </c>
      <c r="C462" s="1">
        <f t="shared" si="59"/>
        <v>14</v>
      </c>
      <c r="D462" s="21">
        <f t="shared" ca="1" si="58"/>
        <v>44873</v>
      </c>
      <c r="E462" s="1" t="s">
        <v>26</v>
      </c>
      <c r="F462" s="1" t="s">
        <v>490</v>
      </c>
      <c r="G462" s="1" t="s">
        <v>28</v>
      </c>
      <c r="H462" s="1">
        <v>560</v>
      </c>
      <c r="I462" s="1">
        <f t="shared" si="60"/>
        <v>49</v>
      </c>
      <c r="J462" s="1">
        <f>VLOOKUP(B462,Cena!$A$2:$B$101,2)</f>
        <v>132</v>
      </c>
      <c r="K462" s="1">
        <f t="shared" si="56"/>
        <v>6468</v>
      </c>
      <c r="L462" s="1">
        <f t="shared" si="61"/>
        <v>1487.64</v>
      </c>
      <c r="M462" s="22">
        <f t="shared" si="57"/>
        <v>7955.64</v>
      </c>
      <c r="N462" s="1">
        <f t="shared" ca="1" si="62"/>
        <v>11</v>
      </c>
      <c r="P462" s="1">
        <v>49.194756128417794</v>
      </c>
      <c r="Q462" s="1">
        <f t="shared" ca="1" si="63"/>
        <v>10</v>
      </c>
      <c r="R462" s="1">
        <v>14.726894076156896</v>
      </c>
    </row>
    <row r="463" spans="1:18" x14ac:dyDescent="0.3">
      <c r="A463" s="26">
        <v>462</v>
      </c>
      <c r="B463" s="1">
        <v>10</v>
      </c>
      <c r="C463" s="1">
        <f t="shared" si="59"/>
        <v>11</v>
      </c>
      <c r="D463" s="21">
        <f t="shared" ca="1" si="58"/>
        <v>44582</v>
      </c>
      <c r="E463" s="1" t="s">
        <v>26</v>
      </c>
      <c r="F463" s="1" t="s">
        <v>491</v>
      </c>
      <c r="G463" s="1" t="s">
        <v>28</v>
      </c>
      <c r="H463" s="1">
        <v>561</v>
      </c>
      <c r="I463" s="1">
        <f t="shared" si="60"/>
        <v>49</v>
      </c>
      <c r="J463" s="1">
        <f>VLOOKUP(B463,Cena!$A$2:$B$101,2)</f>
        <v>109</v>
      </c>
      <c r="K463" s="1">
        <f t="shared" si="56"/>
        <v>5341</v>
      </c>
      <c r="L463" s="1">
        <f t="shared" si="61"/>
        <v>1228.43</v>
      </c>
      <c r="M463" s="22">
        <f t="shared" si="57"/>
        <v>6569.43</v>
      </c>
      <c r="N463" s="1">
        <f t="shared" ca="1" si="62"/>
        <v>1</v>
      </c>
      <c r="P463" s="1">
        <v>49.828253294253955</v>
      </c>
      <c r="Q463" s="1">
        <f t="shared" ca="1" si="63"/>
        <v>18</v>
      </c>
      <c r="R463" s="1">
        <v>11.715088160381129</v>
      </c>
    </row>
    <row r="464" spans="1:18" x14ac:dyDescent="0.3">
      <c r="A464" s="26">
        <v>463</v>
      </c>
      <c r="B464" s="1">
        <v>8</v>
      </c>
      <c r="C464" s="1">
        <f t="shared" si="59"/>
        <v>7</v>
      </c>
      <c r="D464" s="21">
        <f t="shared" ca="1" si="58"/>
        <v>44844</v>
      </c>
      <c r="E464" s="1" t="s">
        <v>26</v>
      </c>
      <c r="F464" s="1" t="s">
        <v>492</v>
      </c>
      <c r="G464" s="1" t="s">
        <v>28</v>
      </c>
      <c r="H464" s="1">
        <v>562</v>
      </c>
      <c r="I464" s="1">
        <f t="shared" si="60"/>
        <v>48</v>
      </c>
      <c r="J464" s="1">
        <f>VLOOKUP(B464,Cena!$A$2:$B$101,2)</f>
        <v>88</v>
      </c>
      <c r="K464" s="1">
        <f t="shared" si="56"/>
        <v>4224</v>
      </c>
      <c r="L464" s="1">
        <f t="shared" si="61"/>
        <v>971.5200000000001</v>
      </c>
      <c r="M464" s="22">
        <f t="shared" si="57"/>
        <v>5195.5200000000004</v>
      </c>
      <c r="N464" s="1">
        <f t="shared" ca="1" si="62"/>
        <v>10</v>
      </c>
      <c r="P464" s="1">
        <v>48.094040165597107</v>
      </c>
      <c r="Q464" s="1">
        <f t="shared" ca="1" si="63"/>
        <v>22</v>
      </c>
      <c r="R464" s="1">
        <v>7.2505690948310075</v>
      </c>
    </row>
    <row r="465" spans="1:18" x14ac:dyDescent="0.3">
      <c r="A465" s="26">
        <v>464</v>
      </c>
      <c r="B465" s="1">
        <v>29</v>
      </c>
      <c r="C465" s="1">
        <f t="shared" si="59"/>
        <v>10</v>
      </c>
      <c r="D465" s="21">
        <f t="shared" ca="1" si="58"/>
        <v>44883</v>
      </c>
      <c r="E465" s="1" t="s">
        <v>26</v>
      </c>
      <c r="F465" s="1" t="s">
        <v>493</v>
      </c>
      <c r="G465" s="1" t="s">
        <v>28</v>
      </c>
      <c r="H465" s="1">
        <v>563</v>
      </c>
      <c r="I465" s="1">
        <f t="shared" si="60"/>
        <v>50</v>
      </c>
      <c r="J465" s="1">
        <f>VLOOKUP(B465,Cena!$A$2:$B$101,2)</f>
        <v>105</v>
      </c>
      <c r="K465" s="1">
        <f t="shared" si="56"/>
        <v>5250</v>
      </c>
      <c r="L465" s="1">
        <f t="shared" si="61"/>
        <v>1207.5</v>
      </c>
      <c r="M465" s="22">
        <f t="shared" si="57"/>
        <v>6457.5</v>
      </c>
      <c r="N465" s="1">
        <f t="shared" ca="1" si="62"/>
        <v>11</v>
      </c>
      <c r="P465" s="1">
        <v>50.779925812821602</v>
      </c>
      <c r="Q465" s="1">
        <f t="shared" ca="1" si="63"/>
        <v>12</v>
      </c>
      <c r="R465" s="1">
        <v>10.140926204039715</v>
      </c>
    </row>
    <row r="466" spans="1:18" x14ac:dyDescent="0.3">
      <c r="A466" s="26">
        <v>465</v>
      </c>
      <c r="B466" s="1">
        <v>5</v>
      </c>
      <c r="C466" s="1">
        <f t="shared" si="59"/>
        <v>6</v>
      </c>
      <c r="D466" s="21">
        <f t="shared" ca="1" si="58"/>
        <v>44762</v>
      </c>
      <c r="E466" s="1" t="s">
        <v>26</v>
      </c>
      <c r="F466" s="1" t="s">
        <v>494</v>
      </c>
      <c r="G466" s="1" t="s">
        <v>28</v>
      </c>
      <c r="H466" s="1">
        <v>564</v>
      </c>
      <c r="I466" s="1">
        <f t="shared" si="60"/>
        <v>43</v>
      </c>
      <c r="J466" s="1">
        <f>VLOOKUP(B466,Cena!$A$2:$B$101,2)</f>
        <v>91</v>
      </c>
      <c r="K466" s="1">
        <f t="shared" si="56"/>
        <v>3913</v>
      </c>
      <c r="L466" s="1">
        <f t="shared" si="61"/>
        <v>899.99</v>
      </c>
      <c r="M466" s="22">
        <f t="shared" si="57"/>
        <v>4812.99</v>
      </c>
      <c r="N466" s="1">
        <f t="shared" ca="1" si="62"/>
        <v>7</v>
      </c>
      <c r="P466" s="1">
        <v>43.115420693357009</v>
      </c>
      <c r="Q466" s="1">
        <f t="shared" ca="1" si="63"/>
        <v>16</v>
      </c>
      <c r="R466" s="1">
        <v>6.5698862069984898</v>
      </c>
    </row>
    <row r="467" spans="1:18" x14ac:dyDescent="0.3">
      <c r="A467" s="26">
        <v>466</v>
      </c>
      <c r="B467" s="1">
        <v>26</v>
      </c>
      <c r="C467" s="1">
        <f t="shared" si="59"/>
        <v>11</v>
      </c>
      <c r="D467" s="21">
        <f t="shared" ca="1" si="58"/>
        <v>44879</v>
      </c>
      <c r="E467" s="1" t="s">
        <v>26</v>
      </c>
      <c r="F467" s="1" t="s">
        <v>495</v>
      </c>
      <c r="G467" s="1" t="s">
        <v>28</v>
      </c>
      <c r="H467" s="1">
        <v>565</v>
      </c>
      <c r="I467" s="1">
        <f t="shared" si="60"/>
        <v>44</v>
      </c>
      <c r="J467" s="1">
        <f>VLOOKUP(B467,Cena!$A$2:$B$101,2)</f>
        <v>99</v>
      </c>
      <c r="K467" s="1">
        <f t="shared" si="56"/>
        <v>4356</v>
      </c>
      <c r="L467" s="1">
        <f t="shared" si="61"/>
        <v>1001.88</v>
      </c>
      <c r="M467" s="22">
        <f t="shared" si="57"/>
        <v>5357.88</v>
      </c>
      <c r="N467" s="1">
        <f t="shared" ca="1" si="62"/>
        <v>11</v>
      </c>
      <c r="P467" s="1">
        <v>44.497841271368088</v>
      </c>
      <c r="Q467" s="1">
        <f t="shared" ca="1" si="63"/>
        <v>29</v>
      </c>
      <c r="R467" s="1">
        <v>11.793620185708278</v>
      </c>
    </row>
    <row r="468" spans="1:18" x14ac:dyDescent="0.3">
      <c r="A468" s="26">
        <v>467</v>
      </c>
      <c r="B468" s="1">
        <v>6</v>
      </c>
      <c r="C468" s="1">
        <f t="shared" si="59"/>
        <v>10</v>
      </c>
      <c r="D468" s="21">
        <f t="shared" ca="1" si="58"/>
        <v>44664</v>
      </c>
      <c r="E468" s="1" t="s">
        <v>26</v>
      </c>
      <c r="F468" s="1" t="s">
        <v>496</v>
      </c>
      <c r="G468" s="1" t="s">
        <v>28</v>
      </c>
      <c r="H468" s="1">
        <v>566</v>
      </c>
      <c r="I468" s="1">
        <f t="shared" si="60"/>
        <v>41</v>
      </c>
      <c r="J468" s="1">
        <f>VLOOKUP(B468,Cena!$A$2:$B$101,2)</f>
        <v>86</v>
      </c>
      <c r="K468" s="1">
        <f t="shared" si="56"/>
        <v>3526</v>
      </c>
      <c r="L468" s="1">
        <f t="shared" si="61"/>
        <v>810.98</v>
      </c>
      <c r="M468" s="22">
        <f t="shared" si="57"/>
        <v>4336.9799999999996</v>
      </c>
      <c r="N468" s="1">
        <f t="shared" ca="1" si="62"/>
        <v>4</v>
      </c>
      <c r="P468" s="1">
        <v>41.941012922325172</v>
      </c>
      <c r="Q468" s="1">
        <f t="shared" ca="1" si="63"/>
        <v>14</v>
      </c>
      <c r="R468" s="1">
        <v>10.16238459465967</v>
      </c>
    </row>
    <row r="469" spans="1:18" x14ac:dyDescent="0.3">
      <c r="A469" s="26">
        <v>468</v>
      </c>
      <c r="B469" s="1">
        <v>15</v>
      </c>
      <c r="C469" s="1">
        <f t="shared" si="59"/>
        <v>11</v>
      </c>
      <c r="D469" s="21">
        <f t="shared" ca="1" si="58"/>
        <v>44750</v>
      </c>
      <c r="E469" s="1" t="s">
        <v>26</v>
      </c>
      <c r="F469" s="1" t="s">
        <v>497</v>
      </c>
      <c r="G469" s="1" t="s">
        <v>28</v>
      </c>
      <c r="H469" s="1">
        <v>567</v>
      </c>
      <c r="I469" s="1">
        <f t="shared" si="60"/>
        <v>63</v>
      </c>
      <c r="J469" s="1">
        <f>VLOOKUP(B469,Cena!$A$2:$B$101,2)</f>
        <v>85</v>
      </c>
      <c r="K469" s="1">
        <f t="shared" si="56"/>
        <v>5355</v>
      </c>
      <c r="L469" s="1">
        <f t="shared" si="61"/>
        <v>1231.6500000000001</v>
      </c>
      <c r="M469" s="22">
        <f t="shared" si="57"/>
        <v>6586.65</v>
      </c>
      <c r="N469" s="1">
        <f t="shared" ca="1" si="62"/>
        <v>7</v>
      </c>
      <c r="P469" s="1">
        <v>63.941462384536862</v>
      </c>
      <c r="Q469" s="1">
        <f t="shared" ca="1" si="63"/>
        <v>17</v>
      </c>
      <c r="R469" s="1">
        <v>11.015098405332537</v>
      </c>
    </row>
    <row r="470" spans="1:18" x14ac:dyDescent="0.3">
      <c r="A470" s="26">
        <v>469</v>
      </c>
      <c r="B470" s="1">
        <v>26</v>
      </c>
      <c r="C470" s="1">
        <f t="shared" si="59"/>
        <v>6</v>
      </c>
      <c r="D470" s="21">
        <f t="shared" ca="1" si="58"/>
        <v>44682</v>
      </c>
      <c r="E470" s="1" t="s">
        <v>26</v>
      </c>
      <c r="F470" s="1" t="s">
        <v>498</v>
      </c>
      <c r="G470" s="1" t="s">
        <v>28</v>
      </c>
      <c r="H470" s="1">
        <v>568</v>
      </c>
      <c r="I470" s="1">
        <f t="shared" si="60"/>
        <v>17</v>
      </c>
      <c r="J470" s="1">
        <f>VLOOKUP(B470,Cena!$A$2:$B$101,2)</f>
        <v>99</v>
      </c>
      <c r="K470" s="1">
        <f t="shared" si="56"/>
        <v>1683</v>
      </c>
      <c r="L470" s="1">
        <f t="shared" si="61"/>
        <v>387.09000000000003</v>
      </c>
      <c r="M470" s="22">
        <f t="shared" si="57"/>
        <v>2070.09</v>
      </c>
      <c r="N470" s="1">
        <f t="shared" ca="1" si="62"/>
        <v>5</v>
      </c>
      <c r="P470" s="1">
        <v>17.79952198266983</v>
      </c>
      <c r="Q470" s="1">
        <f t="shared" ca="1" si="63"/>
        <v>26</v>
      </c>
      <c r="R470" s="1">
        <v>6.293570347916102</v>
      </c>
    </row>
    <row r="471" spans="1:18" x14ac:dyDescent="0.3">
      <c r="A471" s="26">
        <v>470</v>
      </c>
      <c r="B471" s="1">
        <v>4</v>
      </c>
      <c r="C471" s="1">
        <f t="shared" si="59"/>
        <v>11</v>
      </c>
      <c r="D471" s="21">
        <f t="shared" ca="1" si="58"/>
        <v>44697</v>
      </c>
      <c r="E471" s="1" t="s">
        <v>26</v>
      </c>
      <c r="F471" s="1" t="s">
        <v>499</v>
      </c>
      <c r="G471" s="1" t="s">
        <v>28</v>
      </c>
      <c r="H471" s="1">
        <v>569</v>
      </c>
      <c r="I471" s="1">
        <f t="shared" si="60"/>
        <v>59</v>
      </c>
      <c r="J471" s="1">
        <f>VLOOKUP(B471,Cena!$A$2:$B$101,2)</f>
        <v>99</v>
      </c>
      <c r="K471" s="1">
        <f t="shared" si="56"/>
        <v>5841</v>
      </c>
      <c r="L471" s="1">
        <f t="shared" si="61"/>
        <v>1343.43</v>
      </c>
      <c r="M471" s="22">
        <f t="shared" si="57"/>
        <v>7184.43</v>
      </c>
      <c r="N471" s="1">
        <f t="shared" ca="1" si="62"/>
        <v>5</v>
      </c>
      <c r="P471" s="1">
        <v>59.30951955524506</v>
      </c>
      <c r="Q471" s="1">
        <f t="shared" ca="1" si="63"/>
        <v>20</v>
      </c>
      <c r="R471" s="1">
        <v>11.476587385695893</v>
      </c>
    </row>
    <row r="472" spans="1:18" x14ac:dyDescent="0.3">
      <c r="A472" s="26">
        <v>471</v>
      </c>
      <c r="B472" s="1">
        <v>23</v>
      </c>
      <c r="C472" s="1">
        <f t="shared" si="59"/>
        <v>11</v>
      </c>
      <c r="D472" s="21">
        <f t="shared" ca="1" si="58"/>
        <v>44733</v>
      </c>
      <c r="E472" s="1" t="s">
        <v>26</v>
      </c>
      <c r="F472" s="1" t="s">
        <v>500</v>
      </c>
      <c r="G472" s="1" t="s">
        <v>28</v>
      </c>
      <c r="H472" s="1">
        <v>570</v>
      </c>
      <c r="I472" s="1">
        <f t="shared" si="60"/>
        <v>51</v>
      </c>
      <c r="J472" s="1">
        <f>VLOOKUP(B472,Cena!$A$2:$B$101,2)</f>
        <v>132</v>
      </c>
      <c r="K472" s="1">
        <f t="shared" si="56"/>
        <v>6732</v>
      </c>
      <c r="L472" s="1">
        <f t="shared" si="61"/>
        <v>1548.3600000000001</v>
      </c>
      <c r="M472" s="22">
        <f t="shared" si="57"/>
        <v>8280.36</v>
      </c>
      <c r="N472" s="1">
        <f t="shared" ca="1" si="62"/>
        <v>6</v>
      </c>
      <c r="P472" s="1">
        <v>51.773696567397565</v>
      </c>
      <c r="Q472" s="1">
        <f t="shared" ca="1" si="63"/>
        <v>6</v>
      </c>
      <c r="R472" s="1">
        <v>11.128319127019495</v>
      </c>
    </row>
    <row r="473" spans="1:18" x14ac:dyDescent="0.3">
      <c r="A473" s="26">
        <v>472</v>
      </c>
      <c r="B473" s="1">
        <v>6</v>
      </c>
      <c r="C473" s="1">
        <f t="shared" si="59"/>
        <v>12</v>
      </c>
      <c r="D473" s="21">
        <f t="shared" ca="1" si="58"/>
        <v>44904</v>
      </c>
      <c r="E473" s="1" t="s">
        <v>26</v>
      </c>
      <c r="F473" s="1" t="s">
        <v>501</v>
      </c>
      <c r="G473" s="1" t="s">
        <v>28</v>
      </c>
      <c r="H473" s="1">
        <v>571</v>
      </c>
      <c r="I473" s="1">
        <f t="shared" si="60"/>
        <v>62</v>
      </c>
      <c r="J473" s="1">
        <f>VLOOKUP(B473,Cena!$A$2:$B$101,2)</f>
        <v>86</v>
      </c>
      <c r="K473" s="1">
        <f t="shared" si="56"/>
        <v>5332</v>
      </c>
      <c r="L473" s="1">
        <f t="shared" si="61"/>
        <v>1226.3600000000001</v>
      </c>
      <c r="M473" s="22">
        <f t="shared" si="57"/>
        <v>6558.3600000000006</v>
      </c>
      <c r="N473" s="1">
        <f t="shared" ca="1" si="62"/>
        <v>12</v>
      </c>
      <c r="P473" s="1">
        <v>62.821965356124565</v>
      </c>
      <c r="Q473" s="1">
        <f t="shared" ca="1" si="63"/>
        <v>2</v>
      </c>
      <c r="R473" s="1">
        <v>12.66284700956021</v>
      </c>
    </row>
    <row r="474" spans="1:18" x14ac:dyDescent="0.3">
      <c r="A474" s="26">
        <v>473</v>
      </c>
      <c r="B474" s="1">
        <v>15</v>
      </c>
      <c r="C474" s="1">
        <f t="shared" si="59"/>
        <v>9</v>
      </c>
      <c r="D474" s="21">
        <f t="shared" ca="1" si="58"/>
        <v>44779</v>
      </c>
      <c r="E474" s="1" t="s">
        <v>26</v>
      </c>
      <c r="F474" s="1" t="s">
        <v>502</v>
      </c>
      <c r="G474" s="1" t="s">
        <v>28</v>
      </c>
      <c r="H474" s="1">
        <v>572</v>
      </c>
      <c r="I474" s="1">
        <f t="shared" si="60"/>
        <v>33</v>
      </c>
      <c r="J474" s="1">
        <f>VLOOKUP(B474,Cena!$A$2:$B$101,2)</f>
        <v>85</v>
      </c>
      <c r="K474" s="1">
        <f t="shared" si="56"/>
        <v>2805</v>
      </c>
      <c r="L474" s="1">
        <f t="shared" si="61"/>
        <v>645.15</v>
      </c>
      <c r="M474" s="22">
        <f t="shared" si="57"/>
        <v>3450.15</v>
      </c>
      <c r="N474" s="1">
        <f t="shared" ca="1" si="62"/>
        <v>8</v>
      </c>
      <c r="P474" s="1">
        <v>33.538600645260885</v>
      </c>
      <c r="Q474" s="1">
        <f t="shared" ca="1" si="63"/>
        <v>4</v>
      </c>
      <c r="R474" s="1">
        <v>9.2321960462504649</v>
      </c>
    </row>
    <row r="475" spans="1:18" x14ac:dyDescent="0.3">
      <c r="A475" s="26">
        <v>474</v>
      </c>
      <c r="B475" s="1">
        <v>2</v>
      </c>
      <c r="C475" s="1">
        <f t="shared" si="59"/>
        <v>10</v>
      </c>
      <c r="D475" s="21">
        <f t="shared" ca="1" si="58"/>
        <v>44615</v>
      </c>
      <c r="E475" s="1" t="s">
        <v>26</v>
      </c>
      <c r="F475" s="1" t="s">
        <v>503</v>
      </c>
      <c r="G475" s="1" t="s">
        <v>28</v>
      </c>
      <c r="H475" s="1">
        <v>573</v>
      </c>
      <c r="I475" s="1">
        <f t="shared" si="60"/>
        <v>39</v>
      </c>
      <c r="J475" s="1">
        <f>VLOOKUP(B475,Cena!$A$2:$B$101,2)</f>
        <v>121</v>
      </c>
      <c r="K475" s="1">
        <f t="shared" si="56"/>
        <v>4719</v>
      </c>
      <c r="L475" s="1">
        <f t="shared" si="61"/>
        <v>1085.3700000000001</v>
      </c>
      <c r="M475" s="22">
        <f t="shared" si="57"/>
        <v>5804.37</v>
      </c>
      <c r="N475" s="1">
        <f t="shared" ca="1" si="62"/>
        <v>2</v>
      </c>
      <c r="P475" s="1">
        <v>39.556749824259896</v>
      </c>
      <c r="Q475" s="1">
        <f t="shared" ca="1" si="63"/>
        <v>14</v>
      </c>
      <c r="R475" s="1">
        <v>10.358181750925723</v>
      </c>
    </row>
    <row r="476" spans="1:18" x14ac:dyDescent="0.3">
      <c r="A476" s="26">
        <v>475</v>
      </c>
      <c r="B476" s="1">
        <v>14</v>
      </c>
      <c r="C476" s="1">
        <f t="shared" si="59"/>
        <v>9</v>
      </c>
      <c r="D476" s="21">
        <f t="shared" ca="1" si="58"/>
        <v>44675</v>
      </c>
      <c r="E476" s="1" t="s">
        <v>26</v>
      </c>
      <c r="F476" s="1" t="s">
        <v>504</v>
      </c>
      <c r="G476" s="1" t="s">
        <v>28</v>
      </c>
      <c r="H476" s="1">
        <v>574</v>
      </c>
      <c r="I476" s="1">
        <f t="shared" si="60"/>
        <v>59</v>
      </c>
      <c r="J476" s="1">
        <f>VLOOKUP(B476,Cena!$A$2:$B$101,2)</f>
        <v>129</v>
      </c>
      <c r="K476" s="1">
        <f t="shared" si="56"/>
        <v>7611</v>
      </c>
      <c r="L476" s="1">
        <f t="shared" si="61"/>
        <v>1750.53</v>
      </c>
      <c r="M476" s="22">
        <f t="shared" si="57"/>
        <v>9361.5300000000007</v>
      </c>
      <c r="N476" s="1">
        <f t="shared" ca="1" si="62"/>
        <v>4</v>
      </c>
      <c r="P476" s="1">
        <v>59.055293048731983</v>
      </c>
      <c r="Q476" s="1">
        <f t="shared" ca="1" si="63"/>
        <v>1</v>
      </c>
      <c r="R476" s="1">
        <v>9.4735532027334557</v>
      </c>
    </row>
    <row r="477" spans="1:18" x14ac:dyDescent="0.3">
      <c r="A477" s="26">
        <v>476</v>
      </c>
      <c r="B477" s="1">
        <v>13</v>
      </c>
      <c r="C477" s="1">
        <f t="shared" si="59"/>
        <v>8</v>
      </c>
      <c r="D477" s="21">
        <f t="shared" ca="1" si="58"/>
        <v>44826</v>
      </c>
      <c r="E477" s="1" t="s">
        <v>26</v>
      </c>
      <c r="F477" s="1" t="s">
        <v>505</v>
      </c>
      <c r="G477" s="1" t="s">
        <v>28</v>
      </c>
      <c r="H477" s="1">
        <v>575</v>
      </c>
      <c r="I477" s="1">
        <f t="shared" si="60"/>
        <v>52</v>
      </c>
      <c r="J477" s="1">
        <f>VLOOKUP(B477,Cena!$A$2:$B$101,2)</f>
        <v>94</v>
      </c>
      <c r="K477" s="1">
        <f t="shared" si="56"/>
        <v>4888</v>
      </c>
      <c r="L477" s="1">
        <f t="shared" si="61"/>
        <v>1124.24</v>
      </c>
      <c r="M477" s="22">
        <f t="shared" si="57"/>
        <v>6012.24</v>
      </c>
      <c r="N477" s="1">
        <f t="shared" ca="1" si="62"/>
        <v>9</v>
      </c>
      <c r="P477" s="1">
        <v>52.444153324177023</v>
      </c>
      <c r="Q477" s="1">
        <f t="shared" ca="1" si="63"/>
        <v>2</v>
      </c>
      <c r="R477" s="1">
        <v>8.4630989047218463</v>
      </c>
    </row>
    <row r="478" spans="1:18" x14ac:dyDescent="0.3">
      <c r="A478" s="26">
        <v>477</v>
      </c>
      <c r="B478" s="1">
        <v>16</v>
      </c>
      <c r="C478" s="1">
        <f t="shared" si="59"/>
        <v>6</v>
      </c>
      <c r="D478" s="21">
        <f t="shared" ca="1" si="58"/>
        <v>44790</v>
      </c>
      <c r="E478" s="1" t="s">
        <v>26</v>
      </c>
      <c r="F478" s="1" t="s">
        <v>506</v>
      </c>
      <c r="G478" s="1" t="s">
        <v>28</v>
      </c>
      <c r="H478" s="1">
        <v>576</v>
      </c>
      <c r="I478" s="1">
        <f t="shared" si="60"/>
        <v>46</v>
      </c>
      <c r="J478" s="1">
        <f>VLOOKUP(B478,Cena!$A$2:$B$101,2)</f>
        <v>93</v>
      </c>
      <c r="K478" s="1">
        <f t="shared" si="56"/>
        <v>4278</v>
      </c>
      <c r="L478" s="1">
        <f t="shared" si="61"/>
        <v>983.94</v>
      </c>
      <c r="M478" s="22">
        <f t="shared" si="57"/>
        <v>5261.9400000000005</v>
      </c>
      <c r="N478" s="1">
        <f t="shared" ca="1" si="62"/>
        <v>8</v>
      </c>
      <c r="P478" s="1">
        <v>46.447104422259144</v>
      </c>
      <c r="Q478" s="1">
        <f t="shared" ca="1" si="63"/>
        <v>11</v>
      </c>
      <c r="R478" s="1">
        <v>6.6410371143865632</v>
      </c>
    </row>
    <row r="479" spans="1:18" x14ac:dyDescent="0.3">
      <c r="A479" s="26">
        <v>478</v>
      </c>
      <c r="B479" s="1">
        <v>10</v>
      </c>
      <c r="C479" s="1">
        <f t="shared" si="59"/>
        <v>14</v>
      </c>
      <c r="D479" s="21">
        <f t="shared" ca="1" si="58"/>
        <v>44671</v>
      </c>
      <c r="E479" s="1" t="s">
        <v>26</v>
      </c>
      <c r="F479" s="1" t="s">
        <v>507</v>
      </c>
      <c r="G479" s="1" t="s">
        <v>28</v>
      </c>
      <c r="H479" s="1">
        <v>577</v>
      </c>
      <c r="I479" s="1">
        <f t="shared" si="60"/>
        <v>61</v>
      </c>
      <c r="J479" s="1">
        <f>VLOOKUP(B479,Cena!$A$2:$B$101,2)</f>
        <v>109</v>
      </c>
      <c r="K479" s="1">
        <f t="shared" ref="K479:K542" si="64">I479*J479</f>
        <v>6649</v>
      </c>
      <c r="L479" s="1">
        <f t="shared" si="61"/>
        <v>1529.27</v>
      </c>
      <c r="M479" s="22">
        <f t="shared" ref="M479:M542" si="65">K479+L479</f>
        <v>8178.27</v>
      </c>
      <c r="N479" s="1">
        <f t="shared" ca="1" si="62"/>
        <v>4</v>
      </c>
      <c r="P479" s="1">
        <v>61.445672498666681</v>
      </c>
      <c r="Q479" s="1">
        <f t="shared" ca="1" si="63"/>
        <v>1</v>
      </c>
      <c r="R479" s="1">
        <v>14.842695489060134</v>
      </c>
    </row>
    <row r="480" spans="1:18" x14ac:dyDescent="0.3">
      <c r="A480" s="26">
        <v>479</v>
      </c>
      <c r="B480" s="1">
        <v>19</v>
      </c>
      <c r="C480" s="1">
        <f t="shared" si="59"/>
        <v>9</v>
      </c>
      <c r="D480" s="21">
        <f t="shared" ca="1" si="58"/>
        <v>44851</v>
      </c>
      <c r="E480" s="1" t="s">
        <v>26</v>
      </c>
      <c r="F480" s="1" t="s">
        <v>508</v>
      </c>
      <c r="G480" s="1" t="s">
        <v>28</v>
      </c>
      <c r="H480" s="1">
        <v>578</v>
      </c>
      <c r="I480" s="1">
        <f t="shared" si="60"/>
        <v>35</v>
      </c>
      <c r="J480" s="1">
        <f>VLOOKUP(B480,Cena!$A$2:$B$101,2)</f>
        <v>84</v>
      </c>
      <c r="K480" s="1">
        <f t="shared" si="64"/>
        <v>2940</v>
      </c>
      <c r="L480" s="1">
        <f t="shared" si="61"/>
        <v>676.2</v>
      </c>
      <c r="M480" s="22">
        <f t="shared" si="65"/>
        <v>3616.2</v>
      </c>
      <c r="N480" s="1">
        <f t="shared" ca="1" si="62"/>
        <v>10</v>
      </c>
      <c r="P480" s="1">
        <v>35.803333402145654</v>
      </c>
      <c r="Q480" s="1">
        <f t="shared" ca="1" si="63"/>
        <v>12</v>
      </c>
      <c r="R480" s="1">
        <v>9.0192804943944793</v>
      </c>
    </row>
    <row r="481" spans="1:18" x14ac:dyDescent="0.3">
      <c r="A481" s="26">
        <v>480</v>
      </c>
      <c r="B481" s="1">
        <v>16</v>
      </c>
      <c r="C481" s="1">
        <f t="shared" si="59"/>
        <v>9</v>
      </c>
      <c r="D481" s="21">
        <f t="shared" ca="1" si="58"/>
        <v>44811</v>
      </c>
      <c r="E481" s="1" t="s">
        <v>26</v>
      </c>
      <c r="F481" s="1" t="s">
        <v>509</v>
      </c>
      <c r="G481" s="1" t="s">
        <v>28</v>
      </c>
      <c r="H481" s="1">
        <v>579</v>
      </c>
      <c r="I481" s="1">
        <f t="shared" si="60"/>
        <v>43</v>
      </c>
      <c r="J481" s="1">
        <f>VLOOKUP(B481,Cena!$A$2:$B$101,2)</f>
        <v>93</v>
      </c>
      <c r="K481" s="1">
        <f t="shared" si="64"/>
        <v>3999</v>
      </c>
      <c r="L481" s="1">
        <f t="shared" si="61"/>
        <v>919.7700000000001</v>
      </c>
      <c r="M481" s="22">
        <f t="shared" si="65"/>
        <v>4918.7700000000004</v>
      </c>
      <c r="N481" s="1">
        <f t="shared" ca="1" si="62"/>
        <v>9</v>
      </c>
      <c r="P481" s="1">
        <v>43.410119714098983</v>
      </c>
      <c r="Q481" s="1">
        <f t="shared" ca="1" si="63"/>
        <v>17</v>
      </c>
      <c r="R481" s="1">
        <v>9.7973446852483903</v>
      </c>
    </row>
    <row r="482" spans="1:18" x14ac:dyDescent="0.3">
      <c r="A482" s="26">
        <v>481</v>
      </c>
      <c r="B482" s="1">
        <v>3</v>
      </c>
      <c r="C482" s="1">
        <f t="shared" si="59"/>
        <v>13</v>
      </c>
      <c r="D482" s="21">
        <f t="shared" ca="1" si="58"/>
        <v>44696</v>
      </c>
      <c r="E482" s="1" t="s">
        <v>26</v>
      </c>
      <c r="F482" s="1" t="s">
        <v>510</v>
      </c>
      <c r="G482" s="1" t="s">
        <v>28</v>
      </c>
      <c r="H482" s="1">
        <v>580</v>
      </c>
      <c r="I482" s="1">
        <f t="shared" si="60"/>
        <v>58</v>
      </c>
      <c r="J482" s="1">
        <f>VLOOKUP(B482,Cena!$A$2:$B$101,2)</f>
        <v>89</v>
      </c>
      <c r="K482" s="1">
        <f t="shared" si="64"/>
        <v>5162</v>
      </c>
      <c r="L482" s="1">
        <f t="shared" si="61"/>
        <v>1187.26</v>
      </c>
      <c r="M482" s="22">
        <f t="shared" si="65"/>
        <v>6349.26</v>
      </c>
      <c r="N482" s="1">
        <f t="shared" ca="1" si="62"/>
        <v>5</v>
      </c>
      <c r="P482" s="1">
        <v>58.789902494754642</v>
      </c>
      <c r="Q482" s="1">
        <f t="shared" ca="1" si="63"/>
        <v>9</v>
      </c>
      <c r="R482" s="1">
        <v>13.553361693775514</v>
      </c>
    </row>
    <row r="483" spans="1:18" x14ac:dyDescent="0.3">
      <c r="A483" s="26">
        <v>482</v>
      </c>
      <c r="B483" s="1">
        <v>2</v>
      </c>
      <c r="C483" s="1">
        <f t="shared" si="59"/>
        <v>15</v>
      </c>
      <c r="D483" s="21">
        <f t="shared" ca="1" si="58"/>
        <v>44783</v>
      </c>
      <c r="E483" s="1" t="s">
        <v>26</v>
      </c>
      <c r="F483" s="1" t="s">
        <v>511</v>
      </c>
      <c r="G483" s="1" t="s">
        <v>28</v>
      </c>
      <c r="H483" s="1">
        <v>581</v>
      </c>
      <c r="I483" s="1">
        <f t="shared" si="60"/>
        <v>29</v>
      </c>
      <c r="J483" s="1">
        <f>VLOOKUP(B483,Cena!$A$2:$B$101,2)</f>
        <v>121</v>
      </c>
      <c r="K483" s="1">
        <f t="shared" si="64"/>
        <v>3509</v>
      </c>
      <c r="L483" s="1">
        <f t="shared" si="61"/>
        <v>807.07</v>
      </c>
      <c r="M483" s="22">
        <f t="shared" si="65"/>
        <v>4316.07</v>
      </c>
      <c r="N483" s="1">
        <f t="shared" ca="1" si="62"/>
        <v>8</v>
      </c>
      <c r="P483" s="1">
        <v>29.627682478167117</v>
      </c>
      <c r="Q483" s="1">
        <f t="shared" ca="1" si="63"/>
        <v>26</v>
      </c>
      <c r="R483" s="1">
        <v>15.843912731506862</v>
      </c>
    </row>
    <row r="484" spans="1:18" x14ac:dyDescent="0.3">
      <c r="A484" s="26">
        <v>483</v>
      </c>
      <c r="B484" s="1">
        <v>27</v>
      </c>
      <c r="C484" s="1">
        <f t="shared" si="59"/>
        <v>9</v>
      </c>
      <c r="D484" s="21">
        <f t="shared" ca="1" si="58"/>
        <v>44614</v>
      </c>
      <c r="E484" s="1" t="s">
        <v>26</v>
      </c>
      <c r="F484" s="1" t="s">
        <v>512</v>
      </c>
      <c r="G484" s="1" t="s">
        <v>28</v>
      </c>
      <c r="H484" s="1">
        <v>582</v>
      </c>
      <c r="I484" s="1">
        <f t="shared" si="60"/>
        <v>60</v>
      </c>
      <c r="J484" s="1">
        <f>VLOOKUP(B484,Cena!$A$2:$B$101,2)</f>
        <v>87</v>
      </c>
      <c r="K484" s="1">
        <f t="shared" si="64"/>
        <v>5220</v>
      </c>
      <c r="L484" s="1">
        <f t="shared" si="61"/>
        <v>1200.6000000000001</v>
      </c>
      <c r="M484" s="22">
        <f t="shared" si="65"/>
        <v>6420.6</v>
      </c>
      <c r="N484" s="1">
        <f t="shared" ca="1" si="62"/>
        <v>2</v>
      </c>
      <c r="P484" s="1">
        <v>60.415578799438663</v>
      </c>
      <c r="Q484" s="1">
        <f t="shared" ca="1" si="63"/>
        <v>4</v>
      </c>
      <c r="R484" s="1">
        <v>9.0725541465508286</v>
      </c>
    </row>
    <row r="485" spans="1:18" x14ac:dyDescent="0.3">
      <c r="A485" s="26">
        <v>484</v>
      </c>
      <c r="B485" s="1">
        <v>11</v>
      </c>
      <c r="C485" s="1">
        <f t="shared" si="59"/>
        <v>9</v>
      </c>
      <c r="D485" s="21">
        <f t="shared" ca="1" si="58"/>
        <v>44837</v>
      </c>
      <c r="E485" s="1" t="s">
        <v>26</v>
      </c>
      <c r="F485" s="1" t="s">
        <v>513</v>
      </c>
      <c r="G485" s="1" t="s">
        <v>28</v>
      </c>
      <c r="H485" s="1">
        <v>583</v>
      </c>
      <c r="I485" s="1">
        <f t="shared" si="60"/>
        <v>41</v>
      </c>
      <c r="J485" s="1">
        <f>VLOOKUP(B485,Cena!$A$2:$B$101,2)</f>
        <v>83</v>
      </c>
      <c r="K485" s="1">
        <f t="shared" si="64"/>
        <v>3403</v>
      </c>
      <c r="L485" s="1">
        <f t="shared" si="61"/>
        <v>782.69</v>
      </c>
      <c r="M485" s="22">
        <f t="shared" si="65"/>
        <v>4185.6900000000005</v>
      </c>
      <c r="N485" s="1">
        <f t="shared" ca="1" si="62"/>
        <v>10</v>
      </c>
      <c r="P485" s="1">
        <v>41.590982517664088</v>
      </c>
      <c r="Q485" s="1">
        <f t="shared" ca="1" si="63"/>
        <v>6</v>
      </c>
      <c r="R485" s="1">
        <v>9.7476038515742403</v>
      </c>
    </row>
    <row r="486" spans="1:18" x14ac:dyDescent="0.3">
      <c r="A486" s="26">
        <v>485</v>
      </c>
      <c r="B486" s="1">
        <v>7</v>
      </c>
      <c r="C486" s="1">
        <f t="shared" si="59"/>
        <v>8</v>
      </c>
      <c r="D486" s="21">
        <f t="shared" ca="1" si="58"/>
        <v>44684</v>
      </c>
      <c r="E486" s="1" t="s">
        <v>26</v>
      </c>
      <c r="F486" s="1" t="s">
        <v>514</v>
      </c>
      <c r="G486" s="1" t="s">
        <v>28</v>
      </c>
      <c r="H486" s="1">
        <v>584</v>
      </c>
      <c r="I486" s="1">
        <f t="shared" si="60"/>
        <v>48</v>
      </c>
      <c r="J486" s="1">
        <f>VLOOKUP(B486,Cena!$A$2:$B$101,2)</f>
        <v>104</v>
      </c>
      <c r="K486" s="1">
        <f t="shared" si="64"/>
        <v>4992</v>
      </c>
      <c r="L486" s="1">
        <f t="shared" si="61"/>
        <v>1148.1600000000001</v>
      </c>
      <c r="M486" s="22">
        <f t="shared" si="65"/>
        <v>6140.16</v>
      </c>
      <c r="N486" s="1">
        <f t="shared" ca="1" si="62"/>
        <v>5</v>
      </c>
      <c r="P486" s="1">
        <v>48.859618699498242</v>
      </c>
      <c r="Q486" s="1">
        <f t="shared" ca="1" si="63"/>
        <v>2</v>
      </c>
      <c r="R486" s="1">
        <v>8.9031437053199625</v>
      </c>
    </row>
    <row r="487" spans="1:18" x14ac:dyDescent="0.3">
      <c r="A487" s="26">
        <v>486</v>
      </c>
      <c r="B487" s="1">
        <v>2</v>
      </c>
      <c r="C487" s="1">
        <f t="shared" si="59"/>
        <v>8</v>
      </c>
      <c r="D487" s="21">
        <f t="shared" ca="1" si="58"/>
        <v>44670</v>
      </c>
      <c r="E487" s="1" t="s">
        <v>26</v>
      </c>
      <c r="F487" s="1" t="s">
        <v>515</v>
      </c>
      <c r="G487" s="1" t="s">
        <v>28</v>
      </c>
      <c r="H487" s="1">
        <v>585</v>
      </c>
      <c r="I487" s="1">
        <f t="shared" si="60"/>
        <v>59</v>
      </c>
      <c r="J487" s="1">
        <f>VLOOKUP(B487,Cena!$A$2:$B$101,2)</f>
        <v>121</v>
      </c>
      <c r="K487" s="1">
        <f t="shared" si="64"/>
        <v>7139</v>
      </c>
      <c r="L487" s="1">
        <f t="shared" si="61"/>
        <v>1641.97</v>
      </c>
      <c r="M487" s="22">
        <f t="shared" si="65"/>
        <v>8780.9699999999993</v>
      </c>
      <c r="N487" s="1">
        <f t="shared" ca="1" si="62"/>
        <v>4</v>
      </c>
      <c r="P487" s="1">
        <v>59.216705620929133</v>
      </c>
      <c r="Q487" s="1">
        <f t="shared" ca="1" si="63"/>
        <v>13</v>
      </c>
      <c r="R487" s="1">
        <v>8.8186971222603461</v>
      </c>
    </row>
    <row r="488" spans="1:18" x14ac:dyDescent="0.3">
      <c r="A488" s="26">
        <v>487</v>
      </c>
      <c r="B488" s="1">
        <v>29</v>
      </c>
      <c r="C488" s="1">
        <f t="shared" si="59"/>
        <v>10</v>
      </c>
      <c r="D488" s="21">
        <f t="shared" ca="1" si="58"/>
        <v>44880</v>
      </c>
      <c r="E488" s="1" t="s">
        <v>26</v>
      </c>
      <c r="F488" s="1" t="s">
        <v>516</v>
      </c>
      <c r="G488" s="1" t="s">
        <v>28</v>
      </c>
      <c r="H488" s="1">
        <v>586</v>
      </c>
      <c r="I488" s="1">
        <f t="shared" si="60"/>
        <v>55</v>
      </c>
      <c r="J488" s="1">
        <f>VLOOKUP(B488,Cena!$A$2:$B$101,2)</f>
        <v>105</v>
      </c>
      <c r="K488" s="1">
        <f t="shared" si="64"/>
        <v>5775</v>
      </c>
      <c r="L488" s="1">
        <f t="shared" si="61"/>
        <v>1328.25</v>
      </c>
      <c r="M488" s="22">
        <f t="shared" si="65"/>
        <v>7103.25</v>
      </c>
      <c r="N488" s="1">
        <f t="shared" ca="1" si="62"/>
        <v>11</v>
      </c>
      <c r="P488" s="1">
        <v>55.998572305543348</v>
      </c>
      <c r="Q488" s="1">
        <f t="shared" ca="1" si="63"/>
        <v>20</v>
      </c>
      <c r="R488" s="1">
        <v>10.632144292467274</v>
      </c>
    </row>
    <row r="489" spans="1:18" x14ac:dyDescent="0.3">
      <c r="A489" s="26">
        <v>488</v>
      </c>
      <c r="B489" s="1">
        <v>23</v>
      </c>
      <c r="C489" s="1">
        <f t="shared" si="59"/>
        <v>9</v>
      </c>
      <c r="D489" s="21">
        <f t="shared" ca="1" si="58"/>
        <v>44740</v>
      </c>
      <c r="E489" s="1" t="s">
        <v>26</v>
      </c>
      <c r="F489" s="1" t="s">
        <v>517</v>
      </c>
      <c r="G489" s="1" t="s">
        <v>28</v>
      </c>
      <c r="H489" s="1">
        <v>587</v>
      </c>
      <c r="I489" s="1">
        <f t="shared" si="60"/>
        <v>45</v>
      </c>
      <c r="J489" s="1">
        <f>VLOOKUP(B489,Cena!$A$2:$B$101,2)</f>
        <v>132</v>
      </c>
      <c r="K489" s="1">
        <f t="shared" si="64"/>
        <v>5940</v>
      </c>
      <c r="L489" s="1">
        <f t="shared" si="61"/>
        <v>1366.2</v>
      </c>
      <c r="M489" s="22">
        <f t="shared" si="65"/>
        <v>7306.2</v>
      </c>
      <c r="N489" s="1">
        <f t="shared" ca="1" si="62"/>
        <v>6</v>
      </c>
      <c r="P489" s="1">
        <v>45.044288425560808</v>
      </c>
      <c r="Q489" s="1">
        <f t="shared" ca="1" si="63"/>
        <v>12</v>
      </c>
      <c r="R489" s="1">
        <v>9.279975781973917</v>
      </c>
    </row>
    <row r="490" spans="1:18" x14ac:dyDescent="0.3">
      <c r="A490" s="26">
        <v>489</v>
      </c>
      <c r="B490" s="1">
        <v>28</v>
      </c>
      <c r="C490" s="1">
        <f t="shared" si="59"/>
        <v>10</v>
      </c>
      <c r="D490" s="21">
        <f t="shared" ca="1" si="58"/>
        <v>44636</v>
      </c>
      <c r="E490" s="1" t="s">
        <v>26</v>
      </c>
      <c r="F490" s="1" t="s">
        <v>518</v>
      </c>
      <c r="G490" s="1" t="s">
        <v>28</v>
      </c>
      <c r="H490" s="1">
        <v>588</v>
      </c>
      <c r="I490" s="1">
        <f t="shared" si="60"/>
        <v>42</v>
      </c>
      <c r="J490" s="1">
        <f>VLOOKUP(B490,Cena!$A$2:$B$101,2)</f>
        <v>59</v>
      </c>
      <c r="K490" s="1">
        <f t="shared" si="64"/>
        <v>2478</v>
      </c>
      <c r="L490" s="1">
        <f t="shared" si="61"/>
        <v>569.94000000000005</v>
      </c>
      <c r="M490" s="22">
        <f t="shared" si="65"/>
        <v>3047.94</v>
      </c>
      <c r="N490" s="1">
        <f t="shared" ca="1" si="62"/>
        <v>3</v>
      </c>
      <c r="P490" s="1">
        <v>42.653260960651096</v>
      </c>
      <c r="Q490" s="1">
        <f t="shared" ca="1" si="63"/>
        <v>21</v>
      </c>
      <c r="R490" s="1">
        <v>10.198818383978505</v>
      </c>
    </row>
    <row r="491" spans="1:18" x14ac:dyDescent="0.3">
      <c r="A491" s="26">
        <v>490</v>
      </c>
      <c r="B491" s="1">
        <v>9</v>
      </c>
      <c r="C491" s="1">
        <f t="shared" si="59"/>
        <v>12</v>
      </c>
      <c r="D491" s="21">
        <f t="shared" ca="1" si="58"/>
        <v>44762</v>
      </c>
      <c r="E491" s="1" t="s">
        <v>26</v>
      </c>
      <c r="F491" s="1" t="s">
        <v>519</v>
      </c>
      <c r="G491" s="1" t="s">
        <v>28</v>
      </c>
      <c r="H491" s="1">
        <v>589</v>
      </c>
      <c r="I491" s="1">
        <f t="shared" si="60"/>
        <v>43</v>
      </c>
      <c r="J491" s="1">
        <f>VLOOKUP(B491,Cena!$A$2:$B$101,2)</f>
        <v>96</v>
      </c>
      <c r="K491" s="1">
        <f t="shared" si="64"/>
        <v>4128</v>
      </c>
      <c r="L491" s="1">
        <f t="shared" si="61"/>
        <v>949.44</v>
      </c>
      <c r="M491" s="22">
        <f t="shared" si="65"/>
        <v>5077.4400000000005</v>
      </c>
      <c r="N491" s="1">
        <f t="shared" ca="1" si="62"/>
        <v>7</v>
      </c>
      <c r="P491" s="1">
        <v>43.33579125959659</v>
      </c>
      <c r="Q491" s="1">
        <f t="shared" ca="1" si="63"/>
        <v>7</v>
      </c>
      <c r="R491" s="1">
        <v>12.939771093224408</v>
      </c>
    </row>
    <row r="492" spans="1:18" x14ac:dyDescent="0.3">
      <c r="A492" s="26">
        <v>491</v>
      </c>
      <c r="B492" s="1">
        <v>24</v>
      </c>
      <c r="C492" s="1">
        <f t="shared" si="59"/>
        <v>6</v>
      </c>
      <c r="D492" s="21">
        <f t="shared" ca="1" si="58"/>
        <v>44628</v>
      </c>
      <c r="E492" s="1" t="s">
        <v>26</v>
      </c>
      <c r="F492" s="1" t="s">
        <v>520</v>
      </c>
      <c r="G492" s="1" t="s">
        <v>28</v>
      </c>
      <c r="H492" s="1">
        <v>590</v>
      </c>
      <c r="I492" s="1">
        <f t="shared" si="60"/>
        <v>63</v>
      </c>
      <c r="J492" s="1">
        <f>VLOOKUP(B492,Cena!$A$2:$B$101,2)</f>
        <v>125</v>
      </c>
      <c r="K492" s="1">
        <f t="shared" si="64"/>
        <v>7875</v>
      </c>
      <c r="L492" s="1">
        <f t="shared" si="61"/>
        <v>1811.25</v>
      </c>
      <c r="M492" s="22">
        <f t="shared" si="65"/>
        <v>9686.25</v>
      </c>
      <c r="N492" s="1">
        <f t="shared" ca="1" si="62"/>
        <v>3</v>
      </c>
      <c r="P492" s="1">
        <v>63.3925823320169</v>
      </c>
      <c r="Q492" s="1">
        <f t="shared" ca="1" si="63"/>
        <v>17</v>
      </c>
      <c r="R492" s="1">
        <v>6.5392362355487421</v>
      </c>
    </row>
    <row r="493" spans="1:18" x14ac:dyDescent="0.3">
      <c r="A493" s="26">
        <v>492</v>
      </c>
      <c r="B493" s="1">
        <v>3</v>
      </c>
      <c r="C493" s="1">
        <f t="shared" si="59"/>
        <v>9</v>
      </c>
      <c r="D493" s="21">
        <f t="shared" ca="1" si="58"/>
        <v>44846</v>
      </c>
      <c r="E493" s="1" t="s">
        <v>26</v>
      </c>
      <c r="F493" s="1" t="s">
        <v>521</v>
      </c>
      <c r="G493" s="1" t="s">
        <v>28</v>
      </c>
      <c r="H493" s="1">
        <v>591</v>
      </c>
      <c r="I493" s="1">
        <f t="shared" si="60"/>
        <v>33</v>
      </c>
      <c r="J493" s="1">
        <f>VLOOKUP(B493,Cena!$A$2:$B$101,2)</f>
        <v>89</v>
      </c>
      <c r="K493" s="1">
        <f t="shared" si="64"/>
        <v>2937</v>
      </c>
      <c r="L493" s="1">
        <f t="shared" si="61"/>
        <v>675.51</v>
      </c>
      <c r="M493" s="22">
        <f t="shared" si="65"/>
        <v>3612.51</v>
      </c>
      <c r="N493" s="1">
        <f t="shared" ca="1" si="62"/>
        <v>10</v>
      </c>
      <c r="P493" s="1">
        <v>33.357974997488782</v>
      </c>
      <c r="Q493" s="1">
        <f t="shared" ca="1" si="63"/>
        <v>14</v>
      </c>
      <c r="R493" s="1">
        <v>9.568615294265328</v>
      </c>
    </row>
    <row r="494" spans="1:18" x14ac:dyDescent="0.3">
      <c r="A494" s="26">
        <v>493</v>
      </c>
      <c r="B494" s="1">
        <v>4</v>
      </c>
      <c r="C494" s="1">
        <f t="shared" si="59"/>
        <v>13</v>
      </c>
      <c r="D494" s="21">
        <f t="shared" ca="1" si="58"/>
        <v>44788</v>
      </c>
      <c r="E494" s="1" t="s">
        <v>26</v>
      </c>
      <c r="F494" s="1" t="s">
        <v>522</v>
      </c>
      <c r="G494" s="1" t="s">
        <v>28</v>
      </c>
      <c r="H494" s="1">
        <v>592</v>
      </c>
      <c r="I494" s="1">
        <f t="shared" si="60"/>
        <v>71</v>
      </c>
      <c r="J494" s="1">
        <f>VLOOKUP(B494,Cena!$A$2:$B$101,2)</f>
        <v>99</v>
      </c>
      <c r="K494" s="1">
        <f t="shared" si="64"/>
        <v>7029</v>
      </c>
      <c r="L494" s="1">
        <f t="shared" si="61"/>
        <v>1616.67</v>
      </c>
      <c r="M494" s="22">
        <f t="shared" si="65"/>
        <v>8645.67</v>
      </c>
      <c r="N494" s="1">
        <f t="shared" ca="1" si="62"/>
        <v>8</v>
      </c>
      <c r="P494" s="1">
        <v>71.704909158870578</v>
      </c>
      <c r="Q494" s="1">
        <f t="shared" ca="1" si="63"/>
        <v>4</v>
      </c>
      <c r="R494" s="1">
        <v>13.30320517605287</v>
      </c>
    </row>
    <row r="495" spans="1:18" x14ac:dyDescent="0.3">
      <c r="A495" s="26">
        <v>494</v>
      </c>
      <c r="B495" s="1">
        <v>14</v>
      </c>
      <c r="C495" s="1">
        <f t="shared" si="59"/>
        <v>8</v>
      </c>
      <c r="D495" s="21">
        <f t="shared" ca="1" si="58"/>
        <v>44683</v>
      </c>
      <c r="E495" s="1" t="s">
        <v>26</v>
      </c>
      <c r="F495" s="1" t="s">
        <v>523</v>
      </c>
      <c r="G495" s="1" t="s">
        <v>28</v>
      </c>
      <c r="H495" s="1">
        <v>593</v>
      </c>
      <c r="I495" s="1">
        <f t="shared" si="60"/>
        <v>51</v>
      </c>
      <c r="J495" s="1">
        <f>VLOOKUP(B495,Cena!$A$2:$B$101,2)</f>
        <v>129</v>
      </c>
      <c r="K495" s="1">
        <f t="shared" si="64"/>
        <v>6579</v>
      </c>
      <c r="L495" s="1">
        <f t="shared" si="61"/>
        <v>1513.17</v>
      </c>
      <c r="M495" s="22">
        <f t="shared" si="65"/>
        <v>8092.17</v>
      </c>
      <c r="N495" s="1">
        <f t="shared" ca="1" si="62"/>
        <v>5</v>
      </c>
      <c r="P495" s="1">
        <v>51.889611667138524</v>
      </c>
      <c r="Q495" s="1">
        <f t="shared" ca="1" si="63"/>
        <v>25</v>
      </c>
      <c r="R495" s="1">
        <v>8.2628253292205045</v>
      </c>
    </row>
    <row r="496" spans="1:18" x14ac:dyDescent="0.3">
      <c r="A496" s="26">
        <v>495</v>
      </c>
      <c r="B496" s="1">
        <v>23</v>
      </c>
      <c r="C496" s="1">
        <f t="shared" si="59"/>
        <v>9</v>
      </c>
      <c r="D496" s="21">
        <f t="shared" ca="1" si="58"/>
        <v>44684</v>
      </c>
      <c r="E496" s="1" t="s">
        <v>26</v>
      </c>
      <c r="F496" s="1" t="s">
        <v>524</v>
      </c>
      <c r="G496" s="1" t="s">
        <v>28</v>
      </c>
      <c r="H496" s="1">
        <v>594</v>
      </c>
      <c r="I496" s="1">
        <f t="shared" si="60"/>
        <v>56</v>
      </c>
      <c r="J496" s="1">
        <f>VLOOKUP(B496,Cena!$A$2:$B$101,2)</f>
        <v>132</v>
      </c>
      <c r="K496" s="1">
        <f t="shared" si="64"/>
        <v>7392</v>
      </c>
      <c r="L496" s="1">
        <f t="shared" si="61"/>
        <v>1700.16</v>
      </c>
      <c r="M496" s="22">
        <f t="shared" si="65"/>
        <v>9092.16</v>
      </c>
      <c r="N496" s="1">
        <f t="shared" ca="1" si="62"/>
        <v>5</v>
      </c>
      <c r="P496" s="1">
        <v>56.224490789463744</v>
      </c>
      <c r="Q496" s="1">
        <f t="shared" ca="1" si="63"/>
        <v>26</v>
      </c>
      <c r="R496" s="1">
        <v>9.8378058307935135</v>
      </c>
    </row>
    <row r="497" spans="1:18" x14ac:dyDescent="0.3">
      <c r="A497" s="26">
        <v>496</v>
      </c>
      <c r="B497" s="1">
        <v>11</v>
      </c>
      <c r="C497" s="1">
        <f t="shared" si="59"/>
        <v>14</v>
      </c>
      <c r="D497" s="21">
        <f t="shared" ca="1" si="58"/>
        <v>44606</v>
      </c>
      <c r="E497" s="1" t="s">
        <v>26</v>
      </c>
      <c r="F497" s="1" t="s">
        <v>525</v>
      </c>
      <c r="G497" s="1" t="s">
        <v>28</v>
      </c>
      <c r="H497" s="1">
        <v>595</v>
      </c>
      <c r="I497" s="1">
        <f t="shared" si="60"/>
        <v>52</v>
      </c>
      <c r="J497" s="1">
        <f>VLOOKUP(B497,Cena!$A$2:$B$101,2)</f>
        <v>83</v>
      </c>
      <c r="K497" s="1">
        <f t="shared" si="64"/>
        <v>4316</v>
      </c>
      <c r="L497" s="1">
        <f t="shared" si="61"/>
        <v>992.68000000000006</v>
      </c>
      <c r="M497" s="22">
        <f t="shared" si="65"/>
        <v>5308.68</v>
      </c>
      <c r="N497" s="1">
        <f t="shared" ca="1" si="62"/>
        <v>2</v>
      </c>
      <c r="P497" s="1">
        <v>52.101091922668274</v>
      </c>
      <c r="Q497" s="1">
        <f t="shared" ca="1" si="63"/>
        <v>20</v>
      </c>
      <c r="R497" s="1">
        <v>14.82164068671409</v>
      </c>
    </row>
    <row r="498" spans="1:18" x14ac:dyDescent="0.3">
      <c r="A498" s="26">
        <v>497</v>
      </c>
      <c r="B498" s="1">
        <v>27</v>
      </c>
      <c r="C498" s="1">
        <f t="shared" si="59"/>
        <v>11</v>
      </c>
      <c r="D498" s="21">
        <f t="shared" ca="1" si="58"/>
        <v>44836</v>
      </c>
      <c r="E498" s="1" t="s">
        <v>26</v>
      </c>
      <c r="F498" s="1" t="s">
        <v>526</v>
      </c>
      <c r="G498" s="1" t="s">
        <v>28</v>
      </c>
      <c r="H498" s="1">
        <v>596</v>
      </c>
      <c r="I498" s="1">
        <f t="shared" si="60"/>
        <v>42</v>
      </c>
      <c r="J498" s="1">
        <f>VLOOKUP(B498,Cena!$A$2:$B$101,2)</f>
        <v>87</v>
      </c>
      <c r="K498" s="1">
        <f t="shared" si="64"/>
        <v>3654</v>
      </c>
      <c r="L498" s="1">
        <f t="shared" si="61"/>
        <v>840.42000000000007</v>
      </c>
      <c r="M498" s="22">
        <f t="shared" si="65"/>
        <v>4494.42</v>
      </c>
      <c r="N498" s="1">
        <f t="shared" ca="1" si="62"/>
        <v>10</v>
      </c>
      <c r="P498" s="1">
        <v>42.688299244036898</v>
      </c>
      <c r="Q498" s="1">
        <f t="shared" ca="1" si="63"/>
        <v>4</v>
      </c>
      <c r="R498" s="1">
        <v>11.055940401784028</v>
      </c>
    </row>
    <row r="499" spans="1:18" x14ac:dyDescent="0.3">
      <c r="A499" s="26">
        <v>498</v>
      </c>
      <c r="B499" s="1">
        <v>23</v>
      </c>
      <c r="C499" s="1">
        <f t="shared" si="59"/>
        <v>8</v>
      </c>
      <c r="D499" s="21">
        <f t="shared" ca="1" si="58"/>
        <v>44785</v>
      </c>
      <c r="E499" s="1" t="s">
        <v>26</v>
      </c>
      <c r="F499" s="1" t="s">
        <v>527</v>
      </c>
      <c r="G499" s="1" t="s">
        <v>28</v>
      </c>
      <c r="H499" s="1">
        <v>597</v>
      </c>
      <c r="I499" s="1">
        <f t="shared" si="60"/>
        <v>54</v>
      </c>
      <c r="J499" s="1">
        <f>VLOOKUP(B499,Cena!$A$2:$B$101,2)</f>
        <v>132</v>
      </c>
      <c r="K499" s="1">
        <f t="shared" si="64"/>
        <v>7128</v>
      </c>
      <c r="L499" s="1">
        <f t="shared" si="61"/>
        <v>1639.44</v>
      </c>
      <c r="M499" s="22">
        <f t="shared" si="65"/>
        <v>8767.44</v>
      </c>
      <c r="N499" s="1">
        <f t="shared" ca="1" si="62"/>
        <v>8</v>
      </c>
      <c r="P499" s="1">
        <v>54.321827873354778</v>
      </c>
      <c r="Q499" s="1">
        <f t="shared" ca="1" si="63"/>
        <v>15</v>
      </c>
      <c r="R499" s="1">
        <v>8.3298891947924858</v>
      </c>
    </row>
    <row r="500" spans="1:18" x14ac:dyDescent="0.3">
      <c r="A500" s="26">
        <v>499</v>
      </c>
      <c r="B500" s="1">
        <v>10</v>
      </c>
      <c r="C500" s="1">
        <f t="shared" si="59"/>
        <v>8</v>
      </c>
      <c r="D500" s="21">
        <f t="shared" ca="1" si="58"/>
        <v>44891</v>
      </c>
      <c r="E500" s="1" t="s">
        <v>26</v>
      </c>
      <c r="F500" s="1" t="s">
        <v>528</v>
      </c>
      <c r="G500" s="1" t="s">
        <v>28</v>
      </c>
      <c r="H500" s="1">
        <v>598</v>
      </c>
      <c r="I500" s="1">
        <f t="shared" si="60"/>
        <v>57</v>
      </c>
      <c r="J500" s="1">
        <f>VLOOKUP(B500,Cena!$A$2:$B$101,2)</f>
        <v>109</v>
      </c>
      <c r="K500" s="1">
        <f t="shared" si="64"/>
        <v>6213</v>
      </c>
      <c r="L500" s="1">
        <f t="shared" si="61"/>
        <v>1428.99</v>
      </c>
      <c r="M500" s="22">
        <f t="shared" si="65"/>
        <v>7641.99</v>
      </c>
      <c r="N500" s="1">
        <f t="shared" ca="1" si="62"/>
        <v>11</v>
      </c>
      <c r="P500" s="1">
        <v>57.585299499623943</v>
      </c>
      <c r="Q500" s="1">
        <f t="shared" ca="1" si="63"/>
        <v>18</v>
      </c>
      <c r="R500" s="1">
        <v>8.9707617942258366</v>
      </c>
    </row>
    <row r="501" spans="1:18" x14ac:dyDescent="0.3">
      <c r="A501" s="26">
        <v>500</v>
      </c>
      <c r="B501" s="1">
        <v>3</v>
      </c>
      <c r="C501" s="1">
        <f t="shared" si="59"/>
        <v>10</v>
      </c>
      <c r="D501" s="21">
        <f t="shared" ca="1" si="58"/>
        <v>44703</v>
      </c>
      <c r="E501" s="1" t="s">
        <v>26</v>
      </c>
      <c r="F501" s="1" t="s">
        <v>529</v>
      </c>
      <c r="G501" s="1" t="s">
        <v>28</v>
      </c>
      <c r="H501" s="1">
        <v>599</v>
      </c>
      <c r="I501" s="1">
        <f t="shared" si="60"/>
        <v>31</v>
      </c>
      <c r="J501" s="1">
        <f>VLOOKUP(B501,Cena!$A$2:$B$101,2)</f>
        <v>89</v>
      </c>
      <c r="K501" s="1">
        <f t="shared" si="64"/>
        <v>2759</v>
      </c>
      <c r="L501" s="1">
        <f t="shared" si="61"/>
        <v>634.57000000000005</v>
      </c>
      <c r="M501" s="22">
        <f t="shared" si="65"/>
        <v>3393.57</v>
      </c>
      <c r="N501" s="1">
        <f t="shared" ca="1" si="62"/>
        <v>5</v>
      </c>
      <c r="P501" s="1">
        <v>31.151540850987658</v>
      </c>
      <c r="Q501" s="1">
        <f t="shared" ca="1" si="63"/>
        <v>7</v>
      </c>
      <c r="R501" s="1">
        <v>10.0917225406738</v>
      </c>
    </row>
    <row r="502" spans="1:18" x14ac:dyDescent="0.3">
      <c r="A502" s="26">
        <v>501</v>
      </c>
      <c r="B502" s="1">
        <v>28</v>
      </c>
      <c r="C502" s="1">
        <f t="shared" si="59"/>
        <v>7</v>
      </c>
      <c r="D502" s="21">
        <f t="shared" ca="1" si="58"/>
        <v>44600</v>
      </c>
      <c r="E502" s="1" t="s">
        <v>26</v>
      </c>
      <c r="F502" s="1" t="s">
        <v>530</v>
      </c>
      <c r="G502" s="1" t="s">
        <v>28</v>
      </c>
      <c r="H502" s="1">
        <v>600</v>
      </c>
      <c r="I502" s="1">
        <f t="shared" si="60"/>
        <v>51</v>
      </c>
      <c r="J502" s="1">
        <f>VLOOKUP(B502,Cena!$A$2:$B$101,2)</f>
        <v>59</v>
      </c>
      <c r="K502" s="1">
        <f t="shared" si="64"/>
        <v>3009</v>
      </c>
      <c r="L502" s="1">
        <f t="shared" si="61"/>
        <v>692.07</v>
      </c>
      <c r="M502" s="22">
        <f t="shared" si="65"/>
        <v>3701.07</v>
      </c>
      <c r="N502" s="1">
        <f t="shared" ca="1" si="62"/>
        <v>2</v>
      </c>
      <c r="P502" s="1">
        <v>51.729415544104995</v>
      </c>
      <c r="Q502" s="1">
        <f t="shared" ca="1" si="63"/>
        <v>12</v>
      </c>
      <c r="R502" s="1">
        <v>7.6723245254106587</v>
      </c>
    </row>
    <row r="503" spans="1:18" x14ac:dyDescent="0.3">
      <c r="A503" s="26">
        <v>502</v>
      </c>
      <c r="B503" s="1">
        <v>23</v>
      </c>
      <c r="C503" s="1">
        <f t="shared" si="59"/>
        <v>10</v>
      </c>
      <c r="D503" s="21">
        <f t="shared" ca="1" si="58"/>
        <v>44870</v>
      </c>
      <c r="E503" s="1" t="s">
        <v>26</v>
      </c>
      <c r="F503" s="1" t="s">
        <v>531</v>
      </c>
      <c r="G503" s="1" t="s">
        <v>28</v>
      </c>
      <c r="H503" s="1">
        <v>601</v>
      </c>
      <c r="I503" s="1">
        <f t="shared" si="60"/>
        <v>48</v>
      </c>
      <c r="J503" s="1">
        <f>VLOOKUP(B503,Cena!$A$2:$B$101,2)</f>
        <v>132</v>
      </c>
      <c r="K503" s="1">
        <f t="shared" si="64"/>
        <v>6336</v>
      </c>
      <c r="L503" s="1">
        <f t="shared" si="61"/>
        <v>1457.28</v>
      </c>
      <c r="M503" s="22">
        <f t="shared" si="65"/>
        <v>7793.28</v>
      </c>
      <c r="N503" s="1">
        <f t="shared" ca="1" si="62"/>
        <v>11</v>
      </c>
      <c r="P503" s="1">
        <v>48.219311692082556</v>
      </c>
      <c r="Q503" s="1">
        <f t="shared" ca="1" si="63"/>
        <v>6</v>
      </c>
      <c r="R503" s="1">
        <v>10.860165982885519</v>
      </c>
    </row>
    <row r="504" spans="1:18" x14ac:dyDescent="0.3">
      <c r="A504" s="26">
        <v>503</v>
      </c>
      <c r="B504" s="1">
        <v>8</v>
      </c>
      <c r="C504" s="1">
        <f t="shared" si="59"/>
        <v>9</v>
      </c>
      <c r="D504" s="21">
        <f t="shared" ca="1" si="58"/>
        <v>44881</v>
      </c>
      <c r="E504" s="1" t="s">
        <v>26</v>
      </c>
      <c r="F504" s="1" t="s">
        <v>532</v>
      </c>
      <c r="G504" s="1" t="s">
        <v>28</v>
      </c>
      <c r="H504" s="1">
        <v>602</v>
      </c>
      <c r="I504" s="1">
        <f t="shared" si="60"/>
        <v>57</v>
      </c>
      <c r="J504" s="1">
        <f>VLOOKUP(B504,Cena!$A$2:$B$101,2)</f>
        <v>88</v>
      </c>
      <c r="K504" s="1">
        <f t="shared" si="64"/>
        <v>5016</v>
      </c>
      <c r="L504" s="1">
        <f t="shared" si="61"/>
        <v>1153.68</v>
      </c>
      <c r="M504" s="22">
        <f t="shared" si="65"/>
        <v>6169.68</v>
      </c>
      <c r="N504" s="1">
        <f t="shared" ca="1" si="62"/>
        <v>11</v>
      </c>
      <c r="P504" s="1">
        <v>57.713424565736204</v>
      </c>
      <c r="Q504" s="1">
        <f t="shared" ca="1" si="63"/>
        <v>23</v>
      </c>
      <c r="R504" s="1">
        <v>9.6485769315768266</v>
      </c>
    </row>
    <row r="505" spans="1:18" x14ac:dyDescent="0.3">
      <c r="A505" s="26">
        <v>504</v>
      </c>
      <c r="B505" s="1">
        <v>6</v>
      </c>
      <c r="C505" s="1">
        <f t="shared" si="59"/>
        <v>9</v>
      </c>
      <c r="D505" s="21">
        <f t="shared" ca="1" si="58"/>
        <v>44708</v>
      </c>
      <c r="E505" s="1" t="s">
        <v>26</v>
      </c>
      <c r="F505" s="1" t="s">
        <v>533</v>
      </c>
      <c r="G505" s="1" t="s">
        <v>28</v>
      </c>
      <c r="H505" s="1">
        <v>603</v>
      </c>
      <c r="I505" s="1">
        <f t="shared" si="60"/>
        <v>45</v>
      </c>
      <c r="J505" s="1">
        <f>VLOOKUP(B505,Cena!$A$2:$B$101,2)</f>
        <v>86</v>
      </c>
      <c r="K505" s="1">
        <f t="shared" si="64"/>
        <v>3870</v>
      </c>
      <c r="L505" s="1">
        <f t="shared" si="61"/>
        <v>890.1</v>
      </c>
      <c r="M505" s="22">
        <f t="shared" si="65"/>
        <v>4760.1000000000004</v>
      </c>
      <c r="N505" s="1">
        <f t="shared" ca="1" si="62"/>
        <v>5</v>
      </c>
      <c r="P505" s="1">
        <v>45.787106854550075</v>
      </c>
      <c r="Q505" s="1">
        <f t="shared" ca="1" si="63"/>
        <v>14</v>
      </c>
      <c r="R505" s="1">
        <v>9.4903589595196536</v>
      </c>
    </row>
    <row r="506" spans="1:18" x14ac:dyDescent="0.3">
      <c r="A506" s="26">
        <v>505</v>
      </c>
      <c r="B506" s="1">
        <v>29</v>
      </c>
      <c r="C506" s="1">
        <f t="shared" si="59"/>
        <v>13</v>
      </c>
      <c r="D506" s="21">
        <f t="shared" ca="1" si="58"/>
        <v>44729</v>
      </c>
      <c r="E506" s="1" t="s">
        <v>26</v>
      </c>
      <c r="F506" s="1" t="s">
        <v>534</v>
      </c>
      <c r="G506" s="1" t="s">
        <v>28</v>
      </c>
      <c r="H506" s="1">
        <v>604</v>
      </c>
      <c r="I506" s="1">
        <f t="shared" si="60"/>
        <v>38</v>
      </c>
      <c r="J506" s="1">
        <f>VLOOKUP(B506,Cena!$A$2:$B$101,2)</f>
        <v>105</v>
      </c>
      <c r="K506" s="1">
        <f t="shared" si="64"/>
        <v>3990</v>
      </c>
      <c r="L506" s="1">
        <f t="shared" si="61"/>
        <v>917.7</v>
      </c>
      <c r="M506" s="22">
        <f t="shared" si="65"/>
        <v>4907.7</v>
      </c>
      <c r="N506" s="1">
        <f t="shared" ca="1" si="62"/>
        <v>6</v>
      </c>
      <c r="P506" s="1">
        <v>38.431204656080808</v>
      </c>
      <c r="Q506" s="1">
        <f t="shared" ca="1" si="63"/>
        <v>14</v>
      </c>
      <c r="R506" s="1">
        <v>13.228245759601123</v>
      </c>
    </row>
    <row r="507" spans="1:18" x14ac:dyDescent="0.3">
      <c r="A507" s="26">
        <v>506</v>
      </c>
      <c r="B507" s="1">
        <v>16</v>
      </c>
      <c r="C507" s="1">
        <f t="shared" si="59"/>
        <v>12</v>
      </c>
      <c r="D507" s="21">
        <f t="shared" ca="1" si="58"/>
        <v>44874</v>
      </c>
      <c r="E507" s="1" t="s">
        <v>26</v>
      </c>
      <c r="F507" s="1" t="s">
        <v>535</v>
      </c>
      <c r="G507" s="1" t="s">
        <v>28</v>
      </c>
      <c r="H507" s="1">
        <v>605</v>
      </c>
      <c r="I507" s="1">
        <f t="shared" si="60"/>
        <v>32</v>
      </c>
      <c r="J507" s="1">
        <f>VLOOKUP(B507,Cena!$A$2:$B$101,2)</f>
        <v>93</v>
      </c>
      <c r="K507" s="1">
        <f t="shared" si="64"/>
        <v>2976</v>
      </c>
      <c r="L507" s="1">
        <f t="shared" si="61"/>
        <v>684.48</v>
      </c>
      <c r="M507" s="22">
        <f t="shared" si="65"/>
        <v>3660.48</v>
      </c>
      <c r="N507" s="1">
        <f t="shared" ca="1" si="62"/>
        <v>11</v>
      </c>
      <c r="P507" s="1">
        <v>32.606459525413811</v>
      </c>
      <c r="Q507" s="1">
        <f t="shared" ca="1" si="63"/>
        <v>18</v>
      </c>
      <c r="R507" s="1">
        <v>12.876572580134962</v>
      </c>
    </row>
    <row r="508" spans="1:18" x14ac:dyDescent="0.3">
      <c r="A508" s="26">
        <v>507</v>
      </c>
      <c r="B508" s="1">
        <v>11</v>
      </c>
      <c r="C508" s="1">
        <f t="shared" si="59"/>
        <v>8</v>
      </c>
      <c r="D508" s="21">
        <f t="shared" ca="1" si="58"/>
        <v>44840</v>
      </c>
      <c r="E508" s="1" t="s">
        <v>26</v>
      </c>
      <c r="F508" s="1" t="s">
        <v>536</v>
      </c>
      <c r="G508" s="1" t="s">
        <v>28</v>
      </c>
      <c r="H508" s="1">
        <v>606</v>
      </c>
      <c r="I508" s="1">
        <f t="shared" si="60"/>
        <v>82</v>
      </c>
      <c r="J508" s="1">
        <f>VLOOKUP(B508,Cena!$A$2:$B$101,2)</f>
        <v>83</v>
      </c>
      <c r="K508" s="1">
        <f t="shared" si="64"/>
        <v>6806</v>
      </c>
      <c r="L508" s="1">
        <f t="shared" si="61"/>
        <v>1565.38</v>
      </c>
      <c r="M508" s="22">
        <f t="shared" si="65"/>
        <v>8371.380000000001</v>
      </c>
      <c r="N508" s="1">
        <f t="shared" ca="1" si="62"/>
        <v>10</v>
      </c>
      <c r="P508" s="1">
        <v>82.340176403522491</v>
      </c>
      <c r="Q508" s="1">
        <f t="shared" ca="1" si="63"/>
        <v>30</v>
      </c>
      <c r="R508" s="1">
        <v>8.396239675457764</v>
      </c>
    </row>
    <row r="509" spans="1:18" x14ac:dyDescent="0.3">
      <c r="A509" s="26">
        <v>508</v>
      </c>
      <c r="B509" s="1">
        <v>2</v>
      </c>
      <c r="C509" s="1">
        <f t="shared" si="59"/>
        <v>15</v>
      </c>
      <c r="D509" s="21">
        <f t="shared" ca="1" si="58"/>
        <v>44703</v>
      </c>
      <c r="E509" s="1" t="s">
        <v>26</v>
      </c>
      <c r="F509" s="1" t="s">
        <v>537</v>
      </c>
      <c r="G509" s="1" t="s">
        <v>28</v>
      </c>
      <c r="H509" s="1">
        <v>607</v>
      </c>
      <c r="I509" s="1">
        <f t="shared" si="60"/>
        <v>60</v>
      </c>
      <c r="J509" s="1">
        <f>VLOOKUP(B509,Cena!$A$2:$B$101,2)</f>
        <v>121</v>
      </c>
      <c r="K509" s="1">
        <f t="shared" si="64"/>
        <v>7260</v>
      </c>
      <c r="L509" s="1">
        <f t="shared" si="61"/>
        <v>1669.8000000000002</v>
      </c>
      <c r="M509" s="22">
        <f t="shared" si="65"/>
        <v>8929.7999999999993</v>
      </c>
      <c r="N509" s="1">
        <f t="shared" ca="1" si="62"/>
        <v>5</v>
      </c>
      <c r="P509" s="1">
        <v>60.790017768158577</v>
      </c>
      <c r="Q509" s="1">
        <f t="shared" ca="1" si="63"/>
        <v>15</v>
      </c>
      <c r="R509" s="1">
        <v>15.314814188750461</v>
      </c>
    </row>
    <row r="510" spans="1:18" x14ac:dyDescent="0.3">
      <c r="A510" s="26">
        <v>509</v>
      </c>
      <c r="B510" s="1">
        <v>26</v>
      </c>
      <c r="C510" s="1">
        <f t="shared" si="59"/>
        <v>8</v>
      </c>
      <c r="D510" s="21">
        <f t="shared" ca="1" si="58"/>
        <v>44672</v>
      </c>
      <c r="E510" s="1" t="s">
        <v>26</v>
      </c>
      <c r="F510" s="1" t="s">
        <v>538</v>
      </c>
      <c r="G510" s="1" t="s">
        <v>28</v>
      </c>
      <c r="H510" s="1">
        <v>608</v>
      </c>
      <c r="I510" s="1">
        <f t="shared" si="60"/>
        <v>69</v>
      </c>
      <c r="J510" s="1">
        <f>VLOOKUP(B510,Cena!$A$2:$B$101,2)</f>
        <v>99</v>
      </c>
      <c r="K510" s="1">
        <f t="shared" si="64"/>
        <v>6831</v>
      </c>
      <c r="L510" s="1">
        <f t="shared" si="61"/>
        <v>1571.13</v>
      </c>
      <c r="M510" s="22">
        <f t="shared" si="65"/>
        <v>8402.130000000001</v>
      </c>
      <c r="N510" s="1">
        <f t="shared" ca="1" si="62"/>
        <v>4</v>
      </c>
      <c r="P510" s="1">
        <v>69.165145204169676</v>
      </c>
      <c r="Q510" s="1">
        <f t="shared" ca="1" si="63"/>
        <v>11</v>
      </c>
      <c r="R510" s="1">
        <v>8.6034964649661561</v>
      </c>
    </row>
    <row r="511" spans="1:18" x14ac:dyDescent="0.3">
      <c r="A511" s="26">
        <v>510</v>
      </c>
      <c r="B511" s="1">
        <v>4</v>
      </c>
      <c r="C511" s="1">
        <f t="shared" si="59"/>
        <v>7</v>
      </c>
      <c r="D511" s="21">
        <f t="shared" ca="1" si="58"/>
        <v>44911</v>
      </c>
      <c r="E511" s="1" t="s">
        <v>26</v>
      </c>
      <c r="F511" s="1" t="s">
        <v>539</v>
      </c>
      <c r="G511" s="1" t="s">
        <v>28</v>
      </c>
      <c r="H511" s="1">
        <v>609</v>
      </c>
      <c r="I511" s="1">
        <f t="shared" si="60"/>
        <v>46</v>
      </c>
      <c r="J511" s="1">
        <f>VLOOKUP(B511,Cena!$A$2:$B$101,2)</f>
        <v>99</v>
      </c>
      <c r="K511" s="1">
        <f t="shared" si="64"/>
        <v>4554</v>
      </c>
      <c r="L511" s="1">
        <f t="shared" si="61"/>
        <v>1047.42</v>
      </c>
      <c r="M511" s="22">
        <f t="shared" si="65"/>
        <v>5601.42</v>
      </c>
      <c r="N511" s="1">
        <f t="shared" ca="1" si="62"/>
        <v>12</v>
      </c>
      <c r="P511" s="1">
        <v>46.253313838678878</v>
      </c>
      <c r="Q511" s="1">
        <f t="shared" ca="1" si="63"/>
        <v>14</v>
      </c>
      <c r="R511" s="1">
        <v>7.0890485201380216</v>
      </c>
    </row>
    <row r="512" spans="1:18" x14ac:dyDescent="0.3">
      <c r="A512" s="26">
        <v>511</v>
      </c>
      <c r="B512" s="1">
        <v>30</v>
      </c>
      <c r="C512" s="1">
        <f t="shared" si="59"/>
        <v>9</v>
      </c>
      <c r="D512" s="21">
        <f t="shared" ca="1" si="58"/>
        <v>44635</v>
      </c>
      <c r="E512" s="1" t="s">
        <v>26</v>
      </c>
      <c r="F512" s="1" t="s">
        <v>540</v>
      </c>
      <c r="G512" s="1" t="s">
        <v>28</v>
      </c>
      <c r="H512" s="1">
        <v>610</v>
      </c>
      <c r="I512" s="1">
        <f t="shared" si="60"/>
        <v>39</v>
      </c>
      <c r="J512" s="1">
        <f>VLOOKUP(B512,Cena!$A$2:$B$101,2)</f>
        <v>87</v>
      </c>
      <c r="K512" s="1">
        <f t="shared" si="64"/>
        <v>3393</v>
      </c>
      <c r="L512" s="1">
        <f t="shared" si="61"/>
        <v>780.39</v>
      </c>
      <c r="M512" s="22">
        <f t="shared" si="65"/>
        <v>4173.3900000000003</v>
      </c>
      <c r="N512" s="1">
        <f t="shared" ca="1" si="62"/>
        <v>3</v>
      </c>
      <c r="P512" s="1">
        <v>39.613320394710172</v>
      </c>
      <c r="Q512" s="1">
        <f t="shared" ca="1" si="63"/>
        <v>24</v>
      </c>
      <c r="R512" s="1">
        <v>9.1784875419398304</v>
      </c>
    </row>
    <row r="513" spans="1:18" x14ac:dyDescent="0.3">
      <c r="A513" s="26">
        <v>512</v>
      </c>
      <c r="B513" s="1">
        <v>9</v>
      </c>
      <c r="C513" s="1">
        <f t="shared" si="59"/>
        <v>12</v>
      </c>
      <c r="D513" s="21">
        <f t="shared" ca="1" si="58"/>
        <v>44754</v>
      </c>
      <c r="E513" s="1" t="s">
        <v>26</v>
      </c>
      <c r="F513" s="1" t="s">
        <v>541</v>
      </c>
      <c r="G513" s="1" t="s">
        <v>28</v>
      </c>
      <c r="H513" s="1">
        <v>611</v>
      </c>
      <c r="I513" s="1">
        <f t="shared" si="60"/>
        <v>39</v>
      </c>
      <c r="J513" s="1">
        <f>VLOOKUP(B513,Cena!$A$2:$B$101,2)</f>
        <v>96</v>
      </c>
      <c r="K513" s="1">
        <f t="shared" si="64"/>
        <v>3744</v>
      </c>
      <c r="L513" s="1">
        <f t="shared" si="61"/>
        <v>861.12</v>
      </c>
      <c r="M513" s="22">
        <f t="shared" si="65"/>
        <v>4605.12</v>
      </c>
      <c r="N513" s="1">
        <f t="shared" ca="1" si="62"/>
        <v>7</v>
      </c>
      <c r="P513" s="1">
        <v>39.394359545258339</v>
      </c>
      <c r="Q513" s="1">
        <f t="shared" ca="1" si="63"/>
        <v>17</v>
      </c>
      <c r="R513" s="1">
        <v>12.923036390711786</v>
      </c>
    </row>
    <row r="514" spans="1:18" x14ac:dyDescent="0.3">
      <c r="A514" s="26">
        <v>513</v>
      </c>
      <c r="B514" s="1">
        <v>11</v>
      </c>
      <c r="C514" s="1">
        <f t="shared" si="59"/>
        <v>10</v>
      </c>
      <c r="D514" s="21">
        <f t="shared" ref="D514:D577" ca="1" si="66">DATE(2022,RANDBETWEEN(1,12),RANDBETWEEN(1,28))</f>
        <v>44674</v>
      </c>
      <c r="E514" s="1" t="s">
        <v>26</v>
      </c>
      <c r="F514" s="1" t="s">
        <v>542</v>
      </c>
      <c r="G514" s="1" t="s">
        <v>28</v>
      </c>
      <c r="H514" s="1">
        <v>612</v>
      </c>
      <c r="I514" s="1">
        <f t="shared" si="60"/>
        <v>63</v>
      </c>
      <c r="J514" s="1">
        <f>VLOOKUP(B514,Cena!$A$2:$B$101,2)</f>
        <v>83</v>
      </c>
      <c r="K514" s="1">
        <f t="shared" si="64"/>
        <v>5229</v>
      </c>
      <c r="L514" s="1">
        <f t="shared" si="61"/>
        <v>1202.67</v>
      </c>
      <c r="M514" s="22">
        <f t="shared" si="65"/>
        <v>6431.67</v>
      </c>
      <c r="N514" s="1">
        <f t="shared" ca="1" si="62"/>
        <v>4</v>
      </c>
      <c r="P514" s="1">
        <v>63.223825590102933</v>
      </c>
      <c r="Q514" s="1">
        <f t="shared" ca="1" si="63"/>
        <v>10</v>
      </c>
      <c r="R514" s="1">
        <v>10.438566871707735</v>
      </c>
    </row>
    <row r="515" spans="1:18" x14ac:dyDescent="0.3">
      <c r="A515" s="26">
        <v>514</v>
      </c>
      <c r="B515" s="1">
        <v>12</v>
      </c>
      <c r="C515" s="1">
        <f t="shared" ref="C515:C578" si="67">INT(R515)</f>
        <v>9</v>
      </c>
      <c r="D515" s="21">
        <f t="shared" ca="1" si="66"/>
        <v>44570</v>
      </c>
      <c r="E515" s="1" t="s">
        <v>26</v>
      </c>
      <c r="F515" s="1" t="s">
        <v>543</v>
      </c>
      <c r="G515" s="1" t="s">
        <v>28</v>
      </c>
      <c r="H515" s="1">
        <v>613</v>
      </c>
      <c r="I515" s="1">
        <f t="shared" ref="I515:I578" si="68">INT(P515)</f>
        <v>41</v>
      </c>
      <c r="J515" s="1">
        <f>VLOOKUP(B515,Cena!$A$2:$B$101,2)</f>
        <v>88</v>
      </c>
      <c r="K515" s="1">
        <f t="shared" si="64"/>
        <v>3608</v>
      </c>
      <c r="L515" s="1">
        <f t="shared" ref="L515:L578" si="69">K515*23%</f>
        <v>829.84</v>
      </c>
      <c r="M515" s="22">
        <f t="shared" si="65"/>
        <v>4437.84</v>
      </c>
      <c r="N515" s="1">
        <f t="shared" ref="N515:N578" ca="1" si="70">MONTH(D515)</f>
        <v>1</v>
      </c>
      <c r="P515" s="1">
        <v>41.616004990646616</v>
      </c>
      <c r="Q515" s="1">
        <f t="shared" ref="Q515:Q578" ca="1" si="71">RANDBETWEEN(1,30)</f>
        <v>14</v>
      </c>
      <c r="R515" s="1">
        <v>9.5098676208726829</v>
      </c>
    </row>
    <row r="516" spans="1:18" x14ac:dyDescent="0.3">
      <c r="A516" s="26">
        <v>515</v>
      </c>
      <c r="B516" s="1">
        <v>19</v>
      </c>
      <c r="C516" s="1">
        <f t="shared" si="67"/>
        <v>13</v>
      </c>
      <c r="D516" s="21">
        <f t="shared" ca="1" si="66"/>
        <v>44608</v>
      </c>
      <c r="E516" s="1" t="s">
        <v>26</v>
      </c>
      <c r="F516" s="1" t="s">
        <v>544</v>
      </c>
      <c r="G516" s="1" t="s">
        <v>28</v>
      </c>
      <c r="H516" s="1">
        <v>614</v>
      </c>
      <c r="I516" s="1">
        <f t="shared" si="68"/>
        <v>52</v>
      </c>
      <c r="J516" s="1">
        <f>VLOOKUP(B516,Cena!$A$2:$B$101,2)</f>
        <v>84</v>
      </c>
      <c r="K516" s="1">
        <f t="shared" si="64"/>
        <v>4368</v>
      </c>
      <c r="L516" s="1">
        <f t="shared" si="69"/>
        <v>1004.6400000000001</v>
      </c>
      <c r="M516" s="22">
        <f t="shared" si="65"/>
        <v>5372.64</v>
      </c>
      <c r="N516" s="1">
        <f t="shared" ca="1" si="70"/>
        <v>2</v>
      </c>
      <c r="P516" s="1">
        <v>52.623471573315328</v>
      </c>
      <c r="Q516" s="1">
        <f t="shared" ca="1" si="71"/>
        <v>16</v>
      </c>
      <c r="R516" s="1">
        <v>13.083584942942252</v>
      </c>
    </row>
    <row r="517" spans="1:18" x14ac:dyDescent="0.3">
      <c r="A517" s="26">
        <v>516</v>
      </c>
      <c r="B517" s="1">
        <v>6</v>
      </c>
      <c r="C517" s="1">
        <f t="shared" si="67"/>
        <v>9</v>
      </c>
      <c r="D517" s="21">
        <f t="shared" ca="1" si="66"/>
        <v>44611</v>
      </c>
      <c r="E517" s="1" t="s">
        <v>26</v>
      </c>
      <c r="F517" s="1" t="s">
        <v>545</v>
      </c>
      <c r="G517" s="1" t="s">
        <v>28</v>
      </c>
      <c r="H517" s="1">
        <v>615</v>
      </c>
      <c r="I517" s="1">
        <f t="shared" si="68"/>
        <v>67</v>
      </c>
      <c r="J517" s="1">
        <f>VLOOKUP(B517,Cena!$A$2:$B$101,2)</f>
        <v>86</v>
      </c>
      <c r="K517" s="1">
        <f t="shared" si="64"/>
        <v>5762</v>
      </c>
      <c r="L517" s="1">
        <f t="shared" si="69"/>
        <v>1325.26</v>
      </c>
      <c r="M517" s="22">
        <f t="shared" si="65"/>
        <v>7087.26</v>
      </c>
      <c r="N517" s="1">
        <f t="shared" ca="1" si="70"/>
        <v>2</v>
      </c>
      <c r="P517" s="1">
        <v>67.072761693270877</v>
      </c>
      <c r="Q517" s="1">
        <f t="shared" ca="1" si="71"/>
        <v>15</v>
      </c>
      <c r="R517" s="1">
        <v>9.9798234284753562</v>
      </c>
    </row>
    <row r="518" spans="1:18" x14ac:dyDescent="0.3">
      <c r="A518" s="26">
        <v>517</v>
      </c>
      <c r="B518" s="1">
        <v>19</v>
      </c>
      <c r="C518" s="1">
        <f t="shared" si="67"/>
        <v>12</v>
      </c>
      <c r="D518" s="21">
        <f t="shared" ca="1" si="66"/>
        <v>44775</v>
      </c>
      <c r="E518" s="1" t="s">
        <v>26</v>
      </c>
      <c r="F518" s="1" t="s">
        <v>546</v>
      </c>
      <c r="G518" s="1" t="s">
        <v>28</v>
      </c>
      <c r="H518" s="1">
        <v>616</v>
      </c>
      <c r="I518" s="1">
        <f t="shared" si="68"/>
        <v>49</v>
      </c>
      <c r="J518" s="1">
        <f>VLOOKUP(B518,Cena!$A$2:$B$101,2)</f>
        <v>84</v>
      </c>
      <c r="K518" s="1">
        <f t="shared" si="64"/>
        <v>4116</v>
      </c>
      <c r="L518" s="1">
        <f t="shared" si="69"/>
        <v>946.68000000000006</v>
      </c>
      <c r="M518" s="22">
        <f t="shared" si="65"/>
        <v>5062.68</v>
      </c>
      <c r="N518" s="1">
        <f t="shared" ca="1" si="70"/>
        <v>8</v>
      </c>
      <c r="P518" s="1">
        <v>49.415604179375805</v>
      </c>
      <c r="Q518" s="1">
        <f t="shared" ca="1" si="71"/>
        <v>21</v>
      </c>
      <c r="R518" s="1">
        <v>12.735117732299841</v>
      </c>
    </row>
    <row r="519" spans="1:18" x14ac:dyDescent="0.3">
      <c r="A519" s="26">
        <v>518</v>
      </c>
      <c r="B519" s="1">
        <v>23</v>
      </c>
      <c r="C519" s="1">
        <f t="shared" si="67"/>
        <v>6</v>
      </c>
      <c r="D519" s="21">
        <f t="shared" ca="1" si="66"/>
        <v>44883</v>
      </c>
      <c r="E519" s="1" t="s">
        <v>26</v>
      </c>
      <c r="F519" s="1" t="s">
        <v>547</v>
      </c>
      <c r="G519" s="1" t="s">
        <v>28</v>
      </c>
      <c r="H519" s="1">
        <v>617</v>
      </c>
      <c r="I519" s="1">
        <f t="shared" si="68"/>
        <v>62</v>
      </c>
      <c r="J519" s="1">
        <f>VLOOKUP(B519,Cena!$A$2:$B$101,2)</f>
        <v>132</v>
      </c>
      <c r="K519" s="1">
        <f t="shared" si="64"/>
        <v>8184</v>
      </c>
      <c r="L519" s="1">
        <f t="shared" si="69"/>
        <v>1882.3200000000002</v>
      </c>
      <c r="M519" s="22">
        <f t="shared" si="65"/>
        <v>10066.32</v>
      </c>
      <c r="N519" s="1">
        <f t="shared" ca="1" si="70"/>
        <v>11</v>
      </c>
      <c r="P519" s="1">
        <v>62.904183677164838</v>
      </c>
      <c r="Q519" s="1">
        <f t="shared" ca="1" si="71"/>
        <v>4</v>
      </c>
      <c r="R519" s="1">
        <v>6.0132754495134577</v>
      </c>
    </row>
    <row r="520" spans="1:18" x14ac:dyDescent="0.3">
      <c r="A520" s="26">
        <v>519</v>
      </c>
      <c r="B520" s="1">
        <v>7</v>
      </c>
      <c r="C520" s="1">
        <f t="shared" si="67"/>
        <v>10</v>
      </c>
      <c r="D520" s="21">
        <f t="shared" ca="1" si="66"/>
        <v>44731</v>
      </c>
      <c r="E520" s="1" t="s">
        <v>26</v>
      </c>
      <c r="F520" s="1" t="s">
        <v>548</v>
      </c>
      <c r="G520" s="1" t="s">
        <v>28</v>
      </c>
      <c r="H520" s="1">
        <v>618</v>
      </c>
      <c r="I520" s="1">
        <f t="shared" si="68"/>
        <v>17</v>
      </c>
      <c r="J520" s="1">
        <f>VLOOKUP(B520,Cena!$A$2:$B$101,2)</f>
        <v>104</v>
      </c>
      <c r="K520" s="1">
        <f t="shared" si="64"/>
        <v>1768</v>
      </c>
      <c r="L520" s="1">
        <f t="shared" si="69"/>
        <v>406.64000000000004</v>
      </c>
      <c r="M520" s="22">
        <f t="shared" si="65"/>
        <v>2174.64</v>
      </c>
      <c r="N520" s="1">
        <f t="shared" ca="1" si="70"/>
        <v>6</v>
      </c>
      <c r="P520" s="1">
        <v>17.360054142773151</v>
      </c>
      <c r="Q520" s="1">
        <f t="shared" ca="1" si="71"/>
        <v>30</v>
      </c>
      <c r="R520" s="1">
        <v>10.548365619579272</v>
      </c>
    </row>
    <row r="521" spans="1:18" x14ac:dyDescent="0.3">
      <c r="A521" s="26">
        <v>520</v>
      </c>
      <c r="B521" s="1">
        <v>16</v>
      </c>
      <c r="C521" s="1">
        <f t="shared" si="67"/>
        <v>8</v>
      </c>
      <c r="D521" s="21">
        <f t="shared" ca="1" si="66"/>
        <v>44852</v>
      </c>
      <c r="E521" s="1" t="s">
        <v>26</v>
      </c>
      <c r="F521" s="1" t="s">
        <v>549</v>
      </c>
      <c r="G521" s="1" t="s">
        <v>28</v>
      </c>
      <c r="H521" s="1">
        <v>619</v>
      </c>
      <c r="I521" s="1">
        <f t="shared" si="68"/>
        <v>36</v>
      </c>
      <c r="J521" s="1">
        <f>VLOOKUP(B521,Cena!$A$2:$B$101,2)</f>
        <v>93</v>
      </c>
      <c r="K521" s="1">
        <f t="shared" si="64"/>
        <v>3348</v>
      </c>
      <c r="L521" s="1">
        <f t="shared" si="69"/>
        <v>770.04000000000008</v>
      </c>
      <c r="M521" s="22">
        <f t="shared" si="65"/>
        <v>4118.04</v>
      </c>
      <c r="N521" s="1">
        <f t="shared" ca="1" si="70"/>
        <v>10</v>
      </c>
      <c r="P521" s="1">
        <v>36.112925398629159</v>
      </c>
      <c r="Q521" s="1">
        <f t="shared" ca="1" si="71"/>
        <v>5</v>
      </c>
      <c r="R521" s="1">
        <v>8.0788459197356133</v>
      </c>
    </row>
    <row r="522" spans="1:18" x14ac:dyDescent="0.3">
      <c r="A522" s="26">
        <v>521</v>
      </c>
      <c r="B522" s="1">
        <v>29</v>
      </c>
      <c r="C522" s="1">
        <f t="shared" si="67"/>
        <v>9</v>
      </c>
      <c r="D522" s="21">
        <f t="shared" ca="1" si="66"/>
        <v>44905</v>
      </c>
      <c r="E522" s="1" t="s">
        <v>26</v>
      </c>
      <c r="F522" s="1" t="s">
        <v>550</v>
      </c>
      <c r="G522" s="1" t="s">
        <v>28</v>
      </c>
      <c r="H522" s="1">
        <v>620</v>
      </c>
      <c r="I522" s="1">
        <f t="shared" si="68"/>
        <v>55</v>
      </c>
      <c r="J522" s="1">
        <f>VLOOKUP(B522,Cena!$A$2:$B$101,2)</f>
        <v>105</v>
      </c>
      <c r="K522" s="1">
        <f t="shared" si="64"/>
        <v>5775</v>
      </c>
      <c r="L522" s="1">
        <f t="shared" si="69"/>
        <v>1328.25</v>
      </c>
      <c r="M522" s="22">
        <f t="shared" si="65"/>
        <v>7103.25</v>
      </c>
      <c r="N522" s="1">
        <f t="shared" ca="1" si="70"/>
        <v>12</v>
      </c>
      <c r="P522" s="1">
        <v>55.28099235452828</v>
      </c>
      <c r="Q522" s="1">
        <f t="shared" ca="1" si="71"/>
        <v>14</v>
      </c>
      <c r="R522" s="1">
        <v>9.8117317545620608</v>
      </c>
    </row>
    <row r="523" spans="1:18" x14ac:dyDescent="0.3">
      <c r="A523" s="26">
        <v>522</v>
      </c>
      <c r="B523" s="1">
        <v>28</v>
      </c>
      <c r="C523" s="1">
        <f t="shared" si="67"/>
        <v>8</v>
      </c>
      <c r="D523" s="21">
        <f t="shared" ca="1" si="66"/>
        <v>44611</v>
      </c>
      <c r="E523" s="1" t="s">
        <v>26</v>
      </c>
      <c r="F523" s="1" t="s">
        <v>551</v>
      </c>
      <c r="G523" s="1" t="s">
        <v>28</v>
      </c>
      <c r="H523" s="1">
        <v>621</v>
      </c>
      <c r="I523" s="1">
        <f t="shared" si="68"/>
        <v>56</v>
      </c>
      <c r="J523" s="1">
        <f>VLOOKUP(B523,Cena!$A$2:$B$101,2)</f>
        <v>59</v>
      </c>
      <c r="K523" s="1">
        <f t="shared" si="64"/>
        <v>3304</v>
      </c>
      <c r="L523" s="1">
        <f t="shared" si="69"/>
        <v>759.92000000000007</v>
      </c>
      <c r="M523" s="22">
        <f t="shared" si="65"/>
        <v>4063.92</v>
      </c>
      <c r="N523" s="1">
        <f t="shared" ca="1" si="70"/>
        <v>2</v>
      </c>
      <c r="P523" s="1">
        <v>56.64606432110304</v>
      </c>
      <c r="Q523" s="1">
        <f t="shared" ca="1" si="71"/>
        <v>3</v>
      </c>
      <c r="R523" s="1">
        <v>8.3601242092845496</v>
      </c>
    </row>
    <row r="524" spans="1:18" x14ac:dyDescent="0.3">
      <c r="A524" s="26">
        <v>523</v>
      </c>
      <c r="B524" s="1">
        <v>14</v>
      </c>
      <c r="C524" s="1">
        <f t="shared" si="67"/>
        <v>12</v>
      </c>
      <c r="D524" s="21">
        <f t="shared" ca="1" si="66"/>
        <v>44581</v>
      </c>
      <c r="E524" s="1" t="s">
        <v>26</v>
      </c>
      <c r="F524" s="1" t="s">
        <v>552</v>
      </c>
      <c r="G524" s="1" t="s">
        <v>28</v>
      </c>
      <c r="H524" s="1">
        <v>622</v>
      </c>
      <c r="I524" s="1">
        <f t="shared" si="68"/>
        <v>63</v>
      </c>
      <c r="J524" s="1">
        <f>VLOOKUP(B524,Cena!$A$2:$B$101,2)</f>
        <v>129</v>
      </c>
      <c r="K524" s="1">
        <f t="shared" si="64"/>
        <v>8127</v>
      </c>
      <c r="L524" s="1">
        <f t="shared" si="69"/>
        <v>1869.21</v>
      </c>
      <c r="M524" s="22">
        <f t="shared" si="65"/>
        <v>9996.2099999999991</v>
      </c>
      <c r="N524" s="1">
        <f t="shared" ca="1" si="70"/>
        <v>1</v>
      </c>
      <c r="P524" s="1">
        <v>63.87302290822845</v>
      </c>
      <c r="Q524" s="1">
        <f t="shared" ca="1" si="71"/>
        <v>21</v>
      </c>
      <c r="R524" s="1">
        <v>12.456749825796578</v>
      </c>
    </row>
    <row r="525" spans="1:18" x14ac:dyDescent="0.3">
      <c r="A525" s="26">
        <v>524</v>
      </c>
      <c r="B525" s="1">
        <v>3</v>
      </c>
      <c r="C525" s="1">
        <f t="shared" si="67"/>
        <v>7</v>
      </c>
      <c r="D525" s="21">
        <f t="shared" ca="1" si="66"/>
        <v>44740</v>
      </c>
      <c r="E525" s="1" t="s">
        <v>26</v>
      </c>
      <c r="F525" s="1" t="s">
        <v>553</v>
      </c>
      <c r="G525" s="1" t="s">
        <v>28</v>
      </c>
      <c r="H525" s="1">
        <v>623</v>
      </c>
      <c r="I525" s="1">
        <f t="shared" si="68"/>
        <v>65</v>
      </c>
      <c r="J525" s="1">
        <f>VLOOKUP(B525,Cena!$A$2:$B$101,2)</f>
        <v>89</v>
      </c>
      <c r="K525" s="1">
        <f t="shared" si="64"/>
        <v>5785</v>
      </c>
      <c r="L525" s="1">
        <f t="shared" si="69"/>
        <v>1330.55</v>
      </c>
      <c r="M525" s="22">
        <f t="shared" si="65"/>
        <v>7115.55</v>
      </c>
      <c r="N525" s="1">
        <f t="shared" ca="1" si="70"/>
        <v>6</v>
      </c>
      <c r="P525" s="1">
        <v>65.963269106578082</v>
      </c>
      <c r="Q525" s="1">
        <f t="shared" ca="1" si="71"/>
        <v>24</v>
      </c>
      <c r="R525" s="1">
        <v>7.5795617501717061</v>
      </c>
    </row>
    <row r="526" spans="1:18" x14ac:dyDescent="0.3">
      <c r="A526" s="26">
        <v>525</v>
      </c>
      <c r="B526" s="1">
        <v>9</v>
      </c>
      <c r="C526" s="1">
        <f t="shared" si="67"/>
        <v>12</v>
      </c>
      <c r="D526" s="21">
        <f t="shared" ca="1" si="66"/>
        <v>44732</v>
      </c>
      <c r="E526" s="1" t="s">
        <v>26</v>
      </c>
      <c r="F526" s="1" t="s">
        <v>554</v>
      </c>
      <c r="G526" s="1" t="s">
        <v>28</v>
      </c>
      <c r="H526" s="1">
        <v>624</v>
      </c>
      <c r="I526" s="1">
        <f t="shared" si="68"/>
        <v>46</v>
      </c>
      <c r="J526" s="1">
        <f>VLOOKUP(B526,Cena!$A$2:$B$101,2)</f>
        <v>96</v>
      </c>
      <c r="K526" s="1">
        <f t="shared" si="64"/>
        <v>4416</v>
      </c>
      <c r="L526" s="1">
        <f t="shared" si="69"/>
        <v>1015.6800000000001</v>
      </c>
      <c r="M526" s="22">
        <f t="shared" si="65"/>
        <v>5431.68</v>
      </c>
      <c r="N526" s="1">
        <f t="shared" ca="1" si="70"/>
        <v>6</v>
      </c>
      <c r="P526" s="1">
        <v>46.532528712123167</v>
      </c>
      <c r="Q526" s="1">
        <f t="shared" ca="1" si="71"/>
        <v>4</v>
      </c>
      <c r="R526" s="1">
        <v>12.009460331464652</v>
      </c>
    </row>
    <row r="527" spans="1:18" x14ac:dyDescent="0.3">
      <c r="A527" s="26">
        <v>526</v>
      </c>
      <c r="B527" s="1">
        <v>12</v>
      </c>
      <c r="C527" s="1">
        <f t="shared" si="67"/>
        <v>6</v>
      </c>
      <c r="D527" s="21">
        <f t="shared" ca="1" si="66"/>
        <v>44671</v>
      </c>
      <c r="E527" s="1" t="s">
        <v>26</v>
      </c>
      <c r="F527" s="1" t="s">
        <v>555</v>
      </c>
      <c r="G527" s="1" t="s">
        <v>28</v>
      </c>
      <c r="H527" s="1">
        <v>625</v>
      </c>
      <c r="I527" s="1">
        <f t="shared" si="68"/>
        <v>56</v>
      </c>
      <c r="J527" s="1">
        <f>VLOOKUP(B527,Cena!$A$2:$B$101,2)</f>
        <v>88</v>
      </c>
      <c r="K527" s="1">
        <f t="shared" si="64"/>
        <v>4928</v>
      </c>
      <c r="L527" s="1">
        <f t="shared" si="69"/>
        <v>1133.44</v>
      </c>
      <c r="M527" s="22">
        <f t="shared" si="65"/>
        <v>6061.4400000000005</v>
      </c>
      <c r="N527" s="1">
        <f t="shared" ca="1" si="70"/>
        <v>4</v>
      </c>
      <c r="P527" s="1">
        <v>56.544325970025966</v>
      </c>
      <c r="Q527" s="1">
        <f t="shared" ca="1" si="71"/>
        <v>24</v>
      </c>
      <c r="R527" s="1">
        <v>6.7901544550841209</v>
      </c>
    </row>
    <row r="528" spans="1:18" x14ac:dyDescent="0.3">
      <c r="A528" s="26">
        <v>527</v>
      </c>
      <c r="B528" s="1">
        <v>10</v>
      </c>
      <c r="C528" s="1">
        <f t="shared" si="67"/>
        <v>6</v>
      </c>
      <c r="D528" s="21">
        <f t="shared" ca="1" si="66"/>
        <v>44696</v>
      </c>
      <c r="E528" s="1" t="s">
        <v>26</v>
      </c>
      <c r="F528" s="1" t="s">
        <v>556</v>
      </c>
      <c r="G528" s="1" t="s">
        <v>28</v>
      </c>
      <c r="H528" s="1">
        <v>626</v>
      </c>
      <c r="I528" s="1">
        <f t="shared" si="68"/>
        <v>57</v>
      </c>
      <c r="J528" s="1">
        <f>VLOOKUP(B528,Cena!$A$2:$B$101,2)</f>
        <v>109</v>
      </c>
      <c r="K528" s="1">
        <f t="shared" si="64"/>
        <v>6213</v>
      </c>
      <c r="L528" s="1">
        <f t="shared" si="69"/>
        <v>1428.99</v>
      </c>
      <c r="M528" s="22">
        <f t="shared" si="65"/>
        <v>7641.99</v>
      </c>
      <c r="N528" s="1">
        <f t="shared" ca="1" si="70"/>
        <v>5</v>
      </c>
      <c r="P528" s="1">
        <v>57.058201845211443</v>
      </c>
      <c r="Q528" s="1">
        <f t="shared" ca="1" si="71"/>
        <v>1</v>
      </c>
      <c r="R528" s="1">
        <v>6.7836060932313558</v>
      </c>
    </row>
    <row r="529" spans="1:18" x14ac:dyDescent="0.3">
      <c r="A529" s="26">
        <v>528</v>
      </c>
      <c r="B529" s="1">
        <v>19</v>
      </c>
      <c r="C529" s="1">
        <f t="shared" si="67"/>
        <v>9</v>
      </c>
      <c r="D529" s="21">
        <f t="shared" ca="1" si="66"/>
        <v>44817</v>
      </c>
      <c r="E529" s="1" t="s">
        <v>26</v>
      </c>
      <c r="F529" s="1" t="s">
        <v>557</v>
      </c>
      <c r="G529" s="1" t="s">
        <v>28</v>
      </c>
      <c r="H529" s="1">
        <v>627</v>
      </c>
      <c r="I529" s="1">
        <f t="shared" si="68"/>
        <v>51</v>
      </c>
      <c r="J529" s="1">
        <f>VLOOKUP(B529,Cena!$A$2:$B$101,2)</f>
        <v>84</v>
      </c>
      <c r="K529" s="1">
        <f t="shared" si="64"/>
        <v>4284</v>
      </c>
      <c r="L529" s="1">
        <f t="shared" si="69"/>
        <v>985.32</v>
      </c>
      <c r="M529" s="22">
        <f t="shared" si="65"/>
        <v>5269.32</v>
      </c>
      <c r="N529" s="1">
        <f t="shared" ca="1" si="70"/>
        <v>9</v>
      </c>
      <c r="P529" s="1">
        <v>51.15501279651653</v>
      </c>
      <c r="Q529" s="1">
        <f t="shared" ca="1" si="71"/>
        <v>18</v>
      </c>
      <c r="R529" s="1">
        <v>9.4294739735778421</v>
      </c>
    </row>
    <row r="530" spans="1:18" x14ac:dyDescent="0.3">
      <c r="A530" s="26">
        <v>529</v>
      </c>
      <c r="B530" s="1">
        <v>28</v>
      </c>
      <c r="C530" s="1">
        <f t="shared" si="67"/>
        <v>11</v>
      </c>
      <c r="D530" s="21">
        <f t="shared" ca="1" si="66"/>
        <v>44638</v>
      </c>
      <c r="E530" s="1" t="s">
        <v>26</v>
      </c>
      <c r="F530" s="1" t="s">
        <v>558</v>
      </c>
      <c r="G530" s="1" t="s">
        <v>28</v>
      </c>
      <c r="H530" s="1">
        <v>628</v>
      </c>
      <c r="I530" s="1">
        <f t="shared" si="68"/>
        <v>44</v>
      </c>
      <c r="J530" s="1">
        <f>VLOOKUP(B530,Cena!$A$2:$B$101,2)</f>
        <v>59</v>
      </c>
      <c r="K530" s="1">
        <f t="shared" si="64"/>
        <v>2596</v>
      </c>
      <c r="L530" s="1">
        <f t="shared" si="69"/>
        <v>597.08000000000004</v>
      </c>
      <c r="M530" s="22">
        <f t="shared" si="65"/>
        <v>3193.08</v>
      </c>
      <c r="N530" s="1">
        <f t="shared" ca="1" si="70"/>
        <v>3</v>
      </c>
      <c r="P530" s="1">
        <v>44.575102846283698</v>
      </c>
      <c r="Q530" s="1">
        <f t="shared" ca="1" si="71"/>
        <v>11</v>
      </c>
      <c r="R530" s="1">
        <v>11.662948534431052</v>
      </c>
    </row>
    <row r="531" spans="1:18" x14ac:dyDescent="0.3">
      <c r="A531" s="26">
        <v>530</v>
      </c>
      <c r="B531" s="1">
        <v>2</v>
      </c>
      <c r="C531" s="1">
        <f t="shared" si="67"/>
        <v>12</v>
      </c>
      <c r="D531" s="21">
        <f t="shared" ca="1" si="66"/>
        <v>44870</v>
      </c>
      <c r="E531" s="1" t="s">
        <v>26</v>
      </c>
      <c r="F531" s="1" t="s">
        <v>559</v>
      </c>
      <c r="G531" s="1" t="s">
        <v>28</v>
      </c>
      <c r="H531" s="1">
        <v>629</v>
      </c>
      <c r="I531" s="1">
        <f t="shared" si="68"/>
        <v>47</v>
      </c>
      <c r="J531" s="1">
        <f>VLOOKUP(B531,Cena!$A$2:$B$101,2)</f>
        <v>121</v>
      </c>
      <c r="K531" s="1">
        <f t="shared" si="64"/>
        <v>5687</v>
      </c>
      <c r="L531" s="1">
        <f t="shared" si="69"/>
        <v>1308.01</v>
      </c>
      <c r="M531" s="22">
        <f t="shared" si="65"/>
        <v>6995.01</v>
      </c>
      <c r="N531" s="1">
        <f t="shared" ca="1" si="70"/>
        <v>11</v>
      </c>
      <c r="P531" s="1">
        <v>47.45167542641866</v>
      </c>
      <c r="Q531" s="1">
        <f t="shared" ca="1" si="71"/>
        <v>1</v>
      </c>
      <c r="R531" s="1">
        <v>12.460166115270113</v>
      </c>
    </row>
    <row r="532" spans="1:18" x14ac:dyDescent="0.3">
      <c r="A532" s="26">
        <v>531</v>
      </c>
      <c r="B532" s="1">
        <v>23</v>
      </c>
      <c r="C532" s="1">
        <f t="shared" si="67"/>
        <v>5</v>
      </c>
      <c r="D532" s="21">
        <f t="shared" ca="1" si="66"/>
        <v>44606</v>
      </c>
      <c r="E532" s="1" t="s">
        <v>26</v>
      </c>
      <c r="F532" s="1" t="s">
        <v>560</v>
      </c>
      <c r="G532" s="1" t="s">
        <v>28</v>
      </c>
      <c r="H532" s="1">
        <v>630</v>
      </c>
      <c r="I532" s="1">
        <f t="shared" si="68"/>
        <v>50</v>
      </c>
      <c r="J532" s="1">
        <f>VLOOKUP(B532,Cena!$A$2:$B$101,2)</f>
        <v>132</v>
      </c>
      <c r="K532" s="1">
        <f t="shared" si="64"/>
        <v>6600</v>
      </c>
      <c r="L532" s="1">
        <f t="shared" si="69"/>
        <v>1518</v>
      </c>
      <c r="M532" s="22">
        <f t="shared" si="65"/>
        <v>8118</v>
      </c>
      <c r="N532" s="1">
        <f t="shared" ca="1" si="70"/>
        <v>2</v>
      </c>
      <c r="P532" s="1">
        <v>50.825980350782629</v>
      </c>
      <c r="Q532" s="1">
        <f t="shared" ca="1" si="71"/>
        <v>14</v>
      </c>
      <c r="R532" s="1">
        <v>5.3058249957393855</v>
      </c>
    </row>
    <row r="533" spans="1:18" x14ac:dyDescent="0.3">
      <c r="A533" s="26">
        <v>532</v>
      </c>
      <c r="B533" s="1">
        <v>5</v>
      </c>
      <c r="C533" s="1">
        <f t="shared" si="67"/>
        <v>8</v>
      </c>
      <c r="D533" s="21">
        <f t="shared" ca="1" si="66"/>
        <v>44851</v>
      </c>
      <c r="E533" s="1" t="s">
        <v>26</v>
      </c>
      <c r="F533" s="1" t="s">
        <v>561</v>
      </c>
      <c r="G533" s="1" t="s">
        <v>28</v>
      </c>
      <c r="H533" s="1">
        <v>631</v>
      </c>
      <c r="I533" s="1">
        <f t="shared" si="68"/>
        <v>57</v>
      </c>
      <c r="J533" s="1">
        <f>VLOOKUP(B533,Cena!$A$2:$B$101,2)</f>
        <v>91</v>
      </c>
      <c r="K533" s="1">
        <f t="shared" si="64"/>
        <v>5187</v>
      </c>
      <c r="L533" s="1">
        <f t="shared" si="69"/>
        <v>1193.01</v>
      </c>
      <c r="M533" s="22">
        <f t="shared" si="65"/>
        <v>6380.01</v>
      </c>
      <c r="N533" s="1">
        <f t="shared" ca="1" si="70"/>
        <v>10</v>
      </c>
      <c r="P533" s="1">
        <v>57.999847184692044</v>
      </c>
      <c r="Q533" s="1">
        <f t="shared" ca="1" si="71"/>
        <v>17</v>
      </c>
      <c r="R533" s="1">
        <v>8.2887800342723494</v>
      </c>
    </row>
    <row r="534" spans="1:18" x14ac:dyDescent="0.3">
      <c r="A534" s="26">
        <v>533</v>
      </c>
      <c r="B534" s="1">
        <v>6</v>
      </c>
      <c r="C534" s="1">
        <f t="shared" si="67"/>
        <v>7</v>
      </c>
      <c r="D534" s="21">
        <f t="shared" ca="1" si="66"/>
        <v>44907</v>
      </c>
      <c r="E534" s="1" t="s">
        <v>26</v>
      </c>
      <c r="F534" s="1" t="s">
        <v>562</v>
      </c>
      <c r="G534" s="1" t="s">
        <v>28</v>
      </c>
      <c r="H534" s="1">
        <v>632</v>
      </c>
      <c r="I534" s="1">
        <f t="shared" si="68"/>
        <v>50</v>
      </c>
      <c r="J534" s="1">
        <f>VLOOKUP(B534,Cena!$A$2:$B$101,2)</f>
        <v>86</v>
      </c>
      <c r="K534" s="1">
        <f t="shared" si="64"/>
        <v>4300</v>
      </c>
      <c r="L534" s="1">
        <f t="shared" si="69"/>
        <v>989</v>
      </c>
      <c r="M534" s="22">
        <f t="shared" si="65"/>
        <v>5289</v>
      </c>
      <c r="N534" s="1">
        <f t="shared" ca="1" si="70"/>
        <v>12</v>
      </c>
      <c r="P534" s="1">
        <v>50.839020231069298</v>
      </c>
      <c r="Q534" s="1">
        <f t="shared" ca="1" si="71"/>
        <v>5</v>
      </c>
      <c r="R534" s="1">
        <v>7.4219520026963437</v>
      </c>
    </row>
    <row r="535" spans="1:18" x14ac:dyDescent="0.3">
      <c r="A535" s="26">
        <v>534</v>
      </c>
      <c r="B535" s="1">
        <v>13</v>
      </c>
      <c r="C535" s="1">
        <f t="shared" si="67"/>
        <v>9</v>
      </c>
      <c r="D535" s="21">
        <f t="shared" ca="1" si="66"/>
        <v>44765</v>
      </c>
      <c r="E535" s="1" t="s">
        <v>26</v>
      </c>
      <c r="F535" s="1" t="s">
        <v>563</v>
      </c>
      <c r="G535" s="1" t="s">
        <v>28</v>
      </c>
      <c r="H535" s="1">
        <v>633</v>
      </c>
      <c r="I535" s="1">
        <f t="shared" si="68"/>
        <v>59</v>
      </c>
      <c r="J535" s="1">
        <f>VLOOKUP(B535,Cena!$A$2:$B$101,2)</f>
        <v>94</v>
      </c>
      <c r="K535" s="1">
        <f t="shared" si="64"/>
        <v>5546</v>
      </c>
      <c r="L535" s="1">
        <f t="shared" si="69"/>
        <v>1275.5800000000002</v>
      </c>
      <c r="M535" s="22">
        <f t="shared" si="65"/>
        <v>6821.58</v>
      </c>
      <c r="N535" s="1">
        <f t="shared" ca="1" si="70"/>
        <v>7</v>
      </c>
      <c r="P535" s="1">
        <v>59.56385974859586</v>
      </c>
      <c r="Q535" s="1">
        <f t="shared" ca="1" si="71"/>
        <v>21</v>
      </c>
      <c r="R535" s="1">
        <v>9.7402994722506264</v>
      </c>
    </row>
    <row r="536" spans="1:18" x14ac:dyDescent="0.3">
      <c r="A536" s="26">
        <v>535</v>
      </c>
      <c r="B536" s="1">
        <v>26</v>
      </c>
      <c r="C536" s="1">
        <f t="shared" si="67"/>
        <v>13</v>
      </c>
      <c r="D536" s="21">
        <f t="shared" ca="1" si="66"/>
        <v>44720</v>
      </c>
      <c r="E536" s="1" t="s">
        <v>26</v>
      </c>
      <c r="F536" s="1" t="s">
        <v>564</v>
      </c>
      <c r="G536" s="1" t="s">
        <v>28</v>
      </c>
      <c r="H536" s="1">
        <v>634</v>
      </c>
      <c r="I536" s="1">
        <f t="shared" si="68"/>
        <v>53</v>
      </c>
      <c r="J536" s="1">
        <f>VLOOKUP(B536,Cena!$A$2:$B$101,2)</f>
        <v>99</v>
      </c>
      <c r="K536" s="1">
        <f t="shared" si="64"/>
        <v>5247</v>
      </c>
      <c r="L536" s="1">
        <f t="shared" si="69"/>
        <v>1206.81</v>
      </c>
      <c r="M536" s="22">
        <f t="shared" si="65"/>
        <v>6453.8099999999995</v>
      </c>
      <c r="N536" s="1">
        <f t="shared" ca="1" si="70"/>
        <v>6</v>
      </c>
      <c r="P536" s="1">
        <v>53.649211066658609</v>
      </c>
      <c r="Q536" s="1">
        <f t="shared" ca="1" si="71"/>
        <v>5</v>
      </c>
      <c r="R536" s="1">
        <v>13.604509402066469</v>
      </c>
    </row>
    <row r="537" spans="1:18" x14ac:dyDescent="0.3">
      <c r="A537" s="26">
        <v>536</v>
      </c>
      <c r="B537" s="1">
        <v>28</v>
      </c>
      <c r="C537" s="1">
        <f t="shared" si="67"/>
        <v>10</v>
      </c>
      <c r="D537" s="21">
        <f t="shared" ca="1" si="66"/>
        <v>44913</v>
      </c>
      <c r="E537" s="1" t="s">
        <v>26</v>
      </c>
      <c r="F537" s="1" t="s">
        <v>565</v>
      </c>
      <c r="G537" s="1" t="s">
        <v>28</v>
      </c>
      <c r="H537" s="1">
        <v>635</v>
      </c>
      <c r="I537" s="1">
        <f t="shared" si="68"/>
        <v>54</v>
      </c>
      <c r="J537" s="1">
        <f>VLOOKUP(B537,Cena!$A$2:$B$101,2)</f>
        <v>59</v>
      </c>
      <c r="K537" s="1">
        <f t="shared" si="64"/>
        <v>3186</v>
      </c>
      <c r="L537" s="1">
        <f t="shared" si="69"/>
        <v>732.78000000000009</v>
      </c>
      <c r="M537" s="22">
        <f t="shared" si="65"/>
        <v>3918.78</v>
      </c>
      <c r="N537" s="1">
        <f t="shared" ca="1" si="70"/>
        <v>12</v>
      </c>
      <c r="P537" s="1">
        <v>54.973878731107106</v>
      </c>
      <c r="Q537" s="1">
        <f t="shared" ca="1" si="71"/>
        <v>12</v>
      </c>
      <c r="R537" s="1">
        <v>10.040833469938661</v>
      </c>
    </row>
    <row r="538" spans="1:18" x14ac:dyDescent="0.3">
      <c r="A538" s="26">
        <v>537</v>
      </c>
      <c r="B538" s="1">
        <v>13</v>
      </c>
      <c r="C538" s="1">
        <f t="shared" si="67"/>
        <v>12</v>
      </c>
      <c r="D538" s="21">
        <f t="shared" ca="1" si="66"/>
        <v>44686</v>
      </c>
      <c r="E538" s="1" t="s">
        <v>26</v>
      </c>
      <c r="F538" s="1" t="s">
        <v>566</v>
      </c>
      <c r="G538" s="1" t="s">
        <v>28</v>
      </c>
      <c r="H538" s="1">
        <v>636</v>
      </c>
      <c r="I538" s="1">
        <f t="shared" si="68"/>
        <v>58</v>
      </c>
      <c r="J538" s="1">
        <f>VLOOKUP(B538,Cena!$A$2:$B$101,2)</f>
        <v>94</v>
      </c>
      <c r="K538" s="1">
        <f t="shared" si="64"/>
        <v>5452</v>
      </c>
      <c r="L538" s="1">
        <f t="shared" si="69"/>
        <v>1253.96</v>
      </c>
      <c r="M538" s="22">
        <f t="shared" si="65"/>
        <v>6705.96</v>
      </c>
      <c r="N538" s="1">
        <f t="shared" ca="1" si="70"/>
        <v>5</v>
      </c>
      <c r="P538" s="1">
        <v>58.978349796961993</v>
      </c>
      <c r="Q538" s="1">
        <f t="shared" ca="1" si="71"/>
        <v>24</v>
      </c>
      <c r="R538" s="1">
        <v>12.881023419831763</v>
      </c>
    </row>
    <row r="539" spans="1:18" x14ac:dyDescent="0.3">
      <c r="A539" s="26">
        <v>538</v>
      </c>
      <c r="B539" s="1">
        <v>6</v>
      </c>
      <c r="C539" s="1">
        <f t="shared" si="67"/>
        <v>11</v>
      </c>
      <c r="D539" s="21">
        <f t="shared" ca="1" si="66"/>
        <v>44769</v>
      </c>
      <c r="E539" s="1" t="s">
        <v>26</v>
      </c>
      <c r="F539" s="1" t="s">
        <v>567</v>
      </c>
      <c r="G539" s="1" t="s">
        <v>28</v>
      </c>
      <c r="H539" s="1">
        <v>637</v>
      </c>
      <c r="I539" s="1">
        <f t="shared" si="68"/>
        <v>69</v>
      </c>
      <c r="J539" s="1">
        <f>VLOOKUP(B539,Cena!$A$2:$B$101,2)</f>
        <v>86</v>
      </c>
      <c r="K539" s="1">
        <f t="shared" si="64"/>
        <v>5934</v>
      </c>
      <c r="L539" s="1">
        <f t="shared" si="69"/>
        <v>1364.8200000000002</v>
      </c>
      <c r="M539" s="22">
        <f t="shared" si="65"/>
        <v>7298.82</v>
      </c>
      <c r="N539" s="1">
        <f t="shared" ca="1" si="70"/>
        <v>7</v>
      </c>
      <c r="P539" s="1">
        <v>69.223080016672611</v>
      </c>
      <c r="Q539" s="1">
        <f t="shared" ca="1" si="71"/>
        <v>5</v>
      </c>
      <c r="R539" s="1">
        <v>11.78719119503512</v>
      </c>
    </row>
    <row r="540" spans="1:18" x14ac:dyDescent="0.3">
      <c r="A540" s="26">
        <v>539</v>
      </c>
      <c r="B540" s="1">
        <v>30</v>
      </c>
      <c r="C540" s="1">
        <f t="shared" si="67"/>
        <v>10</v>
      </c>
      <c r="D540" s="21">
        <f t="shared" ca="1" si="66"/>
        <v>44614</v>
      </c>
      <c r="E540" s="1" t="s">
        <v>26</v>
      </c>
      <c r="F540" s="1" t="s">
        <v>568</v>
      </c>
      <c r="G540" s="1" t="s">
        <v>28</v>
      </c>
      <c r="H540" s="1">
        <v>638</v>
      </c>
      <c r="I540" s="1">
        <f t="shared" si="68"/>
        <v>47</v>
      </c>
      <c r="J540" s="1">
        <f>VLOOKUP(B540,Cena!$A$2:$B$101,2)</f>
        <v>87</v>
      </c>
      <c r="K540" s="1">
        <f t="shared" si="64"/>
        <v>4089</v>
      </c>
      <c r="L540" s="1">
        <f t="shared" si="69"/>
        <v>940.47</v>
      </c>
      <c r="M540" s="22">
        <f t="shared" si="65"/>
        <v>5029.47</v>
      </c>
      <c r="N540" s="1">
        <f t="shared" ca="1" si="70"/>
        <v>2</v>
      </c>
      <c r="P540" s="1">
        <v>47.130259998812107</v>
      </c>
      <c r="Q540" s="1">
        <f t="shared" ca="1" si="71"/>
        <v>26</v>
      </c>
      <c r="R540" s="1">
        <v>10.793707499724405</v>
      </c>
    </row>
    <row r="541" spans="1:18" x14ac:dyDescent="0.3">
      <c r="A541" s="26">
        <v>540</v>
      </c>
      <c r="B541" s="1">
        <v>26</v>
      </c>
      <c r="C541" s="1">
        <f t="shared" si="67"/>
        <v>9</v>
      </c>
      <c r="D541" s="21">
        <f t="shared" ca="1" si="66"/>
        <v>44822</v>
      </c>
      <c r="E541" s="1" t="s">
        <v>26</v>
      </c>
      <c r="F541" s="1" t="s">
        <v>569</v>
      </c>
      <c r="G541" s="1" t="s">
        <v>28</v>
      </c>
      <c r="H541" s="1">
        <v>639</v>
      </c>
      <c r="I541" s="1">
        <f t="shared" si="68"/>
        <v>50</v>
      </c>
      <c r="J541" s="1">
        <f>VLOOKUP(B541,Cena!$A$2:$B$101,2)</f>
        <v>99</v>
      </c>
      <c r="K541" s="1">
        <f t="shared" si="64"/>
        <v>4950</v>
      </c>
      <c r="L541" s="1">
        <f t="shared" si="69"/>
        <v>1138.5</v>
      </c>
      <c r="M541" s="22">
        <f t="shared" si="65"/>
        <v>6088.5</v>
      </c>
      <c r="N541" s="1">
        <f t="shared" ca="1" si="70"/>
        <v>9</v>
      </c>
      <c r="P541" s="1">
        <v>50.97882093541557</v>
      </c>
      <c r="Q541" s="1">
        <f t="shared" ca="1" si="71"/>
        <v>14</v>
      </c>
      <c r="R541" s="1">
        <v>9.6971894233865896</v>
      </c>
    </row>
    <row r="542" spans="1:18" x14ac:dyDescent="0.3">
      <c r="A542" s="26">
        <v>541</v>
      </c>
      <c r="B542" s="1">
        <v>26</v>
      </c>
      <c r="C542" s="1">
        <f t="shared" si="67"/>
        <v>8</v>
      </c>
      <c r="D542" s="21">
        <f t="shared" ca="1" si="66"/>
        <v>44822</v>
      </c>
      <c r="E542" s="1" t="s">
        <v>26</v>
      </c>
      <c r="F542" s="1" t="s">
        <v>570</v>
      </c>
      <c r="G542" s="1" t="s">
        <v>28</v>
      </c>
      <c r="H542" s="1">
        <v>640</v>
      </c>
      <c r="I542" s="1">
        <f t="shared" si="68"/>
        <v>42</v>
      </c>
      <c r="J542" s="1">
        <f>VLOOKUP(B542,Cena!$A$2:$B$101,2)</f>
        <v>99</v>
      </c>
      <c r="K542" s="1">
        <f t="shared" si="64"/>
        <v>4158</v>
      </c>
      <c r="L542" s="1">
        <f t="shared" si="69"/>
        <v>956.34</v>
      </c>
      <c r="M542" s="22">
        <f t="shared" si="65"/>
        <v>5114.34</v>
      </c>
      <c r="N542" s="1">
        <f t="shared" ca="1" si="70"/>
        <v>9</v>
      </c>
      <c r="P542" s="1">
        <v>42.791845215833746</v>
      </c>
      <c r="Q542" s="1">
        <f t="shared" ca="1" si="71"/>
        <v>8</v>
      </c>
      <c r="R542" s="1">
        <v>8.5395504609186901</v>
      </c>
    </row>
    <row r="543" spans="1:18" x14ac:dyDescent="0.3">
      <c r="A543" s="26">
        <v>542</v>
      </c>
      <c r="B543" s="1">
        <v>10</v>
      </c>
      <c r="C543" s="1">
        <f t="shared" si="67"/>
        <v>11</v>
      </c>
      <c r="D543" s="21">
        <f t="shared" ca="1" si="66"/>
        <v>44906</v>
      </c>
      <c r="E543" s="1" t="s">
        <v>26</v>
      </c>
      <c r="F543" s="1" t="s">
        <v>571</v>
      </c>
      <c r="G543" s="1" t="s">
        <v>28</v>
      </c>
      <c r="H543" s="1">
        <v>641</v>
      </c>
      <c r="I543" s="1">
        <f t="shared" si="68"/>
        <v>40</v>
      </c>
      <c r="J543" s="1">
        <f>VLOOKUP(B543,Cena!$A$2:$B$101,2)</f>
        <v>109</v>
      </c>
      <c r="K543" s="1">
        <f t="shared" ref="K543:K606" si="72">I543*J543</f>
        <v>4360</v>
      </c>
      <c r="L543" s="1">
        <f t="shared" si="69"/>
        <v>1002.8000000000001</v>
      </c>
      <c r="M543" s="22">
        <f t="shared" ref="M543:M606" si="73">K543+L543</f>
        <v>5362.8</v>
      </c>
      <c r="N543" s="1">
        <f t="shared" ca="1" si="70"/>
        <v>12</v>
      </c>
      <c r="P543" s="1">
        <v>40.729338605888188</v>
      </c>
      <c r="Q543" s="1">
        <f t="shared" ca="1" si="71"/>
        <v>4</v>
      </c>
      <c r="R543" s="1">
        <v>11.478179001423996</v>
      </c>
    </row>
    <row r="544" spans="1:18" x14ac:dyDescent="0.3">
      <c r="A544" s="26">
        <v>543</v>
      </c>
      <c r="B544" s="1">
        <v>12</v>
      </c>
      <c r="C544" s="1">
        <f t="shared" si="67"/>
        <v>10</v>
      </c>
      <c r="D544" s="21">
        <f t="shared" ca="1" si="66"/>
        <v>44787</v>
      </c>
      <c r="E544" s="1" t="s">
        <v>26</v>
      </c>
      <c r="F544" s="1" t="s">
        <v>572</v>
      </c>
      <c r="G544" s="1" t="s">
        <v>28</v>
      </c>
      <c r="H544" s="1">
        <v>642</v>
      </c>
      <c r="I544" s="1">
        <f t="shared" si="68"/>
        <v>44</v>
      </c>
      <c r="J544" s="1">
        <f>VLOOKUP(B544,Cena!$A$2:$B$101,2)</f>
        <v>88</v>
      </c>
      <c r="K544" s="1">
        <f t="shared" si="72"/>
        <v>3872</v>
      </c>
      <c r="L544" s="1">
        <f t="shared" si="69"/>
        <v>890.56000000000006</v>
      </c>
      <c r="M544" s="22">
        <f t="shared" si="73"/>
        <v>4762.5600000000004</v>
      </c>
      <c r="N544" s="1">
        <f t="shared" ca="1" si="70"/>
        <v>8</v>
      </c>
      <c r="P544" s="1">
        <v>44.643223999446491</v>
      </c>
      <c r="Q544" s="1">
        <f t="shared" ca="1" si="71"/>
        <v>13</v>
      </c>
      <c r="R544" s="1">
        <v>10.303967340187228</v>
      </c>
    </row>
    <row r="545" spans="1:18" x14ac:dyDescent="0.3">
      <c r="A545" s="26">
        <v>544</v>
      </c>
      <c r="B545" s="1">
        <v>29</v>
      </c>
      <c r="C545" s="1">
        <f t="shared" si="67"/>
        <v>8</v>
      </c>
      <c r="D545" s="21">
        <f t="shared" ca="1" si="66"/>
        <v>44697</v>
      </c>
      <c r="E545" s="1" t="s">
        <v>26</v>
      </c>
      <c r="F545" s="1" t="s">
        <v>573</v>
      </c>
      <c r="G545" s="1" t="s">
        <v>28</v>
      </c>
      <c r="H545" s="1">
        <v>643</v>
      </c>
      <c r="I545" s="1">
        <f t="shared" si="68"/>
        <v>49</v>
      </c>
      <c r="J545" s="1">
        <f>VLOOKUP(B545,Cena!$A$2:$B$101,2)</f>
        <v>105</v>
      </c>
      <c r="K545" s="1">
        <f t="shared" si="72"/>
        <v>5145</v>
      </c>
      <c r="L545" s="1">
        <f t="shared" si="69"/>
        <v>1183.3500000000001</v>
      </c>
      <c r="M545" s="22">
        <f t="shared" si="73"/>
        <v>6328.35</v>
      </c>
      <c r="N545" s="1">
        <f t="shared" ca="1" si="70"/>
        <v>5</v>
      </c>
      <c r="P545" s="1">
        <v>49.961369212542195</v>
      </c>
      <c r="Q545" s="1">
        <f t="shared" ca="1" si="71"/>
        <v>24</v>
      </c>
      <c r="R545" s="1">
        <v>8.692487679363694</v>
      </c>
    </row>
    <row r="546" spans="1:18" x14ac:dyDescent="0.3">
      <c r="A546" s="26">
        <v>545</v>
      </c>
      <c r="B546" s="1">
        <v>11</v>
      </c>
      <c r="C546" s="1">
        <f t="shared" si="67"/>
        <v>11</v>
      </c>
      <c r="D546" s="21">
        <f t="shared" ca="1" si="66"/>
        <v>44756</v>
      </c>
      <c r="E546" s="1" t="s">
        <v>26</v>
      </c>
      <c r="F546" s="1" t="s">
        <v>574</v>
      </c>
      <c r="G546" s="1" t="s">
        <v>28</v>
      </c>
      <c r="H546" s="1">
        <v>644</v>
      </c>
      <c r="I546" s="1">
        <f t="shared" si="68"/>
        <v>51</v>
      </c>
      <c r="J546" s="1">
        <f>VLOOKUP(B546,Cena!$A$2:$B$101,2)</f>
        <v>83</v>
      </c>
      <c r="K546" s="1">
        <f t="shared" si="72"/>
        <v>4233</v>
      </c>
      <c r="L546" s="1">
        <f t="shared" si="69"/>
        <v>973.59</v>
      </c>
      <c r="M546" s="22">
        <f t="shared" si="73"/>
        <v>5206.59</v>
      </c>
      <c r="N546" s="1">
        <f t="shared" ca="1" si="70"/>
        <v>7</v>
      </c>
      <c r="P546" s="1">
        <v>51.049568254529731</v>
      </c>
      <c r="Q546" s="1">
        <f t="shared" ca="1" si="71"/>
        <v>17</v>
      </c>
      <c r="R546" s="1">
        <v>11.872945176728535</v>
      </c>
    </row>
    <row r="547" spans="1:18" x14ac:dyDescent="0.3">
      <c r="A547" s="26">
        <v>546</v>
      </c>
      <c r="B547" s="1">
        <v>16</v>
      </c>
      <c r="C547" s="1">
        <f t="shared" si="67"/>
        <v>9</v>
      </c>
      <c r="D547" s="21">
        <f t="shared" ca="1" si="66"/>
        <v>44642</v>
      </c>
      <c r="E547" s="1" t="s">
        <v>26</v>
      </c>
      <c r="F547" s="1" t="s">
        <v>575</v>
      </c>
      <c r="G547" s="1" t="s">
        <v>28</v>
      </c>
      <c r="H547" s="1">
        <v>645</v>
      </c>
      <c r="I547" s="1">
        <f t="shared" si="68"/>
        <v>69</v>
      </c>
      <c r="J547" s="1">
        <f>VLOOKUP(B547,Cena!$A$2:$B$101,2)</f>
        <v>93</v>
      </c>
      <c r="K547" s="1">
        <f t="shared" si="72"/>
        <v>6417</v>
      </c>
      <c r="L547" s="1">
        <f t="shared" si="69"/>
        <v>1475.91</v>
      </c>
      <c r="M547" s="22">
        <f t="shared" si="73"/>
        <v>7892.91</v>
      </c>
      <c r="N547" s="1">
        <f t="shared" ca="1" si="70"/>
        <v>3</v>
      </c>
      <c r="P547" s="1">
        <v>69.070012058364227</v>
      </c>
      <c r="Q547" s="1">
        <f t="shared" ca="1" si="71"/>
        <v>24</v>
      </c>
      <c r="R547" s="1">
        <v>9.5075285141865606</v>
      </c>
    </row>
    <row r="548" spans="1:18" x14ac:dyDescent="0.3">
      <c r="A548" s="26">
        <v>547</v>
      </c>
      <c r="B548" s="1">
        <v>24</v>
      </c>
      <c r="C548" s="1">
        <f t="shared" si="67"/>
        <v>4</v>
      </c>
      <c r="D548" s="21">
        <f t="shared" ca="1" si="66"/>
        <v>44647</v>
      </c>
      <c r="E548" s="1" t="s">
        <v>26</v>
      </c>
      <c r="F548" s="1" t="s">
        <v>576</v>
      </c>
      <c r="G548" s="1" t="s">
        <v>28</v>
      </c>
      <c r="H548" s="1">
        <v>646</v>
      </c>
      <c r="I548" s="1">
        <f t="shared" si="68"/>
        <v>68</v>
      </c>
      <c r="J548" s="1">
        <f>VLOOKUP(B548,Cena!$A$2:$B$101,2)</f>
        <v>125</v>
      </c>
      <c r="K548" s="1">
        <f t="shared" si="72"/>
        <v>8500</v>
      </c>
      <c r="L548" s="1">
        <f t="shared" si="69"/>
        <v>1955</v>
      </c>
      <c r="M548" s="22">
        <f t="shared" si="73"/>
        <v>10455</v>
      </c>
      <c r="N548" s="1">
        <f t="shared" ca="1" si="70"/>
        <v>3</v>
      </c>
      <c r="P548" s="1">
        <v>68.592618289403617</v>
      </c>
      <c r="Q548" s="1">
        <f t="shared" ca="1" si="71"/>
        <v>22</v>
      </c>
      <c r="R548" s="1">
        <v>4.5957370073301718</v>
      </c>
    </row>
    <row r="549" spans="1:18" x14ac:dyDescent="0.3">
      <c r="A549" s="26">
        <v>548</v>
      </c>
      <c r="B549" s="1">
        <v>11</v>
      </c>
      <c r="C549" s="1">
        <f t="shared" si="67"/>
        <v>13</v>
      </c>
      <c r="D549" s="21">
        <f t="shared" ca="1" si="66"/>
        <v>44844</v>
      </c>
      <c r="E549" s="1" t="s">
        <v>26</v>
      </c>
      <c r="F549" s="1" t="s">
        <v>577</v>
      </c>
      <c r="G549" s="1" t="s">
        <v>28</v>
      </c>
      <c r="H549" s="1">
        <v>647</v>
      </c>
      <c r="I549" s="1">
        <f t="shared" si="68"/>
        <v>55</v>
      </c>
      <c r="J549" s="1">
        <f>VLOOKUP(B549,Cena!$A$2:$B$101,2)</f>
        <v>83</v>
      </c>
      <c r="K549" s="1">
        <f t="shared" si="72"/>
        <v>4565</v>
      </c>
      <c r="L549" s="1">
        <f t="shared" si="69"/>
        <v>1049.95</v>
      </c>
      <c r="M549" s="22">
        <f t="shared" si="73"/>
        <v>5614.95</v>
      </c>
      <c r="N549" s="1">
        <f t="shared" ca="1" si="70"/>
        <v>10</v>
      </c>
      <c r="P549" s="1">
        <v>55.813694770040456</v>
      </c>
      <c r="Q549" s="1">
        <f t="shared" ca="1" si="71"/>
        <v>6</v>
      </c>
      <c r="R549" s="1">
        <v>13.153536454192363</v>
      </c>
    </row>
    <row r="550" spans="1:18" x14ac:dyDescent="0.3">
      <c r="A550" s="26">
        <v>549</v>
      </c>
      <c r="B550" s="1">
        <v>12</v>
      </c>
      <c r="C550" s="1">
        <f t="shared" si="67"/>
        <v>13</v>
      </c>
      <c r="D550" s="21">
        <f t="shared" ca="1" si="66"/>
        <v>44790</v>
      </c>
      <c r="E550" s="1" t="s">
        <v>26</v>
      </c>
      <c r="F550" s="1" t="s">
        <v>578</v>
      </c>
      <c r="G550" s="1" t="s">
        <v>28</v>
      </c>
      <c r="H550" s="1">
        <v>648</v>
      </c>
      <c r="I550" s="1">
        <f t="shared" si="68"/>
        <v>65</v>
      </c>
      <c r="J550" s="1">
        <f>VLOOKUP(B550,Cena!$A$2:$B$101,2)</f>
        <v>88</v>
      </c>
      <c r="K550" s="1">
        <f t="shared" si="72"/>
        <v>5720</v>
      </c>
      <c r="L550" s="1">
        <f t="shared" si="69"/>
        <v>1315.6000000000001</v>
      </c>
      <c r="M550" s="22">
        <f t="shared" si="73"/>
        <v>7035.6</v>
      </c>
      <c r="N550" s="1">
        <f t="shared" ca="1" si="70"/>
        <v>8</v>
      </c>
      <c r="P550" s="1">
        <v>65.481509763048962</v>
      </c>
      <c r="Q550" s="1">
        <f t="shared" ca="1" si="71"/>
        <v>16</v>
      </c>
      <c r="R550" s="1">
        <v>13.632317202573176</v>
      </c>
    </row>
    <row r="551" spans="1:18" x14ac:dyDescent="0.3">
      <c r="A551" s="26">
        <v>550</v>
      </c>
      <c r="B551" s="1">
        <v>19</v>
      </c>
      <c r="C551" s="1">
        <f t="shared" si="67"/>
        <v>8</v>
      </c>
      <c r="D551" s="21">
        <f t="shared" ca="1" si="66"/>
        <v>44596</v>
      </c>
      <c r="E551" s="1" t="s">
        <v>26</v>
      </c>
      <c r="F551" s="1" t="s">
        <v>579</v>
      </c>
      <c r="G551" s="1" t="s">
        <v>28</v>
      </c>
      <c r="H551" s="1">
        <v>649</v>
      </c>
      <c r="I551" s="1">
        <f t="shared" si="68"/>
        <v>43</v>
      </c>
      <c r="J551" s="1">
        <f>VLOOKUP(B551,Cena!$A$2:$B$101,2)</f>
        <v>84</v>
      </c>
      <c r="K551" s="1">
        <f t="shared" si="72"/>
        <v>3612</v>
      </c>
      <c r="L551" s="1">
        <f t="shared" si="69"/>
        <v>830.76</v>
      </c>
      <c r="M551" s="22">
        <f t="shared" si="73"/>
        <v>4442.76</v>
      </c>
      <c r="N551" s="1">
        <f t="shared" ca="1" si="70"/>
        <v>2</v>
      </c>
      <c r="P551" s="1">
        <v>43.919709595502354</v>
      </c>
      <c r="Q551" s="1">
        <f t="shared" ca="1" si="71"/>
        <v>11</v>
      </c>
      <c r="R551" s="1">
        <v>8.9782509146607481</v>
      </c>
    </row>
    <row r="552" spans="1:18" x14ac:dyDescent="0.3">
      <c r="A552" s="26">
        <v>551</v>
      </c>
      <c r="B552" s="1">
        <v>13</v>
      </c>
      <c r="C552" s="1">
        <f t="shared" si="67"/>
        <v>9</v>
      </c>
      <c r="D552" s="21">
        <f t="shared" ca="1" si="66"/>
        <v>44910</v>
      </c>
      <c r="E552" s="1" t="s">
        <v>26</v>
      </c>
      <c r="F552" s="1" t="s">
        <v>580</v>
      </c>
      <c r="G552" s="1" t="s">
        <v>28</v>
      </c>
      <c r="H552" s="1">
        <v>650</v>
      </c>
      <c r="I552" s="1">
        <f t="shared" si="68"/>
        <v>51</v>
      </c>
      <c r="J552" s="1">
        <f>VLOOKUP(B552,Cena!$A$2:$B$101,2)</f>
        <v>94</v>
      </c>
      <c r="K552" s="1">
        <f t="shared" si="72"/>
        <v>4794</v>
      </c>
      <c r="L552" s="1">
        <f t="shared" si="69"/>
        <v>1102.6200000000001</v>
      </c>
      <c r="M552" s="22">
        <f t="shared" si="73"/>
        <v>5896.62</v>
      </c>
      <c r="N552" s="1">
        <f t="shared" ca="1" si="70"/>
        <v>12</v>
      </c>
      <c r="P552" s="1">
        <v>51.787680048437323</v>
      </c>
      <c r="Q552" s="1">
        <f t="shared" ca="1" si="71"/>
        <v>3</v>
      </c>
      <c r="R552" s="1">
        <v>9.9968451902532252</v>
      </c>
    </row>
    <row r="553" spans="1:18" x14ac:dyDescent="0.3">
      <c r="A553" s="26">
        <v>552</v>
      </c>
      <c r="B553" s="1">
        <v>7</v>
      </c>
      <c r="C553" s="1">
        <f t="shared" si="67"/>
        <v>10</v>
      </c>
      <c r="D553" s="21">
        <f t="shared" ca="1" si="66"/>
        <v>44683</v>
      </c>
      <c r="E553" s="1" t="s">
        <v>26</v>
      </c>
      <c r="F553" s="1" t="s">
        <v>581</v>
      </c>
      <c r="G553" s="1" t="s">
        <v>28</v>
      </c>
      <c r="H553" s="1">
        <v>651</v>
      </c>
      <c r="I553" s="1">
        <f t="shared" si="68"/>
        <v>49</v>
      </c>
      <c r="J553" s="1">
        <f>VLOOKUP(B553,Cena!$A$2:$B$101,2)</f>
        <v>104</v>
      </c>
      <c r="K553" s="1">
        <f t="shared" si="72"/>
        <v>5096</v>
      </c>
      <c r="L553" s="1">
        <f t="shared" si="69"/>
        <v>1172.0800000000002</v>
      </c>
      <c r="M553" s="22">
        <f t="shared" si="73"/>
        <v>6268.08</v>
      </c>
      <c r="N553" s="1">
        <f t="shared" ca="1" si="70"/>
        <v>5</v>
      </c>
      <c r="P553" s="1">
        <v>49.254600879794452</v>
      </c>
      <c r="Q553" s="1">
        <f t="shared" ca="1" si="71"/>
        <v>18</v>
      </c>
      <c r="R553" s="1">
        <v>10.388934040529421</v>
      </c>
    </row>
    <row r="554" spans="1:18" x14ac:dyDescent="0.3">
      <c r="A554" s="26">
        <v>553</v>
      </c>
      <c r="B554" s="1">
        <v>25</v>
      </c>
      <c r="C554" s="1">
        <f t="shared" si="67"/>
        <v>5</v>
      </c>
      <c r="D554" s="21">
        <f t="shared" ca="1" si="66"/>
        <v>44848</v>
      </c>
      <c r="E554" s="1" t="s">
        <v>26</v>
      </c>
      <c r="F554" s="1" t="s">
        <v>582</v>
      </c>
      <c r="G554" s="1" t="s">
        <v>28</v>
      </c>
      <c r="H554" s="1">
        <v>652</v>
      </c>
      <c r="I554" s="1">
        <f t="shared" si="68"/>
        <v>59</v>
      </c>
      <c r="J554" s="1">
        <f>VLOOKUP(B554,Cena!$A$2:$B$101,2)</f>
        <v>108</v>
      </c>
      <c r="K554" s="1">
        <f t="shared" si="72"/>
        <v>6372</v>
      </c>
      <c r="L554" s="1">
        <f t="shared" si="69"/>
        <v>1465.5600000000002</v>
      </c>
      <c r="M554" s="22">
        <f t="shared" si="73"/>
        <v>7837.56</v>
      </c>
      <c r="N554" s="1">
        <f t="shared" ca="1" si="70"/>
        <v>10</v>
      </c>
      <c r="P554" s="1">
        <v>59.118889465753455</v>
      </c>
      <c r="Q554" s="1">
        <f t="shared" ca="1" si="71"/>
        <v>6</v>
      </c>
      <c r="R554" s="1">
        <v>5.6226815811533015</v>
      </c>
    </row>
    <row r="555" spans="1:18" x14ac:dyDescent="0.3">
      <c r="A555" s="26">
        <v>554</v>
      </c>
      <c r="B555" s="1">
        <v>27</v>
      </c>
      <c r="C555" s="1">
        <f t="shared" si="67"/>
        <v>8</v>
      </c>
      <c r="D555" s="21">
        <f t="shared" ca="1" si="66"/>
        <v>44824</v>
      </c>
      <c r="E555" s="1" t="s">
        <v>26</v>
      </c>
      <c r="F555" s="1" t="s">
        <v>583</v>
      </c>
      <c r="G555" s="1" t="s">
        <v>28</v>
      </c>
      <c r="H555" s="1">
        <v>653</v>
      </c>
      <c r="I555" s="1">
        <f t="shared" si="68"/>
        <v>58</v>
      </c>
      <c r="J555" s="1">
        <f>VLOOKUP(B555,Cena!$A$2:$B$101,2)</f>
        <v>87</v>
      </c>
      <c r="K555" s="1">
        <f t="shared" si="72"/>
        <v>5046</v>
      </c>
      <c r="L555" s="1">
        <f t="shared" si="69"/>
        <v>1160.5800000000002</v>
      </c>
      <c r="M555" s="22">
        <f t="shared" si="73"/>
        <v>6206.58</v>
      </c>
      <c r="N555" s="1">
        <f t="shared" ca="1" si="70"/>
        <v>9</v>
      </c>
      <c r="P555" s="1">
        <v>58.9749164544628</v>
      </c>
      <c r="Q555" s="1">
        <f t="shared" ca="1" si="71"/>
        <v>21</v>
      </c>
      <c r="R555" s="1">
        <v>8.5822114467737265</v>
      </c>
    </row>
    <row r="556" spans="1:18" x14ac:dyDescent="0.3">
      <c r="A556" s="26">
        <v>555</v>
      </c>
      <c r="B556" s="1">
        <v>25</v>
      </c>
      <c r="C556" s="1">
        <f t="shared" si="67"/>
        <v>15</v>
      </c>
      <c r="D556" s="21">
        <f t="shared" ca="1" si="66"/>
        <v>44699</v>
      </c>
      <c r="E556" s="1" t="s">
        <v>26</v>
      </c>
      <c r="F556" s="1" t="s">
        <v>584</v>
      </c>
      <c r="G556" s="1" t="s">
        <v>28</v>
      </c>
      <c r="H556" s="1">
        <v>654</v>
      </c>
      <c r="I556" s="1">
        <f t="shared" si="68"/>
        <v>53</v>
      </c>
      <c r="J556" s="1">
        <f>VLOOKUP(B556,Cena!$A$2:$B$101,2)</f>
        <v>108</v>
      </c>
      <c r="K556" s="1">
        <f t="shared" si="72"/>
        <v>5724</v>
      </c>
      <c r="L556" s="1">
        <f t="shared" si="69"/>
        <v>1316.52</v>
      </c>
      <c r="M556" s="22">
        <f t="shared" si="73"/>
        <v>7040.52</v>
      </c>
      <c r="N556" s="1">
        <f t="shared" ca="1" si="70"/>
        <v>5</v>
      </c>
      <c r="P556" s="1">
        <v>53.846980689559132</v>
      </c>
      <c r="Q556" s="1">
        <f t="shared" ca="1" si="71"/>
        <v>8</v>
      </c>
      <c r="R556" s="1">
        <v>15.342621989257168</v>
      </c>
    </row>
    <row r="557" spans="1:18" x14ac:dyDescent="0.3">
      <c r="A557" s="26">
        <v>556</v>
      </c>
      <c r="B557" s="1">
        <v>6</v>
      </c>
      <c r="C557" s="1">
        <f t="shared" si="67"/>
        <v>11</v>
      </c>
      <c r="D557" s="21">
        <f t="shared" ca="1" si="66"/>
        <v>44570</v>
      </c>
      <c r="E557" s="1" t="s">
        <v>26</v>
      </c>
      <c r="F557" s="1" t="s">
        <v>585</v>
      </c>
      <c r="G557" s="1" t="s">
        <v>28</v>
      </c>
      <c r="H557" s="1">
        <v>655</v>
      </c>
      <c r="I557" s="1">
        <f t="shared" si="68"/>
        <v>45</v>
      </c>
      <c r="J557" s="1">
        <f>VLOOKUP(B557,Cena!$A$2:$B$101,2)</f>
        <v>86</v>
      </c>
      <c r="K557" s="1">
        <f t="shared" si="72"/>
        <v>3870</v>
      </c>
      <c r="L557" s="1">
        <f t="shared" si="69"/>
        <v>890.1</v>
      </c>
      <c r="M557" s="22">
        <f t="shared" si="73"/>
        <v>4760.1000000000004</v>
      </c>
      <c r="N557" s="1">
        <f t="shared" ca="1" si="70"/>
        <v>1</v>
      </c>
      <c r="P557" s="1">
        <v>45.466384916653624</v>
      </c>
      <c r="Q557" s="1">
        <f t="shared" ca="1" si="71"/>
        <v>17</v>
      </c>
      <c r="R557" s="1">
        <v>11.052387688105227</v>
      </c>
    </row>
    <row r="558" spans="1:18" x14ac:dyDescent="0.3">
      <c r="A558" s="26">
        <v>557</v>
      </c>
      <c r="B558" s="1">
        <v>15</v>
      </c>
      <c r="C558" s="1">
        <f t="shared" si="67"/>
        <v>10</v>
      </c>
      <c r="D558" s="21">
        <f t="shared" ca="1" si="66"/>
        <v>44851</v>
      </c>
      <c r="E558" s="1" t="s">
        <v>26</v>
      </c>
      <c r="F558" s="1" t="s">
        <v>586</v>
      </c>
      <c r="G558" s="1" t="s">
        <v>28</v>
      </c>
      <c r="H558" s="1">
        <v>656</v>
      </c>
      <c r="I558" s="1">
        <f t="shared" si="68"/>
        <v>45</v>
      </c>
      <c r="J558" s="1">
        <f>VLOOKUP(B558,Cena!$A$2:$B$101,2)</f>
        <v>85</v>
      </c>
      <c r="K558" s="1">
        <f t="shared" si="72"/>
        <v>3825</v>
      </c>
      <c r="L558" s="1">
        <f t="shared" si="69"/>
        <v>879.75</v>
      </c>
      <c r="M558" s="22">
        <f t="shared" si="73"/>
        <v>4704.75</v>
      </c>
      <c r="N558" s="1">
        <f t="shared" ca="1" si="70"/>
        <v>10</v>
      </c>
      <c r="P558" s="1">
        <v>45.274788489041384</v>
      </c>
      <c r="Q558" s="1">
        <f t="shared" ca="1" si="71"/>
        <v>15</v>
      </c>
      <c r="R558" s="1">
        <v>10.431191438110545</v>
      </c>
    </row>
    <row r="559" spans="1:18" x14ac:dyDescent="0.3">
      <c r="A559" s="26">
        <v>558</v>
      </c>
      <c r="B559" s="1">
        <v>1</v>
      </c>
      <c r="C559" s="1">
        <f t="shared" si="67"/>
        <v>11</v>
      </c>
      <c r="D559" s="21">
        <f t="shared" ca="1" si="66"/>
        <v>44616</v>
      </c>
      <c r="E559" s="1" t="s">
        <v>26</v>
      </c>
      <c r="F559" s="1" t="s">
        <v>587</v>
      </c>
      <c r="G559" s="1" t="s">
        <v>28</v>
      </c>
      <c r="H559" s="1">
        <v>657</v>
      </c>
      <c r="I559" s="1">
        <f t="shared" si="68"/>
        <v>37</v>
      </c>
      <c r="J559" s="1">
        <f>VLOOKUP(B559,Cena!$A$2:$B$101,2)</f>
        <v>84</v>
      </c>
      <c r="K559" s="1">
        <f t="shared" si="72"/>
        <v>3108</v>
      </c>
      <c r="L559" s="1">
        <f t="shared" si="69"/>
        <v>714.84</v>
      </c>
      <c r="M559" s="22">
        <f t="shared" si="73"/>
        <v>3822.84</v>
      </c>
      <c r="N559" s="1">
        <f t="shared" ca="1" si="70"/>
        <v>2</v>
      </c>
      <c r="P559" s="1">
        <v>37.872524798149243</v>
      </c>
      <c r="Q559" s="1">
        <f t="shared" ca="1" si="71"/>
        <v>4</v>
      </c>
      <c r="R559" s="1">
        <v>11.459770260225923</v>
      </c>
    </row>
    <row r="560" spans="1:18" x14ac:dyDescent="0.3">
      <c r="A560" s="26">
        <v>559</v>
      </c>
      <c r="B560" s="1">
        <v>2</v>
      </c>
      <c r="C560" s="1">
        <f t="shared" si="67"/>
        <v>6</v>
      </c>
      <c r="D560" s="21">
        <f t="shared" ca="1" si="66"/>
        <v>44705</v>
      </c>
      <c r="E560" s="1" t="s">
        <v>26</v>
      </c>
      <c r="F560" s="1" t="s">
        <v>588</v>
      </c>
      <c r="G560" s="1" t="s">
        <v>28</v>
      </c>
      <c r="H560" s="1">
        <v>658</v>
      </c>
      <c r="I560" s="1">
        <f t="shared" si="68"/>
        <v>47</v>
      </c>
      <c r="J560" s="1">
        <f>VLOOKUP(B560,Cena!$A$2:$B$101,2)</f>
        <v>121</v>
      </c>
      <c r="K560" s="1">
        <f t="shared" si="72"/>
        <v>5687</v>
      </c>
      <c r="L560" s="1">
        <f t="shared" si="69"/>
        <v>1308.01</v>
      </c>
      <c r="M560" s="22">
        <f t="shared" si="73"/>
        <v>6995.01</v>
      </c>
      <c r="N560" s="1">
        <f t="shared" ca="1" si="70"/>
        <v>5</v>
      </c>
      <c r="P560" s="1">
        <v>47.823772446281509</v>
      </c>
      <c r="Q560" s="1">
        <f t="shared" ca="1" si="71"/>
        <v>24</v>
      </c>
      <c r="R560" s="1">
        <v>6.2069864523073193</v>
      </c>
    </row>
    <row r="561" spans="1:18" x14ac:dyDescent="0.3">
      <c r="A561" s="26">
        <v>560</v>
      </c>
      <c r="B561" s="1">
        <v>12</v>
      </c>
      <c r="C561" s="1">
        <f t="shared" si="67"/>
        <v>13</v>
      </c>
      <c r="D561" s="21">
        <f t="shared" ca="1" si="66"/>
        <v>44580</v>
      </c>
      <c r="E561" s="1" t="s">
        <v>26</v>
      </c>
      <c r="F561" s="1" t="s">
        <v>589</v>
      </c>
      <c r="G561" s="1" t="s">
        <v>28</v>
      </c>
      <c r="H561" s="1">
        <v>659</v>
      </c>
      <c r="I561" s="1">
        <f t="shared" si="68"/>
        <v>65</v>
      </c>
      <c r="J561" s="1">
        <f>VLOOKUP(B561,Cena!$A$2:$B$101,2)</f>
        <v>88</v>
      </c>
      <c r="K561" s="1">
        <f t="shared" si="72"/>
        <v>5720</v>
      </c>
      <c r="L561" s="1">
        <f t="shared" si="69"/>
        <v>1315.6000000000001</v>
      </c>
      <c r="M561" s="22">
        <f t="shared" si="73"/>
        <v>7035.6</v>
      </c>
      <c r="N561" s="1">
        <f t="shared" ca="1" si="70"/>
        <v>1</v>
      </c>
      <c r="P561" s="1">
        <v>65.645900930394419</v>
      </c>
      <c r="Q561" s="1">
        <f t="shared" ca="1" si="71"/>
        <v>2</v>
      </c>
      <c r="R561" s="1">
        <v>13.521608959999867</v>
      </c>
    </row>
    <row r="562" spans="1:18" x14ac:dyDescent="0.3">
      <c r="A562" s="26">
        <v>561</v>
      </c>
      <c r="B562" s="1">
        <v>8</v>
      </c>
      <c r="C562" s="1">
        <f t="shared" si="67"/>
        <v>8</v>
      </c>
      <c r="D562" s="21">
        <f t="shared" ca="1" si="66"/>
        <v>44629</v>
      </c>
      <c r="E562" s="1" t="s">
        <v>26</v>
      </c>
      <c r="F562" s="1" t="s">
        <v>590</v>
      </c>
      <c r="G562" s="1" t="s">
        <v>28</v>
      </c>
      <c r="H562" s="1">
        <v>660</v>
      </c>
      <c r="I562" s="1">
        <f t="shared" si="68"/>
        <v>37</v>
      </c>
      <c r="J562" s="1">
        <f>VLOOKUP(B562,Cena!$A$2:$B$101,2)</f>
        <v>88</v>
      </c>
      <c r="K562" s="1">
        <f t="shared" si="72"/>
        <v>3256</v>
      </c>
      <c r="L562" s="1">
        <f t="shared" si="69"/>
        <v>748.88</v>
      </c>
      <c r="M562" s="22">
        <f t="shared" si="73"/>
        <v>4004.88</v>
      </c>
      <c r="N562" s="1">
        <f t="shared" ca="1" si="70"/>
        <v>3</v>
      </c>
      <c r="P562" s="1">
        <v>37.975616022595204</v>
      </c>
      <c r="Q562" s="1">
        <f t="shared" ca="1" si="71"/>
        <v>28</v>
      </c>
      <c r="R562" s="1">
        <v>8.836841541560716</v>
      </c>
    </row>
    <row r="563" spans="1:18" x14ac:dyDescent="0.3">
      <c r="A563" s="26">
        <v>562</v>
      </c>
      <c r="B563" s="1">
        <v>13</v>
      </c>
      <c r="C563" s="1">
        <f t="shared" si="67"/>
        <v>12</v>
      </c>
      <c r="D563" s="21">
        <f t="shared" ca="1" si="66"/>
        <v>44595</v>
      </c>
      <c r="E563" s="1" t="s">
        <v>26</v>
      </c>
      <c r="F563" s="1" t="s">
        <v>591</v>
      </c>
      <c r="G563" s="1" t="s">
        <v>28</v>
      </c>
      <c r="H563" s="1">
        <v>661</v>
      </c>
      <c r="I563" s="1">
        <f t="shared" si="68"/>
        <v>54</v>
      </c>
      <c r="J563" s="1">
        <f>VLOOKUP(B563,Cena!$A$2:$B$101,2)</f>
        <v>94</v>
      </c>
      <c r="K563" s="1">
        <f t="shared" si="72"/>
        <v>5076</v>
      </c>
      <c r="L563" s="1">
        <f t="shared" si="69"/>
        <v>1167.48</v>
      </c>
      <c r="M563" s="22">
        <f t="shared" si="73"/>
        <v>6243.48</v>
      </c>
      <c r="N563" s="1">
        <f t="shared" ca="1" si="70"/>
        <v>2</v>
      </c>
      <c r="P563" s="1">
        <v>54.773164619109593</v>
      </c>
      <c r="Q563" s="1">
        <f t="shared" ca="1" si="71"/>
        <v>27</v>
      </c>
      <c r="R563" s="1">
        <v>12.221497652499238</v>
      </c>
    </row>
    <row r="564" spans="1:18" x14ac:dyDescent="0.3">
      <c r="A564" s="26">
        <v>563</v>
      </c>
      <c r="B564" s="1">
        <v>25</v>
      </c>
      <c r="C564" s="1">
        <f t="shared" si="67"/>
        <v>14</v>
      </c>
      <c r="D564" s="21">
        <f t="shared" ca="1" si="66"/>
        <v>44912</v>
      </c>
      <c r="E564" s="1" t="s">
        <v>26</v>
      </c>
      <c r="F564" s="1" t="s">
        <v>592</v>
      </c>
      <c r="G564" s="1" t="s">
        <v>28</v>
      </c>
      <c r="H564" s="1">
        <v>662</v>
      </c>
      <c r="I564" s="1">
        <f t="shared" si="68"/>
        <v>39</v>
      </c>
      <c r="J564" s="1">
        <f>VLOOKUP(B564,Cena!$A$2:$B$101,2)</f>
        <v>108</v>
      </c>
      <c r="K564" s="1">
        <f t="shared" si="72"/>
        <v>4212</v>
      </c>
      <c r="L564" s="1">
        <f t="shared" si="69"/>
        <v>968.76</v>
      </c>
      <c r="M564" s="22">
        <f t="shared" si="73"/>
        <v>5180.76</v>
      </c>
      <c r="N564" s="1">
        <f t="shared" ca="1" si="70"/>
        <v>12</v>
      </c>
      <c r="P564" s="1">
        <v>39.394359545258339</v>
      </c>
      <c r="Q564" s="1">
        <f t="shared" ca="1" si="71"/>
        <v>14</v>
      </c>
      <c r="R564" s="1">
        <v>14.567664291244</v>
      </c>
    </row>
    <row r="565" spans="1:18" x14ac:dyDescent="0.3">
      <c r="A565" s="26">
        <v>564</v>
      </c>
      <c r="B565" s="1">
        <v>16</v>
      </c>
      <c r="C565" s="1">
        <f t="shared" si="67"/>
        <v>16</v>
      </c>
      <c r="D565" s="21">
        <f t="shared" ca="1" si="66"/>
        <v>44605</v>
      </c>
      <c r="E565" s="1" t="s">
        <v>26</v>
      </c>
      <c r="F565" s="1" t="s">
        <v>593</v>
      </c>
      <c r="G565" s="1" t="s">
        <v>28</v>
      </c>
      <c r="H565" s="1">
        <v>663</v>
      </c>
      <c r="I565" s="1">
        <f t="shared" si="68"/>
        <v>48</v>
      </c>
      <c r="J565" s="1">
        <f>VLOOKUP(B565,Cena!$A$2:$B$101,2)</f>
        <v>93</v>
      </c>
      <c r="K565" s="1">
        <f t="shared" si="72"/>
        <v>4464</v>
      </c>
      <c r="L565" s="1">
        <f t="shared" si="69"/>
        <v>1026.72</v>
      </c>
      <c r="M565" s="22">
        <f t="shared" si="73"/>
        <v>5490.72</v>
      </c>
      <c r="N565" s="1">
        <f t="shared" ca="1" si="70"/>
        <v>2</v>
      </c>
      <c r="P565" s="1">
        <v>48.833436620770954</v>
      </c>
      <c r="Q565" s="1">
        <f t="shared" ca="1" si="71"/>
        <v>16</v>
      </c>
      <c r="R565" s="1">
        <v>16.164373189676553</v>
      </c>
    </row>
    <row r="566" spans="1:18" x14ac:dyDescent="0.3">
      <c r="A566" s="26">
        <v>565</v>
      </c>
      <c r="B566" s="1">
        <v>5</v>
      </c>
      <c r="C566" s="1">
        <f t="shared" si="67"/>
        <v>12</v>
      </c>
      <c r="D566" s="21">
        <f t="shared" ca="1" si="66"/>
        <v>44805</v>
      </c>
      <c r="E566" s="1" t="s">
        <v>26</v>
      </c>
      <c r="F566" s="1" t="s">
        <v>594</v>
      </c>
      <c r="G566" s="1" t="s">
        <v>28</v>
      </c>
      <c r="H566" s="1">
        <v>664</v>
      </c>
      <c r="I566" s="1">
        <f t="shared" si="68"/>
        <v>46</v>
      </c>
      <c r="J566" s="1">
        <f>VLOOKUP(B566,Cena!$A$2:$B$101,2)</f>
        <v>91</v>
      </c>
      <c r="K566" s="1">
        <f t="shared" si="72"/>
        <v>4186</v>
      </c>
      <c r="L566" s="1">
        <f t="shared" si="69"/>
        <v>962.78000000000009</v>
      </c>
      <c r="M566" s="22">
        <f t="shared" si="73"/>
        <v>5148.78</v>
      </c>
      <c r="N566" s="1">
        <f t="shared" ca="1" si="70"/>
        <v>9</v>
      </c>
      <c r="P566" s="1">
        <v>46.548785929917358</v>
      </c>
      <c r="Q566" s="1">
        <f t="shared" ca="1" si="71"/>
        <v>27</v>
      </c>
      <c r="R566" s="1">
        <v>12.368699369981186</v>
      </c>
    </row>
    <row r="567" spans="1:18" x14ac:dyDescent="0.3">
      <c r="A567" s="26">
        <v>566</v>
      </c>
      <c r="B567" s="1">
        <v>5</v>
      </c>
      <c r="C567" s="1">
        <f t="shared" si="67"/>
        <v>13</v>
      </c>
      <c r="D567" s="21">
        <f t="shared" ca="1" si="66"/>
        <v>44888</v>
      </c>
      <c r="E567" s="1" t="s">
        <v>26</v>
      </c>
      <c r="F567" s="1" t="s">
        <v>595</v>
      </c>
      <c r="G567" s="1" t="s">
        <v>28</v>
      </c>
      <c r="H567" s="1">
        <v>665</v>
      </c>
      <c r="I567" s="1">
        <f t="shared" si="68"/>
        <v>61</v>
      </c>
      <c r="J567" s="1">
        <f>VLOOKUP(B567,Cena!$A$2:$B$101,2)</f>
        <v>91</v>
      </c>
      <c r="K567" s="1">
        <f t="shared" si="72"/>
        <v>5551</v>
      </c>
      <c r="L567" s="1">
        <f t="shared" si="69"/>
        <v>1276.73</v>
      </c>
      <c r="M567" s="22">
        <f t="shared" si="73"/>
        <v>6827.73</v>
      </c>
      <c r="N567" s="1">
        <f t="shared" ca="1" si="70"/>
        <v>11</v>
      </c>
      <c r="P567" s="1">
        <v>61.1588178697275</v>
      </c>
      <c r="Q567" s="1">
        <f t="shared" ca="1" si="71"/>
        <v>2</v>
      </c>
      <c r="R567" s="1">
        <v>13.994239250459941</v>
      </c>
    </row>
    <row r="568" spans="1:18" x14ac:dyDescent="0.3">
      <c r="A568" s="26">
        <v>567</v>
      </c>
      <c r="B568" s="1">
        <v>13</v>
      </c>
      <c r="C568" s="1">
        <f t="shared" si="67"/>
        <v>7</v>
      </c>
      <c r="D568" s="21">
        <f t="shared" ca="1" si="66"/>
        <v>44818</v>
      </c>
      <c r="E568" s="1" t="s">
        <v>26</v>
      </c>
      <c r="F568" s="1" t="s">
        <v>596</v>
      </c>
      <c r="G568" s="1" t="s">
        <v>28</v>
      </c>
      <c r="H568" s="1">
        <v>666</v>
      </c>
      <c r="I568" s="1">
        <f t="shared" si="68"/>
        <v>62</v>
      </c>
      <c r="J568" s="1">
        <f>VLOOKUP(B568,Cena!$A$2:$B$101,2)</f>
        <v>94</v>
      </c>
      <c r="K568" s="1">
        <f t="shared" si="72"/>
        <v>5828</v>
      </c>
      <c r="L568" s="1">
        <f t="shared" si="69"/>
        <v>1340.44</v>
      </c>
      <c r="M568" s="22">
        <f t="shared" si="73"/>
        <v>7168.4400000000005</v>
      </c>
      <c r="N568" s="1">
        <f t="shared" ca="1" si="70"/>
        <v>9</v>
      </c>
      <c r="P568" s="1">
        <v>62.165855878265575</v>
      </c>
      <c r="Q568" s="1">
        <f t="shared" ca="1" si="71"/>
        <v>22</v>
      </c>
      <c r="R568" s="1">
        <v>7.0236387980548898</v>
      </c>
    </row>
    <row r="569" spans="1:18" x14ac:dyDescent="0.3">
      <c r="A569" s="26">
        <v>568</v>
      </c>
      <c r="B569" s="1">
        <v>9</v>
      </c>
      <c r="C569" s="1">
        <f t="shared" si="67"/>
        <v>9</v>
      </c>
      <c r="D569" s="21">
        <f t="shared" ca="1" si="66"/>
        <v>44614</v>
      </c>
      <c r="E569" s="1" t="s">
        <v>26</v>
      </c>
      <c r="F569" s="1" t="s">
        <v>597</v>
      </c>
      <c r="G569" s="1" t="s">
        <v>28</v>
      </c>
      <c r="H569" s="1">
        <v>667</v>
      </c>
      <c r="I569" s="1">
        <f t="shared" si="68"/>
        <v>29</v>
      </c>
      <c r="J569" s="1">
        <f>VLOOKUP(B569,Cena!$A$2:$B$101,2)</f>
        <v>96</v>
      </c>
      <c r="K569" s="1">
        <f t="shared" si="72"/>
        <v>2784</v>
      </c>
      <c r="L569" s="1">
        <f t="shared" si="69"/>
        <v>640.32000000000005</v>
      </c>
      <c r="M569" s="22">
        <f t="shared" si="73"/>
        <v>3424.32</v>
      </c>
      <c r="N569" s="1">
        <f t="shared" ca="1" si="70"/>
        <v>2</v>
      </c>
      <c r="P569" s="1">
        <v>29.883068590424955</v>
      </c>
      <c r="Q569" s="1">
        <f t="shared" ca="1" si="71"/>
        <v>29</v>
      </c>
      <c r="R569" s="1">
        <v>9.1746506111667259</v>
      </c>
    </row>
    <row r="570" spans="1:18" x14ac:dyDescent="0.3">
      <c r="A570" s="26">
        <v>569</v>
      </c>
      <c r="B570" s="1">
        <v>11</v>
      </c>
      <c r="C570" s="1">
        <f t="shared" si="67"/>
        <v>12</v>
      </c>
      <c r="D570" s="21">
        <f t="shared" ca="1" si="66"/>
        <v>44643</v>
      </c>
      <c r="E570" s="1" t="s">
        <v>26</v>
      </c>
      <c r="F570" s="1" t="s">
        <v>598</v>
      </c>
      <c r="G570" s="1" t="s">
        <v>28</v>
      </c>
      <c r="H570" s="1">
        <v>668</v>
      </c>
      <c r="I570" s="1">
        <f t="shared" si="68"/>
        <v>41</v>
      </c>
      <c r="J570" s="1">
        <f>VLOOKUP(B570,Cena!$A$2:$B$101,2)</f>
        <v>83</v>
      </c>
      <c r="K570" s="1">
        <f t="shared" si="72"/>
        <v>3403</v>
      </c>
      <c r="L570" s="1">
        <f t="shared" si="69"/>
        <v>782.69</v>
      </c>
      <c r="M570" s="22">
        <f t="shared" si="73"/>
        <v>4185.6900000000005</v>
      </c>
      <c r="N570" s="1">
        <f t="shared" ca="1" si="70"/>
        <v>3</v>
      </c>
      <c r="P570" s="1">
        <v>41.315416991710663</v>
      </c>
      <c r="Q570" s="1">
        <f t="shared" ca="1" si="71"/>
        <v>29</v>
      </c>
      <c r="R570" s="1">
        <v>12.050680336651567</v>
      </c>
    </row>
    <row r="571" spans="1:18" x14ac:dyDescent="0.3">
      <c r="A571" s="26">
        <v>570</v>
      </c>
      <c r="B571" s="1">
        <v>6</v>
      </c>
      <c r="C571" s="1">
        <f t="shared" si="67"/>
        <v>15</v>
      </c>
      <c r="D571" s="21">
        <f t="shared" ca="1" si="66"/>
        <v>44655</v>
      </c>
      <c r="E571" s="1" t="s">
        <v>26</v>
      </c>
      <c r="F571" s="1" t="s">
        <v>599</v>
      </c>
      <c r="G571" s="1" t="s">
        <v>28</v>
      </c>
      <c r="H571" s="1">
        <v>669</v>
      </c>
      <c r="I571" s="1">
        <f t="shared" si="68"/>
        <v>73</v>
      </c>
      <c r="J571" s="1">
        <f>VLOOKUP(B571,Cena!$A$2:$B$101,2)</f>
        <v>86</v>
      </c>
      <c r="K571" s="1">
        <f t="shared" si="72"/>
        <v>6278</v>
      </c>
      <c r="L571" s="1">
        <f t="shared" si="69"/>
        <v>1443.94</v>
      </c>
      <c r="M571" s="22">
        <f t="shared" si="73"/>
        <v>7721.9400000000005</v>
      </c>
      <c r="N571" s="1">
        <f t="shared" ca="1" si="70"/>
        <v>4</v>
      </c>
      <c r="P571" s="1">
        <v>73.411121219396591</v>
      </c>
      <c r="Q571" s="1">
        <f t="shared" ca="1" si="71"/>
        <v>27</v>
      </c>
      <c r="R571" s="1">
        <v>15.775609679403715</v>
      </c>
    </row>
    <row r="572" spans="1:18" x14ac:dyDescent="0.3">
      <c r="A572" s="26">
        <v>571</v>
      </c>
      <c r="B572" s="1">
        <v>2</v>
      </c>
      <c r="C572" s="1">
        <f t="shared" si="67"/>
        <v>9</v>
      </c>
      <c r="D572" s="21">
        <f t="shared" ca="1" si="66"/>
        <v>44606</v>
      </c>
      <c r="E572" s="1" t="s">
        <v>26</v>
      </c>
      <c r="F572" s="1" t="s">
        <v>600</v>
      </c>
      <c r="G572" s="1" t="s">
        <v>28</v>
      </c>
      <c r="H572" s="1">
        <v>670</v>
      </c>
      <c r="I572" s="1">
        <f t="shared" si="68"/>
        <v>36</v>
      </c>
      <c r="J572" s="1">
        <f>VLOOKUP(B572,Cena!$A$2:$B$101,2)</f>
        <v>121</v>
      </c>
      <c r="K572" s="1">
        <f t="shared" si="72"/>
        <v>4356</v>
      </c>
      <c r="L572" s="1">
        <f t="shared" si="69"/>
        <v>1001.88</v>
      </c>
      <c r="M572" s="22">
        <f t="shared" si="73"/>
        <v>5357.88</v>
      </c>
      <c r="N572" s="1">
        <f t="shared" ca="1" si="70"/>
        <v>2</v>
      </c>
      <c r="P572" s="1">
        <v>36.535794960218482</v>
      </c>
      <c r="Q572" s="1">
        <f t="shared" ca="1" si="71"/>
        <v>14</v>
      </c>
      <c r="R572" s="1">
        <v>9.6802273471985245</v>
      </c>
    </row>
    <row r="573" spans="1:18" x14ac:dyDescent="0.3">
      <c r="A573" s="26">
        <v>572</v>
      </c>
      <c r="B573" s="1">
        <v>19</v>
      </c>
      <c r="C573" s="1">
        <f t="shared" si="67"/>
        <v>6</v>
      </c>
      <c r="D573" s="21">
        <f t="shared" ca="1" si="66"/>
        <v>44704</v>
      </c>
      <c r="E573" s="1" t="s">
        <v>26</v>
      </c>
      <c r="F573" s="1" t="s">
        <v>601</v>
      </c>
      <c r="G573" s="1" t="s">
        <v>28</v>
      </c>
      <c r="H573" s="1">
        <v>671</v>
      </c>
      <c r="I573" s="1">
        <f t="shared" si="68"/>
        <v>51</v>
      </c>
      <c r="J573" s="1">
        <f>VLOOKUP(B573,Cena!$A$2:$B$101,2)</f>
        <v>84</v>
      </c>
      <c r="K573" s="1">
        <f t="shared" si="72"/>
        <v>4284</v>
      </c>
      <c r="L573" s="1">
        <f t="shared" si="69"/>
        <v>985.32</v>
      </c>
      <c r="M573" s="22">
        <f t="shared" si="73"/>
        <v>5269.32</v>
      </c>
      <c r="N573" s="1">
        <f t="shared" ca="1" si="70"/>
        <v>5</v>
      </c>
      <c r="P573" s="1">
        <v>51.471380528528243</v>
      </c>
      <c r="Q573" s="1">
        <f t="shared" ca="1" si="71"/>
        <v>9</v>
      </c>
      <c r="R573" s="1">
        <v>6.8379711390298326</v>
      </c>
    </row>
    <row r="574" spans="1:18" x14ac:dyDescent="0.3">
      <c r="A574" s="26">
        <v>573</v>
      </c>
      <c r="B574" s="1">
        <v>12</v>
      </c>
      <c r="C574" s="1">
        <f t="shared" si="67"/>
        <v>5</v>
      </c>
      <c r="D574" s="21">
        <f t="shared" ca="1" si="66"/>
        <v>44797</v>
      </c>
      <c r="E574" s="1" t="s">
        <v>26</v>
      </c>
      <c r="F574" s="1" t="s">
        <v>602</v>
      </c>
      <c r="G574" s="1" t="s">
        <v>28</v>
      </c>
      <c r="H574" s="1">
        <v>672</v>
      </c>
      <c r="I574" s="1">
        <f t="shared" si="68"/>
        <v>53</v>
      </c>
      <c r="J574" s="1">
        <f>VLOOKUP(B574,Cena!$A$2:$B$101,2)</f>
        <v>88</v>
      </c>
      <c r="K574" s="1">
        <f t="shared" si="72"/>
        <v>4664</v>
      </c>
      <c r="L574" s="1">
        <f t="shared" si="69"/>
        <v>1072.72</v>
      </c>
      <c r="M574" s="22">
        <f t="shared" si="73"/>
        <v>5736.72</v>
      </c>
      <c r="N574" s="1">
        <f t="shared" ca="1" si="70"/>
        <v>8</v>
      </c>
      <c r="P574" s="1">
        <v>53.277978066762444</v>
      </c>
      <c r="Q574" s="1">
        <f t="shared" ca="1" si="71"/>
        <v>11</v>
      </c>
      <c r="R574" s="1">
        <v>5.2833604766055942</v>
      </c>
    </row>
    <row r="575" spans="1:18" x14ac:dyDescent="0.3">
      <c r="A575" s="26">
        <v>574</v>
      </c>
      <c r="B575" s="1">
        <v>11</v>
      </c>
      <c r="C575" s="1">
        <f t="shared" si="67"/>
        <v>7</v>
      </c>
      <c r="D575" s="21">
        <f t="shared" ca="1" si="66"/>
        <v>44774</v>
      </c>
      <c r="E575" s="1" t="s">
        <v>26</v>
      </c>
      <c r="F575" s="1" t="s">
        <v>603</v>
      </c>
      <c r="G575" s="1" t="s">
        <v>28</v>
      </c>
      <c r="H575" s="1">
        <v>673</v>
      </c>
      <c r="I575" s="1">
        <f t="shared" si="68"/>
        <v>40</v>
      </c>
      <c r="J575" s="1">
        <f>VLOOKUP(B575,Cena!$A$2:$B$101,2)</f>
        <v>83</v>
      </c>
      <c r="K575" s="1">
        <f t="shared" si="72"/>
        <v>3320</v>
      </c>
      <c r="L575" s="1">
        <f t="shared" si="69"/>
        <v>763.6</v>
      </c>
      <c r="M575" s="22">
        <f t="shared" si="73"/>
        <v>4083.6</v>
      </c>
      <c r="N575" s="1">
        <f t="shared" ca="1" si="70"/>
        <v>8</v>
      </c>
      <c r="P575" s="1">
        <v>40.0331658864161</v>
      </c>
      <c r="Q575" s="1">
        <f t="shared" ca="1" si="71"/>
        <v>24</v>
      </c>
      <c r="R575" s="1">
        <v>7.152889363860595</v>
      </c>
    </row>
    <row r="576" spans="1:18" x14ac:dyDescent="0.3">
      <c r="A576" s="26">
        <v>575</v>
      </c>
      <c r="B576" s="1">
        <v>8</v>
      </c>
      <c r="C576" s="1">
        <f t="shared" si="67"/>
        <v>6</v>
      </c>
      <c r="D576" s="21">
        <f t="shared" ca="1" si="66"/>
        <v>44914</v>
      </c>
      <c r="E576" s="1" t="s">
        <v>26</v>
      </c>
      <c r="F576" s="1" t="s">
        <v>604</v>
      </c>
      <c r="G576" s="1" t="s">
        <v>28</v>
      </c>
      <c r="H576" s="1">
        <v>674</v>
      </c>
      <c r="I576" s="1">
        <f t="shared" si="68"/>
        <v>45</v>
      </c>
      <c r="J576" s="1">
        <f>VLOOKUP(B576,Cena!$A$2:$B$101,2)</f>
        <v>88</v>
      </c>
      <c r="K576" s="1">
        <f t="shared" si="72"/>
        <v>3960</v>
      </c>
      <c r="L576" s="1">
        <f t="shared" si="69"/>
        <v>910.80000000000007</v>
      </c>
      <c r="M576" s="22">
        <f t="shared" si="73"/>
        <v>4870.8</v>
      </c>
      <c r="N576" s="1">
        <f t="shared" ca="1" si="70"/>
        <v>12</v>
      </c>
      <c r="P576" s="1">
        <v>45.258531271247193</v>
      </c>
      <c r="Q576" s="1">
        <f t="shared" ca="1" si="71"/>
        <v>18</v>
      </c>
      <c r="R576" s="1">
        <v>6.3748166464938549</v>
      </c>
    </row>
    <row r="577" spans="1:18" x14ac:dyDescent="0.3">
      <c r="A577" s="26">
        <v>576</v>
      </c>
      <c r="B577" s="1">
        <v>7</v>
      </c>
      <c r="C577" s="1">
        <f t="shared" si="67"/>
        <v>9</v>
      </c>
      <c r="D577" s="21">
        <f t="shared" ca="1" si="66"/>
        <v>44707</v>
      </c>
      <c r="E577" s="1" t="s">
        <v>26</v>
      </c>
      <c r="F577" s="1" t="s">
        <v>605</v>
      </c>
      <c r="G577" s="1" t="s">
        <v>28</v>
      </c>
      <c r="H577" s="1">
        <v>675</v>
      </c>
      <c r="I577" s="1">
        <f t="shared" si="68"/>
        <v>40</v>
      </c>
      <c r="J577" s="1">
        <f>VLOOKUP(B577,Cena!$A$2:$B$101,2)</f>
        <v>104</v>
      </c>
      <c r="K577" s="1">
        <f t="shared" si="72"/>
        <v>4160</v>
      </c>
      <c r="L577" s="1">
        <f t="shared" si="69"/>
        <v>956.80000000000007</v>
      </c>
      <c r="M577" s="22">
        <f t="shared" si="73"/>
        <v>5116.8</v>
      </c>
      <c r="N577" s="1">
        <f t="shared" ca="1" si="70"/>
        <v>5</v>
      </c>
      <c r="P577" s="1">
        <v>40.330456967058126</v>
      </c>
      <c r="Q577" s="1">
        <f t="shared" ca="1" si="71"/>
        <v>23</v>
      </c>
      <c r="R577" s="1">
        <v>9.3601534242770867</v>
      </c>
    </row>
    <row r="578" spans="1:18" x14ac:dyDescent="0.3">
      <c r="A578" s="26">
        <v>577</v>
      </c>
      <c r="B578" s="1">
        <v>19</v>
      </c>
      <c r="C578" s="1">
        <f t="shared" si="67"/>
        <v>11</v>
      </c>
      <c r="D578" s="21">
        <f t="shared" ref="D578:D641" ca="1" si="74">DATE(2022,RANDBETWEEN(1,12),RANDBETWEEN(1,28))</f>
        <v>44862</v>
      </c>
      <c r="E578" s="1" t="s">
        <v>26</v>
      </c>
      <c r="F578" s="1" t="s">
        <v>606</v>
      </c>
      <c r="G578" s="1" t="s">
        <v>28</v>
      </c>
      <c r="H578" s="1">
        <v>676</v>
      </c>
      <c r="I578" s="1">
        <f t="shared" si="68"/>
        <v>47</v>
      </c>
      <c r="J578" s="1">
        <f>VLOOKUP(B578,Cena!$A$2:$B$101,2)</f>
        <v>84</v>
      </c>
      <c r="K578" s="1">
        <f t="shared" si="72"/>
        <v>3948</v>
      </c>
      <c r="L578" s="1">
        <f t="shared" si="69"/>
        <v>908.04000000000008</v>
      </c>
      <c r="M578" s="22">
        <f t="shared" si="73"/>
        <v>4856.04</v>
      </c>
      <c r="N578" s="1">
        <f t="shared" ca="1" si="70"/>
        <v>10</v>
      </c>
      <c r="P578" s="1">
        <v>47.85743511893088</v>
      </c>
      <c r="Q578" s="1">
        <f t="shared" ca="1" si="71"/>
        <v>29</v>
      </c>
      <c r="R578" s="1">
        <v>11.964869511539291</v>
      </c>
    </row>
    <row r="579" spans="1:18" x14ac:dyDescent="0.3">
      <c r="A579" s="26">
        <v>578</v>
      </c>
      <c r="B579" s="1">
        <v>26</v>
      </c>
      <c r="C579" s="1">
        <f t="shared" ref="C579:C642" si="75">INT(R579)</f>
        <v>9</v>
      </c>
      <c r="D579" s="21">
        <f t="shared" ca="1" si="74"/>
        <v>44748</v>
      </c>
      <c r="E579" s="1" t="s">
        <v>26</v>
      </c>
      <c r="F579" s="1" t="s">
        <v>607</v>
      </c>
      <c r="G579" s="1" t="s">
        <v>28</v>
      </c>
      <c r="H579" s="1">
        <v>677</v>
      </c>
      <c r="I579" s="1">
        <f t="shared" ref="I579:I642" si="76">INT(P579)</f>
        <v>49</v>
      </c>
      <c r="J579" s="1">
        <f>VLOOKUP(B579,Cena!$A$2:$B$101,2)</f>
        <v>99</v>
      </c>
      <c r="K579" s="1">
        <f t="shared" si="72"/>
        <v>4851</v>
      </c>
      <c r="L579" s="1">
        <f t="shared" ref="L579:L642" si="77">K579*23%</f>
        <v>1115.73</v>
      </c>
      <c r="M579" s="22">
        <f t="shared" si="73"/>
        <v>5966.73</v>
      </c>
      <c r="N579" s="1">
        <f t="shared" ref="N579:N642" ca="1" si="78">MONTH(D579)</f>
        <v>7</v>
      </c>
      <c r="P579" s="1">
        <v>49.545059381489409</v>
      </c>
      <c r="Q579" s="1">
        <f t="shared" ref="Q579:Q642" ca="1" si="79">RANDBETWEEN(1,30)</f>
        <v>30</v>
      </c>
      <c r="R579" s="1">
        <v>9.9092324287630618</v>
      </c>
    </row>
    <row r="580" spans="1:18" x14ac:dyDescent="0.3">
      <c r="A580" s="26">
        <v>579</v>
      </c>
      <c r="B580" s="1">
        <v>3</v>
      </c>
      <c r="C580" s="1">
        <f t="shared" si="75"/>
        <v>9</v>
      </c>
      <c r="D580" s="21">
        <f t="shared" ca="1" si="74"/>
        <v>44862</v>
      </c>
      <c r="E580" s="1" t="s">
        <v>26</v>
      </c>
      <c r="F580" s="1" t="s">
        <v>608</v>
      </c>
      <c r="G580" s="1" t="s">
        <v>28</v>
      </c>
      <c r="H580" s="1">
        <v>678</v>
      </c>
      <c r="I580" s="1">
        <f t="shared" si="76"/>
        <v>56</v>
      </c>
      <c r="J580" s="1">
        <f>VLOOKUP(B580,Cena!$A$2:$B$101,2)</f>
        <v>89</v>
      </c>
      <c r="K580" s="1">
        <f t="shared" si="72"/>
        <v>4984</v>
      </c>
      <c r="L580" s="1">
        <f t="shared" si="77"/>
        <v>1146.32</v>
      </c>
      <c r="M580" s="22">
        <f t="shared" si="73"/>
        <v>6130.32</v>
      </c>
      <c r="N580" s="1">
        <f t="shared" ca="1" si="78"/>
        <v>10</v>
      </c>
      <c r="P580" s="1">
        <v>56.751383807568345</v>
      </c>
      <c r="Q580" s="1">
        <f t="shared" ca="1" si="79"/>
        <v>17</v>
      </c>
      <c r="R580" s="1">
        <v>9.9277946471920586</v>
      </c>
    </row>
    <row r="581" spans="1:18" x14ac:dyDescent="0.3">
      <c r="A581" s="26">
        <v>580</v>
      </c>
      <c r="B581" s="1">
        <v>13</v>
      </c>
      <c r="C581" s="1">
        <f t="shared" si="75"/>
        <v>10</v>
      </c>
      <c r="D581" s="21">
        <f t="shared" ca="1" si="74"/>
        <v>44826</v>
      </c>
      <c r="E581" s="1" t="s">
        <v>26</v>
      </c>
      <c r="F581" s="1" t="s">
        <v>609</v>
      </c>
      <c r="G581" s="1" t="s">
        <v>28</v>
      </c>
      <c r="H581" s="1">
        <v>679</v>
      </c>
      <c r="I581" s="1">
        <f t="shared" si="76"/>
        <v>45</v>
      </c>
      <c r="J581" s="1">
        <f>VLOOKUP(B581,Cena!$A$2:$B$101,2)</f>
        <v>94</v>
      </c>
      <c r="K581" s="1">
        <f t="shared" si="72"/>
        <v>4230</v>
      </c>
      <c r="L581" s="1">
        <f t="shared" si="77"/>
        <v>972.90000000000009</v>
      </c>
      <c r="M581" s="22">
        <f t="shared" si="73"/>
        <v>5202.8999999999996</v>
      </c>
      <c r="N581" s="1">
        <f t="shared" ca="1" si="78"/>
        <v>9</v>
      </c>
      <c r="P581" s="1">
        <v>45.560290244611679</v>
      </c>
      <c r="Q581" s="1">
        <f t="shared" ca="1" si="79"/>
        <v>15</v>
      </c>
      <c r="R581" s="1">
        <v>10.801352939561184</v>
      </c>
    </row>
    <row r="582" spans="1:18" x14ac:dyDescent="0.3">
      <c r="A582" s="26">
        <v>581</v>
      </c>
      <c r="B582" s="1">
        <v>29</v>
      </c>
      <c r="C582" s="1">
        <f t="shared" si="75"/>
        <v>12</v>
      </c>
      <c r="D582" s="21">
        <f t="shared" ca="1" si="74"/>
        <v>44566</v>
      </c>
      <c r="E582" s="1" t="s">
        <v>26</v>
      </c>
      <c r="F582" s="1" t="s">
        <v>610</v>
      </c>
      <c r="G582" s="1" t="s">
        <v>28</v>
      </c>
      <c r="H582" s="1">
        <v>680</v>
      </c>
      <c r="I582" s="1">
        <f t="shared" si="76"/>
        <v>51</v>
      </c>
      <c r="J582" s="1">
        <f>VLOOKUP(B582,Cena!$A$2:$B$101,2)</f>
        <v>105</v>
      </c>
      <c r="K582" s="1">
        <f t="shared" si="72"/>
        <v>5355</v>
      </c>
      <c r="L582" s="1">
        <f t="shared" si="77"/>
        <v>1231.6500000000001</v>
      </c>
      <c r="M582" s="22">
        <f t="shared" si="73"/>
        <v>6586.65</v>
      </c>
      <c r="N582" s="1">
        <f t="shared" ca="1" si="78"/>
        <v>1</v>
      </c>
      <c r="P582" s="1">
        <v>51.95896063814871</v>
      </c>
      <c r="Q582" s="1">
        <f t="shared" ca="1" si="79"/>
        <v>12</v>
      </c>
      <c r="R582" s="1">
        <v>12.825629508151906</v>
      </c>
    </row>
    <row r="583" spans="1:18" x14ac:dyDescent="0.3">
      <c r="A583" s="26">
        <v>582</v>
      </c>
      <c r="B583" s="1">
        <v>2</v>
      </c>
      <c r="C583" s="1">
        <f t="shared" si="75"/>
        <v>9</v>
      </c>
      <c r="D583" s="21">
        <f t="shared" ca="1" si="74"/>
        <v>44732</v>
      </c>
      <c r="E583" s="1" t="s">
        <v>26</v>
      </c>
      <c r="F583" s="1" t="s">
        <v>611</v>
      </c>
      <c r="G583" s="1" t="s">
        <v>28</v>
      </c>
      <c r="H583" s="1">
        <v>681</v>
      </c>
      <c r="I583" s="1">
        <f t="shared" si="76"/>
        <v>69</v>
      </c>
      <c r="J583" s="1">
        <f>VLOOKUP(B583,Cena!$A$2:$B$101,2)</f>
        <v>121</v>
      </c>
      <c r="K583" s="1">
        <f t="shared" si="72"/>
        <v>8349</v>
      </c>
      <c r="L583" s="1">
        <f t="shared" si="77"/>
        <v>1920.27</v>
      </c>
      <c r="M583" s="22">
        <f t="shared" si="73"/>
        <v>10269.27</v>
      </c>
      <c r="N583" s="1">
        <f t="shared" ca="1" si="78"/>
        <v>6</v>
      </c>
      <c r="P583" s="1">
        <v>69.610979506978765</v>
      </c>
      <c r="Q583" s="1">
        <f t="shared" ca="1" si="79"/>
        <v>19</v>
      </c>
      <c r="R583" s="1">
        <v>9.2338018728332827</v>
      </c>
    </row>
    <row r="584" spans="1:18" x14ac:dyDescent="0.3">
      <c r="A584" s="26">
        <v>583</v>
      </c>
      <c r="B584" s="1">
        <v>25</v>
      </c>
      <c r="C584" s="1">
        <f t="shared" si="75"/>
        <v>15</v>
      </c>
      <c r="D584" s="21">
        <f t="shared" ca="1" si="74"/>
        <v>44881</v>
      </c>
      <c r="E584" s="1" t="s">
        <v>26</v>
      </c>
      <c r="F584" s="1" t="s">
        <v>612</v>
      </c>
      <c r="G584" s="1" t="s">
        <v>28</v>
      </c>
      <c r="H584" s="1">
        <v>682</v>
      </c>
      <c r="I584" s="1">
        <f t="shared" si="76"/>
        <v>51</v>
      </c>
      <c r="J584" s="1">
        <f>VLOOKUP(B584,Cena!$A$2:$B$101,2)</f>
        <v>108</v>
      </c>
      <c r="K584" s="1">
        <f t="shared" si="72"/>
        <v>5508</v>
      </c>
      <c r="L584" s="1">
        <f t="shared" si="77"/>
        <v>1266.8400000000001</v>
      </c>
      <c r="M584" s="22">
        <f t="shared" si="73"/>
        <v>6774.84</v>
      </c>
      <c r="N584" s="1">
        <f t="shared" ca="1" si="78"/>
        <v>11</v>
      </c>
      <c r="P584" s="1">
        <v>51.438138497178443</v>
      </c>
      <c r="Q584" s="1">
        <f t="shared" ca="1" si="79"/>
        <v>26</v>
      </c>
      <c r="R584" s="1">
        <v>15.022025106882211</v>
      </c>
    </row>
    <row r="585" spans="1:18" x14ac:dyDescent="0.3">
      <c r="A585" s="26">
        <v>584</v>
      </c>
      <c r="B585" s="1">
        <v>4</v>
      </c>
      <c r="C585" s="1">
        <f t="shared" si="75"/>
        <v>11</v>
      </c>
      <c r="D585" s="21">
        <f t="shared" ca="1" si="74"/>
        <v>44754</v>
      </c>
      <c r="E585" s="1" t="s">
        <v>26</v>
      </c>
      <c r="F585" s="1" t="s">
        <v>613</v>
      </c>
      <c r="G585" s="1" t="s">
        <v>28</v>
      </c>
      <c r="H585" s="1">
        <v>683</v>
      </c>
      <c r="I585" s="1">
        <f t="shared" si="76"/>
        <v>46</v>
      </c>
      <c r="J585" s="1">
        <f>VLOOKUP(B585,Cena!$A$2:$B$101,2)</f>
        <v>99</v>
      </c>
      <c r="K585" s="1">
        <f t="shared" si="72"/>
        <v>4554</v>
      </c>
      <c r="L585" s="1">
        <f t="shared" si="77"/>
        <v>1047.42</v>
      </c>
      <c r="M585" s="22">
        <f t="shared" si="73"/>
        <v>5601.42</v>
      </c>
      <c r="N585" s="1">
        <f t="shared" ca="1" si="78"/>
        <v>7</v>
      </c>
      <c r="P585" s="1">
        <v>46.481312791729579</v>
      </c>
      <c r="Q585" s="1">
        <f t="shared" ca="1" si="79"/>
        <v>7</v>
      </c>
      <c r="R585" s="1">
        <v>11.600943733137683</v>
      </c>
    </row>
    <row r="586" spans="1:18" x14ac:dyDescent="0.3">
      <c r="A586" s="26">
        <v>585</v>
      </c>
      <c r="B586" s="1">
        <v>12</v>
      </c>
      <c r="C586" s="1">
        <f t="shared" si="75"/>
        <v>10</v>
      </c>
      <c r="D586" s="21">
        <f t="shared" ca="1" si="74"/>
        <v>44740</v>
      </c>
      <c r="E586" s="1" t="s">
        <v>26</v>
      </c>
      <c r="F586" s="1" t="s">
        <v>614</v>
      </c>
      <c r="G586" s="1" t="s">
        <v>28</v>
      </c>
      <c r="H586" s="1">
        <v>684</v>
      </c>
      <c r="I586" s="1">
        <f t="shared" si="76"/>
        <v>40</v>
      </c>
      <c r="J586" s="1">
        <f>VLOOKUP(B586,Cena!$A$2:$B$101,2)</f>
        <v>88</v>
      </c>
      <c r="K586" s="1">
        <f t="shared" si="72"/>
        <v>3520</v>
      </c>
      <c r="L586" s="1">
        <f t="shared" si="77"/>
        <v>809.6</v>
      </c>
      <c r="M586" s="22">
        <f t="shared" si="73"/>
        <v>4329.6000000000004</v>
      </c>
      <c r="N586" s="1">
        <f t="shared" ca="1" si="78"/>
        <v>6</v>
      </c>
      <c r="P586" s="1">
        <v>40.376750247378368</v>
      </c>
      <c r="Q586" s="1">
        <f t="shared" ca="1" si="79"/>
        <v>20</v>
      </c>
      <c r="R586" s="1">
        <v>10.004877165338257</v>
      </c>
    </row>
    <row r="587" spans="1:18" x14ac:dyDescent="0.3">
      <c r="A587" s="26">
        <v>586</v>
      </c>
      <c r="B587" s="1">
        <v>12</v>
      </c>
      <c r="C587" s="1">
        <f t="shared" si="75"/>
        <v>9</v>
      </c>
      <c r="D587" s="21">
        <f t="shared" ca="1" si="74"/>
        <v>44633</v>
      </c>
      <c r="E587" s="1" t="s">
        <v>26</v>
      </c>
      <c r="F587" s="1" t="s">
        <v>615</v>
      </c>
      <c r="G587" s="1" t="s">
        <v>28</v>
      </c>
      <c r="H587" s="1">
        <v>685</v>
      </c>
      <c r="I587" s="1">
        <f t="shared" si="76"/>
        <v>67</v>
      </c>
      <c r="J587" s="1">
        <f>VLOOKUP(B587,Cena!$A$2:$B$101,2)</f>
        <v>88</v>
      </c>
      <c r="K587" s="1">
        <f t="shared" si="72"/>
        <v>5896</v>
      </c>
      <c r="L587" s="1">
        <f t="shared" si="77"/>
        <v>1356.0800000000002</v>
      </c>
      <c r="M587" s="22">
        <f t="shared" si="73"/>
        <v>7252.08</v>
      </c>
      <c r="N587" s="1">
        <f t="shared" ca="1" si="78"/>
        <v>3</v>
      </c>
      <c r="P587" s="1">
        <v>67.283491615671664</v>
      </c>
      <c r="Q587" s="1">
        <f t="shared" ca="1" si="79"/>
        <v>10</v>
      </c>
      <c r="R587" s="1">
        <v>9.6306058847039822</v>
      </c>
    </row>
    <row r="588" spans="1:18" x14ac:dyDescent="0.3">
      <c r="A588" s="26">
        <v>587</v>
      </c>
      <c r="B588" s="1">
        <v>19</v>
      </c>
      <c r="C588" s="1">
        <f t="shared" si="75"/>
        <v>9</v>
      </c>
      <c r="D588" s="21">
        <f t="shared" ca="1" si="74"/>
        <v>44789</v>
      </c>
      <c r="E588" s="1" t="s">
        <v>26</v>
      </c>
      <c r="F588" s="1" t="s">
        <v>616</v>
      </c>
      <c r="G588" s="1" t="s">
        <v>28</v>
      </c>
      <c r="H588" s="1">
        <v>686</v>
      </c>
      <c r="I588" s="1">
        <f t="shared" si="76"/>
        <v>60</v>
      </c>
      <c r="J588" s="1">
        <f>VLOOKUP(B588,Cena!$A$2:$B$101,2)</f>
        <v>84</v>
      </c>
      <c r="K588" s="1">
        <f t="shared" si="72"/>
        <v>5040</v>
      </c>
      <c r="L588" s="1">
        <f t="shared" si="77"/>
        <v>1159.2</v>
      </c>
      <c r="M588" s="22">
        <f t="shared" si="73"/>
        <v>6199.2</v>
      </c>
      <c r="N588" s="1">
        <f t="shared" ca="1" si="78"/>
        <v>8</v>
      </c>
      <c r="P588" s="1">
        <v>60.64061052602483</v>
      </c>
      <c r="Q588" s="1">
        <f t="shared" ca="1" si="79"/>
        <v>24</v>
      </c>
      <c r="R588" s="1">
        <v>9.0649712344747968</v>
      </c>
    </row>
    <row r="589" spans="1:18" x14ac:dyDescent="0.3">
      <c r="A589" s="26">
        <v>588</v>
      </c>
      <c r="B589" s="1">
        <v>10</v>
      </c>
      <c r="C589" s="1">
        <f t="shared" si="75"/>
        <v>11</v>
      </c>
      <c r="D589" s="21">
        <f t="shared" ca="1" si="74"/>
        <v>44818</v>
      </c>
      <c r="E589" s="1" t="s">
        <v>26</v>
      </c>
      <c r="F589" s="1" t="s">
        <v>617</v>
      </c>
      <c r="G589" s="1" t="s">
        <v>28</v>
      </c>
      <c r="H589" s="1">
        <v>687</v>
      </c>
      <c r="I589" s="1">
        <f t="shared" si="76"/>
        <v>41</v>
      </c>
      <c r="J589" s="1">
        <f>VLOOKUP(B589,Cena!$A$2:$B$101,2)</f>
        <v>109</v>
      </c>
      <c r="K589" s="1">
        <f t="shared" si="72"/>
        <v>4469</v>
      </c>
      <c r="L589" s="1">
        <f t="shared" si="77"/>
        <v>1027.8700000000001</v>
      </c>
      <c r="M589" s="22">
        <f t="shared" si="73"/>
        <v>5496.87</v>
      </c>
      <c r="N589" s="1">
        <f t="shared" ca="1" si="78"/>
        <v>9</v>
      </c>
      <c r="P589" s="1">
        <v>41.270715327118523</v>
      </c>
      <c r="Q589" s="1">
        <f t="shared" ca="1" si="79"/>
        <v>28</v>
      </c>
      <c r="R589" s="1">
        <v>11.151448714153958</v>
      </c>
    </row>
    <row r="590" spans="1:18" x14ac:dyDescent="0.3">
      <c r="A590" s="26">
        <v>589</v>
      </c>
      <c r="B590" s="1">
        <v>3</v>
      </c>
      <c r="C590" s="1">
        <f t="shared" si="75"/>
        <v>8</v>
      </c>
      <c r="D590" s="21">
        <f t="shared" ca="1" si="74"/>
        <v>44663</v>
      </c>
      <c r="E590" s="1" t="s">
        <v>26</v>
      </c>
      <c r="F590" s="1" t="s">
        <v>618</v>
      </c>
      <c r="G590" s="1" t="s">
        <v>28</v>
      </c>
      <c r="H590" s="1">
        <v>688</v>
      </c>
      <c r="I590" s="1">
        <f t="shared" si="76"/>
        <v>36</v>
      </c>
      <c r="J590" s="1">
        <f>VLOOKUP(B590,Cena!$A$2:$B$101,2)</f>
        <v>89</v>
      </c>
      <c r="K590" s="1">
        <f t="shared" si="72"/>
        <v>3204</v>
      </c>
      <c r="L590" s="1">
        <f t="shared" si="77"/>
        <v>736.92000000000007</v>
      </c>
      <c r="M590" s="22">
        <f t="shared" si="73"/>
        <v>3940.92</v>
      </c>
      <c r="N590" s="1">
        <f t="shared" ca="1" si="78"/>
        <v>4</v>
      </c>
      <c r="P590" s="1">
        <v>36.594275469542481</v>
      </c>
      <c r="Q590" s="1">
        <f t="shared" ca="1" si="79"/>
        <v>29</v>
      </c>
      <c r="R590" s="1">
        <v>8.1209725774533581</v>
      </c>
    </row>
    <row r="591" spans="1:18" x14ac:dyDescent="0.3">
      <c r="A591" s="26">
        <v>590</v>
      </c>
      <c r="B591" s="1">
        <v>10</v>
      </c>
      <c r="C591" s="1">
        <f t="shared" si="75"/>
        <v>9</v>
      </c>
      <c r="D591" s="21">
        <f t="shared" ca="1" si="74"/>
        <v>44684</v>
      </c>
      <c r="E591" s="1" t="s">
        <v>26</v>
      </c>
      <c r="F591" s="1" t="s">
        <v>619</v>
      </c>
      <c r="G591" s="1" t="s">
        <v>28</v>
      </c>
      <c r="H591" s="1">
        <v>689</v>
      </c>
      <c r="I591" s="1">
        <f t="shared" si="76"/>
        <v>41</v>
      </c>
      <c r="J591" s="1">
        <f>VLOOKUP(B591,Cena!$A$2:$B$101,2)</f>
        <v>109</v>
      </c>
      <c r="K591" s="1">
        <f t="shared" si="72"/>
        <v>4469</v>
      </c>
      <c r="L591" s="1">
        <f t="shared" si="77"/>
        <v>1027.8700000000001</v>
      </c>
      <c r="M591" s="22">
        <f t="shared" si="73"/>
        <v>5496.87</v>
      </c>
      <c r="N591" s="1">
        <f t="shared" ca="1" si="78"/>
        <v>5</v>
      </c>
      <c r="P591" s="1">
        <v>41.648587638337631</v>
      </c>
      <c r="Q591" s="1">
        <f t="shared" ca="1" si="79"/>
        <v>25</v>
      </c>
      <c r="R591" s="1">
        <v>9.436147390952101</v>
      </c>
    </row>
    <row r="592" spans="1:18" x14ac:dyDescent="0.3">
      <c r="A592" s="26">
        <v>591</v>
      </c>
      <c r="B592" s="1">
        <v>15</v>
      </c>
      <c r="C592" s="1">
        <f t="shared" si="75"/>
        <v>11</v>
      </c>
      <c r="D592" s="21">
        <f t="shared" ca="1" si="74"/>
        <v>44836</v>
      </c>
      <c r="E592" s="1" t="s">
        <v>26</v>
      </c>
      <c r="F592" s="1" t="s">
        <v>620</v>
      </c>
      <c r="G592" s="1" t="s">
        <v>28</v>
      </c>
      <c r="H592" s="1">
        <v>690</v>
      </c>
      <c r="I592" s="1">
        <f t="shared" si="76"/>
        <v>47</v>
      </c>
      <c r="J592" s="1">
        <f>VLOOKUP(B592,Cena!$A$2:$B$101,2)</f>
        <v>85</v>
      </c>
      <c r="K592" s="1">
        <f t="shared" si="72"/>
        <v>3995</v>
      </c>
      <c r="L592" s="1">
        <f t="shared" si="77"/>
        <v>918.85</v>
      </c>
      <c r="M592" s="22">
        <f t="shared" si="73"/>
        <v>4913.8500000000004</v>
      </c>
      <c r="N592" s="1">
        <f t="shared" ca="1" si="78"/>
        <v>10</v>
      </c>
      <c r="P592" s="1">
        <v>47.099962456559297</v>
      </c>
      <c r="Q592" s="1">
        <f t="shared" ca="1" si="79"/>
        <v>19</v>
      </c>
      <c r="R592" s="1">
        <v>11.353345169263775</v>
      </c>
    </row>
    <row r="593" spans="1:18" x14ac:dyDescent="0.3">
      <c r="A593" s="26">
        <v>592</v>
      </c>
      <c r="B593" s="1">
        <v>13</v>
      </c>
      <c r="C593" s="1">
        <f t="shared" si="75"/>
        <v>11</v>
      </c>
      <c r="D593" s="21">
        <f t="shared" ca="1" si="74"/>
        <v>44739</v>
      </c>
      <c r="E593" s="1" t="s">
        <v>26</v>
      </c>
      <c r="F593" s="1" t="s">
        <v>621</v>
      </c>
      <c r="G593" s="1" t="s">
        <v>28</v>
      </c>
      <c r="H593" s="1">
        <v>691</v>
      </c>
      <c r="I593" s="1">
        <f t="shared" si="76"/>
        <v>66</v>
      </c>
      <c r="J593" s="1">
        <f>VLOOKUP(B593,Cena!$A$2:$B$101,2)</f>
        <v>94</v>
      </c>
      <c r="K593" s="1">
        <f t="shared" si="72"/>
        <v>6204</v>
      </c>
      <c r="L593" s="1">
        <f t="shared" si="77"/>
        <v>1426.92</v>
      </c>
      <c r="M593" s="22">
        <f t="shared" si="73"/>
        <v>7630.92</v>
      </c>
      <c r="N593" s="1">
        <f t="shared" ca="1" si="78"/>
        <v>6</v>
      </c>
      <c r="P593" s="1">
        <v>66.137983038788661</v>
      </c>
      <c r="Q593" s="1">
        <f t="shared" ca="1" si="79"/>
        <v>17</v>
      </c>
      <c r="R593" s="1">
        <v>11.685202732915059</v>
      </c>
    </row>
    <row r="594" spans="1:18" x14ac:dyDescent="0.3">
      <c r="A594" s="26">
        <v>593</v>
      </c>
      <c r="B594" s="1">
        <v>8</v>
      </c>
      <c r="C594" s="1">
        <f t="shared" si="75"/>
        <v>13</v>
      </c>
      <c r="D594" s="21">
        <f t="shared" ca="1" si="74"/>
        <v>44708</v>
      </c>
      <c r="E594" s="1" t="s">
        <v>26</v>
      </c>
      <c r="F594" s="1" t="s">
        <v>622</v>
      </c>
      <c r="G594" s="1" t="s">
        <v>28</v>
      </c>
      <c r="H594" s="1">
        <v>692</v>
      </c>
      <c r="I594" s="1">
        <f t="shared" si="76"/>
        <v>47</v>
      </c>
      <c r="J594" s="1">
        <f>VLOOKUP(B594,Cena!$A$2:$B$101,2)</f>
        <v>88</v>
      </c>
      <c r="K594" s="1">
        <f t="shared" si="72"/>
        <v>4136</v>
      </c>
      <c r="L594" s="1">
        <f t="shared" si="77"/>
        <v>951.28000000000009</v>
      </c>
      <c r="M594" s="22">
        <f t="shared" si="73"/>
        <v>5087.28</v>
      </c>
      <c r="N594" s="1">
        <f t="shared" ca="1" si="78"/>
        <v>5</v>
      </c>
      <c r="P594" s="1">
        <v>47.749296198890079</v>
      </c>
      <c r="Q594" s="1">
        <f t="shared" ca="1" si="79"/>
        <v>23</v>
      </c>
      <c r="R594" s="1">
        <v>13.23309450322995</v>
      </c>
    </row>
    <row r="595" spans="1:18" x14ac:dyDescent="0.3">
      <c r="A595" s="26">
        <v>594</v>
      </c>
      <c r="B595" s="1">
        <v>18</v>
      </c>
      <c r="C595" s="1">
        <f t="shared" si="75"/>
        <v>12</v>
      </c>
      <c r="D595" s="21">
        <f t="shared" ca="1" si="74"/>
        <v>44753</v>
      </c>
      <c r="E595" s="1" t="s">
        <v>26</v>
      </c>
      <c r="F595" s="1" t="s">
        <v>623</v>
      </c>
      <c r="G595" s="1" t="s">
        <v>28</v>
      </c>
      <c r="H595" s="1">
        <v>693</v>
      </c>
      <c r="I595" s="1">
        <f t="shared" si="76"/>
        <v>53</v>
      </c>
      <c r="J595" s="1">
        <f>VLOOKUP(B595,Cena!$A$2:$B$101,2)</f>
        <v>90</v>
      </c>
      <c r="K595" s="1">
        <f t="shared" si="72"/>
        <v>4770</v>
      </c>
      <c r="L595" s="1">
        <f t="shared" si="77"/>
        <v>1097.1000000000001</v>
      </c>
      <c r="M595" s="22">
        <f t="shared" si="73"/>
        <v>5867.1</v>
      </c>
      <c r="N595" s="1">
        <f t="shared" ca="1" si="78"/>
        <v>7</v>
      </c>
      <c r="P595" s="1">
        <v>53.080037913605338</v>
      </c>
      <c r="Q595" s="1">
        <f t="shared" ca="1" si="79"/>
        <v>19</v>
      </c>
      <c r="R595" s="1">
        <v>12.91019546239113</v>
      </c>
    </row>
    <row r="596" spans="1:18" x14ac:dyDescent="0.3">
      <c r="A596" s="26">
        <v>595</v>
      </c>
      <c r="B596" s="1">
        <v>24</v>
      </c>
      <c r="C596" s="1">
        <f t="shared" si="75"/>
        <v>8</v>
      </c>
      <c r="D596" s="21">
        <f t="shared" ca="1" si="74"/>
        <v>44823</v>
      </c>
      <c r="E596" s="1" t="s">
        <v>26</v>
      </c>
      <c r="F596" s="1" t="s">
        <v>624</v>
      </c>
      <c r="G596" s="1" t="s">
        <v>28</v>
      </c>
      <c r="H596" s="1">
        <v>694</v>
      </c>
      <c r="I596" s="1">
        <f t="shared" si="76"/>
        <v>51</v>
      </c>
      <c r="J596" s="1">
        <f>VLOOKUP(B596,Cena!$A$2:$B$101,2)</f>
        <v>125</v>
      </c>
      <c r="K596" s="1">
        <f t="shared" si="72"/>
        <v>6375</v>
      </c>
      <c r="L596" s="1">
        <f t="shared" si="77"/>
        <v>1466.25</v>
      </c>
      <c r="M596" s="22">
        <f t="shared" si="73"/>
        <v>7841.25</v>
      </c>
      <c r="N596" s="1">
        <f t="shared" ca="1" si="78"/>
        <v>9</v>
      </c>
      <c r="P596" s="1">
        <v>51.387149950460298</v>
      </c>
      <c r="Q596" s="1">
        <f t="shared" ca="1" si="79"/>
        <v>29</v>
      </c>
      <c r="R596" s="1">
        <v>8.6861240586222266</v>
      </c>
    </row>
    <row r="597" spans="1:18" x14ac:dyDescent="0.3">
      <c r="A597" s="26">
        <v>596</v>
      </c>
      <c r="B597" s="1">
        <v>15</v>
      </c>
      <c r="C597" s="1">
        <f t="shared" si="75"/>
        <v>10</v>
      </c>
      <c r="D597" s="21">
        <f t="shared" ca="1" si="74"/>
        <v>44776</v>
      </c>
      <c r="E597" s="1" t="s">
        <v>26</v>
      </c>
      <c r="F597" s="1" t="s">
        <v>625</v>
      </c>
      <c r="G597" s="1" t="s">
        <v>28</v>
      </c>
      <c r="H597" s="1">
        <v>695</v>
      </c>
      <c r="I597" s="1">
        <f t="shared" si="76"/>
        <v>48</v>
      </c>
      <c r="J597" s="1">
        <f>VLOOKUP(B597,Cena!$A$2:$B$101,2)</f>
        <v>85</v>
      </c>
      <c r="K597" s="1">
        <f t="shared" si="72"/>
        <v>4080</v>
      </c>
      <c r="L597" s="1">
        <f t="shared" si="77"/>
        <v>938.40000000000009</v>
      </c>
      <c r="M597" s="22">
        <f t="shared" si="73"/>
        <v>5018.3999999999996</v>
      </c>
      <c r="N597" s="1">
        <f t="shared" ca="1" si="78"/>
        <v>8</v>
      </c>
      <c r="P597" s="1">
        <v>48.548719304380938</v>
      </c>
      <c r="Q597" s="1">
        <f t="shared" ca="1" si="79"/>
        <v>17</v>
      </c>
      <c r="R597" s="1">
        <v>10.306280867334863</v>
      </c>
    </row>
    <row r="598" spans="1:18" x14ac:dyDescent="0.3">
      <c r="A598" s="26">
        <v>597</v>
      </c>
      <c r="B598" s="1">
        <v>1</v>
      </c>
      <c r="C598" s="1">
        <f t="shared" si="75"/>
        <v>6</v>
      </c>
      <c r="D598" s="21">
        <f t="shared" ca="1" si="74"/>
        <v>44860</v>
      </c>
      <c r="E598" s="1" t="s">
        <v>26</v>
      </c>
      <c r="F598" s="1" t="s">
        <v>626</v>
      </c>
      <c r="G598" s="1" t="s">
        <v>28</v>
      </c>
      <c r="H598" s="1">
        <v>696</v>
      </c>
      <c r="I598" s="1">
        <f t="shared" si="76"/>
        <v>34</v>
      </c>
      <c r="J598" s="1">
        <f>VLOOKUP(B598,Cena!$A$2:$B$101,2)</f>
        <v>84</v>
      </c>
      <c r="K598" s="1">
        <f t="shared" si="72"/>
        <v>2856</v>
      </c>
      <c r="L598" s="1">
        <f t="shared" si="77"/>
        <v>656.88</v>
      </c>
      <c r="M598" s="22">
        <f t="shared" si="73"/>
        <v>3512.88</v>
      </c>
      <c r="N598" s="1">
        <f t="shared" ca="1" si="78"/>
        <v>10</v>
      </c>
      <c r="P598" s="1">
        <v>34.825535648269579</v>
      </c>
      <c r="Q598" s="1">
        <f t="shared" ca="1" si="79"/>
        <v>14</v>
      </c>
      <c r="R598" s="1">
        <v>6.3405457492626738</v>
      </c>
    </row>
    <row r="599" spans="1:18" x14ac:dyDescent="0.3">
      <c r="A599" s="26">
        <v>598</v>
      </c>
      <c r="B599" s="1">
        <v>26</v>
      </c>
      <c r="C599" s="1">
        <f t="shared" si="75"/>
        <v>11</v>
      </c>
      <c r="D599" s="21">
        <f t="shared" ca="1" si="74"/>
        <v>44774</v>
      </c>
      <c r="E599" s="1" t="s">
        <v>26</v>
      </c>
      <c r="F599" s="1" t="s">
        <v>627</v>
      </c>
      <c r="G599" s="1" t="s">
        <v>28</v>
      </c>
      <c r="H599" s="1">
        <v>697</v>
      </c>
      <c r="I599" s="1">
        <f t="shared" si="76"/>
        <v>57</v>
      </c>
      <c r="J599" s="1">
        <f>VLOOKUP(B599,Cena!$A$2:$B$101,2)</f>
        <v>99</v>
      </c>
      <c r="K599" s="1">
        <f t="shared" si="72"/>
        <v>5643</v>
      </c>
      <c r="L599" s="1">
        <f t="shared" si="77"/>
        <v>1297.8900000000001</v>
      </c>
      <c r="M599" s="22">
        <f t="shared" si="73"/>
        <v>6940.89</v>
      </c>
      <c r="N599" s="1">
        <f t="shared" ca="1" si="78"/>
        <v>8</v>
      </c>
      <c r="P599" s="1">
        <v>57.971448212629184</v>
      </c>
      <c r="Q599" s="1">
        <f t="shared" ca="1" si="79"/>
        <v>4</v>
      </c>
      <c r="R599" s="1">
        <v>11.686163386693806</v>
      </c>
    </row>
    <row r="600" spans="1:18" x14ac:dyDescent="0.3">
      <c r="A600" s="26">
        <v>599</v>
      </c>
      <c r="B600" s="1">
        <v>17</v>
      </c>
      <c r="C600" s="1">
        <f t="shared" si="75"/>
        <v>8</v>
      </c>
      <c r="D600" s="21">
        <f t="shared" ca="1" si="74"/>
        <v>44744</v>
      </c>
      <c r="E600" s="1" t="s">
        <v>26</v>
      </c>
      <c r="F600" s="1" t="s">
        <v>628</v>
      </c>
      <c r="G600" s="1" t="s">
        <v>28</v>
      </c>
      <c r="H600" s="1">
        <v>698</v>
      </c>
      <c r="I600" s="1">
        <f t="shared" si="76"/>
        <v>30</v>
      </c>
      <c r="J600" s="1">
        <f>VLOOKUP(B600,Cena!$A$2:$B$101,2)</f>
        <v>84</v>
      </c>
      <c r="K600" s="1">
        <f t="shared" si="72"/>
        <v>2520</v>
      </c>
      <c r="L600" s="1">
        <f t="shared" si="77"/>
        <v>579.6</v>
      </c>
      <c r="M600" s="22">
        <f t="shared" si="73"/>
        <v>3099.6</v>
      </c>
      <c r="N600" s="1">
        <f t="shared" ca="1" si="78"/>
        <v>7</v>
      </c>
      <c r="P600" s="1">
        <v>30.858774506486952</v>
      </c>
      <c r="Q600" s="1">
        <f t="shared" ca="1" si="79"/>
        <v>7</v>
      </c>
      <c r="R600" s="1">
        <v>8.6856835221260553</v>
      </c>
    </row>
    <row r="601" spans="1:18" x14ac:dyDescent="0.3">
      <c r="A601" s="26">
        <v>600</v>
      </c>
      <c r="B601" s="1">
        <v>3</v>
      </c>
      <c r="C601" s="1">
        <f t="shared" si="75"/>
        <v>9</v>
      </c>
      <c r="D601" s="21">
        <f t="shared" ca="1" si="74"/>
        <v>44768</v>
      </c>
      <c r="E601" s="1" t="s">
        <v>26</v>
      </c>
      <c r="F601" s="1" t="s">
        <v>629</v>
      </c>
      <c r="G601" s="1" t="s">
        <v>28</v>
      </c>
      <c r="H601" s="1">
        <v>699</v>
      </c>
      <c r="I601" s="1">
        <f t="shared" si="76"/>
        <v>33</v>
      </c>
      <c r="J601" s="1">
        <f>VLOOKUP(B601,Cena!$A$2:$B$101,2)</f>
        <v>89</v>
      </c>
      <c r="K601" s="1">
        <f t="shared" si="72"/>
        <v>2937</v>
      </c>
      <c r="L601" s="1">
        <f t="shared" si="77"/>
        <v>675.51</v>
      </c>
      <c r="M601" s="22">
        <f t="shared" si="73"/>
        <v>3612.51</v>
      </c>
      <c r="N601" s="1">
        <f t="shared" ca="1" si="78"/>
        <v>7</v>
      </c>
      <c r="P601" s="1">
        <v>33.418774718302302</v>
      </c>
      <c r="Q601" s="1">
        <f t="shared" ca="1" si="79"/>
        <v>7</v>
      </c>
      <c r="R601" s="1">
        <v>9.4958244542431203</v>
      </c>
    </row>
    <row r="602" spans="1:18" x14ac:dyDescent="0.3">
      <c r="A602" s="26">
        <v>601</v>
      </c>
      <c r="B602" s="1">
        <v>19</v>
      </c>
      <c r="C602" s="1">
        <f t="shared" si="75"/>
        <v>11</v>
      </c>
      <c r="D602" s="21">
        <f t="shared" ca="1" si="74"/>
        <v>44892</v>
      </c>
      <c r="E602" s="1" t="s">
        <v>26</v>
      </c>
      <c r="F602" s="1" t="s">
        <v>630</v>
      </c>
      <c r="G602" s="1" t="s">
        <v>28</v>
      </c>
      <c r="H602" s="1">
        <v>700</v>
      </c>
      <c r="I602" s="1">
        <f t="shared" si="76"/>
        <v>46</v>
      </c>
      <c r="J602" s="1">
        <f>VLOOKUP(B602,Cena!$A$2:$B$101,2)</f>
        <v>84</v>
      </c>
      <c r="K602" s="1">
        <f t="shared" si="72"/>
        <v>3864</v>
      </c>
      <c r="L602" s="1">
        <f t="shared" si="77"/>
        <v>888.72</v>
      </c>
      <c r="M602" s="22">
        <f t="shared" si="73"/>
        <v>4752.72</v>
      </c>
      <c r="N602" s="1">
        <f t="shared" ca="1" si="78"/>
        <v>11</v>
      </c>
      <c r="P602" s="1">
        <v>46.260703483130783</v>
      </c>
      <c r="Q602" s="1">
        <f t="shared" ca="1" si="79"/>
        <v>24</v>
      </c>
      <c r="R602" s="1">
        <v>11.183656195280491</v>
      </c>
    </row>
    <row r="603" spans="1:18" x14ac:dyDescent="0.3">
      <c r="A603" s="26">
        <v>602</v>
      </c>
      <c r="B603" s="1">
        <v>16</v>
      </c>
      <c r="C603" s="1">
        <f t="shared" si="75"/>
        <v>11</v>
      </c>
      <c r="D603" s="21">
        <f t="shared" ca="1" si="74"/>
        <v>44637</v>
      </c>
      <c r="E603" s="1" t="s">
        <v>26</v>
      </c>
      <c r="F603" s="1" t="s">
        <v>631</v>
      </c>
      <c r="G603" s="1" t="s">
        <v>28</v>
      </c>
      <c r="H603" s="1">
        <v>701</v>
      </c>
      <c r="I603" s="1">
        <f t="shared" si="76"/>
        <v>33</v>
      </c>
      <c r="J603" s="1">
        <f>VLOOKUP(B603,Cena!$A$2:$B$101,2)</f>
        <v>93</v>
      </c>
      <c r="K603" s="1">
        <f t="shared" si="72"/>
        <v>3069</v>
      </c>
      <c r="L603" s="1">
        <f t="shared" si="77"/>
        <v>705.87</v>
      </c>
      <c r="M603" s="22">
        <f t="shared" si="73"/>
        <v>3774.87</v>
      </c>
      <c r="N603" s="1">
        <f t="shared" ca="1" si="78"/>
        <v>3</v>
      </c>
      <c r="P603" s="1">
        <v>33.290399541147053</v>
      </c>
      <c r="Q603" s="1">
        <f t="shared" ca="1" si="79"/>
        <v>22</v>
      </c>
      <c r="R603" s="1">
        <v>11.545691930004978</v>
      </c>
    </row>
    <row r="604" spans="1:18" x14ac:dyDescent="0.3">
      <c r="A604" s="26">
        <v>603</v>
      </c>
      <c r="B604" s="1">
        <v>16</v>
      </c>
      <c r="C604" s="1">
        <f t="shared" si="75"/>
        <v>9</v>
      </c>
      <c r="D604" s="21">
        <f t="shared" ca="1" si="74"/>
        <v>44766</v>
      </c>
      <c r="E604" s="1" t="s">
        <v>26</v>
      </c>
      <c r="F604" s="1" t="s">
        <v>632</v>
      </c>
      <c r="G604" s="1" t="s">
        <v>28</v>
      </c>
      <c r="H604" s="1">
        <v>702</v>
      </c>
      <c r="I604" s="1">
        <f t="shared" si="76"/>
        <v>49</v>
      </c>
      <c r="J604" s="1">
        <f>VLOOKUP(B604,Cena!$A$2:$B$101,2)</f>
        <v>93</v>
      </c>
      <c r="K604" s="1">
        <f t="shared" si="72"/>
        <v>4557</v>
      </c>
      <c r="L604" s="1">
        <f t="shared" si="77"/>
        <v>1048.1100000000001</v>
      </c>
      <c r="M604" s="22">
        <f t="shared" si="73"/>
        <v>5605.1100000000006</v>
      </c>
      <c r="N604" s="1">
        <f t="shared" ca="1" si="78"/>
        <v>7</v>
      </c>
      <c r="P604" s="1">
        <v>49.883334567130078</v>
      </c>
      <c r="Q604" s="1">
        <f t="shared" ca="1" si="79"/>
        <v>10</v>
      </c>
      <c r="R604" s="1">
        <v>9.7249119587650057</v>
      </c>
    </row>
    <row r="605" spans="1:18" x14ac:dyDescent="0.3">
      <c r="A605" s="26">
        <v>604</v>
      </c>
      <c r="B605" s="1">
        <v>6</v>
      </c>
      <c r="C605" s="1">
        <f t="shared" si="75"/>
        <v>4</v>
      </c>
      <c r="D605" s="21">
        <f t="shared" ca="1" si="74"/>
        <v>44917</v>
      </c>
      <c r="E605" s="1" t="s">
        <v>26</v>
      </c>
      <c r="F605" s="1" t="s">
        <v>633</v>
      </c>
      <c r="G605" s="1" t="s">
        <v>28</v>
      </c>
      <c r="H605" s="1">
        <v>703</v>
      </c>
      <c r="I605" s="1">
        <f t="shared" si="76"/>
        <v>79</v>
      </c>
      <c r="J605" s="1">
        <f>VLOOKUP(B605,Cena!$A$2:$B$101,2)</f>
        <v>86</v>
      </c>
      <c r="K605" s="1">
        <f t="shared" si="72"/>
        <v>6794</v>
      </c>
      <c r="L605" s="1">
        <f t="shared" si="77"/>
        <v>1562.6200000000001</v>
      </c>
      <c r="M605" s="22">
        <f t="shared" si="73"/>
        <v>8356.6200000000008</v>
      </c>
      <c r="N605" s="1">
        <f t="shared" ca="1" si="78"/>
        <v>12</v>
      </c>
      <c r="P605" s="1">
        <v>79.687362257391214</v>
      </c>
      <c r="Q605" s="1">
        <f t="shared" ca="1" si="79"/>
        <v>24</v>
      </c>
      <c r="R605" s="1">
        <v>4.9175617075525224</v>
      </c>
    </row>
    <row r="606" spans="1:18" x14ac:dyDescent="0.3">
      <c r="A606" s="26">
        <v>605</v>
      </c>
      <c r="B606" s="1">
        <v>2</v>
      </c>
      <c r="C606" s="1">
        <f t="shared" si="75"/>
        <v>10</v>
      </c>
      <c r="D606" s="21">
        <f t="shared" ca="1" si="74"/>
        <v>44799</v>
      </c>
      <c r="E606" s="1" t="s">
        <v>26</v>
      </c>
      <c r="F606" s="1" t="s">
        <v>634</v>
      </c>
      <c r="G606" s="1" t="s">
        <v>28</v>
      </c>
      <c r="H606" s="1">
        <v>704</v>
      </c>
      <c r="I606" s="1">
        <f t="shared" si="76"/>
        <v>40</v>
      </c>
      <c r="J606" s="1">
        <f>VLOOKUP(B606,Cena!$A$2:$B$101,2)</f>
        <v>121</v>
      </c>
      <c r="K606" s="1">
        <f t="shared" si="72"/>
        <v>4840</v>
      </c>
      <c r="L606" s="1">
        <f t="shared" si="77"/>
        <v>1113.2</v>
      </c>
      <c r="M606" s="22">
        <f t="shared" si="73"/>
        <v>5953.2</v>
      </c>
      <c r="N606" s="1">
        <f t="shared" ca="1" si="78"/>
        <v>8</v>
      </c>
      <c r="P606" s="1">
        <v>40.063292898412328</v>
      </c>
      <c r="Q606" s="1">
        <f t="shared" ca="1" si="79"/>
        <v>1</v>
      </c>
      <c r="R606" s="1">
        <v>10.223963070311584</v>
      </c>
    </row>
    <row r="607" spans="1:18" x14ac:dyDescent="0.3">
      <c r="A607" s="26">
        <v>606</v>
      </c>
      <c r="B607" s="1">
        <v>24</v>
      </c>
      <c r="C607" s="1">
        <f t="shared" si="75"/>
        <v>10</v>
      </c>
      <c r="D607" s="21">
        <f t="shared" ca="1" si="74"/>
        <v>44783</v>
      </c>
      <c r="E607" s="1" t="s">
        <v>26</v>
      </c>
      <c r="F607" s="1" t="s">
        <v>635</v>
      </c>
      <c r="G607" s="1" t="s">
        <v>28</v>
      </c>
      <c r="H607" s="1">
        <v>705</v>
      </c>
      <c r="I607" s="1">
        <f t="shared" si="76"/>
        <v>50</v>
      </c>
      <c r="J607" s="1">
        <f>VLOOKUP(B607,Cena!$A$2:$B$101,2)</f>
        <v>125</v>
      </c>
      <c r="K607" s="1">
        <f t="shared" ref="K607:K670" si="80">I607*J607</f>
        <v>6250</v>
      </c>
      <c r="L607" s="1">
        <f t="shared" si="77"/>
        <v>1437.5</v>
      </c>
      <c r="M607" s="22">
        <f t="shared" ref="M607:M670" si="81">K607+L607</f>
        <v>7687.5</v>
      </c>
      <c r="N607" s="1">
        <f t="shared" ca="1" si="78"/>
        <v>8</v>
      </c>
      <c r="P607" s="1">
        <v>50.611225914326496</v>
      </c>
      <c r="Q607" s="1">
        <f t="shared" ca="1" si="79"/>
        <v>2</v>
      </c>
      <c r="R607" s="1">
        <v>10.594499738326704</v>
      </c>
    </row>
    <row r="608" spans="1:18" x14ac:dyDescent="0.3">
      <c r="A608" s="26">
        <v>607</v>
      </c>
      <c r="B608" s="1">
        <v>3</v>
      </c>
      <c r="C608" s="1">
        <f t="shared" si="75"/>
        <v>9</v>
      </c>
      <c r="D608" s="21">
        <f t="shared" ca="1" si="74"/>
        <v>44897</v>
      </c>
      <c r="E608" s="1" t="s">
        <v>26</v>
      </c>
      <c r="F608" s="1" t="s">
        <v>636</v>
      </c>
      <c r="G608" s="1" t="s">
        <v>28</v>
      </c>
      <c r="H608" s="1">
        <v>706</v>
      </c>
      <c r="I608" s="1">
        <f t="shared" si="76"/>
        <v>58</v>
      </c>
      <c r="J608" s="1">
        <f>VLOOKUP(B608,Cena!$A$2:$B$101,2)</f>
        <v>89</v>
      </c>
      <c r="K608" s="1">
        <f t="shared" si="80"/>
        <v>5162</v>
      </c>
      <c r="L608" s="1">
        <f t="shared" si="77"/>
        <v>1187.26</v>
      </c>
      <c r="M608" s="22">
        <f t="shared" si="81"/>
        <v>6349.26</v>
      </c>
      <c r="N608" s="1">
        <f t="shared" ca="1" si="78"/>
        <v>12</v>
      </c>
      <c r="P608" s="1">
        <v>58.26285031507723</v>
      </c>
      <c r="Q608" s="1">
        <f t="shared" ca="1" si="79"/>
        <v>2</v>
      </c>
      <c r="R608" s="1">
        <v>9.5110385953012155</v>
      </c>
    </row>
    <row r="609" spans="1:18" x14ac:dyDescent="0.3">
      <c r="A609" s="26">
        <v>608</v>
      </c>
      <c r="B609" s="1">
        <v>10</v>
      </c>
      <c r="C609" s="1">
        <f t="shared" si="75"/>
        <v>16</v>
      </c>
      <c r="D609" s="21">
        <f t="shared" ca="1" si="74"/>
        <v>44826</v>
      </c>
      <c r="E609" s="1" t="s">
        <v>26</v>
      </c>
      <c r="F609" s="1" t="s">
        <v>637</v>
      </c>
      <c r="G609" s="1" t="s">
        <v>28</v>
      </c>
      <c r="H609" s="1">
        <v>707</v>
      </c>
      <c r="I609" s="1">
        <f t="shared" si="76"/>
        <v>54</v>
      </c>
      <c r="J609" s="1">
        <f>VLOOKUP(B609,Cena!$A$2:$B$101,2)</f>
        <v>109</v>
      </c>
      <c r="K609" s="1">
        <f t="shared" si="80"/>
        <v>5886</v>
      </c>
      <c r="L609" s="1">
        <f t="shared" si="77"/>
        <v>1353.78</v>
      </c>
      <c r="M609" s="22">
        <f t="shared" si="81"/>
        <v>7239.78</v>
      </c>
      <c r="N609" s="1">
        <f t="shared" ca="1" si="78"/>
        <v>9</v>
      </c>
      <c r="P609" s="1">
        <v>54.004800757684279</v>
      </c>
      <c r="Q609" s="1">
        <f t="shared" ca="1" si="79"/>
        <v>7</v>
      </c>
      <c r="R609" s="1">
        <v>16.823211151640862</v>
      </c>
    </row>
    <row r="610" spans="1:18" x14ac:dyDescent="0.3">
      <c r="A610" s="26">
        <v>609</v>
      </c>
      <c r="B610" s="1">
        <v>10</v>
      </c>
      <c r="C610" s="1">
        <f t="shared" si="75"/>
        <v>9</v>
      </c>
      <c r="D610" s="21">
        <f t="shared" ca="1" si="74"/>
        <v>44601</v>
      </c>
      <c r="E610" s="1" t="s">
        <v>26</v>
      </c>
      <c r="F610" s="1" t="s">
        <v>638</v>
      </c>
      <c r="G610" s="1" t="s">
        <v>28</v>
      </c>
      <c r="H610" s="1">
        <v>708</v>
      </c>
      <c r="I610" s="1">
        <f t="shared" si="76"/>
        <v>43</v>
      </c>
      <c r="J610" s="1">
        <f>VLOOKUP(B610,Cena!$A$2:$B$101,2)</f>
        <v>109</v>
      </c>
      <c r="K610" s="1">
        <f t="shared" si="80"/>
        <v>4687</v>
      </c>
      <c r="L610" s="1">
        <f t="shared" si="77"/>
        <v>1078.01</v>
      </c>
      <c r="M610" s="22">
        <f t="shared" si="81"/>
        <v>5765.01</v>
      </c>
      <c r="N610" s="1">
        <f t="shared" ca="1" si="78"/>
        <v>2</v>
      </c>
      <c r="P610" s="1">
        <v>43.530354913673364</v>
      </c>
      <c r="Q610" s="1">
        <f t="shared" ca="1" si="79"/>
        <v>15</v>
      </c>
      <c r="R610" s="1">
        <v>9.2684053040647996</v>
      </c>
    </row>
    <row r="611" spans="1:18" x14ac:dyDescent="0.3">
      <c r="A611" s="26">
        <v>610</v>
      </c>
      <c r="B611" s="1">
        <v>5</v>
      </c>
      <c r="C611" s="1">
        <f t="shared" si="75"/>
        <v>10</v>
      </c>
      <c r="D611" s="21">
        <f t="shared" ca="1" si="74"/>
        <v>44647</v>
      </c>
      <c r="E611" s="1" t="s">
        <v>26</v>
      </c>
      <c r="F611" s="1" t="s">
        <v>639</v>
      </c>
      <c r="G611" s="1" t="s">
        <v>28</v>
      </c>
      <c r="H611" s="1">
        <v>709</v>
      </c>
      <c r="I611" s="1">
        <f t="shared" si="76"/>
        <v>57</v>
      </c>
      <c r="J611" s="1">
        <f>VLOOKUP(B611,Cena!$A$2:$B$101,2)</f>
        <v>91</v>
      </c>
      <c r="K611" s="1">
        <f t="shared" si="80"/>
        <v>5187</v>
      </c>
      <c r="L611" s="1">
        <f t="shared" si="77"/>
        <v>1193.01</v>
      </c>
      <c r="M611" s="22">
        <f t="shared" si="81"/>
        <v>6380.01</v>
      </c>
      <c r="N611" s="1">
        <f t="shared" ca="1" si="78"/>
        <v>3</v>
      </c>
      <c r="P611" s="1">
        <v>57.936807833175408</v>
      </c>
      <c r="Q611" s="1">
        <f t="shared" ca="1" si="79"/>
        <v>7</v>
      </c>
      <c r="R611" s="1">
        <v>10.098231112133362</v>
      </c>
    </row>
    <row r="612" spans="1:18" x14ac:dyDescent="0.3">
      <c r="A612" s="26">
        <v>611</v>
      </c>
      <c r="B612" s="1">
        <v>1</v>
      </c>
      <c r="C612" s="1">
        <f t="shared" si="75"/>
        <v>12</v>
      </c>
      <c r="D612" s="21">
        <f t="shared" ca="1" si="74"/>
        <v>44805</v>
      </c>
      <c r="E612" s="1" t="s">
        <v>26</v>
      </c>
      <c r="F612" s="1" t="s">
        <v>640</v>
      </c>
      <c r="G612" s="1" t="s">
        <v>28</v>
      </c>
      <c r="H612" s="1">
        <v>710</v>
      </c>
      <c r="I612" s="1">
        <f t="shared" si="76"/>
        <v>31</v>
      </c>
      <c r="J612" s="1">
        <f>VLOOKUP(B612,Cena!$A$2:$B$101,2)</f>
        <v>84</v>
      </c>
      <c r="K612" s="1">
        <f t="shared" si="80"/>
        <v>2604</v>
      </c>
      <c r="L612" s="1">
        <f t="shared" si="77"/>
        <v>598.92000000000007</v>
      </c>
      <c r="M612" s="22">
        <f t="shared" si="81"/>
        <v>3202.92</v>
      </c>
      <c r="N612" s="1">
        <f t="shared" ca="1" si="78"/>
        <v>9</v>
      </c>
      <c r="P612" s="1">
        <v>31.72124833217822</v>
      </c>
      <c r="Q612" s="1">
        <f t="shared" ca="1" si="79"/>
        <v>8</v>
      </c>
      <c r="R612" s="1">
        <v>12.623386308187037</v>
      </c>
    </row>
    <row r="613" spans="1:18" x14ac:dyDescent="0.3">
      <c r="A613" s="26">
        <v>612</v>
      </c>
      <c r="B613" s="1">
        <v>15</v>
      </c>
      <c r="C613" s="1">
        <f t="shared" si="75"/>
        <v>8</v>
      </c>
      <c r="D613" s="21">
        <f t="shared" ca="1" si="74"/>
        <v>44662</v>
      </c>
      <c r="E613" s="1" t="s">
        <v>26</v>
      </c>
      <c r="F613" s="1" t="s">
        <v>641</v>
      </c>
      <c r="G613" s="1" t="s">
        <v>28</v>
      </c>
      <c r="H613" s="1">
        <v>711</v>
      </c>
      <c r="I613" s="1">
        <f t="shared" si="76"/>
        <v>57</v>
      </c>
      <c r="J613" s="1">
        <f>VLOOKUP(B613,Cena!$A$2:$B$101,2)</f>
        <v>85</v>
      </c>
      <c r="K613" s="1">
        <f t="shared" si="80"/>
        <v>4845</v>
      </c>
      <c r="L613" s="1">
        <f t="shared" si="77"/>
        <v>1114.3500000000001</v>
      </c>
      <c r="M613" s="22">
        <f t="shared" si="81"/>
        <v>5959.35</v>
      </c>
      <c r="N613" s="1">
        <f t="shared" ca="1" si="78"/>
        <v>4</v>
      </c>
      <c r="P613" s="1">
        <v>57.64150627219351</v>
      </c>
      <c r="Q613" s="1">
        <f t="shared" ca="1" si="79"/>
        <v>3</v>
      </c>
      <c r="R613" s="1">
        <v>8.7459148087509675</v>
      </c>
    </row>
    <row r="614" spans="1:18" x14ac:dyDescent="0.3">
      <c r="A614" s="26">
        <v>613</v>
      </c>
      <c r="B614" s="1">
        <v>10</v>
      </c>
      <c r="C614" s="1">
        <f t="shared" si="75"/>
        <v>6</v>
      </c>
      <c r="D614" s="21">
        <f t="shared" ca="1" si="74"/>
        <v>44639</v>
      </c>
      <c r="E614" s="1" t="s">
        <v>26</v>
      </c>
      <c r="F614" s="1" t="s">
        <v>642</v>
      </c>
      <c r="G614" s="1" t="s">
        <v>28</v>
      </c>
      <c r="H614" s="1">
        <v>712</v>
      </c>
      <c r="I614" s="1">
        <f t="shared" si="76"/>
        <v>54</v>
      </c>
      <c r="J614" s="1">
        <f>VLOOKUP(B614,Cena!$A$2:$B$101,2)</f>
        <v>109</v>
      </c>
      <c r="K614" s="1">
        <f t="shared" si="80"/>
        <v>5886</v>
      </c>
      <c r="L614" s="1">
        <f t="shared" si="77"/>
        <v>1353.78</v>
      </c>
      <c r="M614" s="22">
        <f t="shared" si="81"/>
        <v>7239.78</v>
      </c>
      <c r="N614" s="1">
        <f t="shared" ca="1" si="78"/>
        <v>3</v>
      </c>
      <c r="P614" s="1">
        <v>54.096148131793598</v>
      </c>
      <c r="Q614" s="1">
        <f t="shared" ca="1" si="79"/>
        <v>24</v>
      </c>
      <c r="R614" s="1">
        <v>6.4008907227253076</v>
      </c>
    </row>
    <row r="615" spans="1:18" x14ac:dyDescent="0.3">
      <c r="A615" s="26">
        <v>614</v>
      </c>
      <c r="B615" s="1">
        <v>13</v>
      </c>
      <c r="C615" s="1">
        <f t="shared" si="75"/>
        <v>8</v>
      </c>
      <c r="D615" s="21">
        <f t="shared" ca="1" si="74"/>
        <v>44657</v>
      </c>
      <c r="E615" s="1" t="s">
        <v>26</v>
      </c>
      <c r="F615" s="1" t="s">
        <v>643</v>
      </c>
      <c r="G615" s="1" t="s">
        <v>28</v>
      </c>
      <c r="H615" s="1">
        <v>713</v>
      </c>
      <c r="I615" s="1">
        <f t="shared" si="76"/>
        <v>49</v>
      </c>
      <c r="J615" s="1">
        <f>VLOOKUP(B615,Cena!$A$2:$B$101,2)</f>
        <v>94</v>
      </c>
      <c r="K615" s="1">
        <f t="shared" si="80"/>
        <v>4606</v>
      </c>
      <c r="L615" s="1">
        <f t="shared" si="77"/>
        <v>1059.3800000000001</v>
      </c>
      <c r="M615" s="22">
        <f t="shared" si="81"/>
        <v>5665.38</v>
      </c>
      <c r="N615" s="1">
        <f t="shared" ca="1" si="78"/>
        <v>4</v>
      </c>
      <c r="P615" s="1">
        <v>49.028864294814412</v>
      </c>
      <c r="Q615" s="1">
        <f t="shared" ca="1" si="79"/>
        <v>11</v>
      </c>
      <c r="R615" s="1">
        <v>8.5406844871249632</v>
      </c>
    </row>
    <row r="616" spans="1:18" x14ac:dyDescent="0.3">
      <c r="A616" s="26">
        <v>615</v>
      </c>
      <c r="B616" s="1">
        <v>18</v>
      </c>
      <c r="C616" s="1">
        <f t="shared" si="75"/>
        <v>13</v>
      </c>
      <c r="D616" s="21">
        <f t="shared" ca="1" si="74"/>
        <v>44759</v>
      </c>
      <c r="E616" s="1" t="s">
        <v>26</v>
      </c>
      <c r="F616" s="1" t="s">
        <v>644</v>
      </c>
      <c r="G616" s="1" t="s">
        <v>28</v>
      </c>
      <c r="H616" s="1">
        <v>714</v>
      </c>
      <c r="I616" s="1">
        <f t="shared" si="76"/>
        <v>60</v>
      </c>
      <c r="J616" s="1">
        <f>VLOOKUP(B616,Cena!$A$2:$B$101,2)</f>
        <v>90</v>
      </c>
      <c r="K616" s="1">
        <f t="shared" si="80"/>
        <v>5400</v>
      </c>
      <c r="L616" s="1">
        <f t="shared" si="77"/>
        <v>1242</v>
      </c>
      <c r="M616" s="22">
        <f t="shared" si="81"/>
        <v>6642</v>
      </c>
      <c r="N616" s="1">
        <f t="shared" ca="1" si="78"/>
        <v>7</v>
      </c>
      <c r="P616" s="1">
        <v>60.844951248145662</v>
      </c>
      <c r="Q616" s="1">
        <f t="shared" ca="1" si="79"/>
        <v>12</v>
      </c>
      <c r="R616" s="1">
        <v>13.943659976357594</v>
      </c>
    </row>
    <row r="617" spans="1:18" x14ac:dyDescent="0.3">
      <c r="A617" s="26">
        <v>616</v>
      </c>
      <c r="B617" s="1">
        <v>24</v>
      </c>
      <c r="C617" s="1">
        <f t="shared" si="75"/>
        <v>8</v>
      </c>
      <c r="D617" s="21">
        <f t="shared" ca="1" si="74"/>
        <v>44868</v>
      </c>
      <c r="E617" s="1" t="s">
        <v>26</v>
      </c>
      <c r="F617" s="1" t="s">
        <v>645</v>
      </c>
      <c r="G617" s="1" t="s">
        <v>28</v>
      </c>
      <c r="H617" s="1">
        <v>715</v>
      </c>
      <c r="I617" s="1">
        <f t="shared" si="76"/>
        <v>44</v>
      </c>
      <c r="J617" s="1">
        <f>VLOOKUP(B617,Cena!$A$2:$B$101,2)</f>
        <v>125</v>
      </c>
      <c r="K617" s="1">
        <f t="shared" si="80"/>
        <v>5500</v>
      </c>
      <c r="L617" s="1">
        <f t="shared" si="77"/>
        <v>1265</v>
      </c>
      <c r="M617" s="22">
        <f t="shared" si="81"/>
        <v>6765</v>
      </c>
      <c r="N617" s="1">
        <f t="shared" ca="1" si="78"/>
        <v>11</v>
      </c>
      <c r="P617" s="1">
        <v>44.874906406039372</v>
      </c>
      <c r="Q617" s="1">
        <f t="shared" ca="1" si="79"/>
        <v>11</v>
      </c>
      <c r="R617" s="1">
        <v>8.2290660227590706</v>
      </c>
    </row>
    <row r="618" spans="1:18" x14ac:dyDescent="0.3">
      <c r="A618" s="26">
        <v>617</v>
      </c>
      <c r="B618" s="1">
        <v>9</v>
      </c>
      <c r="C618" s="1">
        <f t="shared" si="75"/>
        <v>10</v>
      </c>
      <c r="D618" s="21">
        <f t="shared" ca="1" si="74"/>
        <v>44844</v>
      </c>
      <c r="E618" s="1" t="s">
        <v>26</v>
      </c>
      <c r="F618" s="1" t="s">
        <v>646</v>
      </c>
      <c r="G618" s="1" t="s">
        <v>28</v>
      </c>
      <c r="H618" s="1">
        <v>716</v>
      </c>
      <c r="I618" s="1">
        <f t="shared" si="76"/>
        <v>46</v>
      </c>
      <c r="J618" s="1">
        <f>VLOOKUP(B618,Cena!$A$2:$B$101,2)</f>
        <v>96</v>
      </c>
      <c r="K618" s="1">
        <f t="shared" si="80"/>
        <v>4416</v>
      </c>
      <c r="L618" s="1">
        <f t="shared" si="77"/>
        <v>1015.6800000000001</v>
      </c>
      <c r="M618" s="22">
        <f t="shared" si="81"/>
        <v>5431.68</v>
      </c>
      <c r="N618" s="1">
        <f t="shared" ca="1" si="78"/>
        <v>10</v>
      </c>
      <c r="P618" s="1">
        <v>46.47968706995016</v>
      </c>
      <c r="Q618" s="1">
        <f t="shared" ca="1" si="79"/>
        <v>23</v>
      </c>
      <c r="R618" s="1">
        <v>10.913732378649001</v>
      </c>
    </row>
    <row r="619" spans="1:18" x14ac:dyDescent="0.3">
      <c r="A619" s="26">
        <v>618</v>
      </c>
      <c r="B619" s="1">
        <v>12</v>
      </c>
      <c r="C619" s="1">
        <f t="shared" si="75"/>
        <v>10</v>
      </c>
      <c r="D619" s="21">
        <f t="shared" ca="1" si="74"/>
        <v>44831</v>
      </c>
      <c r="E619" s="1" t="s">
        <v>26</v>
      </c>
      <c r="F619" s="1" t="s">
        <v>647</v>
      </c>
      <c r="G619" s="1" t="s">
        <v>28</v>
      </c>
      <c r="H619" s="1">
        <v>717</v>
      </c>
      <c r="I619" s="1">
        <f t="shared" si="76"/>
        <v>52</v>
      </c>
      <c r="J619" s="1">
        <f>VLOOKUP(B619,Cena!$A$2:$B$101,2)</f>
        <v>88</v>
      </c>
      <c r="K619" s="1">
        <f t="shared" si="80"/>
        <v>4576</v>
      </c>
      <c r="L619" s="1">
        <f t="shared" si="77"/>
        <v>1052.48</v>
      </c>
      <c r="M619" s="22">
        <f t="shared" si="81"/>
        <v>5628.48</v>
      </c>
      <c r="N619" s="1">
        <f t="shared" ca="1" si="78"/>
        <v>9</v>
      </c>
      <c r="P619" s="1">
        <v>52.062006387859583</v>
      </c>
      <c r="Q619" s="1">
        <f t="shared" ca="1" si="79"/>
        <v>15</v>
      </c>
      <c r="R619" s="1">
        <v>10.651908749205177</v>
      </c>
    </row>
    <row r="620" spans="1:18" x14ac:dyDescent="0.3">
      <c r="A620" s="26">
        <v>619</v>
      </c>
      <c r="B620" s="1">
        <v>4</v>
      </c>
      <c r="C620" s="1">
        <f t="shared" si="75"/>
        <v>10</v>
      </c>
      <c r="D620" s="21">
        <f t="shared" ca="1" si="74"/>
        <v>44596</v>
      </c>
      <c r="E620" s="1" t="s">
        <v>26</v>
      </c>
      <c r="F620" s="1" t="s">
        <v>648</v>
      </c>
      <c r="G620" s="1" t="s">
        <v>28</v>
      </c>
      <c r="H620" s="1">
        <v>718</v>
      </c>
      <c r="I620" s="1">
        <f t="shared" si="76"/>
        <v>51</v>
      </c>
      <c r="J620" s="1">
        <f>VLOOKUP(B620,Cena!$A$2:$B$101,2)</f>
        <v>99</v>
      </c>
      <c r="K620" s="1">
        <f t="shared" si="80"/>
        <v>5049</v>
      </c>
      <c r="L620" s="1">
        <f t="shared" si="77"/>
        <v>1161.27</v>
      </c>
      <c r="M620" s="22">
        <f t="shared" si="81"/>
        <v>6210.27</v>
      </c>
      <c r="N620" s="1">
        <f t="shared" ca="1" si="78"/>
        <v>2</v>
      </c>
      <c r="P620" s="1">
        <v>51.701471319393022</v>
      </c>
      <c r="Q620" s="1">
        <f t="shared" ca="1" si="79"/>
        <v>9</v>
      </c>
      <c r="R620" s="1">
        <v>10.384676468456746</v>
      </c>
    </row>
    <row r="621" spans="1:18" x14ac:dyDescent="0.3">
      <c r="A621" s="26">
        <v>620</v>
      </c>
      <c r="B621" s="1">
        <v>24</v>
      </c>
      <c r="C621" s="1">
        <f t="shared" si="75"/>
        <v>10</v>
      </c>
      <c r="D621" s="21">
        <f t="shared" ca="1" si="74"/>
        <v>44861</v>
      </c>
      <c r="E621" s="1" t="s">
        <v>26</v>
      </c>
      <c r="F621" s="1" t="s">
        <v>649</v>
      </c>
      <c r="G621" s="1" t="s">
        <v>28</v>
      </c>
      <c r="H621" s="1">
        <v>719</v>
      </c>
      <c r="I621" s="1">
        <f t="shared" si="76"/>
        <v>55</v>
      </c>
      <c r="J621" s="1">
        <f>VLOOKUP(B621,Cena!$A$2:$B$101,2)</f>
        <v>125</v>
      </c>
      <c r="K621" s="1">
        <f t="shared" si="80"/>
        <v>6875</v>
      </c>
      <c r="L621" s="1">
        <f t="shared" si="77"/>
        <v>1581.25</v>
      </c>
      <c r="M621" s="22">
        <f t="shared" si="81"/>
        <v>8456.25</v>
      </c>
      <c r="N621" s="1">
        <f t="shared" ca="1" si="78"/>
        <v>10</v>
      </c>
      <c r="P621" s="1">
        <v>55.29771568835713</v>
      </c>
      <c r="Q621" s="1">
        <f t="shared" ca="1" si="79"/>
        <v>27</v>
      </c>
      <c r="R621" s="1">
        <v>10.775827402321738</v>
      </c>
    </row>
    <row r="622" spans="1:18" x14ac:dyDescent="0.3">
      <c r="A622" s="26">
        <v>621</v>
      </c>
      <c r="B622" s="1">
        <v>18</v>
      </c>
      <c r="C622" s="1">
        <f t="shared" si="75"/>
        <v>11</v>
      </c>
      <c r="D622" s="21">
        <f t="shared" ca="1" si="74"/>
        <v>44672</v>
      </c>
      <c r="E622" s="1" t="s">
        <v>26</v>
      </c>
      <c r="F622" s="1" t="s">
        <v>650</v>
      </c>
      <c r="G622" s="1" t="s">
        <v>28</v>
      </c>
      <c r="H622" s="1">
        <v>720</v>
      </c>
      <c r="I622" s="1">
        <f t="shared" si="76"/>
        <v>48</v>
      </c>
      <c r="J622" s="1">
        <f>VLOOKUP(B622,Cena!$A$2:$B$101,2)</f>
        <v>90</v>
      </c>
      <c r="K622" s="1">
        <f t="shared" si="80"/>
        <v>4320</v>
      </c>
      <c r="L622" s="1">
        <f t="shared" si="77"/>
        <v>993.6</v>
      </c>
      <c r="M622" s="22">
        <f t="shared" si="81"/>
        <v>5313.6</v>
      </c>
      <c r="N622" s="1">
        <f t="shared" ca="1" si="78"/>
        <v>4</v>
      </c>
      <c r="P622" s="1">
        <v>48.85345687289373</v>
      </c>
      <c r="Q622" s="1">
        <f t="shared" ca="1" si="79"/>
        <v>23</v>
      </c>
      <c r="R622" s="1">
        <v>11.89072011380631</v>
      </c>
    </row>
    <row r="623" spans="1:18" x14ac:dyDescent="0.3">
      <c r="A623" s="26">
        <v>622</v>
      </c>
      <c r="B623" s="1">
        <v>12</v>
      </c>
      <c r="C623" s="1">
        <f t="shared" si="75"/>
        <v>9</v>
      </c>
      <c r="D623" s="21">
        <f t="shared" ca="1" si="74"/>
        <v>44685</v>
      </c>
      <c r="E623" s="1" t="s">
        <v>26</v>
      </c>
      <c r="F623" s="1" t="s">
        <v>651</v>
      </c>
      <c r="G623" s="1" t="s">
        <v>28</v>
      </c>
      <c r="H623" s="1">
        <v>721</v>
      </c>
      <c r="I623" s="1">
        <f t="shared" si="76"/>
        <v>65</v>
      </c>
      <c r="J623" s="1">
        <f>VLOOKUP(B623,Cena!$A$2:$B$101,2)</f>
        <v>88</v>
      </c>
      <c r="K623" s="1">
        <f t="shared" si="80"/>
        <v>5720</v>
      </c>
      <c r="L623" s="1">
        <f t="shared" si="77"/>
        <v>1315.6000000000001</v>
      </c>
      <c r="M623" s="22">
        <f t="shared" si="81"/>
        <v>7035.6</v>
      </c>
      <c r="N623" s="1">
        <f t="shared" ca="1" si="78"/>
        <v>5</v>
      </c>
      <c r="P623" s="1">
        <v>65.318755686166696</v>
      </c>
      <c r="Q623" s="1">
        <f t="shared" ca="1" si="79"/>
        <v>28</v>
      </c>
      <c r="R623" s="1">
        <v>9.2500193002342712</v>
      </c>
    </row>
    <row r="624" spans="1:18" x14ac:dyDescent="0.3">
      <c r="A624" s="26">
        <v>623</v>
      </c>
      <c r="B624" s="1">
        <v>19</v>
      </c>
      <c r="C624" s="1">
        <f t="shared" si="75"/>
        <v>10</v>
      </c>
      <c r="D624" s="21">
        <f t="shared" ca="1" si="74"/>
        <v>44900</v>
      </c>
      <c r="E624" s="1" t="s">
        <v>26</v>
      </c>
      <c r="F624" s="1" t="s">
        <v>652</v>
      </c>
      <c r="G624" s="1" t="s">
        <v>28</v>
      </c>
      <c r="H624" s="1">
        <v>722</v>
      </c>
      <c r="I624" s="1">
        <f t="shared" si="76"/>
        <v>39</v>
      </c>
      <c r="J624" s="1">
        <f>VLOOKUP(B624,Cena!$A$2:$B$101,2)</f>
        <v>84</v>
      </c>
      <c r="K624" s="1">
        <f t="shared" si="80"/>
        <v>3276</v>
      </c>
      <c r="L624" s="1">
        <f t="shared" si="77"/>
        <v>753.48</v>
      </c>
      <c r="M624" s="22">
        <f t="shared" si="81"/>
        <v>4029.48</v>
      </c>
      <c r="N624" s="1">
        <f t="shared" ca="1" si="78"/>
        <v>12</v>
      </c>
      <c r="P624" s="1">
        <v>39.546176948351786</v>
      </c>
      <c r="Q624" s="1">
        <f t="shared" ca="1" si="79"/>
        <v>7</v>
      </c>
      <c r="R624" s="1">
        <v>10.891279228198982</v>
      </c>
    </row>
    <row r="625" spans="1:18" x14ac:dyDescent="0.3">
      <c r="A625" s="26">
        <v>624</v>
      </c>
      <c r="B625" s="1">
        <v>30</v>
      </c>
      <c r="C625" s="1">
        <f t="shared" si="75"/>
        <v>8</v>
      </c>
      <c r="D625" s="21">
        <f t="shared" ca="1" si="74"/>
        <v>44721</v>
      </c>
      <c r="E625" s="1" t="s">
        <v>26</v>
      </c>
      <c r="F625" s="1" t="s">
        <v>653</v>
      </c>
      <c r="G625" s="1" t="s">
        <v>28</v>
      </c>
      <c r="H625" s="1">
        <v>723</v>
      </c>
      <c r="I625" s="1">
        <f t="shared" si="76"/>
        <v>47</v>
      </c>
      <c r="J625" s="1">
        <f>VLOOKUP(B625,Cena!$A$2:$B$101,2)</f>
        <v>87</v>
      </c>
      <c r="K625" s="1">
        <f t="shared" si="80"/>
        <v>4089</v>
      </c>
      <c r="L625" s="1">
        <f t="shared" si="77"/>
        <v>940.47</v>
      </c>
      <c r="M625" s="22">
        <f t="shared" si="81"/>
        <v>5029.47</v>
      </c>
      <c r="N625" s="1">
        <f t="shared" ca="1" si="78"/>
        <v>6</v>
      </c>
      <c r="P625" s="1">
        <v>47.384452399273869</v>
      </c>
      <c r="Q625" s="1">
        <f t="shared" ca="1" si="79"/>
        <v>16</v>
      </c>
      <c r="R625" s="1">
        <v>8.6771115345618455</v>
      </c>
    </row>
    <row r="626" spans="1:18" x14ac:dyDescent="0.3">
      <c r="A626" s="26">
        <v>625</v>
      </c>
      <c r="B626" s="1">
        <v>14</v>
      </c>
      <c r="C626" s="1">
        <f t="shared" si="75"/>
        <v>10</v>
      </c>
      <c r="D626" s="21">
        <f t="shared" ca="1" si="74"/>
        <v>44620</v>
      </c>
      <c r="E626" s="1" t="s">
        <v>26</v>
      </c>
      <c r="F626" s="1" t="s">
        <v>654</v>
      </c>
      <c r="G626" s="1" t="s">
        <v>28</v>
      </c>
      <c r="H626" s="1">
        <v>724</v>
      </c>
      <c r="I626" s="1">
        <f t="shared" si="76"/>
        <v>64</v>
      </c>
      <c r="J626" s="1">
        <f>VLOOKUP(B626,Cena!$A$2:$B$101,2)</f>
        <v>129</v>
      </c>
      <c r="K626" s="1">
        <f t="shared" si="80"/>
        <v>8256</v>
      </c>
      <c r="L626" s="1">
        <f t="shared" si="77"/>
        <v>1898.88</v>
      </c>
      <c r="M626" s="22">
        <f t="shared" si="81"/>
        <v>10154.880000000001</v>
      </c>
      <c r="N626" s="1">
        <f t="shared" ca="1" si="78"/>
        <v>2</v>
      </c>
      <c r="P626" s="1">
        <v>64.768602341064252</v>
      </c>
      <c r="Q626" s="1">
        <f t="shared" ca="1" si="79"/>
        <v>5</v>
      </c>
      <c r="R626" s="1">
        <v>10.241823272517649</v>
      </c>
    </row>
    <row r="627" spans="1:18" x14ac:dyDescent="0.3">
      <c r="A627" s="26">
        <v>626</v>
      </c>
      <c r="B627" s="1">
        <v>24</v>
      </c>
      <c r="C627" s="1">
        <f t="shared" si="75"/>
        <v>7</v>
      </c>
      <c r="D627" s="21">
        <f t="shared" ca="1" si="74"/>
        <v>44801</v>
      </c>
      <c r="E627" s="1" t="s">
        <v>26</v>
      </c>
      <c r="F627" s="1" t="s">
        <v>655</v>
      </c>
      <c r="G627" s="1" t="s">
        <v>28</v>
      </c>
      <c r="H627" s="1">
        <v>725</v>
      </c>
      <c r="I627" s="1">
        <f t="shared" si="76"/>
        <v>42</v>
      </c>
      <c r="J627" s="1">
        <f>VLOOKUP(B627,Cena!$A$2:$B$101,2)</f>
        <v>125</v>
      </c>
      <c r="K627" s="1">
        <f t="shared" si="80"/>
        <v>5250</v>
      </c>
      <c r="L627" s="1">
        <f t="shared" si="77"/>
        <v>1207.5</v>
      </c>
      <c r="M627" s="22">
        <f t="shared" si="81"/>
        <v>6457.5</v>
      </c>
      <c r="N627" s="1">
        <f t="shared" ca="1" si="78"/>
        <v>8</v>
      </c>
      <c r="P627" s="1">
        <v>42.28039087029174</v>
      </c>
      <c r="Q627" s="1">
        <f t="shared" ca="1" si="79"/>
        <v>19</v>
      </c>
      <c r="R627" s="1">
        <v>7.2756427268905099</v>
      </c>
    </row>
    <row r="628" spans="1:18" x14ac:dyDescent="0.3">
      <c r="A628" s="26">
        <v>627</v>
      </c>
      <c r="B628" s="1">
        <v>25</v>
      </c>
      <c r="C628" s="1">
        <f t="shared" si="75"/>
        <v>14</v>
      </c>
      <c r="D628" s="21">
        <f t="shared" ca="1" si="74"/>
        <v>44903</v>
      </c>
      <c r="E628" s="1" t="s">
        <v>26</v>
      </c>
      <c r="F628" s="1" t="s">
        <v>656</v>
      </c>
      <c r="G628" s="1" t="s">
        <v>28</v>
      </c>
      <c r="H628" s="1">
        <v>726</v>
      </c>
      <c r="I628" s="1">
        <f t="shared" si="76"/>
        <v>73</v>
      </c>
      <c r="J628" s="1">
        <f>VLOOKUP(B628,Cena!$A$2:$B$101,2)</f>
        <v>108</v>
      </c>
      <c r="K628" s="1">
        <f t="shared" si="80"/>
        <v>7884</v>
      </c>
      <c r="L628" s="1">
        <f t="shared" si="77"/>
        <v>1813.3200000000002</v>
      </c>
      <c r="M628" s="22">
        <f t="shared" si="81"/>
        <v>9697.32</v>
      </c>
      <c r="N628" s="1">
        <f t="shared" ca="1" si="78"/>
        <v>12</v>
      </c>
      <c r="P628" s="1">
        <v>73.580287233926356</v>
      </c>
      <c r="Q628" s="1">
        <f t="shared" ca="1" si="79"/>
        <v>26</v>
      </c>
      <c r="R628" s="1">
        <v>14.482069471123395</v>
      </c>
    </row>
    <row r="629" spans="1:18" x14ac:dyDescent="0.3">
      <c r="A629" s="26">
        <v>628</v>
      </c>
      <c r="B629" s="1">
        <v>23</v>
      </c>
      <c r="C629" s="1">
        <f t="shared" si="75"/>
        <v>9</v>
      </c>
      <c r="D629" s="21">
        <f t="shared" ca="1" si="74"/>
        <v>44669</v>
      </c>
      <c r="E629" s="1" t="s">
        <v>26</v>
      </c>
      <c r="F629" s="1" t="s">
        <v>657</v>
      </c>
      <c r="G629" s="1" t="s">
        <v>28</v>
      </c>
      <c r="H629" s="1">
        <v>727</v>
      </c>
      <c r="I629" s="1">
        <f t="shared" si="76"/>
        <v>45</v>
      </c>
      <c r="J629" s="1">
        <f>VLOOKUP(B629,Cena!$A$2:$B$101,2)</f>
        <v>132</v>
      </c>
      <c r="K629" s="1">
        <f t="shared" si="80"/>
        <v>5940</v>
      </c>
      <c r="L629" s="1">
        <f t="shared" si="77"/>
        <v>1366.2</v>
      </c>
      <c r="M629" s="22">
        <f t="shared" si="81"/>
        <v>7306.2</v>
      </c>
      <c r="N629" s="1">
        <f t="shared" ca="1" si="78"/>
        <v>4</v>
      </c>
      <c r="P629" s="1">
        <v>45.51380369666731</v>
      </c>
      <c r="Q629" s="1">
        <f t="shared" ca="1" si="79"/>
        <v>22</v>
      </c>
      <c r="R629" s="1">
        <v>9.1376000707532512</v>
      </c>
    </row>
    <row r="630" spans="1:18" x14ac:dyDescent="0.3">
      <c r="A630" s="26">
        <v>629</v>
      </c>
      <c r="B630" s="1">
        <v>11</v>
      </c>
      <c r="C630" s="1">
        <f t="shared" si="75"/>
        <v>11</v>
      </c>
      <c r="D630" s="21">
        <f t="shared" ca="1" si="74"/>
        <v>44836</v>
      </c>
      <c r="E630" s="1" t="s">
        <v>26</v>
      </c>
      <c r="F630" s="1" t="s">
        <v>658</v>
      </c>
      <c r="G630" s="1" t="s">
        <v>28</v>
      </c>
      <c r="H630" s="1">
        <v>728</v>
      </c>
      <c r="I630" s="1">
        <f t="shared" si="76"/>
        <v>40</v>
      </c>
      <c r="J630" s="1">
        <f>VLOOKUP(B630,Cena!$A$2:$B$101,2)</f>
        <v>83</v>
      </c>
      <c r="K630" s="1">
        <f t="shared" si="80"/>
        <v>3320</v>
      </c>
      <c r="L630" s="1">
        <f t="shared" si="77"/>
        <v>763.6</v>
      </c>
      <c r="M630" s="22">
        <f t="shared" si="81"/>
        <v>4083.6</v>
      </c>
      <c r="N630" s="1">
        <f t="shared" ca="1" si="78"/>
        <v>10</v>
      </c>
      <c r="P630" s="1">
        <v>40.243418324098457</v>
      </c>
      <c r="Q630" s="1">
        <f t="shared" ca="1" si="79"/>
        <v>12</v>
      </c>
      <c r="R630" s="1">
        <v>11.905516455735778</v>
      </c>
    </row>
    <row r="631" spans="1:18" x14ac:dyDescent="0.3">
      <c r="A631" s="26">
        <v>630</v>
      </c>
      <c r="B631" s="1">
        <v>1</v>
      </c>
      <c r="C631" s="1">
        <f t="shared" si="75"/>
        <v>9</v>
      </c>
      <c r="D631" s="21">
        <f t="shared" ca="1" si="74"/>
        <v>44692</v>
      </c>
      <c r="E631" s="1" t="s">
        <v>26</v>
      </c>
      <c r="F631" s="1" t="s">
        <v>659</v>
      </c>
      <c r="G631" s="1" t="s">
        <v>28</v>
      </c>
      <c r="H631" s="1">
        <v>729</v>
      </c>
      <c r="I631" s="1">
        <f t="shared" si="76"/>
        <v>42</v>
      </c>
      <c r="J631" s="1">
        <f>VLOOKUP(B631,Cena!$A$2:$B$101,2)</f>
        <v>84</v>
      </c>
      <c r="K631" s="1">
        <f t="shared" si="80"/>
        <v>3528</v>
      </c>
      <c r="L631" s="1">
        <f t="shared" si="77"/>
        <v>811.44</v>
      </c>
      <c r="M631" s="22">
        <f t="shared" si="81"/>
        <v>4339.4400000000005</v>
      </c>
      <c r="N631" s="1">
        <f t="shared" ca="1" si="78"/>
        <v>5</v>
      </c>
      <c r="P631" s="1">
        <v>42.993730302259792</v>
      </c>
      <c r="Q631" s="1">
        <f t="shared" ca="1" si="79"/>
        <v>5</v>
      </c>
      <c r="R631" s="1">
        <v>9.6008057223662036</v>
      </c>
    </row>
    <row r="632" spans="1:18" x14ac:dyDescent="0.3">
      <c r="A632" s="26">
        <v>631</v>
      </c>
      <c r="B632" s="1">
        <v>10</v>
      </c>
      <c r="C632" s="1">
        <f t="shared" si="75"/>
        <v>5</v>
      </c>
      <c r="D632" s="21">
        <f t="shared" ca="1" si="74"/>
        <v>44639</v>
      </c>
      <c r="E632" s="1" t="s">
        <v>26</v>
      </c>
      <c r="F632" s="1" t="s">
        <v>660</v>
      </c>
      <c r="G632" s="1" t="s">
        <v>28</v>
      </c>
      <c r="H632" s="1">
        <v>730</v>
      </c>
      <c r="I632" s="1">
        <f t="shared" si="76"/>
        <v>46</v>
      </c>
      <c r="J632" s="1">
        <f>VLOOKUP(B632,Cena!$A$2:$B$101,2)</f>
        <v>109</v>
      </c>
      <c r="K632" s="1">
        <f t="shared" si="80"/>
        <v>5014</v>
      </c>
      <c r="L632" s="1">
        <f t="shared" si="77"/>
        <v>1153.22</v>
      </c>
      <c r="M632" s="22">
        <f t="shared" si="81"/>
        <v>6167.22</v>
      </c>
      <c r="N632" s="1">
        <f t="shared" ca="1" si="78"/>
        <v>3</v>
      </c>
      <c r="P632" s="1">
        <v>46.247572653373936</v>
      </c>
      <c r="Q632" s="1">
        <f t="shared" ca="1" si="79"/>
        <v>17</v>
      </c>
      <c r="R632" s="1">
        <v>5.4654413159005344</v>
      </c>
    </row>
    <row r="633" spans="1:18" x14ac:dyDescent="0.3">
      <c r="A633" s="26">
        <v>632</v>
      </c>
      <c r="B633" s="1">
        <v>30</v>
      </c>
      <c r="C633" s="1">
        <f t="shared" si="75"/>
        <v>8</v>
      </c>
      <c r="D633" s="21">
        <f t="shared" ca="1" si="74"/>
        <v>44882</v>
      </c>
      <c r="E633" s="1" t="s">
        <v>26</v>
      </c>
      <c r="F633" s="1" t="s">
        <v>661</v>
      </c>
      <c r="G633" s="1" t="s">
        <v>28</v>
      </c>
      <c r="H633" s="1">
        <v>731</v>
      </c>
      <c r="I633" s="1">
        <f t="shared" si="76"/>
        <v>39</v>
      </c>
      <c r="J633" s="1">
        <f>VLOOKUP(B633,Cena!$A$2:$B$101,2)</f>
        <v>87</v>
      </c>
      <c r="K633" s="1">
        <f t="shared" si="80"/>
        <v>3393</v>
      </c>
      <c r="L633" s="1">
        <f t="shared" si="77"/>
        <v>780.39</v>
      </c>
      <c r="M633" s="22">
        <f t="shared" si="81"/>
        <v>4173.3900000000003</v>
      </c>
      <c r="N633" s="1">
        <f t="shared" ca="1" si="78"/>
        <v>11</v>
      </c>
      <c r="P633" s="1">
        <v>39.347270457074046</v>
      </c>
      <c r="Q633" s="1">
        <f t="shared" ca="1" si="79"/>
        <v>2</v>
      </c>
      <c r="R633" s="1">
        <v>8.065459294593893</v>
      </c>
    </row>
    <row r="634" spans="1:18" x14ac:dyDescent="0.3">
      <c r="A634" s="26">
        <v>633</v>
      </c>
      <c r="B634" s="1">
        <v>11</v>
      </c>
      <c r="C634" s="1">
        <f t="shared" si="75"/>
        <v>6</v>
      </c>
      <c r="D634" s="21">
        <f t="shared" ca="1" si="74"/>
        <v>44662</v>
      </c>
      <c r="E634" s="1" t="s">
        <v>26</v>
      </c>
      <c r="F634" s="1" t="s">
        <v>662</v>
      </c>
      <c r="G634" s="1" t="s">
        <v>28</v>
      </c>
      <c r="H634" s="1">
        <v>732</v>
      </c>
      <c r="I634" s="1">
        <f t="shared" si="76"/>
        <v>48</v>
      </c>
      <c r="J634" s="1">
        <f>VLOOKUP(B634,Cena!$A$2:$B$101,2)</f>
        <v>83</v>
      </c>
      <c r="K634" s="1">
        <f t="shared" si="80"/>
        <v>3984</v>
      </c>
      <c r="L634" s="1">
        <f t="shared" si="77"/>
        <v>916.32</v>
      </c>
      <c r="M634" s="22">
        <f t="shared" si="81"/>
        <v>4900.32</v>
      </c>
      <c r="N634" s="1">
        <f t="shared" ca="1" si="78"/>
        <v>4</v>
      </c>
      <c r="P634" s="1">
        <v>48.247290022845846</v>
      </c>
      <c r="Q634" s="1">
        <f t="shared" ca="1" si="79"/>
        <v>13</v>
      </c>
      <c r="R634" s="1">
        <v>6.7312703574862098</v>
      </c>
    </row>
    <row r="635" spans="1:18" x14ac:dyDescent="0.3">
      <c r="A635" s="26">
        <v>634</v>
      </c>
      <c r="B635" s="1">
        <v>6</v>
      </c>
      <c r="C635" s="1">
        <f t="shared" si="75"/>
        <v>10</v>
      </c>
      <c r="D635" s="21">
        <f t="shared" ca="1" si="74"/>
        <v>44914</v>
      </c>
      <c r="E635" s="1" t="s">
        <v>26</v>
      </c>
      <c r="F635" s="1" t="s">
        <v>663</v>
      </c>
      <c r="G635" s="1" t="s">
        <v>28</v>
      </c>
      <c r="H635" s="1">
        <v>733</v>
      </c>
      <c r="I635" s="1">
        <f t="shared" si="76"/>
        <v>22</v>
      </c>
      <c r="J635" s="1">
        <f>VLOOKUP(B635,Cena!$A$2:$B$101,2)</f>
        <v>86</v>
      </c>
      <c r="K635" s="1">
        <f t="shared" si="80"/>
        <v>1892</v>
      </c>
      <c r="L635" s="1">
        <f t="shared" si="77"/>
        <v>435.16</v>
      </c>
      <c r="M635" s="22">
        <f t="shared" si="81"/>
        <v>2327.16</v>
      </c>
      <c r="N635" s="1">
        <f t="shared" ca="1" si="78"/>
        <v>12</v>
      </c>
      <c r="P635" s="1">
        <v>22.862860886380076</v>
      </c>
      <c r="Q635" s="1">
        <f t="shared" ca="1" si="79"/>
        <v>15</v>
      </c>
      <c r="R635" s="1">
        <v>10.451390747002733</v>
      </c>
    </row>
    <row r="636" spans="1:18" x14ac:dyDescent="0.3">
      <c r="A636" s="26">
        <v>635</v>
      </c>
      <c r="B636" s="1">
        <v>12</v>
      </c>
      <c r="C636" s="1">
        <f t="shared" si="75"/>
        <v>7</v>
      </c>
      <c r="D636" s="21">
        <f t="shared" ca="1" si="74"/>
        <v>44899</v>
      </c>
      <c r="E636" s="1" t="s">
        <v>26</v>
      </c>
      <c r="F636" s="1" t="s">
        <v>664</v>
      </c>
      <c r="G636" s="1" t="s">
        <v>28</v>
      </c>
      <c r="H636" s="1">
        <v>734</v>
      </c>
      <c r="I636" s="1">
        <f t="shared" si="76"/>
        <v>44</v>
      </c>
      <c r="J636" s="1">
        <f>VLOOKUP(B636,Cena!$A$2:$B$101,2)</f>
        <v>88</v>
      </c>
      <c r="K636" s="1">
        <f t="shared" si="80"/>
        <v>3872</v>
      </c>
      <c r="L636" s="1">
        <f t="shared" si="77"/>
        <v>890.56000000000006</v>
      </c>
      <c r="M636" s="22">
        <f t="shared" si="81"/>
        <v>4762.5600000000004</v>
      </c>
      <c r="N636" s="1">
        <f t="shared" ca="1" si="78"/>
        <v>12</v>
      </c>
      <c r="P636" s="1">
        <v>44.080894794024061</v>
      </c>
      <c r="Q636" s="1">
        <f t="shared" ca="1" si="79"/>
        <v>4</v>
      </c>
      <c r="R636" s="1">
        <v>7.397418383116019</v>
      </c>
    </row>
    <row r="637" spans="1:18" x14ac:dyDescent="0.3">
      <c r="A637" s="26">
        <v>636</v>
      </c>
      <c r="B637" s="1">
        <v>14</v>
      </c>
      <c r="C637" s="1">
        <f t="shared" si="75"/>
        <v>14</v>
      </c>
      <c r="D637" s="21">
        <f t="shared" ca="1" si="74"/>
        <v>44608</v>
      </c>
      <c r="E637" s="1" t="s">
        <v>26</v>
      </c>
      <c r="F637" s="1" t="s">
        <v>665</v>
      </c>
      <c r="G637" s="1" t="s">
        <v>28</v>
      </c>
      <c r="H637" s="1">
        <v>735</v>
      </c>
      <c r="I637" s="1">
        <f t="shared" si="76"/>
        <v>36</v>
      </c>
      <c r="J637" s="1">
        <f>VLOOKUP(B637,Cena!$A$2:$B$101,2)</f>
        <v>129</v>
      </c>
      <c r="K637" s="1">
        <f t="shared" si="80"/>
        <v>4644</v>
      </c>
      <c r="L637" s="1">
        <f t="shared" si="77"/>
        <v>1068.1200000000001</v>
      </c>
      <c r="M637" s="22">
        <f t="shared" si="81"/>
        <v>5712.12</v>
      </c>
      <c r="N637" s="1">
        <f t="shared" ca="1" si="78"/>
        <v>2</v>
      </c>
      <c r="P637" s="1">
        <v>36.930470186052844</v>
      </c>
      <c r="Q637" s="1">
        <f t="shared" ca="1" si="79"/>
        <v>29</v>
      </c>
      <c r="R637" s="1">
        <v>14.028879629913718</v>
      </c>
    </row>
    <row r="638" spans="1:18" x14ac:dyDescent="0.3">
      <c r="A638" s="26">
        <v>637</v>
      </c>
      <c r="B638" s="1">
        <v>19</v>
      </c>
      <c r="C638" s="1">
        <f t="shared" si="75"/>
        <v>12</v>
      </c>
      <c r="D638" s="21">
        <f t="shared" ca="1" si="74"/>
        <v>44695</v>
      </c>
      <c r="E638" s="1" t="s">
        <v>26</v>
      </c>
      <c r="F638" s="1" t="s">
        <v>666</v>
      </c>
      <c r="G638" s="1" t="s">
        <v>28</v>
      </c>
      <c r="H638" s="1">
        <v>736</v>
      </c>
      <c r="I638" s="1">
        <f t="shared" si="76"/>
        <v>46</v>
      </c>
      <c r="J638" s="1">
        <f>VLOOKUP(B638,Cena!$A$2:$B$101,2)</f>
        <v>84</v>
      </c>
      <c r="K638" s="1">
        <f t="shared" si="80"/>
        <v>3864</v>
      </c>
      <c r="L638" s="1">
        <f t="shared" si="77"/>
        <v>888.72</v>
      </c>
      <c r="M638" s="22">
        <f t="shared" si="81"/>
        <v>4752.72</v>
      </c>
      <c r="N638" s="1">
        <f t="shared" ca="1" si="78"/>
        <v>5</v>
      </c>
      <c r="P638" s="1">
        <v>46.709107108472381</v>
      </c>
      <c r="Q638" s="1">
        <f t="shared" ca="1" si="79"/>
        <v>12</v>
      </c>
      <c r="R638" s="1">
        <v>12.349889882680145</v>
      </c>
    </row>
    <row r="639" spans="1:18" x14ac:dyDescent="0.3">
      <c r="A639" s="26">
        <v>638</v>
      </c>
      <c r="B639" s="1">
        <v>26</v>
      </c>
      <c r="C639" s="1">
        <f t="shared" si="75"/>
        <v>8</v>
      </c>
      <c r="D639" s="21">
        <f t="shared" ca="1" si="74"/>
        <v>44769</v>
      </c>
      <c r="E639" s="1" t="s">
        <v>26</v>
      </c>
      <c r="F639" s="1" t="s">
        <v>667</v>
      </c>
      <c r="G639" s="1" t="s">
        <v>28</v>
      </c>
      <c r="H639" s="1">
        <v>737</v>
      </c>
      <c r="I639" s="1">
        <f t="shared" si="76"/>
        <v>62</v>
      </c>
      <c r="J639" s="1">
        <f>VLOOKUP(B639,Cena!$A$2:$B$101,2)</f>
        <v>99</v>
      </c>
      <c r="K639" s="1">
        <f t="shared" si="80"/>
        <v>6138</v>
      </c>
      <c r="L639" s="1">
        <f t="shared" si="77"/>
        <v>1411.74</v>
      </c>
      <c r="M639" s="22">
        <f t="shared" si="81"/>
        <v>7549.74</v>
      </c>
      <c r="N639" s="1">
        <f t="shared" ca="1" si="78"/>
        <v>7</v>
      </c>
      <c r="P639" s="1">
        <v>62.862074072472751</v>
      </c>
      <c r="Q639" s="1">
        <f t="shared" ca="1" si="79"/>
        <v>13</v>
      </c>
      <c r="R639" s="1">
        <v>8.5934266533149639</v>
      </c>
    </row>
    <row r="640" spans="1:18" x14ac:dyDescent="0.3">
      <c r="A640" s="26">
        <v>639</v>
      </c>
      <c r="B640" s="1">
        <v>23</v>
      </c>
      <c r="C640" s="1">
        <f t="shared" si="75"/>
        <v>9</v>
      </c>
      <c r="D640" s="21">
        <f t="shared" ca="1" si="74"/>
        <v>44751</v>
      </c>
      <c r="E640" s="1" t="s">
        <v>26</v>
      </c>
      <c r="F640" s="1" t="s">
        <v>668</v>
      </c>
      <c r="G640" s="1" t="s">
        <v>28</v>
      </c>
      <c r="H640" s="1">
        <v>738</v>
      </c>
      <c r="I640" s="1">
        <f t="shared" si="76"/>
        <v>36</v>
      </c>
      <c r="J640" s="1">
        <f>VLOOKUP(B640,Cena!$A$2:$B$101,2)</f>
        <v>132</v>
      </c>
      <c r="K640" s="1">
        <f t="shared" si="80"/>
        <v>4752</v>
      </c>
      <c r="L640" s="1">
        <f t="shared" si="77"/>
        <v>1092.96</v>
      </c>
      <c r="M640" s="22">
        <f t="shared" si="81"/>
        <v>5844.96</v>
      </c>
      <c r="N640" s="1">
        <f t="shared" ca="1" si="78"/>
        <v>7</v>
      </c>
      <c r="P640" s="1">
        <v>36.744933266891167</v>
      </c>
      <c r="Q640" s="1">
        <f t="shared" ca="1" si="79"/>
        <v>3</v>
      </c>
      <c r="R640" s="1">
        <v>9.0520365145130199</v>
      </c>
    </row>
    <row r="641" spans="1:18" x14ac:dyDescent="0.3">
      <c r="A641" s="26">
        <v>640</v>
      </c>
      <c r="B641" s="1">
        <v>16</v>
      </c>
      <c r="C641" s="1">
        <f t="shared" si="75"/>
        <v>6</v>
      </c>
      <c r="D641" s="21">
        <f t="shared" ca="1" si="74"/>
        <v>44923</v>
      </c>
      <c r="E641" s="1" t="s">
        <v>26</v>
      </c>
      <c r="F641" s="1" t="s">
        <v>669</v>
      </c>
      <c r="G641" s="1" t="s">
        <v>28</v>
      </c>
      <c r="H641" s="1">
        <v>739</v>
      </c>
      <c r="I641" s="1">
        <f t="shared" si="76"/>
        <v>38</v>
      </c>
      <c r="J641" s="1">
        <f>VLOOKUP(B641,Cena!$A$2:$B$101,2)</f>
        <v>93</v>
      </c>
      <c r="K641" s="1">
        <f t="shared" si="80"/>
        <v>3534</v>
      </c>
      <c r="L641" s="1">
        <f t="shared" si="77"/>
        <v>812.82</v>
      </c>
      <c r="M641" s="22">
        <f t="shared" si="81"/>
        <v>4346.82</v>
      </c>
      <c r="N641" s="1">
        <f t="shared" ca="1" si="78"/>
        <v>12</v>
      </c>
      <c r="P641" s="1">
        <v>38.602780831570271</v>
      </c>
      <c r="Q641" s="1">
        <f t="shared" ca="1" si="79"/>
        <v>12</v>
      </c>
      <c r="R641" s="1">
        <v>6.359974829829298</v>
      </c>
    </row>
    <row r="642" spans="1:18" x14ac:dyDescent="0.3">
      <c r="A642" s="26">
        <v>641</v>
      </c>
      <c r="B642" s="1">
        <v>7</v>
      </c>
      <c r="C642" s="1">
        <f t="shared" si="75"/>
        <v>13</v>
      </c>
      <c r="D642" s="21">
        <f t="shared" ref="D642:D705" ca="1" si="82">DATE(2022,RANDBETWEEN(1,12),RANDBETWEEN(1,28))</f>
        <v>44759</v>
      </c>
      <c r="E642" s="1" t="s">
        <v>26</v>
      </c>
      <c r="F642" s="1" t="s">
        <v>670</v>
      </c>
      <c r="G642" s="1" t="s">
        <v>28</v>
      </c>
      <c r="H642" s="1">
        <v>740</v>
      </c>
      <c r="I642" s="1">
        <f t="shared" si="76"/>
        <v>59</v>
      </c>
      <c r="J642" s="1">
        <f>VLOOKUP(B642,Cena!$A$2:$B$101,2)</f>
        <v>104</v>
      </c>
      <c r="K642" s="1">
        <f t="shared" si="80"/>
        <v>6136</v>
      </c>
      <c r="L642" s="1">
        <f t="shared" si="77"/>
        <v>1411.28</v>
      </c>
      <c r="M642" s="22">
        <f t="shared" si="81"/>
        <v>7547.28</v>
      </c>
      <c r="N642" s="1">
        <f t="shared" ca="1" si="78"/>
        <v>7</v>
      </c>
      <c r="P642" s="1">
        <v>59.768905329110567</v>
      </c>
      <c r="Q642" s="1">
        <f t="shared" ca="1" si="79"/>
        <v>21</v>
      </c>
      <c r="R642" s="1">
        <v>13.058369202335598</v>
      </c>
    </row>
    <row r="643" spans="1:18" x14ac:dyDescent="0.3">
      <c r="A643" s="26">
        <v>642</v>
      </c>
      <c r="B643" s="1">
        <v>26</v>
      </c>
      <c r="C643" s="1">
        <f t="shared" ref="C643:C706" si="83">INT(R643)</f>
        <v>12</v>
      </c>
      <c r="D643" s="21">
        <f t="shared" ca="1" si="82"/>
        <v>44774</v>
      </c>
      <c r="E643" s="1" t="s">
        <v>26</v>
      </c>
      <c r="F643" s="1" t="s">
        <v>671</v>
      </c>
      <c r="G643" s="1" t="s">
        <v>28</v>
      </c>
      <c r="H643" s="1">
        <v>741</v>
      </c>
      <c r="I643" s="1">
        <f t="shared" ref="I643:I706" si="84">INT(P643)</f>
        <v>60</v>
      </c>
      <c r="J643" s="1">
        <f>VLOOKUP(B643,Cena!$A$2:$B$101,2)</f>
        <v>99</v>
      </c>
      <c r="K643" s="1">
        <f t="shared" si="80"/>
        <v>5940</v>
      </c>
      <c r="L643" s="1">
        <f t="shared" ref="L643:L706" si="85">K643*23%</f>
        <v>1366.2</v>
      </c>
      <c r="M643" s="22">
        <f t="shared" si="81"/>
        <v>7306.2</v>
      </c>
      <c r="N643" s="1">
        <f t="shared" ref="N643:N706" ca="1" si="86">MONTH(D643)</f>
        <v>8</v>
      </c>
      <c r="P643" s="1">
        <v>60.203439160250127</v>
      </c>
      <c r="Q643" s="1">
        <f t="shared" ref="Q643:Q706" ca="1" si="87">RANDBETWEEN(1,30)</f>
        <v>8</v>
      </c>
      <c r="R643" s="1">
        <v>12.300379264852381</v>
      </c>
    </row>
    <row r="644" spans="1:18" x14ac:dyDescent="0.3">
      <c r="A644" s="26">
        <v>643</v>
      </c>
      <c r="B644" s="1">
        <v>11</v>
      </c>
      <c r="C644" s="1">
        <f t="shared" si="83"/>
        <v>9</v>
      </c>
      <c r="D644" s="21">
        <f t="shared" ca="1" si="82"/>
        <v>44572</v>
      </c>
      <c r="E644" s="1" t="s">
        <v>26</v>
      </c>
      <c r="F644" s="1" t="s">
        <v>672</v>
      </c>
      <c r="G644" s="1" t="s">
        <v>28</v>
      </c>
      <c r="H644" s="1">
        <v>742</v>
      </c>
      <c r="I644" s="1">
        <f t="shared" si="84"/>
        <v>41</v>
      </c>
      <c r="J644" s="1">
        <f>VLOOKUP(B644,Cena!$A$2:$B$101,2)</f>
        <v>83</v>
      </c>
      <c r="K644" s="1">
        <f t="shared" si="80"/>
        <v>3403</v>
      </c>
      <c r="L644" s="1">
        <f t="shared" si="85"/>
        <v>782.69</v>
      </c>
      <c r="M644" s="22">
        <f t="shared" si="81"/>
        <v>4185.6900000000005</v>
      </c>
      <c r="N644" s="1">
        <f t="shared" ca="1" si="86"/>
        <v>1</v>
      </c>
      <c r="P644" s="1">
        <v>41.063941706670448</v>
      </c>
      <c r="Q644" s="1">
        <f t="shared" ca="1" si="87"/>
        <v>5</v>
      </c>
      <c r="R644" s="1">
        <v>9.573469722236041</v>
      </c>
    </row>
    <row r="645" spans="1:18" x14ac:dyDescent="0.3">
      <c r="A645" s="26">
        <v>644</v>
      </c>
      <c r="B645" s="1">
        <v>9</v>
      </c>
      <c r="C645" s="1">
        <f t="shared" si="83"/>
        <v>8</v>
      </c>
      <c r="D645" s="21">
        <f t="shared" ca="1" si="82"/>
        <v>44577</v>
      </c>
      <c r="E645" s="1" t="s">
        <v>26</v>
      </c>
      <c r="F645" s="1" t="s">
        <v>673</v>
      </c>
      <c r="G645" s="1" t="s">
        <v>28</v>
      </c>
      <c r="H645" s="1">
        <v>743</v>
      </c>
      <c r="I645" s="1">
        <f t="shared" si="84"/>
        <v>42</v>
      </c>
      <c r="J645" s="1">
        <f>VLOOKUP(B645,Cena!$A$2:$B$101,2)</f>
        <v>96</v>
      </c>
      <c r="K645" s="1">
        <f t="shared" si="80"/>
        <v>4032</v>
      </c>
      <c r="L645" s="1">
        <f t="shared" si="85"/>
        <v>927.36</v>
      </c>
      <c r="M645" s="22">
        <f t="shared" si="81"/>
        <v>4959.3599999999997</v>
      </c>
      <c r="N645" s="1">
        <f t="shared" ca="1" si="86"/>
        <v>1</v>
      </c>
      <c r="P645" s="1">
        <v>42.187326824932825</v>
      </c>
      <c r="Q645" s="1">
        <f t="shared" ca="1" si="87"/>
        <v>25</v>
      </c>
      <c r="R645" s="1">
        <v>8.0926929765701061</v>
      </c>
    </row>
    <row r="646" spans="1:18" x14ac:dyDescent="0.3">
      <c r="A646" s="26">
        <v>645</v>
      </c>
      <c r="B646" s="1">
        <v>10</v>
      </c>
      <c r="C646" s="1">
        <f t="shared" si="83"/>
        <v>14</v>
      </c>
      <c r="D646" s="21">
        <f t="shared" ca="1" si="82"/>
        <v>44820</v>
      </c>
      <c r="E646" s="1" t="s">
        <v>26</v>
      </c>
      <c r="F646" s="1" t="s">
        <v>674</v>
      </c>
      <c r="G646" s="1" t="s">
        <v>28</v>
      </c>
      <c r="H646" s="1">
        <v>744</v>
      </c>
      <c r="I646" s="1">
        <f t="shared" si="84"/>
        <v>70</v>
      </c>
      <c r="J646" s="1">
        <f>VLOOKUP(B646,Cena!$A$2:$B$101,2)</f>
        <v>109</v>
      </c>
      <c r="K646" s="1">
        <f t="shared" si="80"/>
        <v>7630</v>
      </c>
      <c r="L646" s="1">
        <f t="shared" si="85"/>
        <v>1754.9</v>
      </c>
      <c r="M646" s="22">
        <f t="shared" si="81"/>
        <v>9384.9</v>
      </c>
      <c r="N646" s="1">
        <f t="shared" ca="1" si="86"/>
        <v>9</v>
      </c>
      <c r="P646" s="1">
        <v>70.791958377230912</v>
      </c>
      <c r="Q646" s="1">
        <f t="shared" ca="1" si="87"/>
        <v>26</v>
      </c>
      <c r="R646" s="1">
        <v>14.131754849368008</v>
      </c>
    </row>
    <row r="647" spans="1:18" x14ac:dyDescent="0.3">
      <c r="A647" s="26">
        <v>646</v>
      </c>
      <c r="B647" s="1">
        <v>12</v>
      </c>
      <c r="C647" s="1">
        <f t="shared" si="83"/>
        <v>6</v>
      </c>
      <c r="D647" s="21">
        <f t="shared" ca="1" si="82"/>
        <v>44889</v>
      </c>
      <c r="E647" s="1" t="s">
        <v>26</v>
      </c>
      <c r="F647" s="1" t="s">
        <v>675</v>
      </c>
      <c r="G647" s="1" t="s">
        <v>28</v>
      </c>
      <c r="H647" s="1">
        <v>745</v>
      </c>
      <c r="I647" s="1">
        <f t="shared" si="84"/>
        <v>52</v>
      </c>
      <c r="J647" s="1">
        <f>VLOOKUP(B647,Cena!$A$2:$B$101,2)</f>
        <v>88</v>
      </c>
      <c r="K647" s="1">
        <f t="shared" si="80"/>
        <v>4576</v>
      </c>
      <c r="L647" s="1">
        <f t="shared" si="85"/>
        <v>1052.48</v>
      </c>
      <c r="M647" s="22">
        <f t="shared" si="81"/>
        <v>5628.48</v>
      </c>
      <c r="N647" s="1">
        <f t="shared" ca="1" si="86"/>
        <v>11</v>
      </c>
      <c r="P647" s="1">
        <v>52.17701199289877</v>
      </c>
      <c r="Q647" s="1">
        <f t="shared" ca="1" si="87"/>
        <v>12</v>
      </c>
      <c r="R647" s="1">
        <v>6.0596483106201049</v>
      </c>
    </row>
    <row r="648" spans="1:18" x14ac:dyDescent="0.3">
      <c r="A648" s="26">
        <v>647</v>
      </c>
      <c r="B648" s="1">
        <v>18</v>
      </c>
      <c r="C648" s="1">
        <f t="shared" si="83"/>
        <v>10</v>
      </c>
      <c r="D648" s="21">
        <f t="shared" ca="1" si="82"/>
        <v>44793</v>
      </c>
      <c r="E648" s="1" t="s">
        <v>26</v>
      </c>
      <c r="F648" s="1" t="s">
        <v>676</v>
      </c>
      <c r="G648" s="1" t="s">
        <v>28</v>
      </c>
      <c r="H648" s="1">
        <v>746</v>
      </c>
      <c r="I648" s="1">
        <f t="shared" si="84"/>
        <v>40</v>
      </c>
      <c r="J648" s="1">
        <f>VLOOKUP(B648,Cena!$A$2:$B$101,2)</f>
        <v>90</v>
      </c>
      <c r="K648" s="1">
        <f t="shared" si="80"/>
        <v>3600</v>
      </c>
      <c r="L648" s="1">
        <f t="shared" si="85"/>
        <v>828</v>
      </c>
      <c r="M648" s="22">
        <f t="shared" si="81"/>
        <v>4428</v>
      </c>
      <c r="N648" s="1">
        <f t="shared" ca="1" si="86"/>
        <v>8</v>
      </c>
      <c r="P648" s="1">
        <v>40.256947057787329</v>
      </c>
      <c r="Q648" s="1">
        <f t="shared" ca="1" si="87"/>
        <v>9</v>
      </c>
      <c r="R648" s="1">
        <v>10.611629502600408</v>
      </c>
    </row>
    <row r="649" spans="1:18" x14ac:dyDescent="0.3">
      <c r="A649" s="26">
        <v>648</v>
      </c>
      <c r="B649" s="1">
        <v>13</v>
      </c>
      <c r="C649" s="1">
        <f t="shared" si="83"/>
        <v>11</v>
      </c>
      <c r="D649" s="21">
        <f t="shared" ca="1" si="82"/>
        <v>44676</v>
      </c>
      <c r="E649" s="1" t="s">
        <v>26</v>
      </c>
      <c r="F649" s="1" t="s">
        <v>677</v>
      </c>
      <c r="G649" s="1" t="s">
        <v>28</v>
      </c>
      <c r="H649" s="1">
        <v>747</v>
      </c>
      <c r="I649" s="1">
        <f t="shared" si="84"/>
        <v>49</v>
      </c>
      <c r="J649" s="1">
        <f>VLOOKUP(B649,Cena!$A$2:$B$101,2)</f>
        <v>94</v>
      </c>
      <c r="K649" s="1">
        <f t="shared" si="80"/>
        <v>4606</v>
      </c>
      <c r="L649" s="1">
        <f t="shared" si="85"/>
        <v>1059.3800000000001</v>
      </c>
      <c r="M649" s="22">
        <f t="shared" si="81"/>
        <v>5665.38</v>
      </c>
      <c r="N649" s="1">
        <f t="shared" ca="1" si="86"/>
        <v>4</v>
      </c>
      <c r="P649" s="1">
        <v>49.92005541571416</v>
      </c>
      <c r="Q649" s="1">
        <f t="shared" ca="1" si="87"/>
        <v>29</v>
      </c>
      <c r="R649" s="1">
        <v>11.351793343928875</v>
      </c>
    </row>
    <row r="650" spans="1:18" x14ac:dyDescent="0.3">
      <c r="A650" s="26">
        <v>649</v>
      </c>
      <c r="B650" s="1">
        <v>19</v>
      </c>
      <c r="C650" s="1">
        <f t="shared" si="83"/>
        <v>11</v>
      </c>
      <c r="D650" s="21">
        <f t="shared" ca="1" si="82"/>
        <v>44676</v>
      </c>
      <c r="E650" s="1" t="s">
        <v>26</v>
      </c>
      <c r="F650" s="1" t="s">
        <v>678</v>
      </c>
      <c r="G650" s="1" t="s">
        <v>28</v>
      </c>
      <c r="H650" s="1">
        <v>748</v>
      </c>
      <c r="I650" s="1">
        <f t="shared" si="84"/>
        <v>33</v>
      </c>
      <c r="J650" s="1">
        <f>VLOOKUP(B650,Cena!$A$2:$B$101,2)</f>
        <v>84</v>
      </c>
      <c r="K650" s="1">
        <f t="shared" si="80"/>
        <v>2772</v>
      </c>
      <c r="L650" s="1">
        <f t="shared" si="85"/>
        <v>637.56000000000006</v>
      </c>
      <c r="M650" s="22">
        <f t="shared" si="81"/>
        <v>3409.56</v>
      </c>
      <c r="N650" s="1">
        <f t="shared" ca="1" si="86"/>
        <v>4</v>
      </c>
      <c r="P650" s="1">
        <v>33.370207701227628</v>
      </c>
      <c r="Q650" s="1">
        <f t="shared" ca="1" si="87"/>
        <v>7</v>
      </c>
      <c r="R650" s="1">
        <v>11.990497366932686</v>
      </c>
    </row>
    <row r="651" spans="1:18" x14ac:dyDescent="0.3">
      <c r="A651" s="26">
        <v>650</v>
      </c>
      <c r="B651" s="1">
        <v>26</v>
      </c>
      <c r="C651" s="1">
        <f t="shared" si="83"/>
        <v>6</v>
      </c>
      <c r="D651" s="21">
        <f t="shared" ca="1" si="82"/>
        <v>44689</v>
      </c>
      <c r="E651" s="1" t="s">
        <v>26</v>
      </c>
      <c r="F651" s="1" t="s">
        <v>679</v>
      </c>
      <c r="G651" s="1" t="s">
        <v>28</v>
      </c>
      <c r="H651" s="1">
        <v>749</v>
      </c>
      <c r="I651" s="1">
        <f t="shared" si="84"/>
        <v>80</v>
      </c>
      <c r="J651" s="1">
        <f>VLOOKUP(B651,Cena!$A$2:$B$101,2)</f>
        <v>99</v>
      </c>
      <c r="K651" s="1">
        <f t="shared" si="80"/>
        <v>7920</v>
      </c>
      <c r="L651" s="1">
        <f t="shared" si="85"/>
        <v>1821.6000000000001</v>
      </c>
      <c r="M651" s="22">
        <f t="shared" si="81"/>
        <v>9741.6</v>
      </c>
      <c r="N651" s="1">
        <f t="shared" ca="1" si="86"/>
        <v>5</v>
      </c>
      <c r="P651" s="1">
        <v>80.791852623224258</v>
      </c>
      <c r="Q651" s="1">
        <f t="shared" ca="1" si="87"/>
        <v>18</v>
      </c>
      <c r="R651" s="1">
        <v>6.0166860546451062</v>
      </c>
    </row>
    <row r="652" spans="1:18" x14ac:dyDescent="0.3">
      <c r="A652" s="26">
        <v>651</v>
      </c>
      <c r="B652" s="1">
        <v>2</v>
      </c>
      <c r="C652" s="1">
        <f t="shared" si="83"/>
        <v>17</v>
      </c>
      <c r="D652" s="21">
        <f t="shared" ca="1" si="82"/>
        <v>44703</v>
      </c>
      <c r="E652" s="1" t="s">
        <v>26</v>
      </c>
      <c r="F652" s="1" t="s">
        <v>680</v>
      </c>
      <c r="G652" s="1" t="s">
        <v>28</v>
      </c>
      <c r="H652" s="1">
        <v>750</v>
      </c>
      <c r="I652" s="1">
        <f t="shared" si="84"/>
        <v>36</v>
      </c>
      <c r="J652" s="1">
        <f>VLOOKUP(B652,Cena!$A$2:$B$101,2)</f>
        <v>121</v>
      </c>
      <c r="K652" s="1">
        <f t="shared" si="80"/>
        <v>4356</v>
      </c>
      <c r="L652" s="1">
        <f t="shared" si="85"/>
        <v>1001.88</v>
      </c>
      <c r="M652" s="22">
        <f t="shared" si="81"/>
        <v>5357.88</v>
      </c>
      <c r="N652" s="1">
        <f t="shared" ca="1" si="86"/>
        <v>5</v>
      </c>
      <c r="P652" s="1">
        <v>36.903458193410188</v>
      </c>
      <c r="Q652" s="1">
        <f t="shared" ca="1" si="87"/>
        <v>18</v>
      </c>
      <c r="R652" s="1">
        <v>17.346898200921714</v>
      </c>
    </row>
    <row r="653" spans="1:18" x14ac:dyDescent="0.3">
      <c r="A653" s="26">
        <v>652</v>
      </c>
      <c r="B653" s="1">
        <v>13</v>
      </c>
      <c r="C653" s="1">
        <f t="shared" si="83"/>
        <v>10</v>
      </c>
      <c r="D653" s="21">
        <f t="shared" ca="1" si="82"/>
        <v>44644</v>
      </c>
      <c r="E653" s="1" t="s">
        <v>26</v>
      </c>
      <c r="F653" s="1" t="s">
        <v>681</v>
      </c>
      <c r="G653" s="1" t="s">
        <v>28</v>
      </c>
      <c r="H653" s="1">
        <v>751</v>
      </c>
      <c r="I653" s="1">
        <f t="shared" si="84"/>
        <v>40</v>
      </c>
      <c r="J653" s="1">
        <f>VLOOKUP(B653,Cena!$A$2:$B$101,2)</f>
        <v>94</v>
      </c>
      <c r="K653" s="1">
        <f t="shared" si="80"/>
        <v>3760</v>
      </c>
      <c r="L653" s="1">
        <f t="shared" si="85"/>
        <v>864.80000000000007</v>
      </c>
      <c r="M653" s="22">
        <f t="shared" si="81"/>
        <v>4624.8</v>
      </c>
      <c r="N653" s="1">
        <f t="shared" ca="1" si="86"/>
        <v>3</v>
      </c>
      <c r="P653" s="1">
        <v>40.509604685939848</v>
      </c>
      <c r="Q653" s="1">
        <f t="shared" ca="1" si="87"/>
        <v>16</v>
      </c>
      <c r="R653" s="1">
        <v>10.408883238378621</v>
      </c>
    </row>
    <row r="654" spans="1:18" x14ac:dyDescent="0.3">
      <c r="A654" s="26">
        <v>653</v>
      </c>
      <c r="B654" s="1">
        <v>6</v>
      </c>
      <c r="C654" s="1">
        <f t="shared" si="83"/>
        <v>8</v>
      </c>
      <c r="D654" s="21">
        <f t="shared" ca="1" si="82"/>
        <v>44691</v>
      </c>
      <c r="E654" s="1" t="s">
        <v>26</v>
      </c>
      <c r="F654" s="1" t="s">
        <v>682</v>
      </c>
      <c r="G654" s="1" t="s">
        <v>28</v>
      </c>
      <c r="H654" s="1">
        <v>752</v>
      </c>
      <c r="I654" s="1">
        <f t="shared" si="84"/>
        <v>55</v>
      </c>
      <c r="J654" s="1">
        <f>VLOOKUP(B654,Cena!$A$2:$B$101,2)</f>
        <v>86</v>
      </c>
      <c r="K654" s="1">
        <f t="shared" si="80"/>
        <v>4730</v>
      </c>
      <c r="L654" s="1">
        <f t="shared" si="85"/>
        <v>1087.9000000000001</v>
      </c>
      <c r="M654" s="22">
        <f t="shared" si="81"/>
        <v>5817.9</v>
      </c>
      <c r="N654" s="1">
        <f t="shared" ca="1" si="86"/>
        <v>5</v>
      </c>
      <c r="P654" s="1">
        <v>55.74318619328551</v>
      </c>
      <c r="Q654" s="1">
        <f t="shared" ca="1" si="87"/>
        <v>5</v>
      </c>
      <c r="R654" s="1">
        <v>8.3913028245297028</v>
      </c>
    </row>
    <row r="655" spans="1:18" x14ac:dyDescent="0.3">
      <c r="A655" s="26">
        <v>654</v>
      </c>
      <c r="B655" s="1">
        <v>12</v>
      </c>
      <c r="C655" s="1">
        <f t="shared" si="83"/>
        <v>11</v>
      </c>
      <c r="D655" s="21">
        <f t="shared" ca="1" si="82"/>
        <v>44759</v>
      </c>
      <c r="E655" s="1" t="s">
        <v>26</v>
      </c>
      <c r="F655" s="1" t="s">
        <v>683</v>
      </c>
      <c r="G655" s="1" t="s">
        <v>28</v>
      </c>
      <c r="H655" s="1">
        <v>753</v>
      </c>
      <c r="I655" s="1">
        <f t="shared" si="84"/>
        <v>53</v>
      </c>
      <c r="J655" s="1">
        <f>VLOOKUP(B655,Cena!$A$2:$B$101,2)</f>
        <v>88</v>
      </c>
      <c r="K655" s="1">
        <f t="shared" si="80"/>
        <v>4664</v>
      </c>
      <c r="L655" s="1">
        <f t="shared" si="85"/>
        <v>1072.72</v>
      </c>
      <c r="M655" s="22">
        <f t="shared" si="81"/>
        <v>5736.72</v>
      </c>
      <c r="N655" s="1">
        <f t="shared" ca="1" si="86"/>
        <v>7</v>
      </c>
      <c r="P655" s="1">
        <v>53.881609700329136</v>
      </c>
      <c r="Q655" s="1">
        <f t="shared" ca="1" si="87"/>
        <v>8</v>
      </c>
      <c r="R655" s="1">
        <v>11.699635276963818</v>
      </c>
    </row>
    <row r="656" spans="1:18" x14ac:dyDescent="0.3">
      <c r="A656" s="26">
        <v>655</v>
      </c>
      <c r="B656" s="1">
        <v>19</v>
      </c>
      <c r="C656" s="1">
        <f t="shared" si="83"/>
        <v>11</v>
      </c>
      <c r="D656" s="21">
        <f t="shared" ca="1" si="82"/>
        <v>44775</v>
      </c>
      <c r="E656" s="1" t="s">
        <v>26</v>
      </c>
      <c r="F656" s="1" t="s">
        <v>684</v>
      </c>
      <c r="G656" s="1" t="s">
        <v>28</v>
      </c>
      <c r="H656" s="1">
        <v>754</v>
      </c>
      <c r="I656" s="1">
        <f t="shared" si="84"/>
        <v>66</v>
      </c>
      <c r="J656" s="1">
        <f>VLOOKUP(B656,Cena!$A$2:$B$101,2)</f>
        <v>84</v>
      </c>
      <c r="K656" s="1">
        <f t="shared" si="80"/>
        <v>5544</v>
      </c>
      <c r="L656" s="1">
        <f t="shared" si="85"/>
        <v>1275.1200000000001</v>
      </c>
      <c r="M656" s="22">
        <f t="shared" si="81"/>
        <v>6819.12</v>
      </c>
      <c r="N656" s="1">
        <f t="shared" ca="1" si="86"/>
        <v>8</v>
      </c>
      <c r="P656" s="1">
        <v>66.753028830862604</v>
      </c>
      <c r="Q656" s="1">
        <f t="shared" ca="1" si="87"/>
        <v>8</v>
      </c>
      <c r="R656" s="1">
        <v>11.78645223058993</v>
      </c>
    </row>
    <row r="657" spans="1:18" x14ac:dyDescent="0.3">
      <c r="A657" s="26">
        <v>656</v>
      </c>
      <c r="B657" s="1">
        <v>10</v>
      </c>
      <c r="C657" s="1">
        <f t="shared" si="83"/>
        <v>7</v>
      </c>
      <c r="D657" s="21">
        <f t="shared" ca="1" si="82"/>
        <v>44763</v>
      </c>
      <c r="E657" s="1" t="s">
        <v>26</v>
      </c>
      <c r="F657" s="1" t="s">
        <v>685</v>
      </c>
      <c r="G657" s="1" t="s">
        <v>28</v>
      </c>
      <c r="H657" s="1">
        <v>755</v>
      </c>
      <c r="I657" s="1">
        <f t="shared" si="84"/>
        <v>57</v>
      </c>
      <c r="J657" s="1">
        <f>VLOOKUP(B657,Cena!$A$2:$B$101,2)</f>
        <v>109</v>
      </c>
      <c r="K657" s="1">
        <f t="shared" si="80"/>
        <v>6213</v>
      </c>
      <c r="L657" s="1">
        <f t="shared" si="85"/>
        <v>1428.99</v>
      </c>
      <c r="M657" s="22">
        <f t="shared" si="81"/>
        <v>7641.99</v>
      </c>
      <c r="N657" s="1">
        <f t="shared" ca="1" si="86"/>
        <v>7</v>
      </c>
      <c r="P657" s="1">
        <v>57.792982614773791</v>
      </c>
      <c r="Q657" s="1">
        <f t="shared" ca="1" si="87"/>
        <v>15</v>
      </c>
      <c r="R657" s="1">
        <v>7.0984504216175992</v>
      </c>
    </row>
    <row r="658" spans="1:18" x14ac:dyDescent="0.3">
      <c r="A658" s="26">
        <v>657</v>
      </c>
      <c r="B658" s="1">
        <v>13</v>
      </c>
      <c r="C658" s="1">
        <f t="shared" si="83"/>
        <v>12</v>
      </c>
      <c r="D658" s="21">
        <f t="shared" ca="1" si="82"/>
        <v>44718</v>
      </c>
      <c r="E658" s="1" t="s">
        <v>26</v>
      </c>
      <c r="F658" s="1" t="s">
        <v>686</v>
      </c>
      <c r="G658" s="1" t="s">
        <v>28</v>
      </c>
      <c r="H658" s="1">
        <v>756</v>
      </c>
      <c r="I658" s="1">
        <f t="shared" si="84"/>
        <v>48</v>
      </c>
      <c r="J658" s="1">
        <f>VLOOKUP(B658,Cena!$A$2:$B$101,2)</f>
        <v>94</v>
      </c>
      <c r="K658" s="1">
        <f t="shared" si="80"/>
        <v>4512</v>
      </c>
      <c r="L658" s="1">
        <f t="shared" si="85"/>
        <v>1037.76</v>
      </c>
      <c r="M658" s="22">
        <f t="shared" si="81"/>
        <v>5549.76</v>
      </c>
      <c r="N658" s="1">
        <f t="shared" ca="1" si="86"/>
        <v>6</v>
      </c>
      <c r="P658" s="1">
        <v>48.761768438271247</v>
      </c>
      <c r="Q658" s="1">
        <f t="shared" ca="1" si="87"/>
        <v>15</v>
      </c>
      <c r="R658" s="1">
        <v>12.192416559410049</v>
      </c>
    </row>
    <row r="659" spans="1:18" x14ac:dyDescent="0.3">
      <c r="A659" s="26">
        <v>658</v>
      </c>
      <c r="B659" s="1">
        <v>6</v>
      </c>
      <c r="C659" s="1">
        <f t="shared" si="83"/>
        <v>6</v>
      </c>
      <c r="D659" s="21">
        <f t="shared" ca="1" si="82"/>
        <v>44729</v>
      </c>
      <c r="E659" s="1" t="s">
        <v>26</v>
      </c>
      <c r="F659" s="1" t="s">
        <v>687</v>
      </c>
      <c r="G659" s="1" t="s">
        <v>28</v>
      </c>
      <c r="H659" s="1">
        <v>757</v>
      </c>
      <c r="I659" s="1">
        <f t="shared" si="84"/>
        <v>47</v>
      </c>
      <c r="J659" s="1">
        <f>VLOOKUP(B659,Cena!$A$2:$B$101,2)</f>
        <v>86</v>
      </c>
      <c r="K659" s="1">
        <f t="shared" si="80"/>
        <v>4042</v>
      </c>
      <c r="L659" s="1">
        <f t="shared" si="85"/>
        <v>929.66000000000008</v>
      </c>
      <c r="M659" s="22">
        <f t="shared" si="81"/>
        <v>4971.66</v>
      </c>
      <c r="N659" s="1">
        <f t="shared" ca="1" si="86"/>
        <v>6</v>
      </c>
      <c r="P659" s="1">
        <v>47.340091795194894</v>
      </c>
      <c r="Q659" s="1">
        <f t="shared" ca="1" si="87"/>
        <v>25</v>
      </c>
      <c r="R659" s="1">
        <v>6.8687973250780487</v>
      </c>
    </row>
    <row r="660" spans="1:18" x14ac:dyDescent="0.3">
      <c r="A660" s="26">
        <v>659</v>
      </c>
      <c r="B660" s="1">
        <v>10</v>
      </c>
      <c r="C660" s="1">
        <f t="shared" si="83"/>
        <v>11</v>
      </c>
      <c r="D660" s="21">
        <f t="shared" ca="1" si="82"/>
        <v>44838</v>
      </c>
      <c r="E660" s="1" t="s">
        <v>26</v>
      </c>
      <c r="F660" s="1" t="s">
        <v>688</v>
      </c>
      <c r="G660" s="1" t="s">
        <v>28</v>
      </c>
      <c r="H660" s="1">
        <v>758</v>
      </c>
      <c r="I660" s="1">
        <f t="shared" si="84"/>
        <v>67</v>
      </c>
      <c r="J660" s="1">
        <f>VLOOKUP(B660,Cena!$A$2:$B$101,2)</f>
        <v>109</v>
      </c>
      <c r="K660" s="1">
        <f t="shared" si="80"/>
        <v>7303</v>
      </c>
      <c r="L660" s="1">
        <f t="shared" si="85"/>
        <v>1679.69</v>
      </c>
      <c r="M660" s="22">
        <f t="shared" si="81"/>
        <v>8982.69</v>
      </c>
      <c r="N660" s="1">
        <f t="shared" ca="1" si="86"/>
        <v>10</v>
      </c>
      <c r="P660" s="1">
        <v>67.334787116851658</v>
      </c>
      <c r="Q660" s="1">
        <f t="shared" ca="1" si="87"/>
        <v>29</v>
      </c>
      <c r="R660" s="1">
        <v>11.112670133807114</v>
      </c>
    </row>
    <row r="661" spans="1:18" x14ac:dyDescent="0.3">
      <c r="A661" s="26">
        <v>660</v>
      </c>
      <c r="B661" s="1">
        <v>15</v>
      </c>
      <c r="C661" s="1">
        <f t="shared" si="83"/>
        <v>10</v>
      </c>
      <c r="D661" s="21">
        <f t="shared" ca="1" si="82"/>
        <v>44749</v>
      </c>
      <c r="E661" s="1" t="s">
        <v>26</v>
      </c>
      <c r="F661" s="1" t="s">
        <v>689</v>
      </c>
      <c r="G661" s="1" t="s">
        <v>28</v>
      </c>
      <c r="H661" s="1">
        <v>759</v>
      </c>
      <c r="I661" s="1">
        <f t="shared" si="84"/>
        <v>59</v>
      </c>
      <c r="J661" s="1">
        <f>VLOOKUP(B661,Cena!$A$2:$B$101,2)</f>
        <v>85</v>
      </c>
      <c r="K661" s="1">
        <f t="shared" si="80"/>
        <v>5015</v>
      </c>
      <c r="L661" s="1">
        <f t="shared" si="85"/>
        <v>1153.45</v>
      </c>
      <c r="M661" s="22">
        <f t="shared" si="81"/>
        <v>6168.45</v>
      </c>
      <c r="N661" s="1">
        <f t="shared" ca="1" si="86"/>
        <v>7</v>
      </c>
      <c r="P661" s="1">
        <v>59.781251719687134</v>
      </c>
      <c r="Q661" s="1">
        <f t="shared" ca="1" si="87"/>
        <v>1</v>
      </c>
      <c r="R661" s="1">
        <v>10.312638803734444</v>
      </c>
    </row>
    <row r="662" spans="1:18" x14ac:dyDescent="0.3">
      <c r="A662" s="26">
        <v>661</v>
      </c>
      <c r="B662" s="1">
        <v>28</v>
      </c>
      <c r="C662" s="1">
        <f t="shared" si="83"/>
        <v>12</v>
      </c>
      <c r="D662" s="21">
        <f t="shared" ca="1" si="82"/>
        <v>44756</v>
      </c>
      <c r="E662" s="1" t="s">
        <v>26</v>
      </c>
      <c r="F662" s="1" t="s">
        <v>690</v>
      </c>
      <c r="G662" s="1" t="s">
        <v>28</v>
      </c>
      <c r="H662" s="1">
        <v>760</v>
      </c>
      <c r="I662" s="1">
        <f t="shared" si="84"/>
        <v>56</v>
      </c>
      <c r="J662" s="1">
        <f>VLOOKUP(B662,Cena!$A$2:$B$101,2)</f>
        <v>59</v>
      </c>
      <c r="K662" s="1">
        <f t="shared" si="80"/>
        <v>3304</v>
      </c>
      <c r="L662" s="1">
        <f t="shared" si="85"/>
        <v>759.92000000000007</v>
      </c>
      <c r="M662" s="22">
        <f t="shared" si="81"/>
        <v>4063.92</v>
      </c>
      <c r="N662" s="1">
        <f t="shared" ca="1" si="86"/>
        <v>7</v>
      </c>
      <c r="P662" s="1">
        <v>56.09409198659705</v>
      </c>
      <c r="Q662" s="1">
        <f t="shared" ca="1" si="87"/>
        <v>23</v>
      </c>
      <c r="R662" s="1">
        <v>12.832888412740431</v>
      </c>
    </row>
    <row r="663" spans="1:18" x14ac:dyDescent="0.3">
      <c r="A663" s="26">
        <v>662</v>
      </c>
      <c r="B663" s="1">
        <v>26</v>
      </c>
      <c r="C663" s="1">
        <f t="shared" si="83"/>
        <v>9</v>
      </c>
      <c r="D663" s="21">
        <f t="shared" ca="1" si="82"/>
        <v>44790</v>
      </c>
      <c r="E663" s="1" t="s">
        <v>26</v>
      </c>
      <c r="F663" s="1" t="s">
        <v>691</v>
      </c>
      <c r="G663" s="1" t="s">
        <v>28</v>
      </c>
      <c r="H663" s="1">
        <v>761</v>
      </c>
      <c r="I663" s="1">
        <f t="shared" si="84"/>
        <v>44</v>
      </c>
      <c r="J663" s="1">
        <f>VLOOKUP(B663,Cena!$A$2:$B$101,2)</f>
        <v>99</v>
      </c>
      <c r="K663" s="1">
        <f t="shared" si="80"/>
        <v>4356</v>
      </c>
      <c r="L663" s="1">
        <f t="shared" si="85"/>
        <v>1001.88</v>
      </c>
      <c r="M663" s="22">
        <f t="shared" si="81"/>
        <v>5357.88</v>
      </c>
      <c r="N663" s="1">
        <f t="shared" ca="1" si="86"/>
        <v>8</v>
      </c>
      <c r="P663" s="1">
        <v>44.46577021444682</v>
      </c>
      <c r="Q663" s="1">
        <f t="shared" ca="1" si="87"/>
        <v>9</v>
      </c>
      <c r="R663" s="1">
        <v>9.8347391283459729</v>
      </c>
    </row>
    <row r="664" spans="1:18" x14ac:dyDescent="0.3">
      <c r="A664" s="26">
        <v>663</v>
      </c>
      <c r="B664" s="1">
        <v>10</v>
      </c>
      <c r="C664" s="1">
        <f t="shared" si="83"/>
        <v>7</v>
      </c>
      <c r="D664" s="21">
        <f t="shared" ca="1" si="82"/>
        <v>44791</v>
      </c>
      <c r="E664" s="1" t="s">
        <v>26</v>
      </c>
      <c r="F664" s="1" t="s">
        <v>692</v>
      </c>
      <c r="G664" s="1" t="s">
        <v>28</v>
      </c>
      <c r="H664" s="1">
        <v>762</v>
      </c>
      <c r="I664" s="1">
        <f t="shared" si="84"/>
        <v>65</v>
      </c>
      <c r="J664" s="1">
        <f>VLOOKUP(B664,Cena!$A$2:$B$101,2)</f>
        <v>109</v>
      </c>
      <c r="K664" s="1">
        <f t="shared" si="80"/>
        <v>7085</v>
      </c>
      <c r="L664" s="1">
        <f t="shared" si="85"/>
        <v>1629.5500000000002</v>
      </c>
      <c r="M664" s="22">
        <f t="shared" si="81"/>
        <v>8714.5499999999993</v>
      </c>
      <c r="N664" s="1">
        <f t="shared" ca="1" si="86"/>
        <v>8</v>
      </c>
      <c r="P664" s="1">
        <v>65.501836969633587</v>
      </c>
      <c r="Q664" s="1">
        <f t="shared" ca="1" si="87"/>
        <v>27</v>
      </c>
      <c r="R664" s="1">
        <v>7.5743605773459421</v>
      </c>
    </row>
    <row r="665" spans="1:18" x14ac:dyDescent="0.3">
      <c r="A665" s="26">
        <v>664</v>
      </c>
      <c r="B665" s="1">
        <v>19</v>
      </c>
      <c r="C665" s="1">
        <f t="shared" si="83"/>
        <v>9</v>
      </c>
      <c r="D665" s="21">
        <f t="shared" ca="1" si="82"/>
        <v>44893</v>
      </c>
      <c r="E665" s="1" t="s">
        <v>26</v>
      </c>
      <c r="F665" s="1" t="s">
        <v>693</v>
      </c>
      <c r="G665" s="1" t="s">
        <v>28</v>
      </c>
      <c r="H665" s="1">
        <v>763</v>
      </c>
      <c r="I665" s="1">
        <f t="shared" si="84"/>
        <v>45</v>
      </c>
      <c r="J665" s="1">
        <f>VLOOKUP(B665,Cena!$A$2:$B$101,2)</f>
        <v>84</v>
      </c>
      <c r="K665" s="1">
        <f t="shared" si="80"/>
        <v>3780</v>
      </c>
      <c r="L665" s="1">
        <f t="shared" si="85"/>
        <v>869.40000000000009</v>
      </c>
      <c r="M665" s="22">
        <f t="shared" si="81"/>
        <v>4649.3999999999996</v>
      </c>
      <c r="N665" s="1">
        <f t="shared" ca="1" si="86"/>
        <v>11</v>
      </c>
      <c r="P665" s="1">
        <v>45.762004800781142</v>
      </c>
      <c r="Q665" s="1">
        <f t="shared" ca="1" si="87"/>
        <v>30</v>
      </c>
      <c r="R665" s="1">
        <v>9.9367872760558384</v>
      </c>
    </row>
    <row r="666" spans="1:18" x14ac:dyDescent="0.3">
      <c r="A666" s="26">
        <v>665</v>
      </c>
      <c r="B666" s="1">
        <v>13</v>
      </c>
      <c r="C666" s="1">
        <f t="shared" si="83"/>
        <v>7</v>
      </c>
      <c r="D666" s="21">
        <f t="shared" ca="1" si="82"/>
        <v>44709</v>
      </c>
      <c r="E666" s="1" t="s">
        <v>26</v>
      </c>
      <c r="F666" s="1" t="s">
        <v>694</v>
      </c>
      <c r="G666" s="1" t="s">
        <v>28</v>
      </c>
      <c r="H666" s="1">
        <v>764</v>
      </c>
      <c r="I666" s="1">
        <f t="shared" si="84"/>
        <v>52</v>
      </c>
      <c r="J666" s="1">
        <f>VLOOKUP(B666,Cena!$A$2:$B$101,2)</f>
        <v>94</v>
      </c>
      <c r="K666" s="1">
        <f t="shared" si="80"/>
        <v>4888</v>
      </c>
      <c r="L666" s="1">
        <f t="shared" si="85"/>
        <v>1124.24</v>
      </c>
      <c r="M666" s="22">
        <f t="shared" si="81"/>
        <v>6012.24</v>
      </c>
      <c r="N666" s="1">
        <f t="shared" ca="1" si="86"/>
        <v>5</v>
      </c>
      <c r="P666" s="1">
        <v>52.083106664940715</v>
      </c>
      <c r="Q666" s="1">
        <f t="shared" ca="1" si="87"/>
        <v>10</v>
      </c>
      <c r="R666" s="1">
        <v>7.0818805650196737</v>
      </c>
    </row>
    <row r="667" spans="1:18" x14ac:dyDescent="0.3">
      <c r="A667" s="26">
        <v>666</v>
      </c>
      <c r="B667" s="1">
        <v>12</v>
      </c>
      <c r="C667" s="1">
        <f t="shared" si="83"/>
        <v>9</v>
      </c>
      <c r="D667" s="21">
        <f t="shared" ca="1" si="82"/>
        <v>44908</v>
      </c>
      <c r="E667" s="1" t="s">
        <v>26</v>
      </c>
      <c r="F667" s="1" t="s">
        <v>695</v>
      </c>
      <c r="G667" s="1" t="s">
        <v>28</v>
      </c>
      <c r="H667" s="1">
        <v>765</v>
      </c>
      <c r="I667" s="1">
        <f t="shared" si="84"/>
        <v>53</v>
      </c>
      <c r="J667" s="1">
        <f>VLOOKUP(B667,Cena!$A$2:$B$101,2)</f>
        <v>88</v>
      </c>
      <c r="K667" s="1">
        <f t="shared" si="80"/>
        <v>4664</v>
      </c>
      <c r="L667" s="1">
        <f t="shared" si="85"/>
        <v>1072.72</v>
      </c>
      <c r="M667" s="22">
        <f t="shared" si="81"/>
        <v>5736.72</v>
      </c>
      <c r="N667" s="1">
        <f t="shared" ca="1" si="86"/>
        <v>12</v>
      </c>
      <c r="P667" s="1">
        <v>53.164370809827233</v>
      </c>
      <c r="Q667" s="1">
        <f t="shared" ca="1" si="87"/>
        <v>18</v>
      </c>
      <c r="R667" s="1">
        <v>9.9849876530788606</v>
      </c>
    </row>
    <row r="668" spans="1:18" x14ac:dyDescent="0.3">
      <c r="A668" s="26">
        <v>667</v>
      </c>
      <c r="B668" s="1">
        <v>25</v>
      </c>
      <c r="C668" s="1">
        <f t="shared" si="83"/>
        <v>12</v>
      </c>
      <c r="D668" s="21">
        <f t="shared" ca="1" si="82"/>
        <v>44677</v>
      </c>
      <c r="E668" s="1" t="s">
        <v>26</v>
      </c>
      <c r="F668" s="1" t="s">
        <v>696</v>
      </c>
      <c r="G668" s="1" t="s">
        <v>28</v>
      </c>
      <c r="H668" s="1">
        <v>766</v>
      </c>
      <c r="I668" s="1">
        <f t="shared" si="84"/>
        <v>47</v>
      </c>
      <c r="J668" s="1">
        <f>VLOOKUP(B668,Cena!$A$2:$B$101,2)</f>
        <v>108</v>
      </c>
      <c r="K668" s="1">
        <f t="shared" si="80"/>
        <v>5076</v>
      </c>
      <c r="L668" s="1">
        <f t="shared" si="85"/>
        <v>1167.48</v>
      </c>
      <c r="M668" s="22">
        <f t="shared" si="81"/>
        <v>6243.48</v>
      </c>
      <c r="N668" s="1">
        <f t="shared" ca="1" si="86"/>
        <v>4</v>
      </c>
      <c r="P668" s="1">
        <v>47.111126504023559</v>
      </c>
      <c r="Q668" s="1">
        <f t="shared" ca="1" si="87"/>
        <v>25</v>
      </c>
      <c r="R668" s="1">
        <v>12.211868377344217</v>
      </c>
    </row>
    <row r="669" spans="1:18" x14ac:dyDescent="0.3">
      <c r="A669" s="26">
        <v>668</v>
      </c>
      <c r="B669" s="1">
        <v>3</v>
      </c>
      <c r="C669" s="1">
        <f t="shared" si="83"/>
        <v>8</v>
      </c>
      <c r="D669" s="21">
        <f t="shared" ca="1" si="82"/>
        <v>44885</v>
      </c>
      <c r="E669" s="1" t="s">
        <v>26</v>
      </c>
      <c r="F669" s="1" t="s">
        <v>697</v>
      </c>
      <c r="G669" s="1" t="s">
        <v>28</v>
      </c>
      <c r="H669" s="1">
        <v>767</v>
      </c>
      <c r="I669" s="1">
        <f t="shared" si="84"/>
        <v>43</v>
      </c>
      <c r="J669" s="1">
        <f>VLOOKUP(B669,Cena!$A$2:$B$101,2)</f>
        <v>89</v>
      </c>
      <c r="K669" s="1">
        <f t="shared" si="80"/>
        <v>3827</v>
      </c>
      <c r="L669" s="1">
        <f t="shared" si="85"/>
        <v>880.21</v>
      </c>
      <c r="M669" s="22">
        <f t="shared" si="81"/>
        <v>4707.21</v>
      </c>
      <c r="N669" s="1">
        <f t="shared" ca="1" si="86"/>
        <v>11</v>
      </c>
      <c r="P669" s="1">
        <v>43.022049693536246</v>
      </c>
      <c r="Q669" s="1">
        <f t="shared" ca="1" si="87"/>
        <v>22</v>
      </c>
      <c r="R669" s="1">
        <v>8.5126976298488444</v>
      </c>
    </row>
    <row r="670" spans="1:18" x14ac:dyDescent="0.3">
      <c r="A670" s="26">
        <v>669</v>
      </c>
      <c r="B670" s="1">
        <v>10</v>
      </c>
      <c r="C670" s="1">
        <f t="shared" si="83"/>
        <v>14</v>
      </c>
      <c r="D670" s="21">
        <f t="shared" ca="1" si="82"/>
        <v>44679</v>
      </c>
      <c r="E670" s="1" t="s">
        <v>26</v>
      </c>
      <c r="F670" s="1" t="s">
        <v>698</v>
      </c>
      <c r="G670" s="1" t="s">
        <v>28</v>
      </c>
      <c r="H670" s="1">
        <v>768</v>
      </c>
      <c r="I670" s="1">
        <f t="shared" si="84"/>
        <v>45</v>
      </c>
      <c r="J670" s="1">
        <f>VLOOKUP(B670,Cena!$A$2:$B$101,2)</f>
        <v>109</v>
      </c>
      <c r="K670" s="1">
        <f t="shared" si="80"/>
        <v>4905</v>
      </c>
      <c r="L670" s="1">
        <f t="shared" si="85"/>
        <v>1128.1500000000001</v>
      </c>
      <c r="M670" s="22">
        <f t="shared" si="81"/>
        <v>6033.15</v>
      </c>
      <c r="N670" s="1">
        <f t="shared" ca="1" si="86"/>
        <v>4</v>
      </c>
      <c r="P670" s="1">
        <v>45.670611951936735</v>
      </c>
      <c r="Q670" s="1">
        <f t="shared" ca="1" si="87"/>
        <v>30</v>
      </c>
      <c r="R670" s="1">
        <v>14.419575816427823</v>
      </c>
    </row>
    <row r="671" spans="1:18" x14ac:dyDescent="0.3">
      <c r="A671" s="26">
        <v>670</v>
      </c>
      <c r="B671" s="1">
        <v>11</v>
      </c>
      <c r="C671" s="1">
        <f t="shared" si="83"/>
        <v>8</v>
      </c>
      <c r="D671" s="21">
        <f t="shared" ca="1" si="82"/>
        <v>44830</v>
      </c>
      <c r="E671" s="1" t="s">
        <v>26</v>
      </c>
      <c r="F671" s="1" t="s">
        <v>699</v>
      </c>
      <c r="G671" s="1" t="s">
        <v>28</v>
      </c>
      <c r="H671" s="1">
        <v>769</v>
      </c>
      <c r="I671" s="1">
        <f t="shared" si="84"/>
        <v>45</v>
      </c>
      <c r="J671" s="1">
        <f>VLOOKUP(B671,Cena!$A$2:$B$101,2)</f>
        <v>83</v>
      </c>
      <c r="K671" s="1">
        <f t="shared" ref="K671:K734" si="88">I671*J671</f>
        <v>3735</v>
      </c>
      <c r="L671" s="1">
        <f t="shared" si="85"/>
        <v>859.05000000000007</v>
      </c>
      <c r="M671" s="22">
        <f t="shared" ref="M671:M734" si="89">K671+L671</f>
        <v>4594.05</v>
      </c>
      <c r="N671" s="1">
        <f t="shared" ca="1" si="86"/>
        <v>9</v>
      </c>
      <c r="P671" s="1">
        <v>45.440089151088614</v>
      </c>
      <c r="Q671" s="1">
        <f t="shared" ca="1" si="87"/>
        <v>11</v>
      </c>
      <c r="R671" s="1">
        <v>8.5174895300588105</v>
      </c>
    </row>
    <row r="672" spans="1:18" x14ac:dyDescent="0.3">
      <c r="A672" s="26">
        <v>671</v>
      </c>
      <c r="B672" s="1">
        <v>4</v>
      </c>
      <c r="C672" s="1">
        <f t="shared" si="83"/>
        <v>13</v>
      </c>
      <c r="D672" s="21">
        <f t="shared" ca="1" si="82"/>
        <v>44783</v>
      </c>
      <c r="E672" s="1" t="s">
        <v>26</v>
      </c>
      <c r="F672" s="1" t="s">
        <v>700</v>
      </c>
      <c r="G672" s="1" t="s">
        <v>28</v>
      </c>
      <c r="H672" s="1">
        <v>770</v>
      </c>
      <c r="I672" s="1">
        <f t="shared" si="84"/>
        <v>46</v>
      </c>
      <c r="J672" s="1">
        <f>VLOOKUP(B672,Cena!$A$2:$B$101,2)</f>
        <v>99</v>
      </c>
      <c r="K672" s="1">
        <f t="shared" si="88"/>
        <v>4554</v>
      </c>
      <c r="L672" s="1">
        <f t="shared" si="85"/>
        <v>1047.42</v>
      </c>
      <c r="M672" s="22">
        <f t="shared" si="89"/>
        <v>5601.42</v>
      </c>
      <c r="N672" s="1">
        <f t="shared" ca="1" si="86"/>
        <v>8</v>
      </c>
      <c r="P672" s="1">
        <v>46.201563590147998</v>
      </c>
      <c r="Q672" s="1">
        <f t="shared" ca="1" si="87"/>
        <v>20</v>
      </c>
      <c r="R672" s="1">
        <v>13.222532996005611</v>
      </c>
    </row>
    <row r="673" spans="1:18" x14ac:dyDescent="0.3">
      <c r="A673" s="26">
        <v>672</v>
      </c>
      <c r="B673" s="1">
        <v>4</v>
      </c>
      <c r="C673" s="1">
        <f t="shared" si="83"/>
        <v>11</v>
      </c>
      <c r="D673" s="21">
        <f t="shared" ca="1" si="82"/>
        <v>44577</v>
      </c>
      <c r="E673" s="1" t="s">
        <v>26</v>
      </c>
      <c r="F673" s="1" t="s">
        <v>701</v>
      </c>
      <c r="G673" s="1" t="s">
        <v>28</v>
      </c>
      <c r="H673" s="1">
        <v>771</v>
      </c>
      <c r="I673" s="1">
        <f t="shared" si="84"/>
        <v>47</v>
      </c>
      <c r="J673" s="1">
        <f>VLOOKUP(B673,Cena!$A$2:$B$101,2)</f>
        <v>99</v>
      </c>
      <c r="K673" s="1">
        <f t="shared" si="88"/>
        <v>4653</v>
      </c>
      <c r="L673" s="1">
        <f t="shared" si="85"/>
        <v>1070.19</v>
      </c>
      <c r="M673" s="22">
        <f t="shared" si="89"/>
        <v>5723.1900000000005</v>
      </c>
      <c r="N673" s="1">
        <f t="shared" ca="1" si="86"/>
        <v>1</v>
      </c>
      <c r="P673" s="1">
        <v>47.473003077175235</v>
      </c>
      <c r="Q673" s="1">
        <f t="shared" ca="1" si="87"/>
        <v>12</v>
      </c>
      <c r="R673" s="1">
        <v>11.779545755198342</v>
      </c>
    </row>
    <row r="674" spans="1:18" x14ac:dyDescent="0.3">
      <c r="A674" s="26">
        <v>673</v>
      </c>
      <c r="B674" s="1">
        <v>19</v>
      </c>
      <c r="C674" s="1">
        <f t="shared" si="83"/>
        <v>7</v>
      </c>
      <c r="D674" s="21">
        <f t="shared" ca="1" si="82"/>
        <v>44721</v>
      </c>
      <c r="E674" s="1" t="s">
        <v>26</v>
      </c>
      <c r="F674" s="1" t="s">
        <v>702</v>
      </c>
      <c r="G674" s="1" t="s">
        <v>28</v>
      </c>
      <c r="H674" s="1">
        <v>772</v>
      </c>
      <c r="I674" s="1">
        <f t="shared" si="84"/>
        <v>65</v>
      </c>
      <c r="J674" s="1">
        <f>VLOOKUP(B674,Cena!$A$2:$B$101,2)</f>
        <v>84</v>
      </c>
      <c r="K674" s="1">
        <f t="shared" si="88"/>
        <v>5460</v>
      </c>
      <c r="L674" s="1">
        <f t="shared" si="85"/>
        <v>1255.8</v>
      </c>
      <c r="M674" s="22">
        <f t="shared" si="89"/>
        <v>6715.8</v>
      </c>
      <c r="N674" s="1">
        <f t="shared" ca="1" si="86"/>
        <v>6</v>
      </c>
      <c r="P674" s="1">
        <v>65.542673281743191</v>
      </c>
      <c r="Q674" s="1">
        <f t="shared" ca="1" si="87"/>
        <v>14</v>
      </c>
      <c r="R674" s="1">
        <v>7.3270121245150222</v>
      </c>
    </row>
    <row r="675" spans="1:18" x14ac:dyDescent="0.3">
      <c r="A675" s="26">
        <v>674</v>
      </c>
      <c r="B675" s="1">
        <v>3</v>
      </c>
      <c r="C675" s="1">
        <f t="shared" si="83"/>
        <v>7</v>
      </c>
      <c r="D675" s="21">
        <f t="shared" ca="1" si="82"/>
        <v>44738</v>
      </c>
      <c r="E675" s="1" t="s">
        <v>26</v>
      </c>
      <c r="F675" s="1" t="s">
        <v>703</v>
      </c>
      <c r="G675" s="1" t="s">
        <v>28</v>
      </c>
      <c r="H675" s="1">
        <v>773</v>
      </c>
      <c r="I675" s="1">
        <f t="shared" si="84"/>
        <v>50</v>
      </c>
      <c r="J675" s="1">
        <f>VLOOKUP(B675,Cena!$A$2:$B$101,2)</f>
        <v>89</v>
      </c>
      <c r="K675" s="1">
        <f t="shared" si="88"/>
        <v>4450</v>
      </c>
      <c r="L675" s="1">
        <f t="shared" si="85"/>
        <v>1023.5</v>
      </c>
      <c r="M675" s="22">
        <f t="shared" si="89"/>
        <v>5473.5</v>
      </c>
      <c r="N675" s="1">
        <f t="shared" ca="1" si="86"/>
        <v>6</v>
      </c>
      <c r="P675" s="1">
        <v>50.727754922991153</v>
      </c>
      <c r="Q675" s="1">
        <f t="shared" ca="1" si="87"/>
        <v>15</v>
      </c>
      <c r="R675" s="1">
        <v>7.02829427405959</v>
      </c>
    </row>
    <row r="676" spans="1:18" x14ac:dyDescent="0.3">
      <c r="A676" s="26">
        <v>675</v>
      </c>
      <c r="B676" s="1">
        <v>5</v>
      </c>
      <c r="C676" s="1">
        <f t="shared" si="83"/>
        <v>8</v>
      </c>
      <c r="D676" s="21">
        <f t="shared" ca="1" si="82"/>
        <v>44781</v>
      </c>
      <c r="E676" s="1" t="s">
        <v>26</v>
      </c>
      <c r="F676" s="1" t="s">
        <v>704</v>
      </c>
      <c r="G676" s="1" t="s">
        <v>28</v>
      </c>
      <c r="H676" s="1">
        <v>774</v>
      </c>
      <c r="I676" s="1">
        <f t="shared" si="84"/>
        <v>60</v>
      </c>
      <c r="J676" s="1">
        <f>VLOOKUP(B676,Cena!$A$2:$B$101,2)</f>
        <v>91</v>
      </c>
      <c r="K676" s="1">
        <f t="shared" si="88"/>
        <v>5460</v>
      </c>
      <c r="L676" s="1">
        <f t="shared" si="85"/>
        <v>1255.8</v>
      </c>
      <c r="M676" s="22">
        <f t="shared" si="89"/>
        <v>6715.8</v>
      </c>
      <c r="N676" s="1">
        <f t="shared" ca="1" si="86"/>
        <v>8</v>
      </c>
      <c r="P676" s="1">
        <v>60.528083294047974</v>
      </c>
      <c r="Q676" s="1">
        <f t="shared" ca="1" si="87"/>
        <v>13</v>
      </c>
      <c r="R676" s="1">
        <v>8.9079839224359603</v>
      </c>
    </row>
    <row r="677" spans="1:18" x14ac:dyDescent="0.3">
      <c r="A677" s="26">
        <v>676</v>
      </c>
      <c r="B677" s="1">
        <v>26</v>
      </c>
      <c r="C677" s="1">
        <f t="shared" si="83"/>
        <v>8</v>
      </c>
      <c r="D677" s="21">
        <f t="shared" ca="1" si="82"/>
        <v>44835</v>
      </c>
      <c r="E677" s="1" t="s">
        <v>26</v>
      </c>
      <c r="F677" s="1" t="s">
        <v>705</v>
      </c>
      <c r="G677" s="1" t="s">
        <v>28</v>
      </c>
      <c r="H677" s="1">
        <v>775</v>
      </c>
      <c r="I677" s="1">
        <f t="shared" si="84"/>
        <v>66</v>
      </c>
      <c r="J677" s="1">
        <f>VLOOKUP(B677,Cena!$A$2:$B$101,2)</f>
        <v>99</v>
      </c>
      <c r="K677" s="1">
        <f t="shared" si="88"/>
        <v>6534</v>
      </c>
      <c r="L677" s="1">
        <f t="shared" si="85"/>
        <v>1502.8200000000002</v>
      </c>
      <c r="M677" s="22">
        <f t="shared" si="89"/>
        <v>8036.82</v>
      </c>
      <c r="N677" s="1">
        <f t="shared" ca="1" si="86"/>
        <v>10</v>
      </c>
      <c r="P677" s="1">
        <v>66.910689737414941</v>
      </c>
      <c r="Q677" s="1">
        <f t="shared" ca="1" si="87"/>
        <v>2</v>
      </c>
      <c r="R677" s="1">
        <v>8.7307091942057014</v>
      </c>
    </row>
    <row r="678" spans="1:18" x14ac:dyDescent="0.3">
      <c r="A678" s="26">
        <v>677</v>
      </c>
      <c r="B678" s="1">
        <v>18</v>
      </c>
      <c r="C678" s="1">
        <f t="shared" si="83"/>
        <v>13</v>
      </c>
      <c r="D678" s="21">
        <f t="shared" ca="1" si="82"/>
        <v>44768</v>
      </c>
      <c r="E678" s="1" t="s">
        <v>26</v>
      </c>
      <c r="F678" s="1" t="s">
        <v>706</v>
      </c>
      <c r="G678" s="1" t="s">
        <v>28</v>
      </c>
      <c r="H678" s="1">
        <v>776</v>
      </c>
      <c r="I678" s="1">
        <f t="shared" si="84"/>
        <v>61</v>
      </c>
      <c r="J678" s="1">
        <f>VLOOKUP(B678,Cena!$A$2:$B$101,2)</f>
        <v>90</v>
      </c>
      <c r="K678" s="1">
        <f t="shared" si="88"/>
        <v>5490</v>
      </c>
      <c r="L678" s="1">
        <f t="shared" si="85"/>
        <v>1262.7</v>
      </c>
      <c r="M678" s="22">
        <f t="shared" si="89"/>
        <v>6752.7</v>
      </c>
      <c r="N678" s="1">
        <f t="shared" ca="1" si="86"/>
        <v>7</v>
      </c>
      <c r="P678" s="1">
        <v>61.439806257840246</v>
      </c>
      <c r="Q678" s="1">
        <f t="shared" ca="1" si="87"/>
        <v>21</v>
      </c>
      <c r="R678" s="1">
        <v>13.9049837141647</v>
      </c>
    </row>
    <row r="679" spans="1:18" x14ac:dyDescent="0.3">
      <c r="A679" s="26">
        <v>678</v>
      </c>
      <c r="B679" s="1">
        <v>9</v>
      </c>
      <c r="C679" s="1">
        <f t="shared" si="83"/>
        <v>10</v>
      </c>
      <c r="D679" s="21">
        <f t="shared" ca="1" si="82"/>
        <v>44581</v>
      </c>
      <c r="E679" s="1" t="s">
        <v>26</v>
      </c>
      <c r="F679" s="1" t="s">
        <v>707</v>
      </c>
      <c r="G679" s="1" t="s">
        <v>28</v>
      </c>
      <c r="H679" s="1">
        <v>777</v>
      </c>
      <c r="I679" s="1">
        <f t="shared" si="84"/>
        <v>52</v>
      </c>
      <c r="J679" s="1">
        <f>VLOOKUP(B679,Cena!$A$2:$B$101,2)</f>
        <v>96</v>
      </c>
      <c r="K679" s="1">
        <f t="shared" si="88"/>
        <v>4992</v>
      </c>
      <c r="L679" s="1">
        <f t="shared" si="85"/>
        <v>1148.1600000000001</v>
      </c>
      <c r="M679" s="22">
        <f t="shared" si="89"/>
        <v>6140.16</v>
      </c>
      <c r="N679" s="1">
        <f t="shared" ca="1" si="86"/>
        <v>1</v>
      </c>
      <c r="P679" s="1">
        <v>52.833883172570495</v>
      </c>
      <c r="Q679" s="1">
        <f t="shared" ca="1" si="87"/>
        <v>12</v>
      </c>
      <c r="R679" s="1">
        <v>10.864022808855225</v>
      </c>
    </row>
    <row r="680" spans="1:18" x14ac:dyDescent="0.3">
      <c r="A680" s="26">
        <v>679</v>
      </c>
      <c r="B680" s="1">
        <v>17</v>
      </c>
      <c r="C680" s="1">
        <f t="shared" si="83"/>
        <v>9</v>
      </c>
      <c r="D680" s="21">
        <f t="shared" ca="1" si="82"/>
        <v>44633</v>
      </c>
      <c r="E680" s="1" t="s">
        <v>26</v>
      </c>
      <c r="F680" s="1" t="s">
        <v>708</v>
      </c>
      <c r="G680" s="1" t="s">
        <v>28</v>
      </c>
      <c r="H680" s="1">
        <v>778</v>
      </c>
      <c r="I680" s="1">
        <f t="shared" si="84"/>
        <v>65</v>
      </c>
      <c r="J680" s="1">
        <f>VLOOKUP(B680,Cena!$A$2:$B$101,2)</f>
        <v>84</v>
      </c>
      <c r="K680" s="1">
        <f t="shared" si="88"/>
        <v>5460</v>
      </c>
      <c r="L680" s="1">
        <f t="shared" si="85"/>
        <v>1255.8</v>
      </c>
      <c r="M680" s="22">
        <f t="shared" si="89"/>
        <v>6715.8</v>
      </c>
      <c r="N680" s="1">
        <f t="shared" ca="1" si="86"/>
        <v>3</v>
      </c>
      <c r="P680" s="1">
        <v>65.021396393422037</v>
      </c>
      <c r="Q680" s="1">
        <f t="shared" ca="1" si="87"/>
        <v>8</v>
      </c>
      <c r="R680" s="1">
        <v>9.5168849409310496</v>
      </c>
    </row>
    <row r="681" spans="1:18" x14ac:dyDescent="0.3">
      <c r="A681" s="26">
        <v>680</v>
      </c>
      <c r="B681" s="1">
        <v>11</v>
      </c>
      <c r="C681" s="1">
        <f t="shared" si="83"/>
        <v>13</v>
      </c>
      <c r="D681" s="21">
        <f t="shared" ca="1" si="82"/>
        <v>44585</v>
      </c>
      <c r="E681" s="1" t="s">
        <v>26</v>
      </c>
      <c r="F681" s="1" t="s">
        <v>709</v>
      </c>
      <c r="G681" s="1" t="s">
        <v>28</v>
      </c>
      <c r="H681" s="1">
        <v>779</v>
      </c>
      <c r="I681" s="1">
        <f t="shared" si="84"/>
        <v>58</v>
      </c>
      <c r="J681" s="1">
        <f>VLOOKUP(B681,Cena!$A$2:$B$101,2)</f>
        <v>83</v>
      </c>
      <c r="K681" s="1">
        <f t="shared" si="88"/>
        <v>4814</v>
      </c>
      <c r="L681" s="1">
        <f t="shared" si="85"/>
        <v>1107.22</v>
      </c>
      <c r="M681" s="22">
        <f t="shared" si="89"/>
        <v>5921.22</v>
      </c>
      <c r="N681" s="1">
        <f t="shared" ca="1" si="86"/>
        <v>1</v>
      </c>
      <c r="P681" s="1">
        <v>58.347080893145176</v>
      </c>
      <c r="Q681" s="1">
        <f t="shared" ca="1" si="87"/>
        <v>5</v>
      </c>
      <c r="R681" s="1">
        <v>13.82351572625339</v>
      </c>
    </row>
    <row r="682" spans="1:18" x14ac:dyDescent="0.3">
      <c r="A682" s="26">
        <v>681</v>
      </c>
      <c r="B682" s="1">
        <v>30</v>
      </c>
      <c r="C682" s="1">
        <f t="shared" si="83"/>
        <v>11</v>
      </c>
      <c r="D682" s="21">
        <f t="shared" ca="1" si="82"/>
        <v>44844</v>
      </c>
      <c r="E682" s="1" t="s">
        <v>26</v>
      </c>
      <c r="F682" s="1" t="s">
        <v>710</v>
      </c>
      <c r="G682" s="1" t="s">
        <v>28</v>
      </c>
      <c r="H682" s="1">
        <v>780</v>
      </c>
      <c r="I682" s="1">
        <f t="shared" si="84"/>
        <v>62</v>
      </c>
      <c r="J682" s="1">
        <f>VLOOKUP(B682,Cena!$A$2:$B$101,2)</f>
        <v>87</v>
      </c>
      <c r="K682" s="1">
        <f t="shared" si="88"/>
        <v>5394</v>
      </c>
      <c r="L682" s="1">
        <f t="shared" si="85"/>
        <v>1240.6200000000001</v>
      </c>
      <c r="M682" s="22">
        <f t="shared" si="89"/>
        <v>6634.62</v>
      </c>
      <c r="N682" s="1">
        <f t="shared" ca="1" si="86"/>
        <v>10</v>
      </c>
      <c r="P682" s="1">
        <v>62.946520655532368</v>
      </c>
      <c r="Q682" s="1">
        <f t="shared" ca="1" si="87"/>
        <v>8</v>
      </c>
      <c r="R682" s="1">
        <v>11.988661324503482</v>
      </c>
    </row>
    <row r="683" spans="1:18" x14ac:dyDescent="0.3">
      <c r="A683" s="26">
        <v>682</v>
      </c>
      <c r="B683" s="1">
        <v>2</v>
      </c>
      <c r="C683" s="1">
        <f t="shared" si="83"/>
        <v>9</v>
      </c>
      <c r="D683" s="21">
        <f t="shared" ca="1" si="82"/>
        <v>44745</v>
      </c>
      <c r="E683" s="1" t="s">
        <v>26</v>
      </c>
      <c r="F683" s="1" t="s">
        <v>711</v>
      </c>
      <c r="G683" s="1" t="s">
        <v>28</v>
      </c>
      <c r="H683" s="1">
        <v>781</v>
      </c>
      <c r="I683" s="1">
        <f t="shared" si="84"/>
        <v>48</v>
      </c>
      <c r="J683" s="1">
        <f>VLOOKUP(B683,Cena!$A$2:$B$101,2)</f>
        <v>121</v>
      </c>
      <c r="K683" s="1">
        <f t="shared" si="88"/>
        <v>5808</v>
      </c>
      <c r="L683" s="1">
        <f t="shared" si="85"/>
        <v>1335.8400000000001</v>
      </c>
      <c r="M683" s="22">
        <f t="shared" si="89"/>
        <v>7143.84</v>
      </c>
      <c r="N683" s="1">
        <f t="shared" ca="1" si="86"/>
        <v>7</v>
      </c>
      <c r="P683" s="1">
        <v>48.206874352035811</v>
      </c>
      <c r="Q683" s="1">
        <f t="shared" ca="1" si="87"/>
        <v>28</v>
      </c>
      <c r="R683" s="1">
        <v>9.9436738562508253</v>
      </c>
    </row>
    <row r="684" spans="1:18" x14ac:dyDescent="0.3">
      <c r="A684" s="26">
        <v>683</v>
      </c>
      <c r="B684" s="1">
        <v>29</v>
      </c>
      <c r="C684" s="1">
        <f t="shared" si="83"/>
        <v>12</v>
      </c>
      <c r="D684" s="21">
        <f t="shared" ca="1" si="82"/>
        <v>44755</v>
      </c>
      <c r="E684" s="1" t="s">
        <v>26</v>
      </c>
      <c r="F684" s="1" t="s">
        <v>712</v>
      </c>
      <c r="G684" s="1" t="s">
        <v>28</v>
      </c>
      <c r="H684" s="1">
        <v>782</v>
      </c>
      <c r="I684" s="1">
        <f t="shared" si="84"/>
        <v>31</v>
      </c>
      <c r="J684" s="1">
        <f>VLOOKUP(B684,Cena!$A$2:$B$101,2)</f>
        <v>105</v>
      </c>
      <c r="K684" s="1">
        <f t="shared" si="88"/>
        <v>3255</v>
      </c>
      <c r="L684" s="1">
        <f t="shared" si="85"/>
        <v>748.65</v>
      </c>
      <c r="M684" s="22">
        <f t="shared" si="89"/>
        <v>4003.65</v>
      </c>
      <c r="N684" s="1">
        <f t="shared" ca="1" si="86"/>
        <v>7</v>
      </c>
      <c r="P684" s="1">
        <v>31.505607138387859</v>
      </c>
      <c r="Q684" s="1">
        <f t="shared" ca="1" si="87"/>
        <v>22</v>
      </c>
      <c r="R684" s="1">
        <v>12.495164608262712</v>
      </c>
    </row>
    <row r="685" spans="1:18" x14ac:dyDescent="0.3">
      <c r="A685" s="26">
        <v>684</v>
      </c>
      <c r="B685" s="1">
        <v>11</v>
      </c>
      <c r="C685" s="1">
        <f t="shared" si="83"/>
        <v>8</v>
      </c>
      <c r="D685" s="21">
        <f t="shared" ca="1" si="82"/>
        <v>44597</v>
      </c>
      <c r="E685" s="1" t="s">
        <v>26</v>
      </c>
      <c r="F685" s="1" t="s">
        <v>713</v>
      </c>
      <c r="G685" s="1" t="s">
        <v>28</v>
      </c>
      <c r="H685" s="1">
        <v>783</v>
      </c>
      <c r="I685" s="1">
        <f t="shared" si="84"/>
        <v>35</v>
      </c>
      <c r="J685" s="1">
        <f>VLOOKUP(B685,Cena!$A$2:$B$101,2)</f>
        <v>83</v>
      </c>
      <c r="K685" s="1">
        <f t="shared" si="88"/>
        <v>2905</v>
      </c>
      <c r="L685" s="1">
        <f t="shared" si="85"/>
        <v>668.15</v>
      </c>
      <c r="M685" s="22">
        <f t="shared" si="89"/>
        <v>3573.15</v>
      </c>
      <c r="N685" s="1">
        <f t="shared" ca="1" si="86"/>
        <v>2</v>
      </c>
      <c r="P685" s="1">
        <v>35.292606652365066</v>
      </c>
      <c r="Q685" s="1">
        <f t="shared" ca="1" si="87"/>
        <v>29</v>
      </c>
      <c r="R685" s="1">
        <v>8.1658220349345356</v>
      </c>
    </row>
    <row r="686" spans="1:18" x14ac:dyDescent="0.3">
      <c r="A686" s="26">
        <v>685</v>
      </c>
      <c r="B686" s="1">
        <v>10</v>
      </c>
      <c r="C686" s="1">
        <f t="shared" si="83"/>
        <v>11</v>
      </c>
      <c r="D686" s="21">
        <f t="shared" ca="1" si="82"/>
        <v>44763</v>
      </c>
      <c r="E686" s="1" t="s">
        <v>26</v>
      </c>
      <c r="F686" s="1" t="s">
        <v>714</v>
      </c>
      <c r="G686" s="1" t="s">
        <v>28</v>
      </c>
      <c r="H686" s="1">
        <v>784</v>
      </c>
      <c r="I686" s="1">
        <f t="shared" si="84"/>
        <v>55</v>
      </c>
      <c r="J686" s="1">
        <f>VLOOKUP(B686,Cena!$A$2:$B$101,2)</f>
        <v>109</v>
      </c>
      <c r="K686" s="1">
        <f t="shared" si="88"/>
        <v>5995</v>
      </c>
      <c r="L686" s="1">
        <f t="shared" si="85"/>
        <v>1378.8500000000001</v>
      </c>
      <c r="M686" s="22">
        <f t="shared" si="89"/>
        <v>7373.85</v>
      </c>
      <c r="N686" s="1">
        <f t="shared" ca="1" si="86"/>
        <v>7</v>
      </c>
      <c r="P686" s="1">
        <v>55.695437721442431</v>
      </c>
      <c r="Q686" s="1">
        <f t="shared" ca="1" si="87"/>
        <v>15</v>
      </c>
      <c r="R686" s="1">
        <v>11.731336851662491</v>
      </c>
    </row>
    <row r="687" spans="1:18" x14ac:dyDescent="0.3">
      <c r="A687" s="26">
        <v>686</v>
      </c>
      <c r="B687" s="1">
        <v>7</v>
      </c>
      <c r="C687" s="1">
        <f t="shared" si="83"/>
        <v>10</v>
      </c>
      <c r="D687" s="21">
        <f t="shared" ca="1" si="82"/>
        <v>44602</v>
      </c>
      <c r="E687" s="1" t="s">
        <v>26</v>
      </c>
      <c r="F687" s="1" t="s">
        <v>715</v>
      </c>
      <c r="G687" s="1" t="s">
        <v>28</v>
      </c>
      <c r="H687" s="1">
        <v>785</v>
      </c>
      <c r="I687" s="1">
        <f t="shared" si="84"/>
        <v>36</v>
      </c>
      <c r="J687" s="1">
        <f>VLOOKUP(B687,Cena!$A$2:$B$101,2)</f>
        <v>104</v>
      </c>
      <c r="K687" s="1">
        <f t="shared" si="88"/>
        <v>3744</v>
      </c>
      <c r="L687" s="1">
        <f t="shared" si="85"/>
        <v>861.12</v>
      </c>
      <c r="M687" s="22">
        <f t="shared" si="89"/>
        <v>4605.12</v>
      </c>
      <c r="N687" s="1">
        <f t="shared" ca="1" si="86"/>
        <v>2</v>
      </c>
      <c r="P687" s="1">
        <v>36.074726621154696</v>
      </c>
      <c r="Q687" s="1">
        <f t="shared" ca="1" si="87"/>
        <v>24</v>
      </c>
      <c r="R687" s="1">
        <v>10.271626277026371</v>
      </c>
    </row>
    <row r="688" spans="1:18" x14ac:dyDescent="0.3">
      <c r="A688" s="26">
        <v>687</v>
      </c>
      <c r="B688" s="1">
        <v>19</v>
      </c>
      <c r="C688" s="1">
        <f t="shared" si="83"/>
        <v>8</v>
      </c>
      <c r="D688" s="21">
        <f t="shared" ca="1" si="82"/>
        <v>44762</v>
      </c>
      <c r="E688" s="1" t="s">
        <v>26</v>
      </c>
      <c r="F688" s="1" t="s">
        <v>716</v>
      </c>
      <c r="G688" s="1" t="s">
        <v>28</v>
      </c>
      <c r="H688" s="1">
        <v>786</v>
      </c>
      <c r="I688" s="1">
        <f t="shared" si="84"/>
        <v>59</v>
      </c>
      <c r="J688" s="1">
        <f>VLOOKUP(B688,Cena!$A$2:$B$101,2)</f>
        <v>84</v>
      </c>
      <c r="K688" s="1">
        <f t="shared" si="88"/>
        <v>4956</v>
      </c>
      <c r="L688" s="1">
        <f t="shared" si="85"/>
        <v>1139.8800000000001</v>
      </c>
      <c r="M688" s="22">
        <f t="shared" si="89"/>
        <v>6095.88</v>
      </c>
      <c r="N688" s="1">
        <f t="shared" ca="1" si="86"/>
        <v>7</v>
      </c>
      <c r="P688" s="1">
        <v>59.771383702172898</v>
      </c>
      <c r="Q688" s="1">
        <f t="shared" ca="1" si="87"/>
        <v>24</v>
      </c>
      <c r="R688" s="1">
        <v>8.3503926159755792</v>
      </c>
    </row>
    <row r="689" spans="1:18" x14ac:dyDescent="0.3">
      <c r="A689" s="26">
        <v>688</v>
      </c>
      <c r="B689" s="1">
        <v>2</v>
      </c>
      <c r="C689" s="1">
        <f t="shared" si="83"/>
        <v>13</v>
      </c>
      <c r="D689" s="21">
        <f t="shared" ca="1" si="82"/>
        <v>44647</v>
      </c>
      <c r="E689" s="1" t="s">
        <v>26</v>
      </c>
      <c r="F689" s="1" t="s">
        <v>717</v>
      </c>
      <c r="G689" s="1" t="s">
        <v>28</v>
      </c>
      <c r="H689" s="1">
        <v>787</v>
      </c>
      <c r="I689" s="1">
        <f t="shared" si="84"/>
        <v>43</v>
      </c>
      <c r="J689" s="1">
        <f>VLOOKUP(B689,Cena!$A$2:$B$101,2)</f>
        <v>121</v>
      </c>
      <c r="K689" s="1">
        <f t="shared" si="88"/>
        <v>5203</v>
      </c>
      <c r="L689" s="1">
        <f t="shared" si="85"/>
        <v>1196.69</v>
      </c>
      <c r="M689" s="22">
        <f t="shared" si="89"/>
        <v>6399.6900000000005</v>
      </c>
      <c r="N689" s="1">
        <f t="shared" ca="1" si="86"/>
        <v>3</v>
      </c>
      <c r="P689" s="1">
        <v>43.227470440615434</v>
      </c>
      <c r="Q689" s="1">
        <f t="shared" ca="1" si="87"/>
        <v>9</v>
      </c>
      <c r="R689" s="1">
        <v>13.818604454863816</v>
      </c>
    </row>
    <row r="690" spans="1:18" x14ac:dyDescent="0.3">
      <c r="A690" s="26">
        <v>689</v>
      </c>
      <c r="B690" s="1">
        <v>4</v>
      </c>
      <c r="C690" s="1">
        <f t="shared" si="83"/>
        <v>12</v>
      </c>
      <c r="D690" s="21">
        <f t="shared" ca="1" si="82"/>
        <v>44643</v>
      </c>
      <c r="E690" s="1" t="s">
        <v>26</v>
      </c>
      <c r="F690" s="1" t="s">
        <v>718</v>
      </c>
      <c r="G690" s="1" t="s">
        <v>28</v>
      </c>
      <c r="H690" s="1">
        <v>788</v>
      </c>
      <c r="I690" s="1">
        <f t="shared" si="84"/>
        <v>57</v>
      </c>
      <c r="J690" s="1">
        <f>VLOOKUP(B690,Cena!$A$2:$B$101,2)</f>
        <v>99</v>
      </c>
      <c r="K690" s="1">
        <f t="shared" si="88"/>
        <v>5643</v>
      </c>
      <c r="L690" s="1">
        <f t="shared" si="85"/>
        <v>1297.8900000000001</v>
      </c>
      <c r="M690" s="22">
        <f t="shared" si="89"/>
        <v>6940.89</v>
      </c>
      <c r="N690" s="1">
        <f t="shared" ca="1" si="86"/>
        <v>3</v>
      </c>
      <c r="P690" s="1">
        <v>57.806465873727575</v>
      </c>
      <c r="Q690" s="1">
        <f t="shared" ca="1" si="87"/>
        <v>15</v>
      </c>
      <c r="R690" s="1">
        <v>12.34899744100403</v>
      </c>
    </row>
    <row r="691" spans="1:18" x14ac:dyDescent="0.3">
      <c r="A691" s="26">
        <v>690</v>
      </c>
      <c r="B691" s="1">
        <v>12</v>
      </c>
      <c r="C691" s="1">
        <f t="shared" si="83"/>
        <v>11</v>
      </c>
      <c r="D691" s="21">
        <f t="shared" ca="1" si="82"/>
        <v>44696</v>
      </c>
      <c r="E691" s="1" t="s">
        <v>26</v>
      </c>
      <c r="F691" s="1" t="s">
        <v>719</v>
      </c>
      <c r="G691" s="1" t="s">
        <v>28</v>
      </c>
      <c r="H691" s="1">
        <v>789</v>
      </c>
      <c r="I691" s="1">
        <f t="shared" si="84"/>
        <v>68</v>
      </c>
      <c r="J691" s="1">
        <f>VLOOKUP(B691,Cena!$A$2:$B$101,2)</f>
        <v>88</v>
      </c>
      <c r="K691" s="1">
        <f t="shared" si="88"/>
        <v>5984</v>
      </c>
      <c r="L691" s="1">
        <f t="shared" si="85"/>
        <v>1376.3200000000002</v>
      </c>
      <c r="M691" s="22">
        <f t="shared" si="89"/>
        <v>7360.32</v>
      </c>
      <c r="N691" s="1">
        <f t="shared" ca="1" si="86"/>
        <v>5</v>
      </c>
      <c r="P691" s="1">
        <v>68.335958884563297</v>
      </c>
      <c r="Q691" s="1">
        <f t="shared" ca="1" si="87"/>
        <v>9</v>
      </c>
      <c r="R691" s="1">
        <v>11.295688889513258</v>
      </c>
    </row>
    <row r="692" spans="1:18" x14ac:dyDescent="0.3">
      <c r="A692" s="26">
        <v>691</v>
      </c>
      <c r="B692" s="1">
        <v>11</v>
      </c>
      <c r="C692" s="1">
        <f t="shared" si="83"/>
        <v>13</v>
      </c>
      <c r="D692" s="21">
        <f t="shared" ca="1" si="82"/>
        <v>44764</v>
      </c>
      <c r="E692" s="1" t="s">
        <v>26</v>
      </c>
      <c r="F692" s="1" t="s">
        <v>720</v>
      </c>
      <c r="G692" s="1" t="s">
        <v>28</v>
      </c>
      <c r="H692" s="1">
        <v>790</v>
      </c>
      <c r="I692" s="1">
        <f t="shared" si="84"/>
        <v>43</v>
      </c>
      <c r="J692" s="1">
        <f>VLOOKUP(B692,Cena!$A$2:$B$101,2)</f>
        <v>83</v>
      </c>
      <c r="K692" s="1">
        <f t="shared" si="88"/>
        <v>3569</v>
      </c>
      <c r="L692" s="1">
        <f t="shared" si="85"/>
        <v>820.87</v>
      </c>
      <c r="M692" s="22">
        <f t="shared" si="89"/>
        <v>4389.87</v>
      </c>
      <c r="N692" s="1">
        <f t="shared" ca="1" si="86"/>
        <v>7</v>
      </c>
      <c r="P692" s="1">
        <v>43.14545675588306</v>
      </c>
      <c r="Q692" s="1">
        <f t="shared" ca="1" si="87"/>
        <v>9</v>
      </c>
      <c r="R692" s="1">
        <v>13.515435764711583</v>
      </c>
    </row>
    <row r="693" spans="1:18" x14ac:dyDescent="0.3">
      <c r="A693" s="26">
        <v>692</v>
      </c>
      <c r="B693" s="1">
        <v>11</v>
      </c>
      <c r="C693" s="1">
        <f t="shared" si="83"/>
        <v>12</v>
      </c>
      <c r="D693" s="21">
        <f t="shared" ca="1" si="82"/>
        <v>44687</v>
      </c>
      <c r="E693" s="1" t="s">
        <v>26</v>
      </c>
      <c r="F693" s="1" t="s">
        <v>721</v>
      </c>
      <c r="G693" s="1" t="s">
        <v>28</v>
      </c>
      <c r="H693" s="1">
        <v>791</v>
      </c>
      <c r="I693" s="1">
        <f t="shared" si="84"/>
        <v>60</v>
      </c>
      <c r="J693" s="1">
        <f>VLOOKUP(B693,Cena!$A$2:$B$101,2)</f>
        <v>83</v>
      </c>
      <c r="K693" s="1">
        <f t="shared" si="88"/>
        <v>4980</v>
      </c>
      <c r="L693" s="1">
        <f t="shared" si="85"/>
        <v>1145.4000000000001</v>
      </c>
      <c r="M693" s="22">
        <f t="shared" si="89"/>
        <v>6125.4</v>
      </c>
      <c r="N693" s="1">
        <f t="shared" ca="1" si="86"/>
        <v>5</v>
      </c>
      <c r="P693" s="1">
        <v>60.566782293608412</v>
      </c>
      <c r="Q693" s="1">
        <f t="shared" ca="1" si="87"/>
        <v>15</v>
      </c>
      <c r="R693" s="1">
        <v>12.777613872240181</v>
      </c>
    </row>
    <row r="694" spans="1:18" x14ac:dyDescent="0.3">
      <c r="A694" s="26">
        <v>693</v>
      </c>
      <c r="B694" s="1">
        <v>10</v>
      </c>
      <c r="C694" s="1">
        <f t="shared" si="83"/>
        <v>8</v>
      </c>
      <c r="D694" s="21">
        <f t="shared" ca="1" si="82"/>
        <v>44816</v>
      </c>
      <c r="E694" s="1" t="s">
        <v>26</v>
      </c>
      <c r="F694" s="1" t="s">
        <v>722</v>
      </c>
      <c r="G694" s="1" t="s">
        <v>28</v>
      </c>
      <c r="H694" s="1">
        <v>792</v>
      </c>
      <c r="I694" s="1">
        <f t="shared" si="84"/>
        <v>46</v>
      </c>
      <c r="J694" s="1">
        <f>VLOOKUP(B694,Cena!$A$2:$B$101,2)</f>
        <v>109</v>
      </c>
      <c r="K694" s="1">
        <f t="shared" si="88"/>
        <v>5014</v>
      </c>
      <c r="L694" s="1">
        <f t="shared" si="85"/>
        <v>1153.22</v>
      </c>
      <c r="M694" s="22">
        <f t="shared" si="89"/>
        <v>6167.22</v>
      </c>
      <c r="N694" s="1">
        <f t="shared" ca="1" si="86"/>
        <v>9</v>
      </c>
      <c r="P694" s="1">
        <v>46.207316144136712</v>
      </c>
      <c r="Q694" s="1">
        <f t="shared" ca="1" si="87"/>
        <v>13</v>
      </c>
      <c r="R694" s="1">
        <v>8.7822207003773656</v>
      </c>
    </row>
    <row r="695" spans="1:18" x14ac:dyDescent="0.3">
      <c r="A695" s="26">
        <v>694</v>
      </c>
      <c r="B695" s="1">
        <v>12</v>
      </c>
      <c r="C695" s="1">
        <f t="shared" si="83"/>
        <v>8</v>
      </c>
      <c r="D695" s="21">
        <f t="shared" ca="1" si="82"/>
        <v>44726</v>
      </c>
      <c r="E695" s="1" t="s">
        <v>26</v>
      </c>
      <c r="F695" s="1" t="s">
        <v>723</v>
      </c>
      <c r="G695" s="1" t="s">
        <v>28</v>
      </c>
      <c r="H695" s="1">
        <v>793</v>
      </c>
      <c r="I695" s="1">
        <f t="shared" si="84"/>
        <v>47</v>
      </c>
      <c r="J695" s="1">
        <f>VLOOKUP(B695,Cena!$A$2:$B$101,2)</f>
        <v>88</v>
      </c>
      <c r="K695" s="1">
        <f t="shared" si="88"/>
        <v>4136</v>
      </c>
      <c r="L695" s="1">
        <f t="shared" si="85"/>
        <v>951.28000000000009</v>
      </c>
      <c r="M695" s="22">
        <f t="shared" si="89"/>
        <v>5087.28</v>
      </c>
      <c r="N695" s="1">
        <f t="shared" ca="1" si="86"/>
        <v>6</v>
      </c>
      <c r="P695" s="1">
        <v>47.390773387451191</v>
      </c>
      <c r="Q695" s="1">
        <f t="shared" ca="1" si="87"/>
        <v>8</v>
      </c>
      <c r="R695" s="1">
        <v>8.2056408498465316</v>
      </c>
    </row>
    <row r="696" spans="1:18" x14ac:dyDescent="0.3">
      <c r="A696" s="26">
        <v>695</v>
      </c>
      <c r="B696" s="1">
        <v>7</v>
      </c>
      <c r="C696" s="1">
        <f t="shared" si="83"/>
        <v>12</v>
      </c>
      <c r="D696" s="21">
        <f t="shared" ca="1" si="82"/>
        <v>44736</v>
      </c>
      <c r="E696" s="1" t="s">
        <v>26</v>
      </c>
      <c r="F696" s="1" t="s">
        <v>724</v>
      </c>
      <c r="G696" s="1" t="s">
        <v>28</v>
      </c>
      <c r="H696" s="1">
        <v>794</v>
      </c>
      <c r="I696" s="1">
        <f t="shared" si="84"/>
        <v>53</v>
      </c>
      <c r="J696" s="1">
        <f>VLOOKUP(B696,Cena!$A$2:$B$101,2)</f>
        <v>104</v>
      </c>
      <c r="K696" s="1">
        <f t="shared" si="88"/>
        <v>5512</v>
      </c>
      <c r="L696" s="1">
        <f t="shared" si="85"/>
        <v>1267.76</v>
      </c>
      <c r="M696" s="22">
        <f t="shared" si="89"/>
        <v>6779.76</v>
      </c>
      <c r="N696" s="1">
        <f t="shared" ca="1" si="86"/>
        <v>6</v>
      </c>
      <c r="P696" s="1">
        <v>53.574086804292165</v>
      </c>
      <c r="Q696" s="1">
        <f t="shared" ca="1" si="87"/>
        <v>14</v>
      </c>
      <c r="R696" s="1">
        <v>12.260657083752449</v>
      </c>
    </row>
    <row r="697" spans="1:18" x14ac:dyDescent="0.3">
      <c r="A697" s="26">
        <v>696</v>
      </c>
      <c r="B697" s="1">
        <v>15</v>
      </c>
      <c r="C697" s="1">
        <f t="shared" si="83"/>
        <v>6</v>
      </c>
      <c r="D697" s="21">
        <f t="shared" ca="1" si="82"/>
        <v>44898</v>
      </c>
      <c r="E697" s="1" t="s">
        <v>26</v>
      </c>
      <c r="F697" s="1" t="s">
        <v>725</v>
      </c>
      <c r="G697" s="1" t="s">
        <v>28</v>
      </c>
      <c r="H697" s="1">
        <v>795</v>
      </c>
      <c r="I697" s="1">
        <f t="shared" si="84"/>
        <v>45</v>
      </c>
      <c r="J697" s="1">
        <f>VLOOKUP(B697,Cena!$A$2:$B$101,2)</f>
        <v>85</v>
      </c>
      <c r="K697" s="1">
        <f t="shared" si="88"/>
        <v>3825</v>
      </c>
      <c r="L697" s="1">
        <f t="shared" si="85"/>
        <v>879.75</v>
      </c>
      <c r="M697" s="22">
        <f t="shared" si="89"/>
        <v>4704.75</v>
      </c>
      <c r="N697" s="1">
        <f t="shared" ca="1" si="86"/>
        <v>12</v>
      </c>
      <c r="P697" s="1">
        <v>45.094390214944724</v>
      </c>
      <c r="Q697" s="1">
        <f t="shared" ca="1" si="87"/>
        <v>26</v>
      </c>
      <c r="R697" s="1">
        <v>6.9123166465578834</v>
      </c>
    </row>
    <row r="698" spans="1:18" x14ac:dyDescent="0.3">
      <c r="A698" s="26">
        <v>697</v>
      </c>
      <c r="B698" s="1">
        <v>15</v>
      </c>
      <c r="C698" s="1">
        <f t="shared" si="83"/>
        <v>9</v>
      </c>
      <c r="D698" s="21">
        <f t="shared" ca="1" si="82"/>
        <v>44902</v>
      </c>
      <c r="E698" s="1" t="s">
        <v>26</v>
      </c>
      <c r="F698" s="1" t="s">
        <v>726</v>
      </c>
      <c r="G698" s="1" t="s">
        <v>28</v>
      </c>
      <c r="H698" s="1">
        <v>796</v>
      </c>
      <c r="I698" s="1">
        <f t="shared" si="84"/>
        <v>22</v>
      </c>
      <c r="J698" s="1">
        <f>VLOOKUP(B698,Cena!$A$2:$B$101,2)</f>
        <v>85</v>
      </c>
      <c r="K698" s="1">
        <f t="shared" si="88"/>
        <v>1870</v>
      </c>
      <c r="L698" s="1">
        <f t="shared" si="85"/>
        <v>430.1</v>
      </c>
      <c r="M698" s="22">
        <f t="shared" si="89"/>
        <v>2300.1</v>
      </c>
      <c r="N698" s="1">
        <f t="shared" ca="1" si="86"/>
        <v>12</v>
      </c>
      <c r="P698" s="1">
        <v>22.675868775695562</v>
      </c>
      <c r="Q698" s="1">
        <f t="shared" ca="1" si="87"/>
        <v>4</v>
      </c>
      <c r="R698" s="1">
        <v>9.2269806625699857</v>
      </c>
    </row>
    <row r="699" spans="1:18" x14ac:dyDescent="0.3">
      <c r="A699" s="26">
        <v>698</v>
      </c>
      <c r="B699" s="1">
        <v>17</v>
      </c>
      <c r="C699" s="1">
        <f t="shared" si="83"/>
        <v>13</v>
      </c>
      <c r="D699" s="21">
        <f t="shared" ca="1" si="82"/>
        <v>44819</v>
      </c>
      <c r="E699" s="1" t="s">
        <v>26</v>
      </c>
      <c r="F699" s="1" t="s">
        <v>727</v>
      </c>
      <c r="G699" s="1" t="s">
        <v>28</v>
      </c>
      <c r="H699" s="1">
        <v>797</v>
      </c>
      <c r="I699" s="1">
        <f t="shared" si="84"/>
        <v>52</v>
      </c>
      <c r="J699" s="1">
        <f>VLOOKUP(B699,Cena!$A$2:$B$101,2)</f>
        <v>84</v>
      </c>
      <c r="K699" s="1">
        <f t="shared" si="88"/>
        <v>4368</v>
      </c>
      <c r="L699" s="1">
        <f t="shared" si="85"/>
        <v>1004.6400000000001</v>
      </c>
      <c r="M699" s="22">
        <f t="shared" si="89"/>
        <v>5372.64</v>
      </c>
      <c r="N699" s="1">
        <f t="shared" ca="1" si="86"/>
        <v>9</v>
      </c>
      <c r="P699" s="1">
        <v>52.068259163934272</v>
      </c>
      <c r="Q699" s="1">
        <f t="shared" ca="1" si="87"/>
        <v>10</v>
      </c>
      <c r="R699" s="1">
        <v>13.26872964251379</v>
      </c>
    </row>
    <row r="700" spans="1:18" x14ac:dyDescent="0.3">
      <c r="A700" s="26">
        <v>699</v>
      </c>
      <c r="B700" s="1">
        <v>29</v>
      </c>
      <c r="C700" s="1">
        <f t="shared" si="83"/>
        <v>10</v>
      </c>
      <c r="D700" s="21">
        <f t="shared" ca="1" si="82"/>
        <v>44652</v>
      </c>
      <c r="E700" s="1" t="s">
        <v>26</v>
      </c>
      <c r="F700" s="1" t="s">
        <v>728</v>
      </c>
      <c r="G700" s="1" t="s">
        <v>28</v>
      </c>
      <c r="H700" s="1">
        <v>798</v>
      </c>
      <c r="I700" s="1">
        <f t="shared" si="84"/>
        <v>34</v>
      </c>
      <c r="J700" s="1">
        <f>VLOOKUP(B700,Cena!$A$2:$B$101,2)</f>
        <v>105</v>
      </c>
      <c r="K700" s="1">
        <f t="shared" si="88"/>
        <v>3570</v>
      </c>
      <c r="L700" s="1">
        <f t="shared" si="85"/>
        <v>821.1</v>
      </c>
      <c r="M700" s="22">
        <f t="shared" si="89"/>
        <v>4391.1000000000004</v>
      </c>
      <c r="N700" s="1">
        <f t="shared" ca="1" si="86"/>
        <v>4</v>
      </c>
      <c r="P700" s="1">
        <v>34.204077918548137</v>
      </c>
      <c r="Q700" s="1">
        <f t="shared" ca="1" si="87"/>
        <v>18</v>
      </c>
      <c r="R700" s="1">
        <v>10.066083316596632</v>
      </c>
    </row>
    <row r="701" spans="1:18" x14ac:dyDescent="0.3">
      <c r="A701" s="26">
        <v>700</v>
      </c>
      <c r="B701" s="1">
        <v>3</v>
      </c>
      <c r="C701" s="1">
        <f t="shared" si="83"/>
        <v>6</v>
      </c>
      <c r="D701" s="21">
        <f t="shared" ca="1" si="82"/>
        <v>44814</v>
      </c>
      <c r="E701" s="1" t="s">
        <v>26</v>
      </c>
      <c r="F701" s="1" t="s">
        <v>729</v>
      </c>
      <c r="G701" s="1" t="s">
        <v>28</v>
      </c>
      <c r="H701" s="1">
        <v>799</v>
      </c>
      <c r="I701" s="1">
        <f t="shared" si="84"/>
        <v>72</v>
      </c>
      <c r="J701" s="1">
        <f>VLOOKUP(B701,Cena!$A$2:$B$101,2)</f>
        <v>89</v>
      </c>
      <c r="K701" s="1">
        <f t="shared" si="88"/>
        <v>6408</v>
      </c>
      <c r="L701" s="1">
        <f t="shared" si="85"/>
        <v>1473.8400000000001</v>
      </c>
      <c r="M701" s="22">
        <f t="shared" si="89"/>
        <v>7881.84</v>
      </c>
      <c r="N701" s="1">
        <f t="shared" ca="1" si="86"/>
        <v>9</v>
      </c>
      <c r="P701" s="1">
        <v>72.803942556492984</v>
      </c>
      <c r="Q701" s="1">
        <f t="shared" ca="1" si="87"/>
        <v>21</v>
      </c>
      <c r="R701" s="1">
        <v>6.1641151458024979</v>
      </c>
    </row>
    <row r="702" spans="1:18" x14ac:dyDescent="0.3">
      <c r="A702" s="26">
        <v>701</v>
      </c>
      <c r="B702" s="1">
        <v>13</v>
      </c>
      <c r="C702" s="1">
        <f t="shared" si="83"/>
        <v>5</v>
      </c>
      <c r="D702" s="21">
        <f t="shared" ca="1" si="82"/>
        <v>44685</v>
      </c>
      <c r="E702" s="1" t="s">
        <v>26</v>
      </c>
      <c r="F702" s="1" t="s">
        <v>730</v>
      </c>
      <c r="G702" s="1" t="s">
        <v>28</v>
      </c>
      <c r="H702" s="1">
        <v>800</v>
      </c>
      <c r="I702" s="1">
        <f t="shared" si="84"/>
        <v>53</v>
      </c>
      <c r="J702" s="1">
        <f>VLOOKUP(B702,Cena!$A$2:$B$101,2)</f>
        <v>94</v>
      </c>
      <c r="K702" s="1">
        <f t="shared" si="88"/>
        <v>4982</v>
      </c>
      <c r="L702" s="1">
        <f t="shared" si="85"/>
        <v>1145.8600000000001</v>
      </c>
      <c r="M702" s="22">
        <f t="shared" si="89"/>
        <v>6127.8600000000006</v>
      </c>
      <c r="N702" s="1">
        <f t="shared" ca="1" si="86"/>
        <v>5</v>
      </c>
      <c r="P702" s="1">
        <v>53.783634383580647</v>
      </c>
      <c r="Q702" s="1">
        <f t="shared" ca="1" si="87"/>
        <v>9</v>
      </c>
      <c r="R702" s="1">
        <v>5.368966665409971</v>
      </c>
    </row>
    <row r="703" spans="1:18" x14ac:dyDescent="0.3">
      <c r="A703" s="26">
        <v>702</v>
      </c>
      <c r="B703" s="1">
        <v>15</v>
      </c>
      <c r="C703" s="1">
        <f t="shared" si="83"/>
        <v>10</v>
      </c>
      <c r="D703" s="21">
        <f t="shared" ca="1" si="82"/>
        <v>44685</v>
      </c>
      <c r="E703" s="1" t="s">
        <v>26</v>
      </c>
      <c r="F703" s="1" t="s">
        <v>731</v>
      </c>
      <c r="G703" s="1" t="s">
        <v>28</v>
      </c>
      <c r="H703" s="1">
        <v>801</v>
      </c>
      <c r="I703" s="1">
        <f t="shared" si="84"/>
        <v>42</v>
      </c>
      <c r="J703" s="1">
        <f>VLOOKUP(B703,Cena!$A$2:$B$101,2)</f>
        <v>85</v>
      </c>
      <c r="K703" s="1">
        <f t="shared" si="88"/>
        <v>3570</v>
      </c>
      <c r="L703" s="1">
        <f t="shared" si="85"/>
        <v>821.1</v>
      </c>
      <c r="M703" s="22">
        <f t="shared" si="89"/>
        <v>4391.1000000000004</v>
      </c>
      <c r="N703" s="1">
        <f t="shared" ca="1" si="86"/>
        <v>5</v>
      </c>
      <c r="P703" s="1">
        <v>42.812649907136802</v>
      </c>
      <c r="Q703" s="1">
        <f t="shared" ca="1" si="87"/>
        <v>16</v>
      </c>
      <c r="R703" s="1">
        <v>10.251048959398759</v>
      </c>
    </row>
    <row r="704" spans="1:18" x14ac:dyDescent="0.3">
      <c r="A704" s="26">
        <v>703</v>
      </c>
      <c r="B704" s="1">
        <v>25</v>
      </c>
      <c r="C704" s="1">
        <f t="shared" si="83"/>
        <v>9</v>
      </c>
      <c r="D704" s="21">
        <f t="shared" ca="1" si="82"/>
        <v>44694</v>
      </c>
      <c r="E704" s="1" t="s">
        <v>26</v>
      </c>
      <c r="F704" s="1" t="s">
        <v>732</v>
      </c>
      <c r="G704" s="1" t="s">
        <v>28</v>
      </c>
      <c r="H704" s="1">
        <v>802</v>
      </c>
      <c r="I704" s="1">
        <f t="shared" si="84"/>
        <v>49</v>
      </c>
      <c r="J704" s="1">
        <f>VLOOKUP(B704,Cena!$A$2:$B$101,2)</f>
        <v>108</v>
      </c>
      <c r="K704" s="1">
        <f t="shared" si="88"/>
        <v>5292</v>
      </c>
      <c r="L704" s="1">
        <f t="shared" si="85"/>
        <v>1217.1600000000001</v>
      </c>
      <c r="M704" s="22">
        <f t="shared" si="89"/>
        <v>6509.16</v>
      </c>
      <c r="N704" s="1">
        <f t="shared" ca="1" si="86"/>
        <v>5</v>
      </c>
      <c r="P704" s="1">
        <v>49.982026110956213</v>
      </c>
      <c r="Q704" s="1">
        <f t="shared" ca="1" si="87"/>
        <v>27</v>
      </c>
      <c r="R704" s="1">
        <v>9.2955110883485759</v>
      </c>
    </row>
    <row r="705" spans="1:18" x14ac:dyDescent="0.3">
      <c r="A705" s="26">
        <v>704</v>
      </c>
      <c r="B705" s="1">
        <v>17</v>
      </c>
      <c r="C705" s="1">
        <f t="shared" si="83"/>
        <v>9</v>
      </c>
      <c r="D705" s="21">
        <f t="shared" ca="1" si="82"/>
        <v>44571</v>
      </c>
      <c r="E705" s="1" t="s">
        <v>26</v>
      </c>
      <c r="F705" s="1" t="s">
        <v>733</v>
      </c>
      <c r="G705" s="1" t="s">
        <v>28</v>
      </c>
      <c r="H705" s="1">
        <v>803</v>
      </c>
      <c r="I705" s="1">
        <f t="shared" si="84"/>
        <v>66</v>
      </c>
      <c r="J705" s="1">
        <f>VLOOKUP(B705,Cena!$A$2:$B$101,2)</f>
        <v>84</v>
      </c>
      <c r="K705" s="1">
        <f t="shared" si="88"/>
        <v>5544</v>
      </c>
      <c r="L705" s="1">
        <f t="shared" si="85"/>
        <v>1275.1200000000001</v>
      </c>
      <c r="M705" s="22">
        <f t="shared" si="89"/>
        <v>6819.12</v>
      </c>
      <c r="N705" s="1">
        <f t="shared" ca="1" si="86"/>
        <v>1</v>
      </c>
      <c r="P705" s="1">
        <v>66.408284864155576</v>
      </c>
      <c r="Q705" s="1">
        <f t="shared" ca="1" si="87"/>
        <v>26</v>
      </c>
      <c r="R705" s="1">
        <v>9.0707124197797384</v>
      </c>
    </row>
    <row r="706" spans="1:18" x14ac:dyDescent="0.3">
      <c r="A706" s="26">
        <v>705</v>
      </c>
      <c r="B706" s="1">
        <v>24</v>
      </c>
      <c r="C706" s="1">
        <f t="shared" si="83"/>
        <v>10</v>
      </c>
      <c r="D706" s="21">
        <f t="shared" ref="D706:D769" ca="1" si="90">DATE(2022,RANDBETWEEN(1,12),RANDBETWEEN(1,28))</f>
        <v>44685</v>
      </c>
      <c r="E706" s="1" t="s">
        <v>26</v>
      </c>
      <c r="F706" s="1" t="s">
        <v>734</v>
      </c>
      <c r="G706" s="1" t="s">
        <v>28</v>
      </c>
      <c r="H706" s="1">
        <v>804</v>
      </c>
      <c r="I706" s="1">
        <f t="shared" si="84"/>
        <v>47</v>
      </c>
      <c r="J706" s="1">
        <f>VLOOKUP(B706,Cena!$A$2:$B$101,2)</f>
        <v>125</v>
      </c>
      <c r="K706" s="1">
        <f t="shared" si="88"/>
        <v>5875</v>
      </c>
      <c r="L706" s="1">
        <f t="shared" si="85"/>
        <v>1351.25</v>
      </c>
      <c r="M706" s="22">
        <f t="shared" si="89"/>
        <v>7226.25</v>
      </c>
      <c r="N706" s="1">
        <f t="shared" ca="1" si="86"/>
        <v>5</v>
      </c>
      <c r="P706" s="1">
        <v>47.38919314040686</v>
      </c>
      <c r="Q706" s="1">
        <f t="shared" ca="1" si="87"/>
        <v>11</v>
      </c>
      <c r="R706" s="1">
        <v>10.128096644402831</v>
      </c>
    </row>
    <row r="707" spans="1:18" x14ac:dyDescent="0.3">
      <c r="A707" s="26">
        <v>706</v>
      </c>
      <c r="B707" s="1">
        <v>11</v>
      </c>
      <c r="C707" s="1">
        <f t="shared" ref="C707:C770" si="91">INT(R707)</f>
        <v>10</v>
      </c>
      <c r="D707" s="21">
        <f t="shared" ca="1" si="90"/>
        <v>44662</v>
      </c>
      <c r="E707" s="1" t="s">
        <v>26</v>
      </c>
      <c r="F707" s="1" t="s">
        <v>735</v>
      </c>
      <c r="G707" s="1" t="s">
        <v>28</v>
      </c>
      <c r="H707" s="1">
        <v>805</v>
      </c>
      <c r="I707" s="1">
        <f t="shared" ref="I707:I770" si="92">INT(P707)</f>
        <v>52</v>
      </c>
      <c r="J707" s="1">
        <f>VLOOKUP(B707,Cena!$A$2:$B$101,2)</f>
        <v>83</v>
      </c>
      <c r="K707" s="1">
        <f t="shared" si="88"/>
        <v>4316</v>
      </c>
      <c r="L707" s="1">
        <f t="shared" ref="L707:L770" si="93">K707*23%</f>
        <v>992.68000000000006</v>
      </c>
      <c r="M707" s="22">
        <f t="shared" si="89"/>
        <v>5308.68</v>
      </c>
      <c r="N707" s="1">
        <f t="shared" ref="N707:N770" ca="1" si="94">MONTH(D707)</f>
        <v>4</v>
      </c>
      <c r="P707" s="1">
        <v>52.751960437308298</v>
      </c>
      <c r="Q707" s="1">
        <f t="shared" ref="Q707:Q770" ca="1" si="95">RANDBETWEEN(1,30)</f>
        <v>23</v>
      </c>
      <c r="R707" s="1">
        <v>10.157785962073831</v>
      </c>
    </row>
    <row r="708" spans="1:18" x14ac:dyDescent="0.3">
      <c r="A708" s="26">
        <v>707</v>
      </c>
      <c r="B708" s="1">
        <v>27</v>
      </c>
      <c r="C708" s="1">
        <f t="shared" si="91"/>
        <v>9</v>
      </c>
      <c r="D708" s="21">
        <f t="shared" ca="1" si="90"/>
        <v>44584</v>
      </c>
      <c r="E708" s="1" t="s">
        <v>26</v>
      </c>
      <c r="F708" s="1" t="s">
        <v>736</v>
      </c>
      <c r="G708" s="1" t="s">
        <v>28</v>
      </c>
      <c r="H708" s="1">
        <v>806</v>
      </c>
      <c r="I708" s="1">
        <f t="shared" si="92"/>
        <v>68</v>
      </c>
      <c r="J708" s="1">
        <f>VLOOKUP(B708,Cena!$A$2:$B$101,2)</f>
        <v>87</v>
      </c>
      <c r="K708" s="1">
        <f t="shared" si="88"/>
        <v>5916</v>
      </c>
      <c r="L708" s="1">
        <f t="shared" si="93"/>
        <v>1360.68</v>
      </c>
      <c r="M708" s="22">
        <f t="shared" si="89"/>
        <v>7276.68</v>
      </c>
      <c r="N708" s="1">
        <f t="shared" ca="1" si="94"/>
        <v>1</v>
      </c>
      <c r="P708" s="1">
        <v>68.356604414293543</v>
      </c>
      <c r="Q708" s="1">
        <f t="shared" ca="1" si="95"/>
        <v>28</v>
      </c>
      <c r="R708" s="1">
        <v>9.5940243024961092</v>
      </c>
    </row>
    <row r="709" spans="1:18" x14ac:dyDescent="0.3">
      <c r="A709" s="26">
        <v>708</v>
      </c>
      <c r="B709" s="1">
        <v>11</v>
      </c>
      <c r="C709" s="1">
        <f t="shared" si="91"/>
        <v>7</v>
      </c>
      <c r="D709" s="21">
        <f t="shared" ca="1" si="90"/>
        <v>44769</v>
      </c>
      <c r="E709" s="1" t="s">
        <v>26</v>
      </c>
      <c r="F709" s="1" t="s">
        <v>737</v>
      </c>
      <c r="G709" s="1" t="s">
        <v>28</v>
      </c>
      <c r="H709" s="1">
        <v>807</v>
      </c>
      <c r="I709" s="1">
        <f t="shared" si="92"/>
        <v>48</v>
      </c>
      <c r="J709" s="1">
        <f>VLOOKUP(B709,Cena!$A$2:$B$101,2)</f>
        <v>83</v>
      </c>
      <c r="K709" s="1">
        <f t="shared" si="88"/>
        <v>3984</v>
      </c>
      <c r="L709" s="1">
        <f t="shared" si="93"/>
        <v>916.32</v>
      </c>
      <c r="M709" s="22">
        <f t="shared" si="89"/>
        <v>4900.32</v>
      </c>
      <c r="N709" s="1">
        <f t="shared" ca="1" si="94"/>
        <v>7</v>
      </c>
      <c r="P709" s="1">
        <v>48.807243173359893</v>
      </c>
      <c r="Q709" s="1">
        <f t="shared" ca="1" si="95"/>
        <v>6</v>
      </c>
      <c r="R709" s="1">
        <v>7.4007039327261737</v>
      </c>
    </row>
    <row r="710" spans="1:18" x14ac:dyDescent="0.3">
      <c r="A710" s="26">
        <v>709</v>
      </c>
      <c r="B710" s="1">
        <v>5</v>
      </c>
      <c r="C710" s="1">
        <f t="shared" si="91"/>
        <v>10</v>
      </c>
      <c r="D710" s="21">
        <f t="shared" ca="1" si="90"/>
        <v>44743</v>
      </c>
      <c r="E710" s="1" t="s">
        <v>26</v>
      </c>
      <c r="F710" s="1" t="s">
        <v>738</v>
      </c>
      <c r="G710" s="1" t="s">
        <v>28</v>
      </c>
      <c r="H710" s="1">
        <v>808</v>
      </c>
      <c r="I710" s="1">
        <f t="shared" si="92"/>
        <v>41</v>
      </c>
      <c r="J710" s="1">
        <f>VLOOKUP(B710,Cena!$A$2:$B$101,2)</f>
        <v>91</v>
      </c>
      <c r="K710" s="1">
        <f t="shared" si="88"/>
        <v>3731</v>
      </c>
      <c r="L710" s="1">
        <f t="shared" si="93"/>
        <v>858.13</v>
      </c>
      <c r="M710" s="22">
        <f t="shared" si="89"/>
        <v>4589.13</v>
      </c>
      <c r="N710" s="1">
        <f t="shared" ca="1" si="94"/>
        <v>7</v>
      </c>
      <c r="P710" s="1">
        <v>41.477125149685889</v>
      </c>
      <c r="Q710" s="1">
        <f t="shared" ca="1" si="95"/>
        <v>29</v>
      </c>
      <c r="R710" s="1">
        <v>10.119285914479406</v>
      </c>
    </row>
    <row r="711" spans="1:18" x14ac:dyDescent="0.3">
      <c r="A711" s="26">
        <v>710</v>
      </c>
      <c r="B711" s="1">
        <v>28</v>
      </c>
      <c r="C711" s="1">
        <f t="shared" si="91"/>
        <v>12</v>
      </c>
      <c r="D711" s="21">
        <f t="shared" ca="1" si="90"/>
        <v>44806</v>
      </c>
      <c r="E711" s="1" t="s">
        <v>26</v>
      </c>
      <c r="F711" s="1" t="s">
        <v>739</v>
      </c>
      <c r="G711" s="1" t="s">
        <v>28</v>
      </c>
      <c r="H711" s="1">
        <v>809</v>
      </c>
      <c r="I711" s="1">
        <f t="shared" si="92"/>
        <v>41</v>
      </c>
      <c r="J711" s="1">
        <f>VLOOKUP(B711,Cena!$A$2:$B$101,2)</f>
        <v>59</v>
      </c>
      <c r="K711" s="1">
        <f t="shared" si="88"/>
        <v>2419</v>
      </c>
      <c r="L711" s="1">
        <f t="shared" si="93"/>
        <v>556.37</v>
      </c>
      <c r="M711" s="22">
        <f t="shared" si="89"/>
        <v>2975.37</v>
      </c>
      <c r="N711" s="1">
        <f t="shared" ca="1" si="94"/>
        <v>9</v>
      </c>
      <c r="P711" s="1">
        <v>41.783352015772834</v>
      </c>
      <c r="Q711" s="1">
        <f t="shared" ca="1" si="95"/>
        <v>5</v>
      </c>
      <c r="R711" s="1">
        <v>12.497057494110777</v>
      </c>
    </row>
    <row r="712" spans="1:18" x14ac:dyDescent="0.3">
      <c r="A712" s="26">
        <v>711</v>
      </c>
      <c r="B712" s="1">
        <v>11</v>
      </c>
      <c r="C712" s="1">
        <f t="shared" si="91"/>
        <v>7</v>
      </c>
      <c r="D712" s="21">
        <f t="shared" ca="1" si="90"/>
        <v>44593</v>
      </c>
      <c r="E712" s="1" t="s">
        <v>26</v>
      </c>
      <c r="F712" s="1" t="s">
        <v>740</v>
      </c>
      <c r="G712" s="1" t="s">
        <v>28</v>
      </c>
      <c r="H712" s="1">
        <v>810</v>
      </c>
      <c r="I712" s="1">
        <f t="shared" si="92"/>
        <v>47</v>
      </c>
      <c r="J712" s="1">
        <f>VLOOKUP(B712,Cena!$A$2:$B$101,2)</f>
        <v>83</v>
      </c>
      <c r="K712" s="1">
        <f t="shared" si="88"/>
        <v>3901</v>
      </c>
      <c r="L712" s="1">
        <f t="shared" si="93"/>
        <v>897.23</v>
      </c>
      <c r="M712" s="22">
        <f t="shared" si="89"/>
        <v>4798.2299999999996</v>
      </c>
      <c r="N712" s="1">
        <f t="shared" ca="1" si="94"/>
        <v>2</v>
      </c>
      <c r="P712" s="1">
        <v>47.770476056757616</v>
      </c>
      <c r="Q712" s="1">
        <f t="shared" ca="1" si="95"/>
        <v>22</v>
      </c>
      <c r="R712" s="1">
        <v>7.7844538534554886</v>
      </c>
    </row>
    <row r="713" spans="1:18" x14ac:dyDescent="0.3">
      <c r="A713" s="26">
        <v>712</v>
      </c>
      <c r="B713" s="1">
        <v>25</v>
      </c>
      <c r="C713" s="1">
        <f t="shared" si="91"/>
        <v>13</v>
      </c>
      <c r="D713" s="21">
        <f t="shared" ca="1" si="90"/>
        <v>44704</v>
      </c>
      <c r="E713" s="1" t="s">
        <v>26</v>
      </c>
      <c r="F713" s="1" t="s">
        <v>741</v>
      </c>
      <c r="G713" s="1" t="s">
        <v>28</v>
      </c>
      <c r="H713" s="1">
        <v>811</v>
      </c>
      <c r="I713" s="1">
        <f t="shared" si="92"/>
        <v>55</v>
      </c>
      <c r="J713" s="1">
        <f>VLOOKUP(B713,Cena!$A$2:$B$101,2)</f>
        <v>108</v>
      </c>
      <c r="K713" s="1">
        <f t="shared" si="88"/>
        <v>5940</v>
      </c>
      <c r="L713" s="1">
        <f t="shared" si="93"/>
        <v>1366.2</v>
      </c>
      <c r="M713" s="22">
        <f t="shared" si="89"/>
        <v>7306.2</v>
      </c>
      <c r="N713" s="1">
        <f t="shared" ca="1" si="94"/>
        <v>5</v>
      </c>
      <c r="P713" s="1">
        <v>55.882679943169933</v>
      </c>
      <c r="Q713" s="1">
        <f t="shared" ca="1" si="95"/>
        <v>24</v>
      </c>
      <c r="R713" s="1">
        <v>13.047085783691728</v>
      </c>
    </row>
    <row r="714" spans="1:18" x14ac:dyDescent="0.3">
      <c r="A714" s="26">
        <v>713</v>
      </c>
      <c r="B714" s="1">
        <v>16</v>
      </c>
      <c r="C714" s="1">
        <f t="shared" si="91"/>
        <v>5</v>
      </c>
      <c r="D714" s="21">
        <f t="shared" ca="1" si="90"/>
        <v>44900</v>
      </c>
      <c r="E714" s="1" t="s">
        <v>26</v>
      </c>
      <c r="F714" s="1" t="s">
        <v>742</v>
      </c>
      <c r="G714" s="1" t="s">
        <v>28</v>
      </c>
      <c r="H714" s="1">
        <v>812</v>
      </c>
      <c r="I714" s="1">
        <f t="shared" si="92"/>
        <v>53</v>
      </c>
      <c r="J714" s="1">
        <f>VLOOKUP(B714,Cena!$A$2:$B$101,2)</f>
        <v>93</v>
      </c>
      <c r="K714" s="1">
        <f t="shared" si="88"/>
        <v>4929</v>
      </c>
      <c r="L714" s="1">
        <f t="shared" si="93"/>
        <v>1133.67</v>
      </c>
      <c r="M714" s="22">
        <f t="shared" si="89"/>
        <v>6062.67</v>
      </c>
      <c r="N714" s="1">
        <f t="shared" ca="1" si="94"/>
        <v>12</v>
      </c>
      <c r="P714" s="1">
        <v>53.396064585103886</v>
      </c>
      <c r="Q714" s="1">
        <f t="shared" ca="1" si="95"/>
        <v>8</v>
      </c>
      <c r="R714" s="1">
        <v>5.1409790810430422</v>
      </c>
    </row>
    <row r="715" spans="1:18" x14ac:dyDescent="0.3">
      <c r="A715" s="26">
        <v>714</v>
      </c>
      <c r="B715" s="1">
        <v>17</v>
      </c>
      <c r="C715" s="1">
        <f t="shared" si="91"/>
        <v>3</v>
      </c>
      <c r="D715" s="21">
        <f t="shared" ca="1" si="90"/>
        <v>44672</v>
      </c>
      <c r="E715" s="1" t="s">
        <v>26</v>
      </c>
      <c r="F715" s="1" t="s">
        <v>743</v>
      </c>
      <c r="G715" s="1" t="s">
        <v>28</v>
      </c>
      <c r="H715" s="1">
        <v>813</v>
      </c>
      <c r="I715" s="1">
        <f t="shared" si="92"/>
        <v>77</v>
      </c>
      <c r="J715" s="1">
        <f>VLOOKUP(B715,Cena!$A$2:$B$101,2)</f>
        <v>84</v>
      </c>
      <c r="K715" s="1">
        <f t="shared" si="88"/>
        <v>6468</v>
      </c>
      <c r="L715" s="1">
        <f t="shared" si="93"/>
        <v>1487.64</v>
      </c>
      <c r="M715" s="22">
        <f t="shared" si="89"/>
        <v>7955.64</v>
      </c>
      <c r="N715" s="1">
        <f t="shared" ca="1" si="94"/>
        <v>4</v>
      </c>
      <c r="P715" s="1">
        <v>77.047281037084758</v>
      </c>
      <c r="Q715" s="1">
        <f t="shared" ca="1" si="95"/>
        <v>4</v>
      </c>
      <c r="R715" s="1">
        <v>3.8631844997871667</v>
      </c>
    </row>
    <row r="716" spans="1:18" x14ac:dyDescent="0.3">
      <c r="A716" s="26">
        <v>715</v>
      </c>
      <c r="B716" s="1">
        <v>9</v>
      </c>
      <c r="C716" s="1">
        <f t="shared" si="91"/>
        <v>5</v>
      </c>
      <c r="D716" s="21">
        <f t="shared" ca="1" si="90"/>
        <v>44667</v>
      </c>
      <c r="E716" s="1" t="s">
        <v>26</v>
      </c>
      <c r="F716" s="1" t="s">
        <v>744</v>
      </c>
      <c r="G716" s="1" t="s">
        <v>28</v>
      </c>
      <c r="H716" s="1">
        <v>814</v>
      </c>
      <c r="I716" s="1">
        <f t="shared" si="92"/>
        <v>43</v>
      </c>
      <c r="J716" s="1">
        <f>VLOOKUP(B716,Cena!$A$2:$B$101,2)</f>
        <v>96</v>
      </c>
      <c r="K716" s="1">
        <f t="shared" si="88"/>
        <v>4128</v>
      </c>
      <c r="L716" s="1">
        <f t="shared" si="93"/>
        <v>949.44</v>
      </c>
      <c r="M716" s="22">
        <f t="shared" si="89"/>
        <v>5077.4400000000005</v>
      </c>
      <c r="N716" s="1">
        <f t="shared" ca="1" si="94"/>
        <v>4</v>
      </c>
      <c r="P716" s="1">
        <v>43.347250892838929</v>
      </c>
      <c r="Q716" s="1">
        <f t="shared" ca="1" si="95"/>
        <v>16</v>
      </c>
      <c r="R716" s="1">
        <v>5.7602881295315456</v>
      </c>
    </row>
    <row r="717" spans="1:18" x14ac:dyDescent="0.3">
      <c r="A717" s="26">
        <v>716</v>
      </c>
      <c r="B717" s="1">
        <v>29</v>
      </c>
      <c r="C717" s="1">
        <f t="shared" si="91"/>
        <v>3</v>
      </c>
      <c r="D717" s="21">
        <f t="shared" ca="1" si="90"/>
        <v>44637</v>
      </c>
      <c r="E717" s="1" t="s">
        <v>26</v>
      </c>
      <c r="F717" s="1" t="s">
        <v>745</v>
      </c>
      <c r="G717" s="1" t="s">
        <v>28</v>
      </c>
      <c r="H717" s="1">
        <v>815</v>
      </c>
      <c r="I717" s="1">
        <f t="shared" si="92"/>
        <v>30</v>
      </c>
      <c r="J717" s="1">
        <f>VLOOKUP(B717,Cena!$A$2:$B$101,2)</f>
        <v>105</v>
      </c>
      <c r="K717" s="1">
        <f t="shared" si="88"/>
        <v>3150</v>
      </c>
      <c r="L717" s="1">
        <f t="shared" si="93"/>
        <v>724.5</v>
      </c>
      <c r="M717" s="22">
        <f t="shared" si="89"/>
        <v>3874.5</v>
      </c>
      <c r="N717" s="1">
        <f t="shared" ca="1" si="94"/>
        <v>3</v>
      </c>
      <c r="P717" s="1">
        <v>30.762368068099022</v>
      </c>
      <c r="Q717" s="1">
        <f t="shared" ca="1" si="95"/>
        <v>12</v>
      </c>
      <c r="R717" s="1">
        <v>3.0852936813607812</v>
      </c>
    </row>
    <row r="718" spans="1:18" x14ac:dyDescent="0.3">
      <c r="A718" s="26">
        <v>717</v>
      </c>
      <c r="B718" s="1">
        <v>10</v>
      </c>
      <c r="C718" s="1">
        <f t="shared" si="91"/>
        <v>9</v>
      </c>
      <c r="D718" s="21">
        <f t="shared" ca="1" si="90"/>
        <v>44608</v>
      </c>
      <c r="E718" s="1" t="s">
        <v>26</v>
      </c>
      <c r="F718" s="1" t="s">
        <v>746</v>
      </c>
      <c r="G718" s="1" t="s">
        <v>28</v>
      </c>
      <c r="H718" s="1">
        <v>816</v>
      </c>
      <c r="I718" s="1">
        <f t="shared" si="92"/>
        <v>59</v>
      </c>
      <c r="J718" s="1">
        <f>VLOOKUP(B718,Cena!$A$2:$B$101,2)</f>
        <v>109</v>
      </c>
      <c r="K718" s="1">
        <f t="shared" si="88"/>
        <v>6431</v>
      </c>
      <c r="L718" s="1">
        <f t="shared" si="93"/>
        <v>1479.13</v>
      </c>
      <c r="M718" s="22">
        <f t="shared" si="89"/>
        <v>7910.13</v>
      </c>
      <c r="N718" s="1">
        <f t="shared" ca="1" si="94"/>
        <v>2</v>
      </c>
      <c r="P718" s="1">
        <v>59.074915396922734</v>
      </c>
      <c r="Q718" s="1">
        <f t="shared" ca="1" si="95"/>
        <v>23</v>
      </c>
      <c r="R718" s="1">
        <v>9.1647484876011731</v>
      </c>
    </row>
    <row r="719" spans="1:18" x14ac:dyDescent="0.3">
      <c r="A719" s="26">
        <v>718</v>
      </c>
      <c r="B719" s="1">
        <v>8</v>
      </c>
      <c r="C719" s="1">
        <f t="shared" si="91"/>
        <v>11</v>
      </c>
      <c r="D719" s="21">
        <f t="shared" ca="1" si="90"/>
        <v>44583</v>
      </c>
      <c r="E719" s="1" t="s">
        <v>26</v>
      </c>
      <c r="F719" s="1" t="s">
        <v>747</v>
      </c>
      <c r="G719" s="1" t="s">
        <v>28</v>
      </c>
      <c r="H719" s="1">
        <v>817</v>
      </c>
      <c r="I719" s="1">
        <f t="shared" si="92"/>
        <v>46</v>
      </c>
      <c r="J719" s="1">
        <f>VLOOKUP(B719,Cena!$A$2:$B$101,2)</f>
        <v>88</v>
      </c>
      <c r="K719" s="1">
        <f t="shared" si="88"/>
        <v>4048</v>
      </c>
      <c r="L719" s="1">
        <f t="shared" si="93"/>
        <v>931.04000000000008</v>
      </c>
      <c r="M719" s="22">
        <f t="shared" si="89"/>
        <v>4979.04</v>
      </c>
      <c r="N719" s="1">
        <f t="shared" ca="1" si="94"/>
        <v>1</v>
      </c>
      <c r="P719" s="1">
        <v>46.800215740222484</v>
      </c>
      <c r="Q719" s="1">
        <f t="shared" ca="1" si="95"/>
        <v>25</v>
      </c>
      <c r="R719" s="1">
        <v>11.216488954014494</v>
      </c>
    </row>
    <row r="720" spans="1:18" x14ac:dyDescent="0.3">
      <c r="A720" s="26">
        <v>719</v>
      </c>
      <c r="B720" s="1">
        <v>8</v>
      </c>
      <c r="C720" s="1">
        <f t="shared" si="91"/>
        <v>10</v>
      </c>
      <c r="D720" s="21">
        <f t="shared" ca="1" si="90"/>
        <v>44685</v>
      </c>
      <c r="E720" s="1" t="s">
        <v>26</v>
      </c>
      <c r="F720" s="1" t="s">
        <v>748</v>
      </c>
      <c r="G720" s="1" t="s">
        <v>28</v>
      </c>
      <c r="H720" s="1">
        <v>818</v>
      </c>
      <c r="I720" s="1">
        <f t="shared" si="92"/>
        <v>52</v>
      </c>
      <c r="J720" s="1">
        <f>VLOOKUP(B720,Cena!$A$2:$B$101,2)</f>
        <v>88</v>
      </c>
      <c r="K720" s="1">
        <f t="shared" si="88"/>
        <v>4576</v>
      </c>
      <c r="L720" s="1">
        <f t="shared" si="93"/>
        <v>1052.48</v>
      </c>
      <c r="M720" s="22">
        <f t="shared" si="89"/>
        <v>5628.48</v>
      </c>
      <c r="N720" s="1">
        <f t="shared" ca="1" si="94"/>
        <v>5</v>
      </c>
      <c r="P720" s="1">
        <v>52.835474788298598</v>
      </c>
      <c r="Q720" s="1">
        <f t="shared" ca="1" si="95"/>
        <v>4</v>
      </c>
      <c r="R720" s="1">
        <v>10.478243578072579</v>
      </c>
    </row>
    <row r="721" spans="1:18" x14ac:dyDescent="0.3">
      <c r="A721" s="26">
        <v>720</v>
      </c>
      <c r="B721" s="1">
        <v>10</v>
      </c>
      <c r="C721" s="1">
        <f t="shared" si="91"/>
        <v>10</v>
      </c>
      <c r="D721" s="21">
        <f t="shared" ca="1" si="90"/>
        <v>44723</v>
      </c>
      <c r="E721" s="1" t="s">
        <v>26</v>
      </c>
      <c r="F721" s="1" t="s">
        <v>749</v>
      </c>
      <c r="G721" s="1" t="s">
        <v>28</v>
      </c>
      <c r="H721" s="1">
        <v>819</v>
      </c>
      <c r="I721" s="1">
        <f t="shared" si="92"/>
        <v>52</v>
      </c>
      <c r="J721" s="1">
        <f>VLOOKUP(B721,Cena!$A$2:$B$101,2)</f>
        <v>109</v>
      </c>
      <c r="K721" s="1">
        <f t="shared" si="88"/>
        <v>5668</v>
      </c>
      <c r="L721" s="1">
        <f t="shared" si="93"/>
        <v>1303.6400000000001</v>
      </c>
      <c r="M721" s="22">
        <f t="shared" si="89"/>
        <v>6971.64</v>
      </c>
      <c r="N721" s="1">
        <f t="shared" ca="1" si="94"/>
        <v>6</v>
      </c>
      <c r="P721" s="1">
        <v>52.558601863711374</v>
      </c>
      <c r="Q721" s="1">
        <f t="shared" ca="1" si="95"/>
        <v>22</v>
      </c>
      <c r="R721" s="1">
        <v>10.691565560373419</v>
      </c>
    </row>
    <row r="722" spans="1:18" x14ac:dyDescent="0.3">
      <c r="A722" s="26">
        <v>721</v>
      </c>
      <c r="B722" s="1">
        <v>6</v>
      </c>
      <c r="C722" s="1">
        <f t="shared" si="91"/>
        <v>8</v>
      </c>
      <c r="D722" s="21">
        <f t="shared" ca="1" si="90"/>
        <v>44791</v>
      </c>
      <c r="E722" s="1" t="s">
        <v>26</v>
      </c>
      <c r="F722" s="1" t="s">
        <v>750</v>
      </c>
      <c r="G722" s="1" t="s">
        <v>28</v>
      </c>
      <c r="H722" s="1">
        <v>820</v>
      </c>
      <c r="I722" s="1">
        <f t="shared" si="92"/>
        <v>57</v>
      </c>
      <c r="J722" s="1">
        <f>VLOOKUP(B722,Cena!$A$2:$B$101,2)</f>
        <v>86</v>
      </c>
      <c r="K722" s="1">
        <f t="shared" si="88"/>
        <v>4902</v>
      </c>
      <c r="L722" s="1">
        <f t="shared" si="93"/>
        <v>1127.46</v>
      </c>
      <c r="M722" s="22">
        <f t="shared" si="89"/>
        <v>6029.46</v>
      </c>
      <c r="N722" s="1">
        <f t="shared" ca="1" si="94"/>
        <v>8</v>
      </c>
      <c r="P722" s="1">
        <v>57.275775715243071</v>
      </c>
      <c r="Q722" s="1">
        <f t="shared" ca="1" si="95"/>
        <v>8</v>
      </c>
      <c r="R722" s="1">
        <v>8.1527821546478663</v>
      </c>
    </row>
    <row r="723" spans="1:18" x14ac:dyDescent="0.3">
      <c r="A723" s="26">
        <v>722</v>
      </c>
      <c r="B723" s="1">
        <v>13</v>
      </c>
      <c r="C723" s="1">
        <f t="shared" si="91"/>
        <v>8</v>
      </c>
      <c r="D723" s="21">
        <f t="shared" ca="1" si="90"/>
        <v>44906</v>
      </c>
      <c r="E723" s="1" t="s">
        <v>26</v>
      </c>
      <c r="F723" s="1" t="s">
        <v>751</v>
      </c>
      <c r="G723" s="1" t="s">
        <v>28</v>
      </c>
      <c r="H723" s="1">
        <v>821</v>
      </c>
      <c r="I723" s="1">
        <f t="shared" si="92"/>
        <v>54</v>
      </c>
      <c r="J723" s="1">
        <f>VLOOKUP(B723,Cena!$A$2:$B$101,2)</f>
        <v>94</v>
      </c>
      <c r="K723" s="1">
        <f t="shared" si="88"/>
        <v>5076</v>
      </c>
      <c r="L723" s="1">
        <f t="shared" si="93"/>
        <v>1167.48</v>
      </c>
      <c r="M723" s="22">
        <f t="shared" si="89"/>
        <v>6243.48</v>
      </c>
      <c r="N723" s="1">
        <f t="shared" ca="1" si="94"/>
        <v>12</v>
      </c>
      <c r="P723" s="1">
        <v>54.163621269981377</v>
      </c>
      <c r="Q723" s="1">
        <f t="shared" ca="1" si="95"/>
        <v>4</v>
      </c>
      <c r="R723" s="1">
        <v>8.2369217832456343</v>
      </c>
    </row>
    <row r="724" spans="1:18" x14ac:dyDescent="0.3">
      <c r="A724" s="26">
        <v>723</v>
      </c>
      <c r="B724" s="1">
        <v>4</v>
      </c>
      <c r="C724" s="1">
        <f t="shared" si="91"/>
        <v>15</v>
      </c>
      <c r="D724" s="21">
        <f t="shared" ca="1" si="90"/>
        <v>44887</v>
      </c>
      <c r="E724" s="1" t="s">
        <v>26</v>
      </c>
      <c r="F724" s="1" t="s">
        <v>752</v>
      </c>
      <c r="G724" s="1" t="s">
        <v>28</v>
      </c>
      <c r="H724" s="1">
        <v>822</v>
      </c>
      <c r="I724" s="1">
        <f t="shared" si="92"/>
        <v>64</v>
      </c>
      <c r="J724" s="1">
        <f>VLOOKUP(B724,Cena!$A$2:$B$101,2)</f>
        <v>99</v>
      </c>
      <c r="K724" s="1">
        <f t="shared" si="88"/>
        <v>6336</v>
      </c>
      <c r="L724" s="1">
        <f t="shared" si="93"/>
        <v>1457.28</v>
      </c>
      <c r="M724" s="22">
        <f t="shared" si="89"/>
        <v>7793.28</v>
      </c>
      <c r="N724" s="1">
        <f t="shared" ca="1" si="94"/>
        <v>11</v>
      </c>
      <c r="P724" s="1">
        <v>64.366332834470086</v>
      </c>
      <c r="Q724" s="1">
        <f t="shared" ca="1" si="95"/>
        <v>28</v>
      </c>
      <c r="R724" s="1">
        <v>15.422225513029844</v>
      </c>
    </row>
    <row r="725" spans="1:18" x14ac:dyDescent="0.3">
      <c r="A725" s="26">
        <v>724</v>
      </c>
      <c r="B725" s="1">
        <v>7</v>
      </c>
      <c r="C725" s="1">
        <f t="shared" si="91"/>
        <v>11</v>
      </c>
      <c r="D725" s="21">
        <f t="shared" ca="1" si="90"/>
        <v>44587</v>
      </c>
      <c r="E725" s="1" t="s">
        <v>26</v>
      </c>
      <c r="F725" s="1" t="s">
        <v>753</v>
      </c>
      <c r="G725" s="1" t="s">
        <v>28</v>
      </c>
      <c r="H725" s="1">
        <v>823</v>
      </c>
      <c r="I725" s="1">
        <f t="shared" si="92"/>
        <v>48</v>
      </c>
      <c r="J725" s="1">
        <f>VLOOKUP(B725,Cena!$A$2:$B$101,2)</f>
        <v>104</v>
      </c>
      <c r="K725" s="1">
        <f t="shared" si="88"/>
        <v>4992</v>
      </c>
      <c r="L725" s="1">
        <f t="shared" si="93"/>
        <v>1148.1600000000001</v>
      </c>
      <c r="M725" s="22">
        <f t="shared" si="89"/>
        <v>6140.16</v>
      </c>
      <c r="N725" s="1">
        <f t="shared" ca="1" si="94"/>
        <v>1</v>
      </c>
      <c r="P725" s="1">
        <v>48.087810126889963</v>
      </c>
      <c r="Q725" s="1">
        <f t="shared" ca="1" si="95"/>
        <v>29</v>
      </c>
      <c r="R725" s="1">
        <v>11.578933961354778</v>
      </c>
    </row>
    <row r="726" spans="1:18" x14ac:dyDescent="0.3">
      <c r="A726" s="26">
        <v>725</v>
      </c>
      <c r="B726" s="1">
        <v>10</v>
      </c>
      <c r="C726" s="1">
        <f t="shared" si="91"/>
        <v>6</v>
      </c>
      <c r="D726" s="21">
        <f t="shared" ca="1" si="90"/>
        <v>44785</v>
      </c>
      <c r="E726" s="1" t="s">
        <v>26</v>
      </c>
      <c r="F726" s="1" t="s">
        <v>754</v>
      </c>
      <c r="G726" s="1" t="s">
        <v>28</v>
      </c>
      <c r="H726" s="1">
        <v>824</v>
      </c>
      <c r="I726" s="1">
        <f t="shared" si="92"/>
        <v>40</v>
      </c>
      <c r="J726" s="1">
        <f>VLOOKUP(B726,Cena!$A$2:$B$101,2)</f>
        <v>109</v>
      </c>
      <c r="K726" s="1">
        <f t="shared" si="88"/>
        <v>4360</v>
      </c>
      <c r="L726" s="1">
        <f t="shared" si="93"/>
        <v>1002.8000000000001</v>
      </c>
      <c r="M726" s="22">
        <f t="shared" si="89"/>
        <v>5362.8</v>
      </c>
      <c r="N726" s="1">
        <f t="shared" ca="1" si="94"/>
        <v>8</v>
      </c>
      <c r="P726" s="1">
        <v>40.097080626583192</v>
      </c>
      <c r="Q726" s="1">
        <f t="shared" ca="1" si="95"/>
        <v>30</v>
      </c>
      <c r="R726" s="1">
        <v>6.6714426591352094</v>
      </c>
    </row>
    <row r="727" spans="1:18" x14ac:dyDescent="0.3">
      <c r="A727" s="26">
        <v>726</v>
      </c>
      <c r="B727" s="1">
        <v>27</v>
      </c>
      <c r="C727" s="1">
        <f t="shared" si="91"/>
        <v>3</v>
      </c>
      <c r="D727" s="21">
        <f t="shared" ca="1" si="90"/>
        <v>44856</v>
      </c>
      <c r="E727" s="1" t="s">
        <v>26</v>
      </c>
      <c r="F727" s="1" t="s">
        <v>755</v>
      </c>
      <c r="G727" s="1" t="s">
        <v>28</v>
      </c>
      <c r="H727" s="1">
        <v>825</v>
      </c>
      <c r="I727" s="1">
        <f t="shared" si="92"/>
        <v>48</v>
      </c>
      <c r="J727" s="1">
        <f>VLOOKUP(B727,Cena!$A$2:$B$101,2)</f>
        <v>87</v>
      </c>
      <c r="K727" s="1">
        <f t="shared" si="88"/>
        <v>4176</v>
      </c>
      <c r="L727" s="1">
        <f t="shared" si="93"/>
        <v>960.48</v>
      </c>
      <c r="M727" s="22">
        <f t="shared" si="89"/>
        <v>5136.4799999999996</v>
      </c>
      <c r="N727" s="1">
        <f t="shared" ca="1" si="94"/>
        <v>10</v>
      </c>
      <c r="P727" s="1">
        <v>48.345856511150487</v>
      </c>
      <c r="Q727" s="1">
        <f t="shared" ca="1" si="95"/>
        <v>6</v>
      </c>
      <c r="R727" s="1">
        <v>3.7947904982138425</v>
      </c>
    </row>
    <row r="728" spans="1:18" x14ac:dyDescent="0.3">
      <c r="A728" s="26">
        <v>727</v>
      </c>
      <c r="B728" s="1">
        <v>26</v>
      </c>
      <c r="C728" s="1">
        <f t="shared" si="91"/>
        <v>9</v>
      </c>
      <c r="D728" s="21">
        <f t="shared" ca="1" si="90"/>
        <v>44823</v>
      </c>
      <c r="E728" s="1" t="s">
        <v>26</v>
      </c>
      <c r="F728" s="1" t="s">
        <v>756</v>
      </c>
      <c r="G728" s="1" t="s">
        <v>28</v>
      </c>
      <c r="H728" s="1">
        <v>826</v>
      </c>
      <c r="I728" s="1">
        <f t="shared" si="92"/>
        <v>36</v>
      </c>
      <c r="J728" s="1">
        <f>VLOOKUP(B728,Cena!$A$2:$B$101,2)</f>
        <v>99</v>
      </c>
      <c r="K728" s="1">
        <f t="shared" si="88"/>
        <v>3564</v>
      </c>
      <c r="L728" s="1">
        <f t="shared" si="93"/>
        <v>819.72</v>
      </c>
      <c r="M728" s="22">
        <f t="shared" si="89"/>
        <v>4383.72</v>
      </c>
      <c r="N728" s="1">
        <f t="shared" ca="1" si="94"/>
        <v>9</v>
      </c>
      <c r="P728" s="1">
        <v>36.605530466476921</v>
      </c>
      <c r="Q728" s="1">
        <f t="shared" ca="1" si="95"/>
        <v>24</v>
      </c>
      <c r="R728" s="1">
        <v>9.3259052644134499</v>
      </c>
    </row>
    <row r="729" spans="1:18" x14ac:dyDescent="0.3">
      <c r="A729" s="26">
        <v>728</v>
      </c>
      <c r="B729" s="1">
        <v>16</v>
      </c>
      <c r="C729" s="1">
        <f t="shared" si="91"/>
        <v>6</v>
      </c>
      <c r="D729" s="21">
        <f t="shared" ca="1" si="90"/>
        <v>44841</v>
      </c>
      <c r="E729" s="1" t="s">
        <v>26</v>
      </c>
      <c r="F729" s="1" t="s">
        <v>757</v>
      </c>
      <c r="G729" s="1" t="s">
        <v>28</v>
      </c>
      <c r="H729" s="1">
        <v>827</v>
      </c>
      <c r="I729" s="1">
        <f t="shared" si="92"/>
        <v>47</v>
      </c>
      <c r="J729" s="1">
        <f>VLOOKUP(B729,Cena!$A$2:$B$101,2)</f>
        <v>93</v>
      </c>
      <c r="K729" s="1">
        <f t="shared" si="88"/>
        <v>4371</v>
      </c>
      <c r="L729" s="1">
        <f t="shared" si="93"/>
        <v>1005.33</v>
      </c>
      <c r="M729" s="22">
        <f t="shared" si="89"/>
        <v>5376.33</v>
      </c>
      <c r="N729" s="1">
        <f t="shared" ca="1" si="94"/>
        <v>10</v>
      </c>
      <c r="P729" s="1">
        <v>47.812801666441374</v>
      </c>
      <c r="Q729" s="1">
        <f t="shared" ca="1" si="95"/>
        <v>29</v>
      </c>
      <c r="R729" s="1">
        <v>6.9139594213629607</v>
      </c>
    </row>
    <row r="730" spans="1:18" x14ac:dyDescent="0.3">
      <c r="A730" s="26">
        <v>729</v>
      </c>
      <c r="B730" s="1">
        <v>14</v>
      </c>
      <c r="C730" s="1">
        <f t="shared" si="91"/>
        <v>4</v>
      </c>
      <c r="D730" s="21">
        <f t="shared" ca="1" si="90"/>
        <v>44909</v>
      </c>
      <c r="E730" s="1" t="s">
        <v>26</v>
      </c>
      <c r="F730" s="1" t="s">
        <v>758</v>
      </c>
      <c r="G730" s="1" t="s">
        <v>28</v>
      </c>
      <c r="H730" s="1">
        <v>828</v>
      </c>
      <c r="I730" s="1">
        <f t="shared" si="92"/>
        <v>63</v>
      </c>
      <c r="J730" s="1">
        <f>VLOOKUP(B730,Cena!$A$2:$B$101,2)</f>
        <v>129</v>
      </c>
      <c r="K730" s="1">
        <f t="shared" si="88"/>
        <v>8127</v>
      </c>
      <c r="L730" s="1">
        <f t="shared" si="93"/>
        <v>1869.21</v>
      </c>
      <c r="M730" s="22">
        <f t="shared" si="89"/>
        <v>9996.2099999999991</v>
      </c>
      <c r="N730" s="1">
        <f t="shared" ca="1" si="94"/>
        <v>12</v>
      </c>
      <c r="P730" s="1">
        <v>63.801309250993654</v>
      </c>
      <c r="Q730" s="1">
        <f t="shared" ca="1" si="95"/>
        <v>21</v>
      </c>
      <c r="R730" s="1">
        <v>4.6536263450980186</v>
      </c>
    </row>
    <row r="731" spans="1:18" x14ac:dyDescent="0.3">
      <c r="A731" s="26">
        <v>730</v>
      </c>
      <c r="B731" s="1">
        <v>10</v>
      </c>
      <c r="C731" s="1">
        <f t="shared" si="91"/>
        <v>10</v>
      </c>
      <c r="D731" s="21">
        <f t="shared" ca="1" si="90"/>
        <v>44789</v>
      </c>
      <c r="E731" s="1" t="s">
        <v>26</v>
      </c>
      <c r="F731" s="1" t="s">
        <v>759</v>
      </c>
      <c r="G731" s="1" t="s">
        <v>28</v>
      </c>
      <c r="H731" s="1">
        <v>829</v>
      </c>
      <c r="I731" s="1">
        <f t="shared" si="92"/>
        <v>48</v>
      </c>
      <c r="J731" s="1">
        <f>VLOOKUP(B731,Cena!$A$2:$B$101,2)</f>
        <v>109</v>
      </c>
      <c r="K731" s="1">
        <f t="shared" si="88"/>
        <v>5232</v>
      </c>
      <c r="L731" s="1">
        <f t="shared" si="93"/>
        <v>1203.3600000000001</v>
      </c>
      <c r="M731" s="22">
        <f t="shared" si="89"/>
        <v>6435.3600000000006</v>
      </c>
      <c r="N731" s="1">
        <f t="shared" ca="1" si="94"/>
        <v>8</v>
      </c>
      <c r="P731" s="1">
        <v>48.870396211714251</v>
      </c>
      <c r="Q731" s="1">
        <f t="shared" ca="1" si="95"/>
        <v>25</v>
      </c>
      <c r="R731" s="1">
        <v>10.589975002185383</v>
      </c>
    </row>
    <row r="732" spans="1:18" x14ac:dyDescent="0.3">
      <c r="A732" s="26">
        <v>731</v>
      </c>
      <c r="B732" s="1">
        <v>15</v>
      </c>
      <c r="C732" s="1">
        <f t="shared" si="91"/>
        <v>6</v>
      </c>
      <c r="D732" s="21">
        <f t="shared" ca="1" si="90"/>
        <v>44660</v>
      </c>
      <c r="E732" s="1" t="s">
        <v>26</v>
      </c>
      <c r="F732" s="1" t="s">
        <v>760</v>
      </c>
      <c r="G732" s="1" t="s">
        <v>28</v>
      </c>
      <c r="H732" s="1">
        <v>830</v>
      </c>
      <c r="I732" s="1">
        <f t="shared" si="92"/>
        <v>58</v>
      </c>
      <c r="J732" s="1">
        <f>VLOOKUP(B732,Cena!$A$2:$B$101,2)</f>
        <v>85</v>
      </c>
      <c r="K732" s="1">
        <f t="shared" si="88"/>
        <v>4930</v>
      </c>
      <c r="L732" s="1">
        <f t="shared" si="93"/>
        <v>1133.9000000000001</v>
      </c>
      <c r="M732" s="22">
        <f t="shared" si="89"/>
        <v>6063.9</v>
      </c>
      <c r="N732" s="1">
        <f t="shared" ca="1" si="94"/>
        <v>4</v>
      </c>
      <c r="P732" s="1">
        <v>58.566939868615009</v>
      </c>
      <c r="Q732" s="1">
        <f t="shared" ca="1" si="95"/>
        <v>21</v>
      </c>
      <c r="R732" s="1">
        <v>6.6779284932272276</v>
      </c>
    </row>
    <row r="733" spans="1:18" x14ac:dyDescent="0.3">
      <c r="A733" s="26">
        <v>732</v>
      </c>
      <c r="B733" s="1">
        <v>3</v>
      </c>
      <c r="C733" s="1">
        <f t="shared" si="91"/>
        <v>4</v>
      </c>
      <c r="D733" s="21">
        <f t="shared" ca="1" si="90"/>
        <v>44872</v>
      </c>
      <c r="E733" s="1" t="s">
        <v>26</v>
      </c>
      <c r="F733" s="1" t="s">
        <v>761</v>
      </c>
      <c r="G733" s="1" t="s">
        <v>28</v>
      </c>
      <c r="H733" s="1">
        <v>831</v>
      </c>
      <c r="I733" s="1">
        <f t="shared" si="92"/>
        <v>32</v>
      </c>
      <c r="J733" s="1">
        <f>VLOOKUP(B733,Cena!$A$2:$B$101,2)</f>
        <v>89</v>
      </c>
      <c r="K733" s="1">
        <f t="shared" si="88"/>
        <v>2848</v>
      </c>
      <c r="L733" s="1">
        <f t="shared" si="93"/>
        <v>655.04000000000008</v>
      </c>
      <c r="M733" s="22">
        <f t="shared" si="89"/>
        <v>3503.04</v>
      </c>
      <c r="N733" s="1">
        <f t="shared" ca="1" si="94"/>
        <v>11</v>
      </c>
      <c r="P733" s="1">
        <v>32.379813445731997</v>
      </c>
      <c r="Q733" s="1">
        <f t="shared" ca="1" si="95"/>
        <v>17</v>
      </c>
      <c r="R733" s="1">
        <v>4.5957370073301718</v>
      </c>
    </row>
    <row r="734" spans="1:18" x14ac:dyDescent="0.3">
      <c r="A734" s="26">
        <v>733</v>
      </c>
      <c r="B734" s="1">
        <v>5</v>
      </c>
      <c r="C734" s="1">
        <f t="shared" si="91"/>
        <v>7</v>
      </c>
      <c r="D734" s="21">
        <f t="shared" ca="1" si="90"/>
        <v>44740</v>
      </c>
      <c r="E734" s="1" t="s">
        <v>26</v>
      </c>
      <c r="F734" s="1" t="s">
        <v>762</v>
      </c>
      <c r="G734" s="1" t="s">
        <v>28</v>
      </c>
      <c r="H734" s="1">
        <v>832</v>
      </c>
      <c r="I734" s="1">
        <f t="shared" si="92"/>
        <v>48</v>
      </c>
      <c r="J734" s="1">
        <f>VLOOKUP(B734,Cena!$A$2:$B$101,2)</f>
        <v>91</v>
      </c>
      <c r="K734" s="1">
        <f t="shared" si="88"/>
        <v>4368</v>
      </c>
      <c r="L734" s="1">
        <f t="shared" si="93"/>
        <v>1004.6400000000001</v>
      </c>
      <c r="M734" s="22">
        <f t="shared" si="89"/>
        <v>5372.64</v>
      </c>
      <c r="N734" s="1">
        <f t="shared" ca="1" si="94"/>
        <v>6</v>
      </c>
      <c r="P734" s="1">
        <v>48.737098394485656</v>
      </c>
      <c r="Q734" s="1">
        <f t="shared" ca="1" si="95"/>
        <v>25</v>
      </c>
      <c r="R734" s="1">
        <v>7.5173921029636404</v>
      </c>
    </row>
    <row r="735" spans="1:18" x14ac:dyDescent="0.3">
      <c r="A735" s="26">
        <v>734</v>
      </c>
      <c r="B735" s="1">
        <v>12</v>
      </c>
      <c r="C735" s="1">
        <f t="shared" si="91"/>
        <v>14</v>
      </c>
      <c r="D735" s="21">
        <f t="shared" ca="1" si="90"/>
        <v>44618</v>
      </c>
      <c r="E735" s="1" t="s">
        <v>26</v>
      </c>
      <c r="F735" s="1" t="s">
        <v>763</v>
      </c>
      <c r="G735" s="1" t="s">
        <v>28</v>
      </c>
      <c r="H735" s="1">
        <v>833</v>
      </c>
      <c r="I735" s="1">
        <f t="shared" si="92"/>
        <v>49</v>
      </c>
      <c r="J735" s="1">
        <f>VLOOKUP(B735,Cena!$A$2:$B$101,2)</f>
        <v>88</v>
      </c>
      <c r="K735" s="1">
        <f t="shared" ref="K735:K798" si="96">I735*J735</f>
        <v>4312</v>
      </c>
      <c r="L735" s="1">
        <f t="shared" si="93"/>
        <v>991.76</v>
      </c>
      <c r="M735" s="22">
        <f t="shared" ref="M735:M798" si="97">K735+L735</f>
        <v>5303.76</v>
      </c>
      <c r="N735" s="1">
        <f t="shared" ca="1" si="94"/>
        <v>2</v>
      </c>
      <c r="P735" s="1">
        <v>49.615499746141722</v>
      </c>
      <c r="Q735" s="1">
        <f t="shared" ca="1" si="95"/>
        <v>27</v>
      </c>
      <c r="R735" s="1">
        <v>14.379967322165612</v>
      </c>
    </row>
    <row r="736" spans="1:18" x14ac:dyDescent="0.3">
      <c r="A736" s="26">
        <v>735</v>
      </c>
      <c r="B736" s="1">
        <v>26</v>
      </c>
      <c r="C736" s="1">
        <f t="shared" si="91"/>
        <v>9</v>
      </c>
      <c r="D736" s="21">
        <f t="shared" ca="1" si="90"/>
        <v>44620</v>
      </c>
      <c r="E736" s="1" t="s">
        <v>26</v>
      </c>
      <c r="F736" s="1" t="s">
        <v>764</v>
      </c>
      <c r="G736" s="1" t="s">
        <v>28</v>
      </c>
      <c r="H736" s="1">
        <v>834</v>
      </c>
      <c r="I736" s="1">
        <f t="shared" si="92"/>
        <v>42</v>
      </c>
      <c r="J736" s="1">
        <f>VLOOKUP(B736,Cena!$A$2:$B$101,2)</f>
        <v>99</v>
      </c>
      <c r="K736" s="1">
        <f t="shared" si="96"/>
        <v>4158</v>
      </c>
      <c r="L736" s="1">
        <f t="shared" si="93"/>
        <v>956.34</v>
      </c>
      <c r="M736" s="22">
        <f t="shared" si="97"/>
        <v>5114.34</v>
      </c>
      <c r="N736" s="1">
        <f t="shared" ca="1" si="94"/>
        <v>2</v>
      </c>
      <c r="P736" s="1">
        <v>42.954553817980923</v>
      </c>
      <c r="Q736" s="1">
        <f t="shared" ca="1" si="95"/>
        <v>15</v>
      </c>
      <c r="R736" s="1">
        <v>9.4725754959290498</v>
      </c>
    </row>
    <row r="737" spans="1:18" x14ac:dyDescent="0.3">
      <c r="A737" s="26">
        <v>736</v>
      </c>
      <c r="B737" s="1">
        <v>10</v>
      </c>
      <c r="C737" s="1">
        <f t="shared" si="91"/>
        <v>8</v>
      </c>
      <c r="D737" s="21">
        <f t="shared" ca="1" si="90"/>
        <v>44661</v>
      </c>
      <c r="E737" s="1" t="s">
        <v>26</v>
      </c>
      <c r="F737" s="1" t="s">
        <v>765</v>
      </c>
      <c r="G737" s="1" t="s">
        <v>28</v>
      </c>
      <c r="H737" s="1">
        <v>835</v>
      </c>
      <c r="I737" s="1">
        <f t="shared" si="92"/>
        <v>63</v>
      </c>
      <c r="J737" s="1">
        <f>VLOOKUP(B737,Cena!$A$2:$B$101,2)</f>
        <v>109</v>
      </c>
      <c r="K737" s="1">
        <f t="shared" si="96"/>
        <v>6867</v>
      </c>
      <c r="L737" s="1">
        <f t="shared" si="93"/>
        <v>1579.41</v>
      </c>
      <c r="M737" s="22">
        <f t="shared" si="97"/>
        <v>8446.41</v>
      </c>
      <c r="N737" s="1">
        <f t="shared" ca="1" si="94"/>
        <v>4</v>
      </c>
      <c r="P737" s="1">
        <v>63.17994247074239</v>
      </c>
      <c r="Q737" s="1">
        <f t="shared" ca="1" si="95"/>
        <v>16</v>
      </c>
      <c r="R737" s="1">
        <v>8.6907312177208951</v>
      </c>
    </row>
    <row r="738" spans="1:18" x14ac:dyDescent="0.3">
      <c r="A738" s="26">
        <v>737</v>
      </c>
      <c r="B738" s="1">
        <v>25</v>
      </c>
      <c r="C738" s="1">
        <f t="shared" si="91"/>
        <v>13</v>
      </c>
      <c r="D738" s="21">
        <f t="shared" ca="1" si="90"/>
        <v>44783</v>
      </c>
      <c r="E738" s="1" t="s">
        <v>26</v>
      </c>
      <c r="F738" s="1" t="s">
        <v>766</v>
      </c>
      <c r="G738" s="1" t="s">
        <v>28</v>
      </c>
      <c r="H738" s="1">
        <v>836</v>
      </c>
      <c r="I738" s="1">
        <f t="shared" si="92"/>
        <v>34</v>
      </c>
      <c r="J738" s="1">
        <f>VLOOKUP(B738,Cena!$A$2:$B$101,2)</f>
        <v>108</v>
      </c>
      <c r="K738" s="1">
        <f t="shared" si="96"/>
        <v>3672</v>
      </c>
      <c r="L738" s="1">
        <f t="shared" si="93"/>
        <v>844.56000000000006</v>
      </c>
      <c r="M738" s="22">
        <f t="shared" si="97"/>
        <v>4516.5600000000004</v>
      </c>
      <c r="N738" s="1">
        <f t="shared" ca="1" si="94"/>
        <v>8</v>
      </c>
      <c r="P738" s="1">
        <v>34.747682901797816</v>
      </c>
      <c r="Q738" s="1">
        <f t="shared" ca="1" si="95"/>
        <v>1</v>
      </c>
      <c r="R738" s="1">
        <v>13.702416506712325</v>
      </c>
    </row>
    <row r="739" spans="1:18" x14ac:dyDescent="0.3">
      <c r="A739" s="26">
        <v>738</v>
      </c>
      <c r="B739" s="1">
        <v>30</v>
      </c>
      <c r="C739" s="1">
        <f t="shared" si="91"/>
        <v>10</v>
      </c>
      <c r="D739" s="21">
        <f t="shared" ca="1" si="90"/>
        <v>44896</v>
      </c>
      <c r="E739" s="1" t="s">
        <v>26</v>
      </c>
      <c r="F739" s="1" t="s">
        <v>767</v>
      </c>
      <c r="G739" s="1" t="s">
        <v>28</v>
      </c>
      <c r="H739" s="1">
        <v>837</v>
      </c>
      <c r="I739" s="1">
        <f t="shared" si="92"/>
        <v>57</v>
      </c>
      <c r="J739" s="1">
        <f>VLOOKUP(B739,Cena!$A$2:$B$101,2)</f>
        <v>87</v>
      </c>
      <c r="K739" s="1">
        <f t="shared" si="96"/>
        <v>4959</v>
      </c>
      <c r="L739" s="1">
        <f t="shared" si="93"/>
        <v>1140.57</v>
      </c>
      <c r="M739" s="22">
        <f t="shared" si="97"/>
        <v>6099.57</v>
      </c>
      <c r="N739" s="1">
        <f t="shared" ca="1" si="94"/>
        <v>12</v>
      </c>
      <c r="P739" s="1">
        <v>57.203198038041592</v>
      </c>
      <c r="Q739" s="1">
        <f t="shared" ca="1" si="95"/>
        <v>27</v>
      </c>
      <c r="R739" s="1">
        <v>10.456640236734529</v>
      </c>
    </row>
    <row r="740" spans="1:18" x14ac:dyDescent="0.3">
      <c r="A740" s="26">
        <v>739</v>
      </c>
      <c r="B740" s="1">
        <v>16</v>
      </c>
      <c r="C740" s="1">
        <f t="shared" si="91"/>
        <v>9</v>
      </c>
      <c r="D740" s="21">
        <f t="shared" ca="1" si="90"/>
        <v>44825</v>
      </c>
      <c r="E740" s="1" t="s">
        <v>26</v>
      </c>
      <c r="F740" s="1" t="s">
        <v>768</v>
      </c>
      <c r="G740" s="1" t="s">
        <v>28</v>
      </c>
      <c r="H740" s="1">
        <v>838</v>
      </c>
      <c r="I740" s="1">
        <f t="shared" si="92"/>
        <v>56</v>
      </c>
      <c r="J740" s="1">
        <f>VLOOKUP(B740,Cena!$A$2:$B$101,2)</f>
        <v>93</v>
      </c>
      <c r="K740" s="1">
        <f t="shared" si="96"/>
        <v>5208</v>
      </c>
      <c r="L740" s="1">
        <f t="shared" si="93"/>
        <v>1197.8400000000001</v>
      </c>
      <c r="M740" s="22">
        <f t="shared" si="97"/>
        <v>6405.84</v>
      </c>
      <c r="N740" s="1">
        <f t="shared" ca="1" si="94"/>
        <v>9</v>
      </c>
      <c r="P740" s="1">
        <v>56.28122052148683</v>
      </c>
      <c r="Q740" s="1">
        <f t="shared" ca="1" si="95"/>
        <v>8</v>
      </c>
      <c r="R740" s="1">
        <v>9.4483033560754848</v>
      </c>
    </row>
    <row r="741" spans="1:18" x14ac:dyDescent="0.3">
      <c r="A741" s="26">
        <v>740</v>
      </c>
      <c r="B741" s="1">
        <v>7</v>
      </c>
      <c r="C741" s="1">
        <f t="shared" si="91"/>
        <v>2</v>
      </c>
      <c r="D741" s="21">
        <f t="shared" ca="1" si="90"/>
        <v>44902</v>
      </c>
      <c r="E741" s="1" t="s">
        <v>26</v>
      </c>
      <c r="F741" s="1" t="s">
        <v>769</v>
      </c>
      <c r="G741" s="1" t="s">
        <v>28</v>
      </c>
      <c r="H741" s="1">
        <v>839</v>
      </c>
      <c r="I741" s="1">
        <f t="shared" si="92"/>
        <v>45</v>
      </c>
      <c r="J741" s="1">
        <f>VLOOKUP(B741,Cena!$A$2:$B$101,2)</f>
        <v>104</v>
      </c>
      <c r="K741" s="1">
        <f t="shared" si="96"/>
        <v>4680</v>
      </c>
      <c r="L741" s="1">
        <f t="shared" si="93"/>
        <v>1076.4000000000001</v>
      </c>
      <c r="M741" s="22">
        <f t="shared" si="97"/>
        <v>5756.4</v>
      </c>
      <c r="N741" s="1">
        <f t="shared" ca="1" si="94"/>
        <v>12</v>
      </c>
      <c r="P741" s="1">
        <v>45.61509866907727</v>
      </c>
      <c r="Q741" s="1">
        <f t="shared" ca="1" si="95"/>
        <v>23</v>
      </c>
      <c r="R741" s="1">
        <v>2.4424628261476755</v>
      </c>
    </row>
    <row r="742" spans="1:18" x14ac:dyDescent="0.3">
      <c r="A742" s="26">
        <v>741</v>
      </c>
      <c r="B742" s="1">
        <v>29</v>
      </c>
      <c r="C742" s="1">
        <f t="shared" si="91"/>
        <v>7</v>
      </c>
      <c r="D742" s="21">
        <f t="shared" ca="1" si="90"/>
        <v>44760</v>
      </c>
      <c r="E742" s="1" t="s">
        <v>26</v>
      </c>
      <c r="F742" s="1" t="s">
        <v>770</v>
      </c>
      <c r="G742" s="1" t="s">
        <v>28</v>
      </c>
      <c r="H742" s="1">
        <v>840</v>
      </c>
      <c r="I742" s="1">
        <f t="shared" si="92"/>
        <v>45</v>
      </c>
      <c r="J742" s="1">
        <f>VLOOKUP(B742,Cena!$A$2:$B$101,2)</f>
        <v>105</v>
      </c>
      <c r="K742" s="1">
        <f t="shared" si="96"/>
        <v>4725</v>
      </c>
      <c r="L742" s="1">
        <f t="shared" si="93"/>
        <v>1086.75</v>
      </c>
      <c r="M742" s="22">
        <f t="shared" si="97"/>
        <v>5811.75</v>
      </c>
      <c r="N742" s="1">
        <f t="shared" ca="1" si="94"/>
        <v>7</v>
      </c>
      <c r="P742" s="1">
        <v>45.959524312638678</v>
      </c>
      <c r="Q742" s="1">
        <f t="shared" ca="1" si="95"/>
        <v>19</v>
      </c>
      <c r="R742" s="1">
        <v>7.8092716901301173</v>
      </c>
    </row>
    <row r="743" spans="1:18" x14ac:dyDescent="0.3">
      <c r="A743" s="26">
        <v>742</v>
      </c>
      <c r="B743" s="1">
        <v>27</v>
      </c>
      <c r="C743" s="1">
        <f t="shared" si="91"/>
        <v>9</v>
      </c>
      <c r="D743" s="21">
        <f t="shared" ca="1" si="90"/>
        <v>44657</v>
      </c>
      <c r="E743" s="1" t="s">
        <v>26</v>
      </c>
      <c r="F743" s="1" t="s">
        <v>771</v>
      </c>
      <c r="G743" s="1" t="s">
        <v>28</v>
      </c>
      <c r="H743" s="1">
        <v>841</v>
      </c>
      <c r="I743" s="1">
        <f t="shared" si="92"/>
        <v>48</v>
      </c>
      <c r="J743" s="1">
        <f>VLOOKUP(B743,Cena!$A$2:$B$101,2)</f>
        <v>87</v>
      </c>
      <c r="K743" s="1">
        <f t="shared" si="96"/>
        <v>4176</v>
      </c>
      <c r="L743" s="1">
        <f t="shared" si="93"/>
        <v>960.48</v>
      </c>
      <c r="M743" s="22">
        <f t="shared" si="97"/>
        <v>5136.4799999999996</v>
      </c>
      <c r="N743" s="1">
        <f t="shared" ca="1" si="94"/>
        <v>4</v>
      </c>
      <c r="P743" s="1">
        <v>48.564953784807585</v>
      </c>
      <c r="Q743" s="1">
        <f t="shared" ca="1" si="95"/>
        <v>27</v>
      </c>
      <c r="R743" s="1">
        <v>9.4294739735778421</v>
      </c>
    </row>
    <row r="744" spans="1:18" x14ac:dyDescent="0.3">
      <c r="A744" s="26">
        <v>743</v>
      </c>
      <c r="B744" s="1">
        <v>30</v>
      </c>
      <c r="C744" s="1">
        <f t="shared" si="91"/>
        <v>13</v>
      </c>
      <c r="D744" s="21">
        <f t="shared" ca="1" si="90"/>
        <v>44918</v>
      </c>
      <c r="E744" s="1" t="s">
        <v>26</v>
      </c>
      <c r="F744" s="1" t="s">
        <v>772</v>
      </c>
      <c r="G744" s="1" t="s">
        <v>28</v>
      </c>
      <c r="H744" s="1">
        <v>842</v>
      </c>
      <c r="I744" s="1">
        <f t="shared" si="92"/>
        <v>53</v>
      </c>
      <c r="J744" s="1">
        <f>VLOOKUP(B744,Cena!$A$2:$B$101,2)</f>
        <v>87</v>
      </c>
      <c r="K744" s="1">
        <f t="shared" si="96"/>
        <v>4611</v>
      </c>
      <c r="L744" s="1">
        <f t="shared" si="93"/>
        <v>1060.53</v>
      </c>
      <c r="M744" s="22">
        <f t="shared" si="97"/>
        <v>5671.53</v>
      </c>
      <c r="N744" s="1">
        <f t="shared" ca="1" si="94"/>
        <v>12</v>
      </c>
      <c r="P744" s="1">
        <v>53.22636424243683</v>
      </c>
      <c r="Q744" s="1">
        <f t="shared" ca="1" si="95"/>
        <v>13</v>
      </c>
      <c r="R744" s="1">
        <v>13.802711034950335</v>
      </c>
    </row>
    <row r="745" spans="1:18" x14ac:dyDescent="0.3">
      <c r="A745" s="26">
        <v>744</v>
      </c>
      <c r="B745" s="1">
        <v>10</v>
      </c>
      <c r="C745" s="1">
        <f t="shared" si="91"/>
        <v>11</v>
      </c>
      <c r="D745" s="21">
        <f t="shared" ca="1" si="90"/>
        <v>44792</v>
      </c>
      <c r="E745" s="1" t="s">
        <v>26</v>
      </c>
      <c r="F745" s="1" t="s">
        <v>773</v>
      </c>
      <c r="G745" s="1" t="s">
        <v>28</v>
      </c>
      <c r="H745" s="1">
        <v>843</v>
      </c>
      <c r="I745" s="1">
        <f t="shared" si="92"/>
        <v>48</v>
      </c>
      <c r="J745" s="1">
        <f>VLOOKUP(B745,Cena!$A$2:$B$101,2)</f>
        <v>109</v>
      </c>
      <c r="K745" s="1">
        <f t="shared" si="96"/>
        <v>5232</v>
      </c>
      <c r="L745" s="1">
        <f t="shared" si="93"/>
        <v>1203.3600000000001</v>
      </c>
      <c r="M745" s="22">
        <f t="shared" si="97"/>
        <v>6435.3600000000006</v>
      </c>
      <c r="N745" s="1">
        <f t="shared" ca="1" si="94"/>
        <v>8</v>
      </c>
      <c r="P745" s="1">
        <v>48.446594418055611</v>
      </c>
      <c r="Q745" s="1">
        <f t="shared" ca="1" si="95"/>
        <v>16</v>
      </c>
      <c r="R745" s="1">
        <v>11.11393774204771</v>
      </c>
    </row>
    <row r="746" spans="1:18" x14ac:dyDescent="0.3">
      <c r="A746" s="26">
        <v>745</v>
      </c>
      <c r="B746" s="1">
        <v>7</v>
      </c>
      <c r="C746" s="1">
        <f t="shared" si="91"/>
        <v>9</v>
      </c>
      <c r="D746" s="21">
        <f t="shared" ca="1" si="90"/>
        <v>44632</v>
      </c>
      <c r="E746" s="1" t="s">
        <v>26</v>
      </c>
      <c r="F746" s="1" t="s">
        <v>774</v>
      </c>
      <c r="G746" s="1" t="s">
        <v>28</v>
      </c>
      <c r="H746" s="1">
        <v>844</v>
      </c>
      <c r="I746" s="1">
        <f t="shared" si="92"/>
        <v>70</v>
      </c>
      <c r="J746" s="1">
        <f>VLOOKUP(B746,Cena!$A$2:$B$101,2)</f>
        <v>104</v>
      </c>
      <c r="K746" s="1">
        <f t="shared" si="96"/>
        <v>7280</v>
      </c>
      <c r="L746" s="1">
        <f t="shared" si="93"/>
        <v>1674.4</v>
      </c>
      <c r="M746" s="22">
        <f t="shared" si="97"/>
        <v>8954.4</v>
      </c>
      <c r="N746" s="1">
        <f t="shared" ca="1" si="94"/>
        <v>3</v>
      </c>
      <c r="P746" s="1">
        <v>70.470724848564714</v>
      </c>
      <c r="Q746" s="1">
        <f t="shared" ca="1" si="95"/>
        <v>30</v>
      </c>
      <c r="R746" s="1">
        <v>9.4942641023953911</v>
      </c>
    </row>
    <row r="747" spans="1:18" x14ac:dyDescent="0.3">
      <c r="A747" s="26">
        <v>746</v>
      </c>
      <c r="B747" s="1">
        <v>24</v>
      </c>
      <c r="C747" s="1">
        <f t="shared" si="91"/>
        <v>6</v>
      </c>
      <c r="D747" s="21">
        <f t="shared" ca="1" si="90"/>
        <v>44815</v>
      </c>
      <c r="E747" s="1" t="s">
        <v>26</v>
      </c>
      <c r="F747" s="1" t="s">
        <v>775</v>
      </c>
      <c r="G747" s="1" t="s">
        <v>28</v>
      </c>
      <c r="H747" s="1">
        <v>845</v>
      </c>
      <c r="I747" s="1">
        <f t="shared" si="92"/>
        <v>56</v>
      </c>
      <c r="J747" s="1">
        <f>VLOOKUP(B747,Cena!$A$2:$B$101,2)</f>
        <v>125</v>
      </c>
      <c r="K747" s="1">
        <f t="shared" si="96"/>
        <v>7000</v>
      </c>
      <c r="L747" s="1">
        <f t="shared" si="93"/>
        <v>1610</v>
      </c>
      <c r="M747" s="22">
        <f t="shared" si="97"/>
        <v>8610</v>
      </c>
      <c r="N747" s="1">
        <f t="shared" ca="1" si="94"/>
        <v>9</v>
      </c>
      <c r="P747" s="1">
        <v>56.239349659153959</v>
      </c>
      <c r="Q747" s="1">
        <f t="shared" ca="1" si="95"/>
        <v>22</v>
      </c>
      <c r="R747" s="1">
        <v>6.905745547337574</v>
      </c>
    </row>
    <row r="748" spans="1:18" x14ac:dyDescent="0.3">
      <c r="A748" s="26">
        <v>747</v>
      </c>
      <c r="B748" s="1">
        <v>11</v>
      </c>
      <c r="C748" s="1">
        <f t="shared" si="91"/>
        <v>9</v>
      </c>
      <c r="D748" s="21">
        <f t="shared" ca="1" si="90"/>
        <v>44684</v>
      </c>
      <c r="E748" s="1" t="s">
        <v>26</v>
      </c>
      <c r="F748" s="1" t="s">
        <v>776</v>
      </c>
      <c r="G748" s="1" t="s">
        <v>28</v>
      </c>
      <c r="H748" s="1">
        <v>846</v>
      </c>
      <c r="I748" s="1">
        <f t="shared" si="92"/>
        <v>63</v>
      </c>
      <c r="J748" s="1">
        <f>VLOOKUP(B748,Cena!$A$2:$B$101,2)</f>
        <v>83</v>
      </c>
      <c r="K748" s="1">
        <f t="shared" si="96"/>
        <v>5229</v>
      </c>
      <c r="L748" s="1">
        <f t="shared" si="93"/>
        <v>1202.67</v>
      </c>
      <c r="M748" s="22">
        <f t="shared" si="97"/>
        <v>6431.67</v>
      </c>
      <c r="N748" s="1">
        <f t="shared" ca="1" si="94"/>
        <v>5</v>
      </c>
      <c r="P748" s="1">
        <v>63.590261005447246</v>
      </c>
      <c r="Q748" s="1">
        <f t="shared" ca="1" si="95"/>
        <v>1</v>
      </c>
      <c r="R748" s="1">
        <v>9.0248539916137815</v>
      </c>
    </row>
    <row r="749" spans="1:18" x14ac:dyDescent="0.3">
      <c r="A749" s="26">
        <v>748</v>
      </c>
      <c r="B749" s="1">
        <v>14</v>
      </c>
      <c r="C749" s="1">
        <f t="shared" si="91"/>
        <v>13</v>
      </c>
      <c r="D749" s="21">
        <f t="shared" ca="1" si="90"/>
        <v>44871</v>
      </c>
      <c r="E749" s="1" t="s">
        <v>26</v>
      </c>
      <c r="F749" s="1" t="s">
        <v>777</v>
      </c>
      <c r="G749" s="1" t="s">
        <v>28</v>
      </c>
      <c r="H749" s="1">
        <v>847</v>
      </c>
      <c r="I749" s="1">
        <f t="shared" si="92"/>
        <v>59</v>
      </c>
      <c r="J749" s="1">
        <f>VLOOKUP(B749,Cena!$A$2:$B$101,2)</f>
        <v>129</v>
      </c>
      <c r="K749" s="1">
        <f t="shared" si="96"/>
        <v>7611</v>
      </c>
      <c r="L749" s="1">
        <f t="shared" si="93"/>
        <v>1750.53</v>
      </c>
      <c r="M749" s="22">
        <f t="shared" si="97"/>
        <v>9361.5300000000007</v>
      </c>
      <c r="N749" s="1">
        <f t="shared" ca="1" si="94"/>
        <v>11</v>
      </c>
      <c r="P749" s="1">
        <v>59.318955562775955</v>
      </c>
      <c r="Q749" s="1">
        <f t="shared" ca="1" si="95"/>
        <v>13</v>
      </c>
      <c r="R749" s="1">
        <v>13.44883801517426</v>
      </c>
    </row>
    <row r="750" spans="1:18" x14ac:dyDescent="0.3">
      <c r="A750" s="26">
        <v>749</v>
      </c>
      <c r="B750" s="1">
        <v>11</v>
      </c>
      <c r="C750" s="1">
        <f t="shared" si="91"/>
        <v>8</v>
      </c>
      <c r="D750" s="21">
        <f t="shared" ca="1" si="90"/>
        <v>44901</v>
      </c>
      <c r="E750" s="1" t="s">
        <v>26</v>
      </c>
      <c r="F750" s="1" t="s">
        <v>778</v>
      </c>
      <c r="G750" s="1" t="s">
        <v>28</v>
      </c>
      <c r="H750" s="1">
        <v>848</v>
      </c>
      <c r="I750" s="1">
        <f t="shared" si="92"/>
        <v>64</v>
      </c>
      <c r="J750" s="1">
        <f>VLOOKUP(B750,Cena!$A$2:$B$101,2)</f>
        <v>83</v>
      </c>
      <c r="K750" s="1">
        <f t="shared" si="96"/>
        <v>5312</v>
      </c>
      <c r="L750" s="1">
        <f t="shared" si="93"/>
        <v>1221.76</v>
      </c>
      <c r="M750" s="22">
        <f t="shared" si="97"/>
        <v>6533.76</v>
      </c>
      <c r="N750" s="1">
        <f t="shared" ca="1" si="94"/>
        <v>12</v>
      </c>
      <c r="P750" s="1">
        <v>64.325632946565747</v>
      </c>
      <c r="Q750" s="1">
        <f t="shared" ca="1" si="95"/>
        <v>22</v>
      </c>
      <c r="R750" s="1">
        <v>8.2202098181005567</v>
      </c>
    </row>
    <row r="751" spans="1:18" x14ac:dyDescent="0.3">
      <c r="A751" s="26">
        <v>750</v>
      </c>
      <c r="B751" s="1">
        <v>29</v>
      </c>
      <c r="C751" s="1">
        <f t="shared" si="91"/>
        <v>4</v>
      </c>
      <c r="D751" s="21">
        <f t="shared" ca="1" si="90"/>
        <v>44715</v>
      </c>
      <c r="E751" s="1" t="s">
        <v>26</v>
      </c>
      <c r="F751" s="1" t="s">
        <v>779</v>
      </c>
      <c r="G751" s="1" t="s">
        <v>28</v>
      </c>
      <c r="H751" s="1">
        <v>849</v>
      </c>
      <c r="I751" s="1">
        <f t="shared" si="92"/>
        <v>35</v>
      </c>
      <c r="J751" s="1">
        <f>VLOOKUP(B751,Cena!$A$2:$B$101,2)</f>
        <v>105</v>
      </c>
      <c r="K751" s="1">
        <f t="shared" si="96"/>
        <v>3675</v>
      </c>
      <c r="L751" s="1">
        <f t="shared" si="93"/>
        <v>845.25</v>
      </c>
      <c r="M751" s="22">
        <f t="shared" si="97"/>
        <v>4520.25</v>
      </c>
      <c r="N751" s="1">
        <f t="shared" ca="1" si="94"/>
        <v>6</v>
      </c>
      <c r="P751" s="1">
        <v>35.940326041600201</v>
      </c>
      <c r="Q751" s="1">
        <f t="shared" ca="1" si="95"/>
        <v>9</v>
      </c>
      <c r="R751" s="1">
        <v>4.7734295346890576</v>
      </c>
    </row>
    <row r="752" spans="1:18" x14ac:dyDescent="0.3">
      <c r="A752" s="26">
        <v>751</v>
      </c>
      <c r="B752" s="1">
        <v>27</v>
      </c>
      <c r="C752" s="1">
        <f t="shared" si="91"/>
        <v>9</v>
      </c>
      <c r="D752" s="21">
        <f t="shared" ca="1" si="90"/>
        <v>44597</v>
      </c>
      <c r="E752" s="1" t="s">
        <v>26</v>
      </c>
      <c r="F752" s="1" t="s">
        <v>780</v>
      </c>
      <c r="G752" s="1" t="s">
        <v>28</v>
      </c>
      <c r="H752" s="1">
        <v>850</v>
      </c>
      <c r="I752" s="1">
        <f t="shared" si="92"/>
        <v>61</v>
      </c>
      <c r="J752" s="1">
        <f>VLOOKUP(B752,Cena!$A$2:$B$101,2)</f>
        <v>87</v>
      </c>
      <c r="K752" s="1">
        <f t="shared" si="96"/>
        <v>5307</v>
      </c>
      <c r="L752" s="1">
        <f t="shared" si="93"/>
        <v>1220.6100000000001</v>
      </c>
      <c r="M752" s="22">
        <f t="shared" si="97"/>
        <v>6527.6100000000006</v>
      </c>
      <c r="N752" s="1">
        <f t="shared" ca="1" si="94"/>
        <v>2</v>
      </c>
      <c r="P752" s="1">
        <v>61.634756447165273</v>
      </c>
      <c r="Q752" s="1">
        <f t="shared" ca="1" si="95"/>
        <v>21</v>
      </c>
      <c r="R752" s="1">
        <v>9.7961936060164589</v>
      </c>
    </row>
    <row r="753" spans="1:18" x14ac:dyDescent="0.3">
      <c r="A753" s="26">
        <v>752</v>
      </c>
      <c r="B753" s="1">
        <v>23</v>
      </c>
      <c r="C753" s="1">
        <f t="shared" si="91"/>
        <v>7</v>
      </c>
      <c r="D753" s="21">
        <f t="shared" ca="1" si="90"/>
        <v>44734</v>
      </c>
      <c r="E753" s="1" t="s">
        <v>26</v>
      </c>
      <c r="F753" s="1" t="s">
        <v>781</v>
      </c>
      <c r="G753" s="1" t="s">
        <v>28</v>
      </c>
      <c r="H753" s="1">
        <v>851</v>
      </c>
      <c r="I753" s="1">
        <f t="shared" si="92"/>
        <v>44</v>
      </c>
      <c r="J753" s="1">
        <f>VLOOKUP(B753,Cena!$A$2:$B$101,2)</f>
        <v>132</v>
      </c>
      <c r="K753" s="1">
        <f t="shared" si="96"/>
        <v>5808</v>
      </c>
      <c r="L753" s="1">
        <f t="shared" si="93"/>
        <v>1335.8400000000001</v>
      </c>
      <c r="M753" s="22">
        <f t="shared" si="97"/>
        <v>7143.84</v>
      </c>
      <c r="N753" s="1">
        <f t="shared" ca="1" si="94"/>
        <v>6</v>
      </c>
      <c r="P753" s="1">
        <v>44.664403857314028</v>
      </c>
      <c r="Q753" s="1">
        <f t="shared" ca="1" si="95"/>
        <v>13</v>
      </c>
      <c r="R753" s="1">
        <v>7.5697619447601028</v>
      </c>
    </row>
    <row r="754" spans="1:18" x14ac:dyDescent="0.3">
      <c r="A754" s="26">
        <v>753</v>
      </c>
      <c r="B754" s="1">
        <v>15</v>
      </c>
      <c r="C754" s="1">
        <f t="shared" si="91"/>
        <v>7</v>
      </c>
      <c r="D754" s="21">
        <f t="shared" ca="1" si="90"/>
        <v>44714</v>
      </c>
      <c r="E754" s="1" t="s">
        <v>26</v>
      </c>
      <c r="F754" s="1" t="s">
        <v>782</v>
      </c>
      <c r="G754" s="1" t="s">
        <v>28</v>
      </c>
      <c r="H754" s="1">
        <v>852</v>
      </c>
      <c r="I754" s="1">
        <f t="shared" si="92"/>
        <v>44</v>
      </c>
      <c r="J754" s="1">
        <f>VLOOKUP(B754,Cena!$A$2:$B$101,2)</f>
        <v>85</v>
      </c>
      <c r="K754" s="1">
        <f t="shared" si="96"/>
        <v>3740</v>
      </c>
      <c r="L754" s="1">
        <f t="shared" si="93"/>
        <v>860.2</v>
      </c>
      <c r="M754" s="22">
        <f t="shared" si="97"/>
        <v>4600.2</v>
      </c>
      <c r="N754" s="1">
        <f t="shared" ca="1" si="94"/>
        <v>6</v>
      </c>
      <c r="P754" s="1">
        <v>44.027962202380877</v>
      </c>
      <c r="Q754" s="1">
        <f t="shared" ca="1" si="95"/>
        <v>5</v>
      </c>
      <c r="R754" s="1">
        <v>7.8413768531027017</v>
      </c>
    </row>
    <row r="755" spans="1:18" x14ac:dyDescent="0.3">
      <c r="A755" s="26">
        <v>754</v>
      </c>
      <c r="B755" s="1">
        <v>10</v>
      </c>
      <c r="C755" s="1">
        <f t="shared" si="91"/>
        <v>9</v>
      </c>
      <c r="D755" s="21">
        <f t="shared" ca="1" si="90"/>
        <v>44619</v>
      </c>
      <c r="E755" s="1" t="s">
        <v>26</v>
      </c>
      <c r="F755" s="1" t="s">
        <v>783</v>
      </c>
      <c r="G755" s="1" t="s">
        <v>28</v>
      </c>
      <c r="H755" s="1">
        <v>853</v>
      </c>
      <c r="I755" s="1">
        <f t="shared" si="92"/>
        <v>37</v>
      </c>
      <c r="J755" s="1">
        <f>VLOOKUP(B755,Cena!$A$2:$B$101,2)</f>
        <v>109</v>
      </c>
      <c r="K755" s="1">
        <f t="shared" si="96"/>
        <v>4033</v>
      </c>
      <c r="L755" s="1">
        <f t="shared" si="93"/>
        <v>927.59</v>
      </c>
      <c r="M755" s="22">
        <f t="shared" si="97"/>
        <v>4960.59</v>
      </c>
      <c r="N755" s="1">
        <f t="shared" ca="1" si="94"/>
        <v>2</v>
      </c>
      <c r="P755" s="1">
        <v>37.866135597869288</v>
      </c>
      <c r="Q755" s="1">
        <f t="shared" ca="1" si="95"/>
        <v>19</v>
      </c>
      <c r="R755" s="1">
        <v>9.7702786913578166</v>
      </c>
    </row>
    <row r="756" spans="1:18" x14ac:dyDescent="0.3">
      <c r="A756" s="26">
        <v>755</v>
      </c>
      <c r="B756" s="1">
        <v>13</v>
      </c>
      <c r="C756" s="1">
        <f t="shared" si="91"/>
        <v>13</v>
      </c>
      <c r="D756" s="21">
        <f t="shared" ca="1" si="90"/>
        <v>44735</v>
      </c>
      <c r="E756" s="1" t="s">
        <v>26</v>
      </c>
      <c r="F756" s="1" t="s">
        <v>784</v>
      </c>
      <c r="G756" s="1" t="s">
        <v>28</v>
      </c>
      <c r="H756" s="1">
        <v>854</v>
      </c>
      <c r="I756" s="1">
        <f t="shared" si="92"/>
        <v>45</v>
      </c>
      <c r="J756" s="1">
        <f>VLOOKUP(B756,Cena!$A$2:$B$101,2)</f>
        <v>94</v>
      </c>
      <c r="K756" s="1">
        <f t="shared" si="96"/>
        <v>4230</v>
      </c>
      <c r="L756" s="1">
        <f t="shared" si="93"/>
        <v>972.90000000000009</v>
      </c>
      <c r="M756" s="22">
        <f t="shared" si="97"/>
        <v>5202.8999999999996</v>
      </c>
      <c r="N756" s="1">
        <f t="shared" ca="1" si="94"/>
        <v>6</v>
      </c>
      <c r="P756" s="1">
        <v>45.96700490656076</v>
      </c>
      <c r="Q756" s="1">
        <f t="shared" ca="1" si="95"/>
        <v>24</v>
      </c>
      <c r="R756" s="1">
        <v>13.583545549190603</v>
      </c>
    </row>
    <row r="757" spans="1:18" x14ac:dyDescent="0.3">
      <c r="A757" s="26">
        <v>756</v>
      </c>
      <c r="B757" s="1">
        <v>7</v>
      </c>
      <c r="C757" s="1">
        <f t="shared" si="91"/>
        <v>8</v>
      </c>
      <c r="D757" s="21">
        <f t="shared" ca="1" si="90"/>
        <v>44631</v>
      </c>
      <c r="E757" s="1" t="s">
        <v>26</v>
      </c>
      <c r="F757" s="1" t="s">
        <v>785</v>
      </c>
      <c r="G757" s="1" t="s">
        <v>28</v>
      </c>
      <c r="H757" s="1">
        <v>855</v>
      </c>
      <c r="I757" s="1">
        <f t="shared" si="92"/>
        <v>56</v>
      </c>
      <c r="J757" s="1">
        <f>VLOOKUP(B757,Cena!$A$2:$B$101,2)</f>
        <v>104</v>
      </c>
      <c r="K757" s="1">
        <f t="shared" si="96"/>
        <v>5824</v>
      </c>
      <c r="L757" s="1">
        <f t="shared" si="93"/>
        <v>1339.52</v>
      </c>
      <c r="M757" s="22">
        <f t="shared" si="97"/>
        <v>7163.52</v>
      </c>
      <c r="N757" s="1">
        <f t="shared" ca="1" si="94"/>
        <v>3</v>
      </c>
      <c r="P757" s="1">
        <v>56.497020876850002</v>
      </c>
      <c r="Q757" s="1">
        <f t="shared" ca="1" si="95"/>
        <v>5</v>
      </c>
      <c r="R757" s="1">
        <v>8.1892699452146189</v>
      </c>
    </row>
    <row r="758" spans="1:18" x14ac:dyDescent="0.3">
      <c r="A758" s="26">
        <v>757</v>
      </c>
      <c r="B758" s="1">
        <v>5</v>
      </c>
      <c r="C758" s="1">
        <f t="shared" si="91"/>
        <v>8</v>
      </c>
      <c r="D758" s="21">
        <f t="shared" ca="1" si="90"/>
        <v>44595</v>
      </c>
      <c r="E758" s="1" t="s">
        <v>26</v>
      </c>
      <c r="F758" s="1" t="s">
        <v>786</v>
      </c>
      <c r="G758" s="1" t="s">
        <v>28</v>
      </c>
      <c r="H758" s="1">
        <v>856</v>
      </c>
      <c r="I758" s="1">
        <f t="shared" si="92"/>
        <v>58</v>
      </c>
      <c r="J758" s="1">
        <f>VLOOKUP(B758,Cena!$A$2:$B$101,2)</f>
        <v>91</v>
      </c>
      <c r="K758" s="1">
        <f t="shared" si="96"/>
        <v>5278</v>
      </c>
      <c r="L758" s="1">
        <f t="shared" si="93"/>
        <v>1213.94</v>
      </c>
      <c r="M758" s="22">
        <f t="shared" si="97"/>
        <v>6491.9400000000005</v>
      </c>
      <c r="N758" s="1">
        <f t="shared" ca="1" si="94"/>
        <v>2</v>
      </c>
      <c r="P758" s="1">
        <v>58.878055268723983</v>
      </c>
      <c r="Q758" s="1">
        <f t="shared" ca="1" si="95"/>
        <v>5</v>
      </c>
      <c r="R758" s="1">
        <v>8.132363998593064</v>
      </c>
    </row>
    <row r="759" spans="1:18" x14ac:dyDescent="0.3">
      <c r="A759" s="26">
        <v>758</v>
      </c>
      <c r="B759" s="1">
        <v>12</v>
      </c>
      <c r="C759" s="1">
        <f t="shared" si="91"/>
        <v>14</v>
      </c>
      <c r="D759" s="21">
        <f t="shared" ca="1" si="90"/>
        <v>44893</v>
      </c>
      <c r="E759" s="1" t="s">
        <v>26</v>
      </c>
      <c r="F759" s="1" t="s">
        <v>787</v>
      </c>
      <c r="G759" s="1" t="s">
        <v>28</v>
      </c>
      <c r="H759" s="1">
        <v>857</v>
      </c>
      <c r="I759" s="1">
        <f t="shared" si="92"/>
        <v>54</v>
      </c>
      <c r="J759" s="1">
        <f>VLOOKUP(B759,Cena!$A$2:$B$101,2)</f>
        <v>88</v>
      </c>
      <c r="K759" s="1">
        <f t="shared" si="96"/>
        <v>4752</v>
      </c>
      <c r="L759" s="1">
        <f t="shared" si="93"/>
        <v>1092.96</v>
      </c>
      <c r="M759" s="22">
        <f t="shared" si="97"/>
        <v>5844.96</v>
      </c>
      <c r="N759" s="1">
        <f t="shared" ca="1" si="94"/>
        <v>11</v>
      </c>
      <c r="P759" s="1">
        <v>54.659455044020433</v>
      </c>
      <c r="Q759" s="1">
        <f t="shared" ca="1" si="95"/>
        <v>5</v>
      </c>
      <c r="R759" s="1">
        <v>14.762796379509382</v>
      </c>
    </row>
    <row r="760" spans="1:18" x14ac:dyDescent="0.3">
      <c r="A760" s="26">
        <v>759</v>
      </c>
      <c r="B760" s="1">
        <v>10</v>
      </c>
      <c r="C760" s="1">
        <f t="shared" si="91"/>
        <v>10</v>
      </c>
      <c r="D760" s="21">
        <f t="shared" ca="1" si="90"/>
        <v>44596</v>
      </c>
      <c r="E760" s="1" t="s">
        <v>26</v>
      </c>
      <c r="F760" s="1" t="s">
        <v>788</v>
      </c>
      <c r="G760" s="1" t="s">
        <v>28</v>
      </c>
      <c r="H760" s="1">
        <v>858</v>
      </c>
      <c r="I760" s="1">
        <f t="shared" si="92"/>
        <v>55</v>
      </c>
      <c r="J760" s="1">
        <f>VLOOKUP(B760,Cena!$A$2:$B$101,2)</f>
        <v>109</v>
      </c>
      <c r="K760" s="1">
        <f t="shared" si="96"/>
        <v>5995</v>
      </c>
      <c r="L760" s="1">
        <f t="shared" si="93"/>
        <v>1378.8500000000001</v>
      </c>
      <c r="M760" s="22">
        <f t="shared" si="97"/>
        <v>7373.85</v>
      </c>
      <c r="N760" s="1">
        <f t="shared" ca="1" si="94"/>
        <v>2</v>
      </c>
      <c r="P760" s="1">
        <v>55.491483534569852</v>
      </c>
      <c r="Q760" s="1">
        <f t="shared" ca="1" si="95"/>
        <v>24</v>
      </c>
      <c r="R760" s="1">
        <v>10.521947640663711</v>
      </c>
    </row>
    <row r="761" spans="1:18" x14ac:dyDescent="0.3">
      <c r="A761" s="26">
        <v>760</v>
      </c>
      <c r="B761" s="1">
        <v>12</v>
      </c>
      <c r="C761" s="1">
        <f t="shared" si="91"/>
        <v>11</v>
      </c>
      <c r="D761" s="21">
        <f t="shared" ca="1" si="90"/>
        <v>44876</v>
      </c>
      <c r="E761" s="1" t="s">
        <v>26</v>
      </c>
      <c r="F761" s="1" t="s">
        <v>789</v>
      </c>
      <c r="G761" s="1" t="s">
        <v>28</v>
      </c>
      <c r="H761" s="1">
        <v>859</v>
      </c>
      <c r="I761" s="1">
        <f t="shared" si="92"/>
        <v>53</v>
      </c>
      <c r="J761" s="1">
        <f>VLOOKUP(B761,Cena!$A$2:$B$101,2)</f>
        <v>88</v>
      </c>
      <c r="K761" s="1">
        <f t="shared" si="96"/>
        <v>4664</v>
      </c>
      <c r="L761" s="1">
        <f t="shared" si="93"/>
        <v>1072.72</v>
      </c>
      <c r="M761" s="22">
        <f t="shared" si="97"/>
        <v>5736.72</v>
      </c>
      <c r="N761" s="1">
        <f t="shared" ca="1" si="94"/>
        <v>11</v>
      </c>
      <c r="P761" s="1">
        <v>53.555328476068098</v>
      </c>
      <c r="Q761" s="1">
        <f t="shared" ca="1" si="95"/>
        <v>24</v>
      </c>
      <c r="R761" s="1">
        <v>11.168700691778213</v>
      </c>
    </row>
    <row r="762" spans="1:18" x14ac:dyDescent="0.3">
      <c r="A762" s="26">
        <v>761</v>
      </c>
      <c r="B762" s="1">
        <v>7</v>
      </c>
      <c r="C762" s="1">
        <f t="shared" si="91"/>
        <v>11</v>
      </c>
      <c r="D762" s="21">
        <f t="shared" ca="1" si="90"/>
        <v>44900</v>
      </c>
      <c r="E762" s="1" t="s">
        <v>26</v>
      </c>
      <c r="F762" s="1" t="s">
        <v>790</v>
      </c>
      <c r="G762" s="1" t="s">
        <v>28</v>
      </c>
      <c r="H762" s="1">
        <v>860</v>
      </c>
      <c r="I762" s="1">
        <f t="shared" si="92"/>
        <v>51</v>
      </c>
      <c r="J762" s="1">
        <f>VLOOKUP(B762,Cena!$A$2:$B$101,2)</f>
        <v>104</v>
      </c>
      <c r="K762" s="1">
        <f t="shared" si="96"/>
        <v>5304</v>
      </c>
      <c r="L762" s="1">
        <f t="shared" si="93"/>
        <v>1219.92</v>
      </c>
      <c r="M762" s="22">
        <f t="shared" si="97"/>
        <v>6523.92</v>
      </c>
      <c r="N762" s="1">
        <f t="shared" ca="1" si="94"/>
        <v>12</v>
      </c>
      <c r="P762" s="1">
        <v>51.937905835802667</v>
      </c>
      <c r="Q762" s="1">
        <f t="shared" ca="1" si="95"/>
        <v>28</v>
      </c>
      <c r="R762" s="1">
        <v>11.423410367351607</v>
      </c>
    </row>
    <row r="763" spans="1:18" x14ac:dyDescent="0.3">
      <c r="A763" s="26">
        <v>762</v>
      </c>
      <c r="B763" s="1">
        <v>14</v>
      </c>
      <c r="C763" s="1">
        <f t="shared" si="91"/>
        <v>11</v>
      </c>
      <c r="D763" s="21">
        <f t="shared" ca="1" si="90"/>
        <v>44724</v>
      </c>
      <c r="E763" s="1" t="s">
        <v>26</v>
      </c>
      <c r="F763" s="1" t="s">
        <v>791</v>
      </c>
      <c r="G763" s="1" t="s">
        <v>28</v>
      </c>
      <c r="H763" s="1">
        <v>861</v>
      </c>
      <c r="I763" s="1">
        <f t="shared" si="92"/>
        <v>56</v>
      </c>
      <c r="J763" s="1">
        <f>VLOOKUP(B763,Cena!$A$2:$B$101,2)</f>
        <v>129</v>
      </c>
      <c r="K763" s="1">
        <f t="shared" si="96"/>
        <v>7224</v>
      </c>
      <c r="L763" s="1">
        <f t="shared" si="93"/>
        <v>1661.52</v>
      </c>
      <c r="M763" s="22">
        <f t="shared" si="97"/>
        <v>8885.52</v>
      </c>
      <c r="N763" s="1">
        <f t="shared" ca="1" si="94"/>
        <v>6</v>
      </c>
      <c r="P763" s="1">
        <v>56.069240043871105</v>
      </c>
      <c r="Q763" s="1">
        <f t="shared" ca="1" si="95"/>
        <v>24</v>
      </c>
      <c r="R763" s="1">
        <v>11.857790721260244</v>
      </c>
    </row>
    <row r="764" spans="1:18" x14ac:dyDescent="0.3">
      <c r="A764" s="26">
        <v>763</v>
      </c>
      <c r="B764" s="1">
        <v>11</v>
      </c>
      <c r="C764" s="1">
        <f t="shared" si="91"/>
        <v>7</v>
      </c>
      <c r="D764" s="21">
        <f t="shared" ca="1" si="90"/>
        <v>44604</v>
      </c>
      <c r="E764" s="1" t="s">
        <v>26</v>
      </c>
      <c r="F764" s="1" t="s">
        <v>792</v>
      </c>
      <c r="G764" s="1" t="s">
        <v>28</v>
      </c>
      <c r="H764" s="1">
        <v>862</v>
      </c>
      <c r="I764" s="1">
        <f t="shared" si="92"/>
        <v>48</v>
      </c>
      <c r="J764" s="1">
        <f>VLOOKUP(B764,Cena!$A$2:$B$101,2)</f>
        <v>83</v>
      </c>
      <c r="K764" s="1">
        <f t="shared" si="96"/>
        <v>3984</v>
      </c>
      <c r="L764" s="1">
        <f t="shared" si="93"/>
        <v>916.32</v>
      </c>
      <c r="M764" s="22">
        <f t="shared" si="97"/>
        <v>4900.32</v>
      </c>
      <c r="N764" s="1">
        <f t="shared" ca="1" si="94"/>
        <v>2</v>
      </c>
      <c r="P764" s="1">
        <v>48.076123119972181</v>
      </c>
      <c r="Q764" s="1">
        <f t="shared" ca="1" si="95"/>
        <v>27</v>
      </c>
      <c r="R764" s="1">
        <v>7.751979208260309</v>
      </c>
    </row>
    <row r="765" spans="1:18" x14ac:dyDescent="0.3">
      <c r="A765" s="26">
        <v>764</v>
      </c>
      <c r="B765" s="1">
        <v>29</v>
      </c>
      <c r="C765" s="1">
        <f t="shared" si="91"/>
        <v>9</v>
      </c>
      <c r="D765" s="21">
        <f t="shared" ca="1" si="90"/>
        <v>44766</v>
      </c>
      <c r="E765" s="1" t="s">
        <v>26</v>
      </c>
      <c r="F765" s="1" t="s">
        <v>793</v>
      </c>
      <c r="G765" s="1" t="s">
        <v>28</v>
      </c>
      <c r="H765" s="1">
        <v>863</v>
      </c>
      <c r="I765" s="1">
        <f t="shared" si="92"/>
        <v>43</v>
      </c>
      <c r="J765" s="1">
        <f>VLOOKUP(B765,Cena!$A$2:$B$101,2)</f>
        <v>105</v>
      </c>
      <c r="K765" s="1">
        <f t="shared" si="96"/>
        <v>4515</v>
      </c>
      <c r="L765" s="1">
        <f t="shared" si="93"/>
        <v>1038.45</v>
      </c>
      <c r="M765" s="22">
        <f t="shared" si="97"/>
        <v>5553.45</v>
      </c>
      <c r="N765" s="1">
        <f t="shared" ca="1" si="94"/>
        <v>7</v>
      </c>
      <c r="P765" s="1">
        <v>43.420578903169371</v>
      </c>
      <c r="Q765" s="1">
        <f t="shared" ca="1" si="95"/>
        <v>26</v>
      </c>
      <c r="R765" s="1">
        <v>9.9995225152815692</v>
      </c>
    </row>
    <row r="766" spans="1:18" x14ac:dyDescent="0.3">
      <c r="A766" s="26">
        <v>765</v>
      </c>
      <c r="B766" s="1">
        <v>8</v>
      </c>
      <c r="C766" s="1">
        <f t="shared" si="91"/>
        <v>10</v>
      </c>
      <c r="D766" s="21">
        <f t="shared" ca="1" si="90"/>
        <v>44709</v>
      </c>
      <c r="E766" s="1" t="s">
        <v>26</v>
      </c>
      <c r="F766" s="1" t="s">
        <v>794</v>
      </c>
      <c r="G766" s="1" t="s">
        <v>28</v>
      </c>
      <c r="H766" s="1">
        <v>864</v>
      </c>
      <c r="I766" s="1">
        <f t="shared" si="92"/>
        <v>47</v>
      </c>
      <c r="J766" s="1">
        <f>VLOOKUP(B766,Cena!$A$2:$B$101,2)</f>
        <v>88</v>
      </c>
      <c r="K766" s="1">
        <f t="shared" si="96"/>
        <v>4136</v>
      </c>
      <c r="L766" s="1">
        <f t="shared" si="93"/>
        <v>951.28000000000009</v>
      </c>
      <c r="M766" s="22">
        <f t="shared" si="97"/>
        <v>5087.28</v>
      </c>
      <c r="N766" s="1">
        <f t="shared" ca="1" si="94"/>
        <v>5</v>
      </c>
      <c r="P766" s="1">
        <v>47.59052116132807</v>
      </c>
      <c r="Q766" s="1">
        <f t="shared" ca="1" si="95"/>
        <v>3</v>
      </c>
      <c r="R766" s="1">
        <v>10.000287059265247</v>
      </c>
    </row>
    <row r="767" spans="1:18" x14ac:dyDescent="0.3">
      <c r="A767" s="26">
        <v>766</v>
      </c>
      <c r="B767" s="1">
        <v>10</v>
      </c>
      <c r="C767" s="1">
        <f t="shared" si="91"/>
        <v>8</v>
      </c>
      <c r="D767" s="21">
        <f t="shared" ca="1" si="90"/>
        <v>44898</v>
      </c>
      <c r="E767" s="1" t="s">
        <v>26</v>
      </c>
      <c r="F767" s="1" t="s">
        <v>795</v>
      </c>
      <c r="G767" s="1" t="s">
        <v>28</v>
      </c>
      <c r="H767" s="1">
        <v>865</v>
      </c>
      <c r="I767" s="1">
        <f t="shared" si="92"/>
        <v>45</v>
      </c>
      <c r="J767" s="1">
        <f>VLOOKUP(B767,Cena!$A$2:$B$101,2)</f>
        <v>109</v>
      </c>
      <c r="K767" s="1">
        <f t="shared" si="96"/>
        <v>4905</v>
      </c>
      <c r="L767" s="1">
        <f t="shared" si="93"/>
        <v>1128.1500000000001</v>
      </c>
      <c r="M767" s="22">
        <f t="shared" si="97"/>
        <v>6033.15</v>
      </c>
      <c r="N767" s="1">
        <f t="shared" ca="1" si="94"/>
        <v>12</v>
      </c>
      <c r="P767" s="1">
        <v>45.428197507862933</v>
      </c>
      <c r="Q767" s="1">
        <f t="shared" ca="1" si="95"/>
        <v>27</v>
      </c>
      <c r="R767" s="1">
        <v>8.8740086109828553</v>
      </c>
    </row>
    <row r="768" spans="1:18" x14ac:dyDescent="0.3">
      <c r="A768" s="26">
        <v>767</v>
      </c>
      <c r="B768" s="1">
        <v>13</v>
      </c>
      <c r="C768" s="1">
        <f t="shared" si="91"/>
        <v>12</v>
      </c>
      <c r="D768" s="21">
        <f t="shared" ca="1" si="90"/>
        <v>44919</v>
      </c>
      <c r="E768" s="1" t="s">
        <v>26</v>
      </c>
      <c r="F768" s="1" t="s">
        <v>796</v>
      </c>
      <c r="G768" s="1" t="s">
        <v>28</v>
      </c>
      <c r="H768" s="1">
        <v>866</v>
      </c>
      <c r="I768" s="1">
        <f t="shared" si="92"/>
        <v>34</v>
      </c>
      <c r="J768" s="1">
        <f>VLOOKUP(B768,Cena!$A$2:$B$101,2)</f>
        <v>94</v>
      </c>
      <c r="K768" s="1">
        <f t="shared" si="96"/>
        <v>3196</v>
      </c>
      <c r="L768" s="1">
        <f t="shared" si="93"/>
        <v>735.08</v>
      </c>
      <c r="M768" s="22">
        <f t="shared" si="97"/>
        <v>3931.08</v>
      </c>
      <c r="N768" s="1">
        <f t="shared" ca="1" si="94"/>
        <v>12</v>
      </c>
      <c r="P768" s="1">
        <v>34.730493451934308</v>
      </c>
      <c r="Q768" s="1">
        <f t="shared" ca="1" si="95"/>
        <v>20</v>
      </c>
      <c r="R768" s="1">
        <v>12.764181772363372</v>
      </c>
    </row>
    <row r="769" spans="1:18" x14ac:dyDescent="0.3">
      <c r="A769" s="26">
        <v>768</v>
      </c>
      <c r="B769" s="1">
        <v>5</v>
      </c>
      <c r="C769" s="1">
        <f t="shared" si="91"/>
        <v>7</v>
      </c>
      <c r="D769" s="21">
        <f t="shared" ca="1" si="90"/>
        <v>44830</v>
      </c>
      <c r="E769" s="1" t="s">
        <v>26</v>
      </c>
      <c r="F769" s="1" t="s">
        <v>797</v>
      </c>
      <c r="G769" s="1" t="s">
        <v>28</v>
      </c>
      <c r="H769" s="1">
        <v>867</v>
      </c>
      <c r="I769" s="1">
        <f t="shared" si="92"/>
        <v>34</v>
      </c>
      <c r="J769" s="1">
        <f>VLOOKUP(B769,Cena!$A$2:$B$101,2)</f>
        <v>91</v>
      </c>
      <c r="K769" s="1">
        <f t="shared" si="96"/>
        <v>3094</v>
      </c>
      <c r="L769" s="1">
        <f t="shared" si="93"/>
        <v>711.62</v>
      </c>
      <c r="M769" s="22">
        <f t="shared" si="97"/>
        <v>3805.62</v>
      </c>
      <c r="N769" s="1">
        <f t="shared" ca="1" si="94"/>
        <v>9</v>
      </c>
      <c r="P769" s="1">
        <v>34.251826390391216</v>
      </c>
      <c r="Q769" s="1">
        <f t="shared" ca="1" si="95"/>
        <v>25</v>
      </c>
      <c r="R769" s="1">
        <v>7.9056326537829591</v>
      </c>
    </row>
    <row r="770" spans="1:18" x14ac:dyDescent="0.3">
      <c r="A770" s="26">
        <v>769</v>
      </c>
      <c r="B770" s="1">
        <v>5</v>
      </c>
      <c r="C770" s="1">
        <f t="shared" si="91"/>
        <v>12</v>
      </c>
      <c r="D770" s="21">
        <f t="shared" ref="D770:D833" ca="1" si="98">DATE(2022,RANDBETWEEN(1,12),RANDBETWEEN(1,28))</f>
        <v>44807</v>
      </c>
      <c r="E770" s="1" t="s">
        <v>26</v>
      </c>
      <c r="F770" s="1" t="s">
        <v>798</v>
      </c>
      <c r="G770" s="1" t="s">
        <v>28</v>
      </c>
      <c r="H770" s="1">
        <v>868</v>
      </c>
      <c r="I770" s="1">
        <f t="shared" si="92"/>
        <v>59</v>
      </c>
      <c r="J770" s="1">
        <f>VLOOKUP(B770,Cena!$A$2:$B$101,2)</f>
        <v>91</v>
      </c>
      <c r="K770" s="1">
        <f t="shared" si="96"/>
        <v>5369</v>
      </c>
      <c r="L770" s="1">
        <f t="shared" si="93"/>
        <v>1234.8700000000001</v>
      </c>
      <c r="M770" s="22">
        <f t="shared" si="97"/>
        <v>6603.87</v>
      </c>
      <c r="N770" s="1">
        <f t="shared" ca="1" si="94"/>
        <v>9</v>
      </c>
      <c r="P770" s="1">
        <v>59.450855031900574</v>
      </c>
      <c r="Q770" s="1">
        <f t="shared" ca="1" si="95"/>
        <v>24</v>
      </c>
      <c r="R770" s="1">
        <v>12.212999561379547</v>
      </c>
    </row>
    <row r="771" spans="1:18" x14ac:dyDescent="0.3">
      <c r="A771" s="26">
        <v>770</v>
      </c>
      <c r="B771" s="1">
        <v>18</v>
      </c>
      <c r="C771" s="1">
        <f t="shared" ref="C771:C834" si="99">INT(R771)</f>
        <v>7</v>
      </c>
      <c r="D771" s="21">
        <f t="shared" ca="1" si="98"/>
        <v>44708</v>
      </c>
      <c r="E771" s="1" t="s">
        <v>26</v>
      </c>
      <c r="F771" s="1" t="s">
        <v>799</v>
      </c>
      <c r="G771" s="1" t="s">
        <v>28</v>
      </c>
      <c r="H771" s="1">
        <v>869</v>
      </c>
      <c r="I771" s="1">
        <f t="shared" ref="I771:I834" si="100">INT(P771)</f>
        <v>52</v>
      </c>
      <c r="J771" s="1">
        <f>VLOOKUP(B771,Cena!$A$2:$B$101,2)</f>
        <v>90</v>
      </c>
      <c r="K771" s="1">
        <f t="shared" si="96"/>
        <v>4680</v>
      </c>
      <c r="L771" s="1">
        <f t="shared" ref="L771:L834" si="101">K771*23%</f>
        <v>1076.4000000000001</v>
      </c>
      <c r="M771" s="22">
        <f t="shared" si="97"/>
        <v>5756.4</v>
      </c>
      <c r="N771" s="1">
        <f t="shared" ref="N771:N834" ca="1" si="102">MONTH(D771)</f>
        <v>5</v>
      </c>
      <c r="P771" s="1">
        <v>52.094054707413306</v>
      </c>
      <c r="Q771" s="1">
        <f t="shared" ref="Q771:Q834" ca="1" si="103">RANDBETWEEN(1,30)</f>
        <v>1</v>
      </c>
      <c r="R771" s="1">
        <v>7.8327537064615171</v>
      </c>
    </row>
    <row r="772" spans="1:18" x14ac:dyDescent="0.3">
      <c r="A772" s="26">
        <v>771</v>
      </c>
      <c r="B772" s="1">
        <v>2</v>
      </c>
      <c r="C772" s="1">
        <f t="shared" si="99"/>
        <v>11</v>
      </c>
      <c r="D772" s="21">
        <f t="shared" ca="1" si="98"/>
        <v>44678</v>
      </c>
      <c r="E772" s="1" t="s">
        <v>26</v>
      </c>
      <c r="F772" s="1" t="s">
        <v>800</v>
      </c>
      <c r="G772" s="1" t="s">
        <v>28</v>
      </c>
      <c r="H772" s="1">
        <v>870</v>
      </c>
      <c r="I772" s="1">
        <f t="shared" si="100"/>
        <v>53</v>
      </c>
      <c r="J772" s="1">
        <f>VLOOKUP(B772,Cena!$A$2:$B$101,2)</f>
        <v>121</v>
      </c>
      <c r="K772" s="1">
        <f t="shared" si="96"/>
        <v>6413</v>
      </c>
      <c r="L772" s="1">
        <f t="shared" si="101"/>
        <v>1474.99</v>
      </c>
      <c r="M772" s="22">
        <f t="shared" si="97"/>
        <v>7887.99</v>
      </c>
      <c r="N772" s="1">
        <f t="shared" ca="1" si="102"/>
        <v>4</v>
      </c>
      <c r="P772" s="1">
        <v>53.851107521768427</v>
      </c>
      <c r="Q772" s="1">
        <f t="shared" ca="1" si="103"/>
        <v>11</v>
      </c>
      <c r="R772" s="1">
        <v>11.391364889968827</v>
      </c>
    </row>
    <row r="773" spans="1:18" x14ac:dyDescent="0.3">
      <c r="A773" s="26">
        <v>772</v>
      </c>
      <c r="B773" s="1">
        <v>8</v>
      </c>
      <c r="C773" s="1">
        <f t="shared" si="99"/>
        <v>11</v>
      </c>
      <c r="D773" s="21">
        <f t="shared" ca="1" si="98"/>
        <v>44609</v>
      </c>
      <c r="E773" s="1" t="s">
        <v>26</v>
      </c>
      <c r="F773" s="1" t="s">
        <v>801</v>
      </c>
      <c r="G773" s="1" t="s">
        <v>28</v>
      </c>
      <c r="H773" s="1">
        <v>871</v>
      </c>
      <c r="I773" s="1">
        <f t="shared" si="100"/>
        <v>46</v>
      </c>
      <c r="J773" s="1">
        <f>VLOOKUP(B773,Cena!$A$2:$B$101,2)</f>
        <v>88</v>
      </c>
      <c r="K773" s="1">
        <f t="shared" si="96"/>
        <v>4048</v>
      </c>
      <c r="L773" s="1">
        <f t="shared" si="101"/>
        <v>931.04000000000008</v>
      </c>
      <c r="M773" s="22">
        <f t="shared" si="97"/>
        <v>4979.04</v>
      </c>
      <c r="N773" s="1">
        <f t="shared" ca="1" si="102"/>
        <v>2</v>
      </c>
      <c r="P773" s="1">
        <v>46.527662915468682</v>
      </c>
      <c r="Q773" s="1">
        <f t="shared" ca="1" si="103"/>
        <v>5</v>
      </c>
      <c r="R773" s="1">
        <v>11.818443706724793</v>
      </c>
    </row>
    <row r="774" spans="1:18" x14ac:dyDescent="0.3">
      <c r="A774" s="26">
        <v>773</v>
      </c>
      <c r="B774" s="1">
        <v>2</v>
      </c>
      <c r="C774" s="1">
        <f t="shared" si="99"/>
        <v>9</v>
      </c>
      <c r="D774" s="21">
        <f t="shared" ca="1" si="98"/>
        <v>44604</v>
      </c>
      <c r="E774" s="1" t="s">
        <v>26</v>
      </c>
      <c r="F774" s="1" t="s">
        <v>802</v>
      </c>
      <c r="G774" s="1" t="s">
        <v>28</v>
      </c>
      <c r="H774" s="1">
        <v>872</v>
      </c>
      <c r="I774" s="1">
        <f t="shared" si="100"/>
        <v>42</v>
      </c>
      <c r="J774" s="1">
        <f>VLOOKUP(B774,Cena!$A$2:$B$101,2)</f>
        <v>121</v>
      </c>
      <c r="K774" s="1">
        <f t="shared" si="96"/>
        <v>5082</v>
      </c>
      <c r="L774" s="1">
        <f t="shared" si="101"/>
        <v>1168.8600000000001</v>
      </c>
      <c r="M774" s="22">
        <f t="shared" si="97"/>
        <v>6250.8600000000006</v>
      </c>
      <c r="N774" s="1">
        <f t="shared" ca="1" si="102"/>
        <v>2</v>
      </c>
      <c r="P774" s="1">
        <v>42.772973200771958</v>
      </c>
      <c r="Q774" s="1">
        <f t="shared" ca="1" si="103"/>
        <v>2</v>
      </c>
      <c r="R774" s="1">
        <v>9.9467348743564798</v>
      </c>
    </row>
    <row r="775" spans="1:18" x14ac:dyDescent="0.3">
      <c r="A775" s="26">
        <v>774</v>
      </c>
      <c r="B775" s="1">
        <v>12</v>
      </c>
      <c r="C775" s="1">
        <f t="shared" si="99"/>
        <v>15</v>
      </c>
      <c r="D775" s="21">
        <f t="shared" ca="1" si="98"/>
        <v>44866</v>
      </c>
      <c r="E775" s="1" t="s">
        <v>26</v>
      </c>
      <c r="F775" s="1" t="s">
        <v>803</v>
      </c>
      <c r="G775" s="1" t="s">
        <v>28</v>
      </c>
      <c r="H775" s="1">
        <v>873</v>
      </c>
      <c r="I775" s="1">
        <f t="shared" si="100"/>
        <v>58</v>
      </c>
      <c r="J775" s="1">
        <f>VLOOKUP(B775,Cena!$A$2:$B$101,2)</f>
        <v>88</v>
      </c>
      <c r="K775" s="1">
        <f t="shared" si="96"/>
        <v>5104</v>
      </c>
      <c r="L775" s="1">
        <f t="shared" si="101"/>
        <v>1173.92</v>
      </c>
      <c r="M775" s="22">
        <f t="shared" si="97"/>
        <v>6277.92</v>
      </c>
      <c r="N775" s="1">
        <f t="shared" ca="1" si="102"/>
        <v>11</v>
      </c>
      <c r="P775" s="1">
        <v>58.566939868615009</v>
      </c>
      <c r="Q775" s="1">
        <f t="shared" ca="1" si="103"/>
        <v>6</v>
      </c>
      <c r="R775" s="1">
        <v>15.252377377473749</v>
      </c>
    </row>
    <row r="776" spans="1:18" x14ac:dyDescent="0.3">
      <c r="A776" s="26">
        <v>775</v>
      </c>
      <c r="B776" s="1">
        <v>10</v>
      </c>
      <c r="C776" s="1">
        <f t="shared" si="99"/>
        <v>16</v>
      </c>
      <c r="D776" s="21">
        <f t="shared" ca="1" si="98"/>
        <v>44740</v>
      </c>
      <c r="E776" s="1" t="s">
        <v>26</v>
      </c>
      <c r="F776" s="1" t="s">
        <v>804</v>
      </c>
      <c r="G776" s="1" t="s">
        <v>28</v>
      </c>
      <c r="H776" s="1">
        <v>874</v>
      </c>
      <c r="I776" s="1">
        <f t="shared" si="100"/>
        <v>47</v>
      </c>
      <c r="J776" s="1">
        <f>VLOOKUP(B776,Cena!$A$2:$B$101,2)</f>
        <v>109</v>
      </c>
      <c r="K776" s="1">
        <f t="shared" si="96"/>
        <v>5123</v>
      </c>
      <c r="L776" s="1">
        <f t="shared" si="101"/>
        <v>1178.29</v>
      </c>
      <c r="M776" s="22">
        <f t="shared" si="97"/>
        <v>6301.29</v>
      </c>
      <c r="N776" s="1">
        <f t="shared" ca="1" si="102"/>
        <v>6</v>
      </c>
      <c r="P776" s="1">
        <v>47.090378656139364</v>
      </c>
      <c r="Q776" s="1">
        <f t="shared" ca="1" si="103"/>
        <v>5</v>
      </c>
      <c r="R776" s="1">
        <v>16.47087290417403</v>
      </c>
    </row>
    <row r="777" spans="1:18" x14ac:dyDescent="0.3">
      <c r="A777" s="26">
        <v>776</v>
      </c>
      <c r="B777" s="1">
        <v>15</v>
      </c>
      <c r="C777" s="1">
        <f t="shared" si="99"/>
        <v>10</v>
      </c>
      <c r="D777" s="21">
        <f t="shared" ca="1" si="98"/>
        <v>44758</v>
      </c>
      <c r="E777" s="1" t="s">
        <v>26</v>
      </c>
      <c r="F777" s="1" t="s">
        <v>805</v>
      </c>
      <c r="G777" s="1" t="s">
        <v>28</v>
      </c>
      <c r="H777" s="1">
        <v>875</v>
      </c>
      <c r="I777" s="1">
        <f t="shared" si="100"/>
        <v>57</v>
      </c>
      <c r="J777" s="1">
        <f>VLOOKUP(B777,Cena!$A$2:$B$101,2)</f>
        <v>85</v>
      </c>
      <c r="K777" s="1">
        <f t="shared" si="96"/>
        <v>4845</v>
      </c>
      <c r="L777" s="1">
        <f t="shared" si="101"/>
        <v>1114.3500000000001</v>
      </c>
      <c r="M777" s="22">
        <f t="shared" si="97"/>
        <v>5959.35</v>
      </c>
      <c r="N777" s="1">
        <f t="shared" ca="1" si="102"/>
        <v>7</v>
      </c>
      <c r="P777" s="1">
        <v>57.516109690186568</v>
      </c>
      <c r="Q777" s="1">
        <f t="shared" ca="1" si="103"/>
        <v>14</v>
      </c>
      <c r="R777" s="1">
        <v>10.347557715940638</v>
      </c>
    </row>
    <row r="778" spans="1:18" x14ac:dyDescent="0.3">
      <c r="A778" s="26">
        <v>777</v>
      </c>
      <c r="B778" s="1">
        <v>4</v>
      </c>
      <c r="C778" s="1">
        <f t="shared" si="99"/>
        <v>9</v>
      </c>
      <c r="D778" s="21">
        <f t="shared" ca="1" si="98"/>
        <v>44843</v>
      </c>
      <c r="E778" s="1" t="s">
        <v>26</v>
      </c>
      <c r="F778" s="1" t="s">
        <v>806</v>
      </c>
      <c r="G778" s="1" t="s">
        <v>28</v>
      </c>
      <c r="H778" s="1">
        <v>876</v>
      </c>
      <c r="I778" s="1">
        <f t="shared" si="100"/>
        <v>55</v>
      </c>
      <c r="J778" s="1">
        <f>VLOOKUP(B778,Cena!$A$2:$B$101,2)</f>
        <v>99</v>
      </c>
      <c r="K778" s="1">
        <f t="shared" si="96"/>
        <v>5445</v>
      </c>
      <c r="L778" s="1">
        <f t="shared" si="101"/>
        <v>1252.3500000000001</v>
      </c>
      <c r="M778" s="22">
        <f t="shared" si="97"/>
        <v>6697.35</v>
      </c>
      <c r="N778" s="1">
        <f t="shared" ca="1" si="102"/>
        <v>10</v>
      </c>
      <c r="P778" s="1">
        <v>55.628089638776146</v>
      </c>
      <c r="Q778" s="1">
        <f t="shared" ca="1" si="103"/>
        <v>2</v>
      </c>
      <c r="R778" s="1">
        <v>9.462599475918978</v>
      </c>
    </row>
    <row r="779" spans="1:18" x14ac:dyDescent="0.3">
      <c r="A779" s="26">
        <v>778</v>
      </c>
      <c r="B779" s="1">
        <v>26</v>
      </c>
      <c r="C779" s="1">
        <f t="shared" si="99"/>
        <v>11</v>
      </c>
      <c r="D779" s="21">
        <f t="shared" ca="1" si="98"/>
        <v>44675</v>
      </c>
      <c r="E779" s="1" t="s">
        <v>26</v>
      </c>
      <c r="F779" s="1" t="s">
        <v>807</v>
      </c>
      <c r="G779" s="1" t="s">
        <v>28</v>
      </c>
      <c r="H779" s="1">
        <v>877</v>
      </c>
      <c r="I779" s="1">
        <f t="shared" si="100"/>
        <v>51</v>
      </c>
      <c r="J779" s="1">
        <f>VLOOKUP(B779,Cena!$A$2:$B$101,2)</f>
        <v>99</v>
      </c>
      <c r="K779" s="1">
        <f t="shared" si="96"/>
        <v>5049</v>
      </c>
      <c r="L779" s="1">
        <f t="shared" si="101"/>
        <v>1161.27</v>
      </c>
      <c r="M779" s="22">
        <f t="shared" si="97"/>
        <v>6210.27</v>
      </c>
      <c r="N779" s="1">
        <f t="shared" ca="1" si="102"/>
        <v>4</v>
      </c>
      <c r="P779" s="1">
        <v>51.964417606359348</v>
      </c>
      <c r="Q779" s="1">
        <f t="shared" ca="1" si="103"/>
        <v>1</v>
      </c>
      <c r="R779" s="1">
        <v>11.339856225968106</v>
      </c>
    </row>
    <row r="780" spans="1:18" x14ac:dyDescent="0.3">
      <c r="A780" s="26">
        <v>779</v>
      </c>
      <c r="B780" s="1">
        <v>25</v>
      </c>
      <c r="C780" s="1">
        <f t="shared" si="99"/>
        <v>8</v>
      </c>
      <c r="D780" s="21">
        <f t="shared" ca="1" si="98"/>
        <v>44656</v>
      </c>
      <c r="E780" s="1" t="s">
        <v>26</v>
      </c>
      <c r="F780" s="1" t="s">
        <v>808</v>
      </c>
      <c r="G780" s="1" t="s">
        <v>28</v>
      </c>
      <c r="H780" s="1">
        <v>878</v>
      </c>
      <c r="I780" s="1">
        <f t="shared" si="100"/>
        <v>48</v>
      </c>
      <c r="J780" s="1">
        <f>VLOOKUP(B780,Cena!$A$2:$B$101,2)</f>
        <v>108</v>
      </c>
      <c r="K780" s="1">
        <f t="shared" si="96"/>
        <v>5184</v>
      </c>
      <c r="L780" s="1">
        <f t="shared" si="101"/>
        <v>1192.3200000000002</v>
      </c>
      <c r="M780" s="22">
        <f t="shared" si="97"/>
        <v>6376.32</v>
      </c>
      <c r="N780" s="1">
        <f t="shared" ca="1" si="102"/>
        <v>4</v>
      </c>
      <c r="P780" s="1">
        <v>48.713963123009307</v>
      </c>
      <c r="Q780" s="1">
        <f t="shared" ca="1" si="103"/>
        <v>25</v>
      </c>
      <c r="R780" s="1">
        <v>8.4637895522610052</v>
      </c>
    </row>
    <row r="781" spans="1:18" x14ac:dyDescent="0.3">
      <c r="A781" s="26">
        <v>780</v>
      </c>
      <c r="B781" s="1">
        <v>12</v>
      </c>
      <c r="C781" s="1">
        <f t="shared" si="99"/>
        <v>11</v>
      </c>
      <c r="D781" s="21">
        <f t="shared" ca="1" si="98"/>
        <v>44799</v>
      </c>
      <c r="E781" s="1" t="s">
        <v>26</v>
      </c>
      <c r="F781" s="1" t="s">
        <v>809</v>
      </c>
      <c r="G781" s="1" t="s">
        <v>28</v>
      </c>
      <c r="H781" s="1">
        <v>879</v>
      </c>
      <c r="I781" s="1">
        <f t="shared" si="100"/>
        <v>47</v>
      </c>
      <c r="J781" s="1">
        <f>VLOOKUP(B781,Cena!$A$2:$B$101,2)</f>
        <v>88</v>
      </c>
      <c r="K781" s="1">
        <f t="shared" si="96"/>
        <v>4136</v>
      </c>
      <c r="L781" s="1">
        <f t="shared" si="101"/>
        <v>951.28000000000009</v>
      </c>
      <c r="M781" s="22">
        <f t="shared" si="97"/>
        <v>5087.28</v>
      </c>
      <c r="N781" s="1">
        <f t="shared" ca="1" si="102"/>
        <v>8</v>
      </c>
      <c r="P781" s="1">
        <v>47.509326021827292</v>
      </c>
      <c r="Q781" s="1">
        <f t="shared" ca="1" si="103"/>
        <v>23</v>
      </c>
      <c r="R781" s="1">
        <v>11.065149035639479</v>
      </c>
    </row>
    <row r="782" spans="1:18" x14ac:dyDescent="0.3">
      <c r="A782" s="26">
        <v>781</v>
      </c>
      <c r="B782" s="1">
        <v>27</v>
      </c>
      <c r="C782" s="1">
        <f t="shared" si="99"/>
        <v>10</v>
      </c>
      <c r="D782" s="21">
        <f t="shared" ca="1" si="98"/>
        <v>44859</v>
      </c>
      <c r="E782" s="1" t="s">
        <v>26</v>
      </c>
      <c r="F782" s="1" t="s">
        <v>810</v>
      </c>
      <c r="G782" s="1" t="s">
        <v>28</v>
      </c>
      <c r="H782" s="1">
        <v>880</v>
      </c>
      <c r="I782" s="1">
        <f t="shared" si="100"/>
        <v>49</v>
      </c>
      <c r="J782" s="1">
        <f>VLOOKUP(B782,Cena!$A$2:$B$101,2)</f>
        <v>87</v>
      </c>
      <c r="K782" s="1">
        <f t="shared" si="96"/>
        <v>4263</v>
      </c>
      <c r="L782" s="1">
        <f t="shared" si="101"/>
        <v>980.49</v>
      </c>
      <c r="M782" s="22">
        <f t="shared" si="97"/>
        <v>5243.49</v>
      </c>
      <c r="N782" s="1">
        <f t="shared" ca="1" si="102"/>
        <v>10</v>
      </c>
      <c r="P782" s="1">
        <v>49.112606019480154</v>
      </c>
      <c r="Q782" s="1">
        <f t="shared" ca="1" si="103"/>
        <v>4</v>
      </c>
      <c r="R782" s="1">
        <v>10.202271621674299</v>
      </c>
    </row>
    <row r="783" spans="1:18" x14ac:dyDescent="0.3">
      <c r="A783" s="26">
        <v>782</v>
      </c>
      <c r="B783" s="1">
        <v>29</v>
      </c>
      <c r="C783" s="1">
        <f t="shared" si="99"/>
        <v>8</v>
      </c>
      <c r="D783" s="21">
        <f t="shared" ca="1" si="98"/>
        <v>44562</v>
      </c>
      <c r="E783" s="1" t="s">
        <v>26</v>
      </c>
      <c r="F783" s="1" t="s">
        <v>811</v>
      </c>
      <c r="G783" s="1" t="s">
        <v>28</v>
      </c>
      <c r="H783" s="1">
        <v>881</v>
      </c>
      <c r="I783" s="1">
        <f t="shared" si="100"/>
        <v>39</v>
      </c>
      <c r="J783" s="1">
        <f>VLOOKUP(B783,Cena!$A$2:$B$101,2)</f>
        <v>105</v>
      </c>
      <c r="K783" s="1">
        <f t="shared" si="96"/>
        <v>4095</v>
      </c>
      <c r="L783" s="1">
        <f t="shared" si="101"/>
        <v>941.85</v>
      </c>
      <c r="M783" s="22">
        <f t="shared" si="97"/>
        <v>5036.8500000000004</v>
      </c>
      <c r="N783" s="1">
        <f t="shared" ca="1" si="102"/>
        <v>1</v>
      </c>
      <c r="P783" s="1">
        <v>39.861998983542435</v>
      </c>
      <c r="Q783" s="1">
        <f t="shared" ca="1" si="103"/>
        <v>12</v>
      </c>
      <c r="R783" s="1">
        <v>8.5456696549590561</v>
      </c>
    </row>
    <row r="784" spans="1:18" x14ac:dyDescent="0.3">
      <c r="A784" s="26">
        <v>783</v>
      </c>
      <c r="B784" s="1">
        <v>26</v>
      </c>
      <c r="C784" s="1">
        <f t="shared" si="99"/>
        <v>14</v>
      </c>
      <c r="D784" s="21">
        <f t="shared" ca="1" si="98"/>
        <v>44918</v>
      </c>
      <c r="E784" s="1" t="s">
        <v>26</v>
      </c>
      <c r="F784" s="1" t="s">
        <v>812</v>
      </c>
      <c r="G784" s="1" t="s">
        <v>28</v>
      </c>
      <c r="H784" s="1">
        <v>882</v>
      </c>
      <c r="I784" s="1">
        <f t="shared" si="100"/>
        <v>27</v>
      </c>
      <c r="J784" s="1">
        <f>VLOOKUP(B784,Cena!$A$2:$B$101,2)</f>
        <v>99</v>
      </c>
      <c r="K784" s="1">
        <f t="shared" si="96"/>
        <v>2673</v>
      </c>
      <c r="L784" s="1">
        <f t="shared" si="101"/>
        <v>614.79000000000008</v>
      </c>
      <c r="M784" s="22">
        <f t="shared" si="97"/>
        <v>3287.79</v>
      </c>
      <c r="N784" s="1">
        <f t="shared" ca="1" si="102"/>
        <v>12</v>
      </c>
      <c r="P784" s="1">
        <v>27.42670529987663</v>
      </c>
      <c r="Q784" s="1">
        <f t="shared" ca="1" si="103"/>
        <v>29</v>
      </c>
      <c r="R784" s="1">
        <v>14.171238288108725</v>
      </c>
    </row>
    <row r="785" spans="1:18" x14ac:dyDescent="0.3">
      <c r="A785" s="26">
        <v>784</v>
      </c>
      <c r="B785" s="1">
        <v>10</v>
      </c>
      <c r="C785" s="1">
        <f t="shared" si="99"/>
        <v>11</v>
      </c>
      <c r="D785" s="21">
        <f t="shared" ca="1" si="98"/>
        <v>44769</v>
      </c>
      <c r="E785" s="1" t="s">
        <v>26</v>
      </c>
      <c r="F785" s="1" t="s">
        <v>813</v>
      </c>
      <c r="G785" s="1" t="s">
        <v>28</v>
      </c>
      <c r="H785" s="1">
        <v>883</v>
      </c>
      <c r="I785" s="1">
        <f t="shared" si="100"/>
        <v>48</v>
      </c>
      <c r="J785" s="1">
        <f>VLOOKUP(B785,Cena!$A$2:$B$101,2)</f>
        <v>109</v>
      </c>
      <c r="K785" s="1">
        <f t="shared" si="96"/>
        <v>5232</v>
      </c>
      <c r="L785" s="1">
        <f t="shared" si="101"/>
        <v>1203.3600000000001</v>
      </c>
      <c r="M785" s="22">
        <f t="shared" si="97"/>
        <v>6435.3600000000006</v>
      </c>
      <c r="N785" s="1">
        <f t="shared" ca="1" si="102"/>
        <v>7</v>
      </c>
      <c r="P785" s="1">
        <v>48.798762135265861</v>
      </c>
      <c r="Q785" s="1">
        <f t="shared" ca="1" si="103"/>
        <v>28</v>
      </c>
      <c r="R785" s="1">
        <v>11.999961796173011</v>
      </c>
    </row>
    <row r="786" spans="1:18" x14ac:dyDescent="0.3">
      <c r="A786" s="26">
        <v>785</v>
      </c>
      <c r="B786" s="1">
        <v>16</v>
      </c>
      <c r="C786" s="1">
        <f t="shared" si="99"/>
        <v>9</v>
      </c>
      <c r="D786" s="21">
        <f t="shared" ca="1" si="98"/>
        <v>44648</v>
      </c>
      <c r="E786" s="1" t="s">
        <v>26</v>
      </c>
      <c r="F786" s="1" t="s">
        <v>814</v>
      </c>
      <c r="G786" s="1" t="s">
        <v>28</v>
      </c>
      <c r="H786" s="1">
        <v>884</v>
      </c>
      <c r="I786" s="1">
        <f t="shared" si="100"/>
        <v>42</v>
      </c>
      <c r="J786" s="1">
        <f>VLOOKUP(B786,Cena!$A$2:$B$101,2)</f>
        <v>93</v>
      </c>
      <c r="K786" s="1">
        <f t="shared" si="96"/>
        <v>3906</v>
      </c>
      <c r="L786" s="1">
        <f t="shared" si="101"/>
        <v>898.38</v>
      </c>
      <c r="M786" s="22">
        <f t="shared" si="97"/>
        <v>4804.38</v>
      </c>
      <c r="N786" s="1">
        <f t="shared" ca="1" si="102"/>
        <v>3</v>
      </c>
      <c r="P786" s="1">
        <v>42.003313309396617</v>
      </c>
      <c r="Q786" s="1">
        <f t="shared" ca="1" si="103"/>
        <v>25</v>
      </c>
      <c r="R786" s="1">
        <v>9.5114279727204121</v>
      </c>
    </row>
    <row r="787" spans="1:18" x14ac:dyDescent="0.3">
      <c r="A787" s="26">
        <v>786</v>
      </c>
      <c r="B787" s="1">
        <v>15</v>
      </c>
      <c r="C787" s="1">
        <f t="shared" si="99"/>
        <v>10</v>
      </c>
      <c r="D787" s="21">
        <f t="shared" ca="1" si="98"/>
        <v>44777</v>
      </c>
      <c r="E787" s="1" t="s">
        <v>26</v>
      </c>
      <c r="F787" s="1" t="s">
        <v>815</v>
      </c>
      <c r="G787" s="1" t="s">
        <v>28</v>
      </c>
      <c r="H787" s="1">
        <v>885</v>
      </c>
      <c r="I787" s="1">
        <f t="shared" si="100"/>
        <v>60</v>
      </c>
      <c r="J787" s="1">
        <f>VLOOKUP(B787,Cena!$A$2:$B$101,2)</f>
        <v>85</v>
      </c>
      <c r="K787" s="1">
        <f t="shared" si="96"/>
        <v>5100</v>
      </c>
      <c r="L787" s="1">
        <f t="shared" si="101"/>
        <v>1173</v>
      </c>
      <c r="M787" s="22">
        <f t="shared" si="97"/>
        <v>6273</v>
      </c>
      <c r="N787" s="1">
        <f t="shared" ca="1" si="102"/>
        <v>8</v>
      </c>
      <c r="P787" s="1">
        <v>60.769508662633598</v>
      </c>
      <c r="Q787" s="1">
        <f t="shared" ca="1" si="103"/>
        <v>3</v>
      </c>
      <c r="R787" s="1">
        <v>10.024766677597654</v>
      </c>
    </row>
    <row r="788" spans="1:18" x14ac:dyDescent="0.3">
      <c r="A788" s="26">
        <v>787</v>
      </c>
      <c r="B788" s="1">
        <v>11</v>
      </c>
      <c r="C788" s="1">
        <f t="shared" si="99"/>
        <v>10</v>
      </c>
      <c r="D788" s="21">
        <f t="shared" ca="1" si="98"/>
        <v>44884</v>
      </c>
      <c r="E788" s="1" t="s">
        <v>26</v>
      </c>
      <c r="F788" s="1" t="s">
        <v>816</v>
      </c>
      <c r="G788" s="1" t="s">
        <v>28</v>
      </c>
      <c r="H788" s="1">
        <v>886</v>
      </c>
      <c r="I788" s="1">
        <f t="shared" si="100"/>
        <v>38</v>
      </c>
      <c r="J788" s="1">
        <f>VLOOKUP(B788,Cena!$A$2:$B$101,2)</f>
        <v>83</v>
      </c>
      <c r="K788" s="1">
        <f t="shared" si="96"/>
        <v>3154</v>
      </c>
      <c r="L788" s="1">
        <f t="shared" si="101"/>
        <v>725.42000000000007</v>
      </c>
      <c r="M788" s="22">
        <f t="shared" si="97"/>
        <v>3879.42</v>
      </c>
      <c r="N788" s="1">
        <f t="shared" ca="1" si="102"/>
        <v>11</v>
      </c>
      <c r="P788" s="1">
        <v>38.971421771566384</v>
      </c>
      <c r="Q788" s="1">
        <f t="shared" ca="1" si="103"/>
        <v>11</v>
      </c>
      <c r="R788" s="1">
        <v>10.483893813907343</v>
      </c>
    </row>
    <row r="789" spans="1:18" x14ac:dyDescent="0.3">
      <c r="A789" s="26">
        <v>788</v>
      </c>
      <c r="B789" s="1">
        <v>16</v>
      </c>
      <c r="C789" s="1">
        <f t="shared" si="99"/>
        <v>6</v>
      </c>
      <c r="D789" s="21">
        <f t="shared" ca="1" si="98"/>
        <v>44609</v>
      </c>
      <c r="E789" s="1" t="s">
        <v>26</v>
      </c>
      <c r="F789" s="1" t="s">
        <v>817</v>
      </c>
      <c r="G789" s="1" t="s">
        <v>28</v>
      </c>
      <c r="H789" s="1">
        <v>887</v>
      </c>
      <c r="I789" s="1">
        <f t="shared" si="100"/>
        <v>40</v>
      </c>
      <c r="J789" s="1">
        <f>VLOOKUP(B789,Cena!$A$2:$B$101,2)</f>
        <v>93</v>
      </c>
      <c r="K789" s="1">
        <f t="shared" si="96"/>
        <v>3720</v>
      </c>
      <c r="L789" s="1">
        <f t="shared" si="101"/>
        <v>855.6</v>
      </c>
      <c r="M789" s="22">
        <f t="shared" si="97"/>
        <v>4575.6000000000004</v>
      </c>
      <c r="N789" s="1">
        <f t="shared" ca="1" si="102"/>
        <v>2</v>
      </c>
      <c r="P789" s="1">
        <v>40.138212524470873</v>
      </c>
      <c r="Q789" s="1">
        <f t="shared" ca="1" si="103"/>
        <v>18</v>
      </c>
      <c r="R789" s="1">
        <v>6.7127450872794725</v>
      </c>
    </row>
    <row r="790" spans="1:18" x14ac:dyDescent="0.3">
      <c r="A790" s="26">
        <v>789</v>
      </c>
      <c r="B790" s="1">
        <v>30</v>
      </c>
      <c r="C790" s="1">
        <f t="shared" si="99"/>
        <v>11</v>
      </c>
      <c r="D790" s="21">
        <f t="shared" ca="1" si="98"/>
        <v>44849</v>
      </c>
      <c r="E790" s="1" t="s">
        <v>26</v>
      </c>
      <c r="F790" s="1" t="s">
        <v>818</v>
      </c>
      <c r="G790" s="1" t="s">
        <v>28</v>
      </c>
      <c r="H790" s="1">
        <v>888</v>
      </c>
      <c r="I790" s="1">
        <f t="shared" si="100"/>
        <v>49</v>
      </c>
      <c r="J790" s="1">
        <f>VLOOKUP(B790,Cena!$A$2:$B$101,2)</f>
        <v>87</v>
      </c>
      <c r="K790" s="1">
        <f t="shared" si="96"/>
        <v>4263</v>
      </c>
      <c r="L790" s="1">
        <f t="shared" si="101"/>
        <v>980.49</v>
      </c>
      <c r="M790" s="22">
        <f t="shared" si="97"/>
        <v>5243.49</v>
      </c>
      <c r="N790" s="1">
        <f t="shared" ca="1" si="102"/>
        <v>10</v>
      </c>
      <c r="P790" s="1">
        <v>49.896340341365431</v>
      </c>
      <c r="Q790" s="1">
        <f t="shared" ca="1" si="103"/>
        <v>24</v>
      </c>
      <c r="R790" s="1">
        <v>11.872189159257687</v>
      </c>
    </row>
    <row r="791" spans="1:18" x14ac:dyDescent="0.3">
      <c r="A791" s="26">
        <v>790</v>
      </c>
      <c r="B791" s="1">
        <v>25</v>
      </c>
      <c r="C791" s="1">
        <f t="shared" si="99"/>
        <v>8</v>
      </c>
      <c r="D791" s="21">
        <f t="shared" ca="1" si="98"/>
        <v>44795</v>
      </c>
      <c r="E791" s="1" t="s">
        <v>26</v>
      </c>
      <c r="F791" s="1" t="s">
        <v>819</v>
      </c>
      <c r="G791" s="1" t="s">
        <v>28</v>
      </c>
      <c r="H791" s="1">
        <v>889</v>
      </c>
      <c r="I791" s="1">
        <f t="shared" si="100"/>
        <v>59</v>
      </c>
      <c r="J791" s="1">
        <f>VLOOKUP(B791,Cena!$A$2:$B$101,2)</f>
        <v>108</v>
      </c>
      <c r="K791" s="1">
        <f t="shared" si="96"/>
        <v>6372</v>
      </c>
      <c r="L791" s="1">
        <f t="shared" si="101"/>
        <v>1465.5600000000002</v>
      </c>
      <c r="M791" s="22">
        <f t="shared" si="97"/>
        <v>7837.56</v>
      </c>
      <c r="N791" s="1">
        <f t="shared" ca="1" si="102"/>
        <v>8</v>
      </c>
      <c r="P791" s="1">
        <v>59.002405931823887</v>
      </c>
      <c r="Q791" s="1">
        <f t="shared" ca="1" si="103"/>
        <v>10</v>
      </c>
      <c r="R791" s="1">
        <v>8.1166553197908797</v>
      </c>
    </row>
    <row r="792" spans="1:18" x14ac:dyDescent="0.3">
      <c r="A792" s="26">
        <v>791</v>
      </c>
      <c r="B792" s="1">
        <v>10</v>
      </c>
      <c r="C792" s="1">
        <f t="shared" si="99"/>
        <v>9</v>
      </c>
      <c r="D792" s="21">
        <f t="shared" ca="1" si="98"/>
        <v>44563</v>
      </c>
      <c r="E792" s="1" t="s">
        <v>26</v>
      </c>
      <c r="F792" s="1" t="s">
        <v>820</v>
      </c>
      <c r="G792" s="1" t="s">
        <v>28</v>
      </c>
      <c r="H792" s="1">
        <v>890</v>
      </c>
      <c r="I792" s="1">
        <f t="shared" si="100"/>
        <v>55</v>
      </c>
      <c r="J792" s="1">
        <f>VLOOKUP(B792,Cena!$A$2:$B$101,2)</f>
        <v>109</v>
      </c>
      <c r="K792" s="1">
        <f t="shared" si="96"/>
        <v>5995</v>
      </c>
      <c r="L792" s="1">
        <f t="shared" si="101"/>
        <v>1378.8500000000001</v>
      </c>
      <c r="M792" s="22">
        <f t="shared" si="97"/>
        <v>7373.85</v>
      </c>
      <c r="N792" s="1">
        <f t="shared" ca="1" si="102"/>
        <v>1</v>
      </c>
      <c r="P792" s="1">
        <v>55.044989848101977</v>
      </c>
      <c r="Q792" s="1">
        <f t="shared" ca="1" si="103"/>
        <v>15</v>
      </c>
      <c r="R792" s="1">
        <v>9.0499816249212017</v>
      </c>
    </row>
    <row r="793" spans="1:18" x14ac:dyDescent="0.3">
      <c r="A793" s="26">
        <v>792</v>
      </c>
      <c r="B793" s="1">
        <v>29</v>
      </c>
      <c r="C793" s="1">
        <f t="shared" si="99"/>
        <v>7</v>
      </c>
      <c r="D793" s="21">
        <f t="shared" ca="1" si="98"/>
        <v>44709</v>
      </c>
      <c r="E793" s="1" t="s">
        <v>26</v>
      </c>
      <c r="F793" s="1" t="s">
        <v>821</v>
      </c>
      <c r="G793" s="1" t="s">
        <v>28</v>
      </c>
      <c r="H793" s="1">
        <v>891</v>
      </c>
      <c r="I793" s="1">
        <f t="shared" si="100"/>
        <v>53</v>
      </c>
      <c r="J793" s="1">
        <f>VLOOKUP(B793,Cena!$A$2:$B$101,2)</f>
        <v>105</v>
      </c>
      <c r="K793" s="1">
        <f t="shared" si="96"/>
        <v>5565</v>
      </c>
      <c r="L793" s="1">
        <f t="shared" si="101"/>
        <v>1279.95</v>
      </c>
      <c r="M793" s="22">
        <f t="shared" si="97"/>
        <v>6844.95</v>
      </c>
      <c r="N793" s="1">
        <f t="shared" ca="1" si="102"/>
        <v>5</v>
      </c>
      <c r="P793" s="1">
        <v>53.658203695522388</v>
      </c>
      <c r="Q793" s="1">
        <f t="shared" ca="1" si="103"/>
        <v>19</v>
      </c>
      <c r="R793" s="1">
        <v>7.599957168858964</v>
      </c>
    </row>
    <row r="794" spans="1:18" x14ac:dyDescent="0.3">
      <c r="A794" s="26">
        <v>793</v>
      </c>
      <c r="B794" s="1">
        <v>4</v>
      </c>
      <c r="C794" s="1">
        <f t="shared" si="99"/>
        <v>11</v>
      </c>
      <c r="D794" s="21">
        <f t="shared" ca="1" si="98"/>
        <v>44584</v>
      </c>
      <c r="E794" s="1" t="s">
        <v>26</v>
      </c>
      <c r="F794" s="1" t="s">
        <v>822</v>
      </c>
      <c r="G794" s="1" t="s">
        <v>28</v>
      </c>
      <c r="H794" s="1">
        <v>892</v>
      </c>
      <c r="I794" s="1">
        <f t="shared" si="100"/>
        <v>43</v>
      </c>
      <c r="J794" s="1">
        <f>VLOOKUP(B794,Cena!$A$2:$B$101,2)</f>
        <v>99</v>
      </c>
      <c r="K794" s="1">
        <f t="shared" si="96"/>
        <v>4257</v>
      </c>
      <c r="L794" s="1">
        <f t="shared" si="101"/>
        <v>979.11</v>
      </c>
      <c r="M794" s="22">
        <f t="shared" si="97"/>
        <v>5236.1099999999997</v>
      </c>
      <c r="N794" s="1">
        <f t="shared" ca="1" si="102"/>
        <v>1</v>
      </c>
      <c r="P794" s="1">
        <v>43.912342688417993</v>
      </c>
      <c r="Q794" s="1">
        <f t="shared" ca="1" si="103"/>
        <v>30</v>
      </c>
      <c r="R794" s="1">
        <v>11.227695634042902</v>
      </c>
    </row>
    <row r="795" spans="1:18" x14ac:dyDescent="0.3">
      <c r="A795" s="26">
        <v>794</v>
      </c>
      <c r="B795" s="1">
        <v>11</v>
      </c>
      <c r="C795" s="1">
        <f t="shared" si="99"/>
        <v>5</v>
      </c>
      <c r="D795" s="21">
        <f t="shared" ca="1" si="98"/>
        <v>44585</v>
      </c>
      <c r="E795" s="1" t="s">
        <v>26</v>
      </c>
      <c r="F795" s="1" t="s">
        <v>823</v>
      </c>
      <c r="G795" s="1" t="s">
        <v>28</v>
      </c>
      <c r="H795" s="1">
        <v>893</v>
      </c>
      <c r="I795" s="1">
        <f t="shared" si="100"/>
        <v>58</v>
      </c>
      <c r="J795" s="1">
        <f>VLOOKUP(B795,Cena!$A$2:$B$101,2)</f>
        <v>83</v>
      </c>
      <c r="K795" s="1">
        <f t="shared" si="96"/>
        <v>4814</v>
      </c>
      <c r="L795" s="1">
        <f t="shared" si="101"/>
        <v>1107.22</v>
      </c>
      <c r="M795" s="22">
        <f t="shared" si="97"/>
        <v>5921.22</v>
      </c>
      <c r="N795" s="1">
        <f t="shared" ca="1" si="102"/>
        <v>1</v>
      </c>
      <c r="P795" s="1">
        <v>58.130109563353471</v>
      </c>
      <c r="Q795" s="1">
        <f t="shared" ca="1" si="103"/>
        <v>6</v>
      </c>
      <c r="R795" s="1">
        <v>5.9363890411623288</v>
      </c>
    </row>
    <row r="796" spans="1:18" x14ac:dyDescent="0.3">
      <c r="A796" s="26">
        <v>795</v>
      </c>
      <c r="B796" s="1">
        <v>19</v>
      </c>
      <c r="C796" s="1">
        <f t="shared" si="99"/>
        <v>7</v>
      </c>
      <c r="D796" s="21">
        <f t="shared" ca="1" si="98"/>
        <v>44766</v>
      </c>
      <c r="E796" s="1" t="s">
        <v>26</v>
      </c>
      <c r="F796" s="1" t="s">
        <v>824</v>
      </c>
      <c r="G796" s="1" t="s">
        <v>28</v>
      </c>
      <c r="H796" s="1">
        <v>894</v>
      </c>
      <c r="I796" s="1">
        <f t="shared" si="100"/>
        <v>74</v>
      </c>
      <c r="J796" s="1">
        <f>VLOOKUP(B796,Cena!$A$2:$B$101,2)</f>
        <v>84</v>
      </c>
      <c r="K796" s="1">
        <f t="shared" si="96"/>
        <v>6216</v>
      </c>
      <c r="L796" s="1">
        <f t="shared" si="101"/>
        <v>1429.68</v>
      </c>
      <c r="M796" s="22">
        <f t="shared" si="97"/>
        <v>7645.68</v>
      </c>
      <c r="N796" s="1">
        <f t="shared" ca="1" si="102"/>
        <v>7</v>
      </c>
      <c r="P796" s="1">
        <v>74.609835236333311</v>
      </c>
      <c r="Q796" s="1">
        <f t="shared" ca="1" si="103"/>
        <v>27</v>
      </c>
      <c r="R796" s="1">
        <v>7.8684570578479907</v>
      </c>
    </row>
    <row r="797" spans="1:18" x14ac:dyDescent="0.3">
      <c r="A797" s="26">
        <v>796</v>
      </c>
      <c r="B797" s="1">
        <v>13</v>
      </c>
      <c r="C797" s="1">
        <f t="shared" si="99"/>
        <v>10</v>
      </c>
      <c r="D797" s="21">
        <f t="shared" ca="1" si="98"/>
        <v>44672</v>
      </c>
      <c r="E797" s="1" t="s">
        <v>26</v>
      </c>
      <c r="F797" s="1" t="s">
        <v>825</v>
      </c>
      <c r="G797" s="1" t="s">
        <v>28</v>
      </c>
      <c r="H797" s="1">
        <v>895</v>
      </c>
      <c r="I797" s="1">
        <f t="shared" si="100"/>
        <v>53</v>
      </c>
      <c r="J797" s="1">
        <f>VLOOKUP(B797,Cena!$A$2:$B$101,2)</f>
        <v>94</v>
      </c>
      <c r="K797" s="1">
        <f t="shared" si="96"/>
        <v>4982</v>
      </c>
      <c r="L797" s="1">
        <f t="shared" si="101"/>
        <v>1145.8600000000001</v>
      </c>
      <c r="M797" s="22">
        <f t="shared" si="97"/>
        <v>6127.8600000000006</v>
      </c>
      <c r="N797" s="1">
        <f t="shared" ca="1" si="102"/>
        <v>4</v>
      </c>
      <c r="P797" s="1">
        <v>53.99486452806741</v>
      </c>
      <c r="Q797" s="1">
        <f t="shared" ca="1" si="103"/>
        <v>4</v>
      </c>
      <c r="R797" s="1">
        <v>10.238557618104096</v>
      </c>
    </row>
    <row r="798" spans="1:18" x14ac:dyDescent="0.3">
      <c r="A798" s="26">
        <v>797</v>
      </c>
      <c r="B798" s="1">
        <v>1</v>
      </c>
      <c r="C798" s="1">
        <f t="shared" si="99"/>
        <v>8</v>
      </c>
      <c r="D798" s="21">
        <f t="shared" ca="1" si="98"/>
        <v>44887</v>
      </c>
      <c r="E798" s="1" t="s">
        <v>26</v>
      </c>
      <c r="F798" s="1" t="s">
        <v>826</v>
      </c>
      <c r="G798" s="1" t="s">
        <v>28</v>
      </c>
      <c r="H798" s="1">
        <v>896</v>
      </c>
      <c r="I798" s="1">
        <f t="shared" si="100"/>
        <v>55</v>
      </c>
      <c r="J798" s="1">
        <f>VLOOKUP(B798,Cena!$A$2:$B$101,2)</f>
        <v>84</v>
      </c>
      <c r="K798" s="1">
        <f t="shared" si="96"/>
        <v>4620</v>
      </c>
      <c r="L798" s="1">
        <f t="shared" si="101"/>
        <v>1062.6000000000001</v>
      </c>
      <c r="M798" s="22">
        <f t="shared" si="97"/>
        <v>5682.6</v>
      </c>
      <c r="N798" s="1">
        <f t="shared" ca="1" si="102"/>
        <v>11</v>
      </c>
      <c r="P798" s="1">
        <v>55.508400136022829</v>
      </c>
      <c r="Q798" s="1">
        <f t="shared" ca="1" si="103"/>
        <v>16</v>
      </c>
      <c r="R798" s="1">
        <v>8.2009342147648567</v>
      </c>
    </row>
    <row r="799" spans="1:18" x14ac:dyDescent="0.3">
      <c r="A799" s="26">
        <v>798</v>
      </c>
      <c r="B799" s="1">
        <v>3</v>
      </c>
      <c r="C799" s="1">
        <f t="shared" si="99"/>
        <v>8</v>
      </c>
      <c r="D799" s="21">
        <f t="shared" ca="1" si="98"/>
        <v>44757</v>
      </c>
      <c r="E799" s="1" t="s">
        <v>26</v>
      </c>
      <c r="F799" s="1" t="s">
        <v>827</v>
      </c>
      <c r="G799" s="1" t="s">
        <v>28</v>
      </c>
      <c r="H799" s="1">
        <v>897</v>
      </c>
      <c r="I799" s="1">
        <f t="shared" si="100"/>
        <v>47</v>
      </c>
      <c r="J799" s="1">
        <f>VLOOKUP(B799,Cena!$A$2:$B$101,2)</f>
        <v>89</v>
      </c>
      <c r="K799" s="1">
        <f t="shared" ref="K799:K862" si="104">I799*J799</f>
        <v>4183</v>
      </c>
      <c r="L799" s="1">
        <f t="shared" si="101"/>
        <v>962.09</v>
      </c>
      <c r="M799" s="22">
        <f t="shared" ref="M799:M862" si="105">K799+L799</f>
        <v>5145.09</v>
      </c>
      <c r="N799" s="1">
        <f t="shared" ca="1" si="102"/>
        <v>7</v>
      </c>
      <c r="P799" s="1">
        <v>47.826125763822347</v>
      </c>
      <c r="Q799" s="1">
        <f t="shared" ca="1" si="103"/>
        <v>21</v>
      </c>
      <c r="R799" s="1">
        <v>8.927307842677692</v>
      </c>
    </row>
    <row r="800" spans="1:18" x14ac:dyDescent="0.3">
      <c r="A800" s="26">
        <v>799</v>
      </c>
      <c r="B800" s="1">
        <v>3</v>
      </c>
      <c r="C800" s="1">
        <f t="shared" si="99"/>
        <v>13</v>
      </c>
      <c r="D800" s="21">
        <f t="shared" ca="1" si="98"/>
        <v>44825</v>
      </c>
      <c r="E800" s="1" t="s">
        <v>26</v>
      </c>
      <c r="F800" s="1" t="s">
        <v>828</v>
      </c>
      <c r="G800" s="1" t="s">
        <v>28</v>
      </c>
      <c r="H800" s="1">
        <v>898</v>
      </c>
      <c r="I800" s="1">
        <f t="shared" si="100"/>
        <v>42</v>
      </c>
      <c r="J800" s="1">
        <f>VLOOKUP(B800,Cena!$A$2:$B$101,2)</f>
        <v>89</v>
      </c>
      <c r="K800" s="1">
        <f t="shared" si="104"/>
        <v>3738</v>
      </c>
      <c r="L800" s="1">
        <f t="shared" si="101"/>
        <v>859.74</v>
      </c>
      <c r="M800" s="22">
        <f t="shared" si="105"/>
        <v>4597.74</v>
      </c>
      <c r="N800" s="1">
        <f t="shared" ca="1" si="102"/>
        <v>9</v>
      </c>
      <c r="P800" s="1">
        <v>42.827497408143245</v>
      </c>
      <c r="Q800" s="1">
        <f t="shared" ca="1" si="103"/>
        <v>1</v>
      </c>
      <c r="R800" s="1">
        <v>13.199841103196377</v>
      </c>
    </row>
    <row r="801" spans="1:18" x14ac:dyDescent="0.3">
      <c r="A801" s="26">
        <v>800</v>
      </c>
      <c r="B801" s="1">
        <v>13</v>
      </c>
      <c r="C801" s="1">
        <f t="shared" si="99"/>
        <v>12</v>
      </c>
      <c r="D801" s="21">
        <f t="shared" ca="1" si="98"/>
        <v>44576</v>
      </c>
      <c r="E801" s="1" t="s">
        <v>26</v>
      </c>
      <c r="F801" s="1" t="s">
        <v>829</v>
      </c>
      <c r="G801" s="1" t="s">
        <v>28</v>
      </c>
      <c r="H801" s="1">
        <v>899</v>
      </c>
      <c r="I801" s="1">
        <f t="shared" si="100"/>
        <v>60</v>
      </c>
      <c r="J801" s="1">
        <f>VLOOKUP(B801,Cena!$A$2:$B$101,2)</f>
        <v>94</v>
      </c>
      <c r="K801" s="1">
        <f t="shared" si="104"/>
        <v>5640</v>
      </c>
      <c r="L801" s="1">
        <f t="shared" si="101"/>
        <v>1297.2</v>
      </c>
      <c r="M801" s="22">
        <f t="shared" si="105"/>
        <v>6937.2</v>
      </c>
      <c r="N801" s="1">
        <f t="shared" ca="1" si="102"/>
        <v>1</v>
      </c>
      <c r="P801" s="1">
        <v>60.253779691993259</v>
      </c>
      <c r="Q801" s="1">
        <f t="shared" ca="1" si="103"/>
        <v>10</v>
      </c>
      <c r="R801" s="1">
        <v>12.26526708502206</v>
      </c>
    </row>
    <row r="802" spans="1:18" x14ac:dyDescent="0.3">
      <c r="A802" s="26">
        <v>801</v>
      </c>
      <c r="B802" s="1">
        <v>10</v>
      </c>
      <c r="C802" s="1">
        <f t="shared" si="99"/>
        <v>7</v>
      </c>
      <c r="D802" s="21">
        <f t="shared" ca="1" si="98"/>
        <v>44810</v>
      </c>
      <c r="E802" s="1" t="s">
        <v>26</v>
      </c>
      <c r="F802" s="1" t="s">
        <v>830</v>
      </c>
      <c r="G802" s="1" t="s">
        <v>28</v>
      </c>
      <c r="H802" s="1">
        <v>900</v>
      </c>
      <c r="I802" s="1">
        <f t="shared" si="100"/>
        <v>52</v>
      </c>
      <c r="J802" s="1">
        <f>VLOOKUP(B802,Cena!$A$2:$B$101,2)</f>
        <v>109</v>
      </c>
      <c r="K802" s="1">
        <f t="shared" si="104"/>
        <v>5668</v>
      </c>
      <c r="L802" s="1">
        <f t="shared" si="101"/>
        <v>1303.6400000000001</v>
      </c>
      <c r="M802" s="22">
        <f t="shared" si="105"/>
        <v>6971.64</v>
      </c>
      <c r="N802" s="1">
        <f t="shared" ca="1" si="102"/>
        <v>9</v>
      </c>
      <c r="P802" s="1">
        <v>52.751164629444247</v>
      </c>
      <c r="Q802" s="1">
        <f t="shared" ca="1" si="103"/>
        <v>13</v>
      </c>
      <c r="R802" s="1">
        <v>7.2333512232580688</v>
      </c>
    </row>
    <row r="803" spans="1:18" x14ac:dyDescent="0.3">
      <c r="A803" s="26">
        <v>802</v>
      </c>
      <c r="B803" s="1">
        <v>1</v>
      </c>
      <c r="C803" s="1">
        <f t="shared" si="99"/>
        <v>11</v>
      </c>
      <c r="D803" s="21">
        <f t="shared" ca="1" si="98"/>
        <v>44693</v>
      </c>
      <c r="E803" s="1" t="s">
        <v>26</v>
      </c>
      <c r="F803" s="1" t="s">
        <v>831</v>
      </c>
      <c r="G803" s="1" t="s">
        <v>28</v>
      </c>
      <c r="H803" s="1">
        <v>901</v>
      </c>
      <c r="I803" s="1">
        <f t="shared" si="100"/>
        <v>51</v>
      </c>
      <c r="J803" s="1">
        <f>VLOOKUP(B803,Cena!$A$2:$B$101,2)</f>
        <v>84</v>
      </c>
      <c r="K803" s="1">
        <f t="shared" si="104"/>
        <v>4284</v>
      </c>
      <c r="L803" s="1">
        <f t="shared" si="101"/>
        <v>985.32</v>
      </c>
      <c r="M803" s="22">
        <f t="shared" si="105"/>
        <v>5269.32</v>
      </c>
      <c r="N803" s="1">
        <f t="shared" ca="1" si="102"/>
        <v>5</v>
      </c>
      <c r="P803" s="1">
        <v>51.425769369234331</v>
      </c>
      <c r="Q803" s="1">
        <f t="shared" ca="1" si="103"/>
        <v>25</v>
      </c>
      <c r="R803" s="1">
        <v>11.508584546172642</v>
      </c>
    </row>
    <row r="804" spans="1:18" x14ac:dyDescent="0.3">
      <c r="A804" s="26">
        <v>803</v>
      </c>
      <c r="B804" s="1">
        <v>9</v>
      </c>
      <c r="C804" s="1">
        <f t="shared" si="99"/>
        <v>10</v>
      </c>
      <c r="D804" s="21">
        <f t="shared" ca="1" si="98"/>
        <v>44907</v>
      </c>
      <c r="E804" s="1" t="s">
        <v>26</v>
      </c>
      <c r="F804" s="1" t="s">
        <v>832</v>
      </c>
      <c r="G804" s="1" t="s">
        <v>28</v>
      </c>
      <c r="H804" s="1">
        <v>902</v>
      </c>
      <c r="I804" s="1">
        <f t="shared" si="100"/>
        <v>49</v>
      </c>
      <c r="J804" s="1">
        <f>VLOOKUP(B804,Cena!$A$2:$B$101,2)</f>
        <v>96</v>
      </c>
      <c r="K804" s="1">
        <f t="shared" si="104"/>
        <v>4704</v>
      </c>
      <c r="L804" s="1">
        <f t="shared" si="101"/>
        <v>1081.92</v>
      </c>
      <c r="M804" s="22">
        <f t="shared" si="105"/>
        <v>5785.92</v>
      </c>
      <c r="N804" s="1">
        <f t="shared" ca="1" si="102"/>
        <v>12</v>
      </c>
      <c r="P804" s="1">
        <v>49.604017375531839</v>
      </c>
      <c r="Q804" s="1">
        <f t="shared" ca="1" si="103"/>
        <v>12</v>
      </c>
      <c r="R804" s="1">
        <v>10.380612164008198</v>
      </c>
    </row>
    <row r="805" spans="1:18" x14ac:dyDescent="0.3">
      <c r="A805" s="26">
        <v>804</v>
      </c>
      <c r="B805" s="1">
        <v>8</v>
      </c>
      <c r="C805" s="1">
        <f t="shared" si="99"/>
        <v>3</v>
      </c>
      <c r="D805" s="21">
        <f t="shared" ca="1" si="98"/>
        <v>44717</v>
      </c>
      <c r="E805" s="1" t="s">
        <v>26</v>
      </c>
      <c r="F805" s="1" t="s">
        <v>833</v>
      </c>
      <c r="G805" s="1" t="s">
        <v>28</v>
      </c>
      <c r="H805" s="1">
        <v>903</v>
      </c>
      <c r="I805" s="1">
        <f t="shared" si="100"/>
        <v>49</v>
      </c>
      <c r="J805" s="1">
        <f>VLOOKUP(B805,Cena!$A$2:$B$101,2)</f>
        <v>88</v>
      </c>
      <c r="K805" s="1">
        <f t="shared" si="104"/>
        <v>4312</v>
      </c>
      <c r="L805" s="1">
        <f t="shared" si="101"/>
        <v>991.76</v>
      </c>
      <c r="M805" s="22">
        <f t="shared" si="105"/>
        <v>5303.76</v>
      </c>
      <c r="N805" s="1">
        <f t="shared" ca="1" si="102"/>
        <v>6</v>
      </c>
      <c r="P805" s="1">
        <v>49.635406311426777</v>
      </c>
      <c r="Q805" s="1">
        <f t="shared" ca="1" si="103"/>
        <v>7</v>
      </c>
      <c r="R805" s="1">
        <v>3.6709173198323697</v>
      </c>
    </row>
    <row r="806" spans="1:18" x14ac:dyDescent="0.3">
      <c r="A806" s="26">
        <v>805</v>
      </c>
      <c r="B806" s="1">
        <v>12</v>
      </c>
      <c r="C806" s="1">
        <f t="shared" si="99"/>
        <v>15</v>
      </c>
      <c r="D806" s="21">
        <f t="shared" ca="1" si="98"/>
        <v>44597</v>
      </c>
      <c r="E806" s="1" t="s">
        <v>26</v>
      </c>
      <c r="F806" s="1" t="s">
        <v>834</v>
      </c>
      <c r="G806" s="1" t="s">
        <v>28</v>
      </c>
      <c r="H806" s="1">
        <v>904</v>
      </c>
      <c r="I806" s="1">
        <f t="shared" si="100"/>
        <v>45</v>
      </c>
      <c r="J806" s="1">
        <f>VLOOKUP(B806,Cena!$A$2:$B$101,2)</f>
        <v>88</v>
      </c>
      <c r="K806" s="1">
        <f t="shared" si="104"/>
        <v>3960</v>
      </c>
      <c r="L806" s="1">
        <f t="shared" si="101"/>
        <v>910.80000000000007</v>
      </c>
      <c r="M806" s="22">
        <f t="shared" si="105"/>
        <v>4870.8</v>
      </c>
      <c r="N806" s="1">
        <f t="shared" ca="1" si="102"/>
        <v>2</v>
      </c>
      <c r="P806" s="1">
        <v>45.517191564431414</v>
      </c>
      <c r="Q806" s="1">
        <f t="shared" ca="1" si="103"/>
        <v>14</v>
      </c>
      <c r="R806" s="1">
        <v>15.797892299597152</v>
      </c>
    </row>
    <row r="807" spans="1:18" x14ac:dyDescent="0.3">
      <c r="A807" s="26">
        <v>806</v>
      </c>
      <c r="B807" s="1">
        <v>30</v>
      </c>
      <c r="C807" s="1">
        <f t="shared" si="99"/>
        <v>6</v>
      </c>
      <c r="D807" s="21">
        <f t="shared" ca="1" si="98"/>
        <v>44748</v>
      </c>
      <c r="E807" s="1" t="s">
        <v>26</v>
      </c>
      <c r="F807" s="1" t="s">
        <v>835</v>
      </c>
      <c r="G807" s="1" t="s">
        <v>28</v>
      </c>
      <c r="H807" s="1">
        <v>905</v>
      </c>
      <c r="I807" s="1">
        <f t="shared" si="100"/>
        <v>40</v>
      </c>
      <c r="J807" s="1">
        <f>VLOOKUP(B807,Cena!$A$2:$B$101,2)</f>
        <v>87</v>
      </c>
      <c r="K807" s="1">
        <f t="shared" si="104"/>
        <v>3480</v>
      </c>
      <c r="L807" s="1">
        <f t="shared" si="101"/>
        <v>800.40000000000009</v>
      </c>
      <c r="M807" s="22">
        <f t="shared" si="105"/>
        <v>4280.3999999999996</v>
      </c>
      <c r="N807" s="1">
        <f t="shared" ca="1" si="102"/>
        <v>7</v>
      </c>
      <c r="P807" s="1">
        <v>40.702281138510443</v>
      </c>
      <c r="Q807" s="1">
        <f t="shared" ca="1" si="103"/>
        <v>24</v>
      </c>
      <c r="R807" s="1">
        <v>6.8713098041916965</v>
      </c>
    </row>
    <row r="808" spans="1:18" x14ac:dyDescent="0.3">
      <c r="A808" s="26">
        <v>807</v>
      </c>
      <c r="B808" s="1">
        <v>8</v>
      </c>
      <c r="C808" s="1">
        <f t="shared" si="99"/>
        <v>14</v>
      </c>
      <c r="D808" s="21">
        <f t="shared" ca="1" si="98"/>
        <v>44808</v>
      </c>
      <c r="E808" s="1" t="s">
        <v>26</v>
      </c>
      <c r="F808" s="1" t="s">
        <v>836</v>
      </c>
      <c r="G808" s="1" t="s">
        <v>28</v>
      </c>
      <c r="H808" s="1">
        <v>906</v>
      </c>
      <c r="I808" s="1">
        <f t="shared" si="100"/>
        <v>44</v>
      </c>
      <c r="J808" s="1">
        <f>VLOOKUP(B808,Cena!$A$2:$B$101,2)</f>
        <v>88</v>
      </c>
      <c r="K808" s="1">
        <f t="shared" si="104"/>
        <v>3872</v>
      </c>
      <c r="L808" s="1">
        <f t="shared" si="101"/>
        <v>890.56000000000006</v>
      </c>
      <c r="M808" s="22">
        <f t="shared" si="105"/>
        <v>4762.5600000000004</v>
      </c>
      <c r="N808" s="1">
        <f t="shared" ca="1" si="102"/>
        <v>9</v>
      </c>
      <c r="P808" s="1">
        <v>44.110953593917657</v>
      </c>
      <c r="Q808" s="1">
        <f t="shared" ca="1" si="103"/>
        <v>23</v>
      </c>
      <c r="R808" s="1">
        <v>14.86918452224927</v>
      </c>
    </row>
    <row r="809" spans="1:18" x14ac:dyDescent="0.3">
      <c r="A809" s="26">
        <v>808</v>
      </c>
      <c r="B809" s="1">
        <v>8</v>
      </c>
      <c r="C809" s="1">
        <f t="shared" si="99"/>
        <v>14</v>
      </c>
      <c r="D809" s="21">
        <f t="shared" ca="1" si="98"/>
        <v>44585</v>
      </c>
      <c r="E809" s="1" t="s">
        <v>26</v>
      </c>
      <c r="F809" s="1" t="s">
        <v>837</v>
      </c>
      <c r="G809" s="1" t="s">
        <v>28</v>
      </c>
      <c r="H809" s="1">
        <v>907</v>
      </c>
      <c r="I809" s="1">
        <f t="shared" si="100"/>
        <v>41</v>
      </c>
      <c r="J809" s="1">
        <f>VLOOKUP(B809,Cena!$A$2:$B$101,2)</f>
        <v>88</v>
      </c>
      <c r="K809" s="1">
        <f t="shared" si="104"/>
        <v>3608</v>
      </c>
      <c r="L809" s="1">
        <f t="shared" si="101"/>
        <v>829.84</v>
      </c>
      <c r="M809" s="22">
        <f t="shared" si="105"/>
        <v>4437.84</v>
      </c>
      <c r="N809" s="1">
        <f t="shared" ca="1" si="102"/>
        <v>1</v>
      </c>
      <c r="P809" s="1">
        <v>41.975892044138163</v>
      </c>
      <c r="Q809" s="1">
        <f t="shared" ca="1" si="103"/>
        <v>6</v>
      </c>
      <c r="R809" s="1">
        <v>14.446280854608631</v>
      </c>
    </row>
    <row r="810" spans="1:18" x14ac:dyDescent="0.3">
      <c r="A810" s="26">
        <v>809</v>
      </c>
      <c r="B810" s="1">
        <v>9</v>
      </c>
      <c r="C810" s="1">
        <f t="shared" si="99"/>
        <v>15</v>
      </c>
      <c r="D810" s="21">
        <f t="shared" ca="1" si="98"/>
        <v>44756</v>
      </c>
      <c r="E810" s="1" t="s">
        <v>26</v>
      </c>
      <c r="F810" s="1" t="s">
        <v>838</v>
      </c>
      <c r="G810" s="1" t="s">
        <v>28</v>
      </c>
      <c r="H810" s="1">
        <v>908</v>
      </c>
      <c r="I810" s="1">
        <f t="shared" si="100"/>
        <v>53</v>
      </c>
      <c r="J810" s="1">
        <f>VLOOKUP(B810,Cena!$A$2:$B$101,2)</f>
        <v>96</v>
      </c>
      <c r="K810" s="1">
        <f t="shared" si="104"/>
        <v>5088</v>
      </c>
      <c r="L810" s="1">
        <f t="shared" si="101"/>
        <v>1170.24</v>
      </c>
      <c r="M810" s="22">
        <f t="shared" si="105"/>
        <v>6258.24</v>
      </c>
      <c r="N810" s="1">
        <f t="shared" ca="1" si="102"/>
        <v>7</v>
      </c>
      <c r="P810" s="1">
        <v>53.467471287876833</v>
      </c>
      <c r="Q810" s="1">
        <f t="shared" ca="1" si="103"/>
        <v>4</v>
      </c>
      <c r="R810" s="1">
        <v>15.724450602428988</v>
      </c>
    </row>
    <row r="811" spans="1:18" x14ac:dyDescent="0.3">
      <c r="A811" s="26">
        <v>810</v>
      </c>
      <c r="B811" s="1">
        <v>6</v>
      </c>
      <c r="C811" s="1">
        <f t="shared" si="99"/>
        <v>6</v>
      </c>
      <c r="D811" s="21">
        <f t="shared" ca="1" si="98"/>
        <v>44764</v>
      </c>
      <c r="E811" s="1" t="s">
        <v>26</v>
      </c>
      <c r="F811" s="1" t="s">
        <v>839</v>
      </c>
      <c r="G811" s="1" t="s">
        <v>28</v>
      </c>
      <c r="H811" s="1">
        <v>909</v>
      </c>
      <c r="I811" s="1">
        <f t="shared" si="100"/>
        <v>46</v>
      </c>
      <c r="J811" s="1">
        <f>VLOOKUP(B811,Cena!$A$2:$B$101,2)</f>
        <v>86</v>
      </c>
      <c r="K811" s="1">
        <f t="shared" si="104"/>
        <v>3956</v>
      </c>
      <c r="L811" s="1">
        <f t="shared" si="101"/>
        <v>909.88</v>
      </c>
      <c r="M811" s="22">
        <f t="shared" si="105"/>
        <v>4865.88</v>
      </c>
      <c r="N811" s="1">
        <f t="shared" ca="1" si="102"/>
        <v>7</v>
      </c>
      <c r="P811" s="1">
        <v>46.764768184220884</v>
      </c>
      <c r="Q811" s="1">
        <f t="shared" ca="1" si="103"/>
        <v>12</v>
      </c>
      <c r="R811" s="1">
        <v>6.9581324421596946</v>
      </c>
    </row>
    <row r="812" spans="1:18" x14ac:dyDescent="0.3">
      <c r="A812" s="26">
        <v>811</v>
      </c>
      <c r="B812" s="1">
        <v>8</v>
      </c>
      <c r="C812" s="1">
        <f t="shared" si="99"/>
        <v>6</v>
      </c>
      <c r="D812" s="21">
        <f t="shared" ca="1" si="98"/>
        <v>44580</v>
      </c>
      <c r="E812" s="1" t="s">
        <v>26</v>
      </c>
      <c r="F812" s="1" t="s">
        <v>840</v>
      </c>
      <c r="G812" s="1" t="s">
        <v>28</v>
      </c>
      <c r="H812" s="1">
        <v>910</v>
      </c>
      <c r="I812" s="1">
        <f t="shared" si="100"/>
        <v>51</v>
      </c>
      <c r="J812" s="1">
        <f>VLOOKUP(B812,Cena!$A$2:$B$101,2)</f>
        <v>88</v>
      </c>
      <c r="K812" s="1">
        <f t="shared" si="104"/>
        <v>4488</v>
      </c>
      <c r="L812" s="1">
        <f t="shared" si="101"/>
        <v>1032.24</v>
      </c>
      <c r="M812" s="22">
        <f t="shared" si="105"/>
        <v>5520.24</v>
      </c>
      <c r="N812" s="1">
        <f t="shared" ca="1" si="102"/>
        <v>1</v>
      </c>
      <c r="P812" s="1">
        <v>51.987041287065949</v>
      </c>
      <c r="Q812" s="1">
        <f t="shared" ca="1" si="103"/>
        <v>16</v>
      </c>
      <c r="R812" s="1">
        <v>6.9160057844419498</v>
      </c>
    </row>
    <row r="813" spans="1:18" x14ac:dyDescent="0.3">
      <c r="A813" s="26">
        <v>812</v>
      </c>
      <c r="B813" s="1">
        <v>4</v>
      </c>
      <c r="C813" s="1">
        <f t="shared" si="99"/>
        <v>10</v>
      </c>
      <c r="D813" s="21">
        <f t="shared" ca="1" si="98"/>
        <v>44782</v>
      </c>
      <c r="E813" s="1" t="s">
        <v>26</v>
      </c>
      <c r="F813" s="1" t="s">
        <v>841</v>
      </c>
      <c r="G813" s="1" t="s">
        <v>28</v>
      </c>
      <c r="H813" s="1">
        <v>911</v>
      </c>
      <c r="I813" s="1">
        <f t="shared" si="100"/>
        <v>60</v>
      </c>
      <c r="J813" s="1">
        <f>VLOOKUP(B813,Cena!$A$2:$B$101,2)</f>
        <v>99</v>
      </c>
      <c r="K813" s="1">
        <f t="shared" si="104"/>
        <v>5940</v>
      </c>
      <c r="L813" s="1">
        <f t="shared" si="101"/>
        <v>1366.2</v>
      </c>
      <c r="M813" s="22">
        <f t="shared" si="105"/>
        <v>7306.2</v>
      </c>
      <c r="N813" s="1">
        <f t="shared" ca="1" si="102"/>
        <v>8</v>
      </c>
      <c r="P813" s="1">
        <v>60.590883903205395</v>
      </c>
      <c r="Q813" s="1">
        <f t="shared" ca="1" si="103"/>
        <v>3</v>
      </c>
      <c r="R813" s="1">
        <v>10.628787688583543</v>
      </c>
    </row>
    <row r="814" spans="1:18" x14ac:dyDescent="0.3">
      <c r="A814" s="26">
        <v>813</v>
      </c>
      <c r="B814" s="1">
        <v>12</v>
      </c>
      <c r="C814" s="1">
        <f t="shared" si="99"/>
        <v>9</v>
      </c>
      <c r="D814" s="21">
        <f t="shared" ca="1" si="98"/>
        <v>44806</v>
      </c>
      <c r="E814" s="1" t="s">
        <v>26</v>
      </c>
      <c r="F814" s="1" t="s">
        <v>842</v>
      </c>
      <c r="G814" s="1" t="s">
        <v>28</v>
      </c>
      <c r="H814" s="1">
        <v>912</v>
      </c>
      <c r="I814" s="1">
        <f t="shared" si="100"/>
        <v>47</v>
      </c>
      <c r="J814" s="1">
        <f>VLOOKUP(B814,Cena!$A$2:$B$101,2)</f>
        <v>88</v>
      </c>
      <c r="K814" s="1">
        <f t="shared" si="104"/>
        <v>4136</v>
      </c>
      <c r="L814" s="1">
        <f t="shared" si="101"/>
        <v>951.28000000000009</v>
      </c>
      <c r="M814" s="22">
        <f t="shared" si="105"/>
        <v>5087.28</v>
      </c>
      <c r="N814" s="1">
        <f t="shared" ca="1" si="102"/>
        <v>9</v>
      </c>
      <c r="P814" s="1">
        <v>47.519580574589781</v>
      </c>
      <c r="Q814" s="1">
        <f t="shared" ca="1" si="103"/>
        <v>6</v>
      </c>
      <c r="R814" s="1">
        <v>9.6952624314872082</v>
      </c>
    </row>
    <row r="815" spans="1:18" x14ac:dyDescent="0.3">
      <c r="A815" s="26">
        <v>814</v>
      </c>
      <c r="B815" s="1">
        <v>26</v>
      </c>
      <c r="C815" s="1">
        <f t="shared" si="99"/>
        <v>7</v>
      </c>
      <c r="D815" s="21">
        <f t="shared" ca="1" si="98"/>
        <v>44670</v>
      </c>
      <c r="E815" s="1" t="s">
        <v>26</v>
      </c>
      <c r="F815" s="1" t="s">
        <v>843</v>
      </c>
      <c r="G815" s="1" t="s">
        <v>28</v>
      </c>
      <c r="H815" s="1">
        <v>913</v>
      </c>
      <c r="I815" s="1">
        <f t="shared" si="100"/>
        <v>68</v>
      </c>
      <c r="J815" s="1">
        <f>VLOOKUP(B815,Cena!$A$2:$B$101,2)</f>
        <v>99</v>
      </c>
      <c r="K815" s="1">
        <f t="shared" si="104"/>
        <v>6732</v>
      </c>
      <c r="L815" s="1">
        <f t="shared" si="101"/>
        <v>1548.3600000000001</v>
      </c>
      <c r="M815" s="22">
        <f t="shared" si="105"/>
        <v>8280.36</v>
      </c>
      <c r="N815" s="1">
        <f t="shared" ca="1" si="102"/>
        <v>4</v>
      </c>
      <c r="P815" s="1">
        <v>68.043965610559098</v>
      </c>
      <c r="Q815" s="1">
        <f t="shared" ca="1" si="103"/>
        <v>13</v>
      </c>
      <c r="R815" s="1">
        <v>7.0833925999613712</v>
      </c>
    </row>
    <row r="816" spans="1:18" x14ac:dyDescent="0.3">
      <c r="A816" s="26">
        <v>815</v>
      </c>
      <c r="B816" s="1">
        <v>18</v>
      </c>
      <c r="C816" s="1">
        <f t="shared" si="99"/>
        <v>8</v>
      </c>
      <c r="D816" s="21">
        <f t="shared" ca="1" si="98"/>
        <v>44695</v>
      </c>
      <c r="E816" s="1" t="s">
        <v>26</v>
      </c>
      <c r="F816" s="1" t="s">
        <v>844</v>
      </c>
      <c r="G816" s="1" t="s">
        <v>28</v>
      </c>
      <c r="H816" s="1">
        <v>914</v>
      </c>
      <c r="I816" s="1">
        <f t="shared" si="100"/>
        <v>40</v>
      </c>
      <c r="J816" s="1">
        <f>VLOOKUP(B816,Cena!$A$2:$B$101,2)</f>
        <v>90</v>
      </c>
      <c r="K816" s="1">
        <f t="shared" si="104"/>
        <v>3600</v>
      </c>
      <c r="L816" s="1">
        <f t="shared" si="101"/>
        <v>828</v>
      </c>
      <c r="M816" s="22">
        <f t="shared" si="105"/>
        <v>4428</v>
      </c>
      <c r="N816" s="1">
        <f t="shared" ca="1" si="102"/>
        <v>5</v>
      </c>
      <c r="P816" s="1">
        <v>40.619448908546474</v>
      </c>
      <c r="Q816" s="1">
        <f t="shared" ca="1" si="103"/>
        <v>2</v>
      </c>
      <c r="R816" s="1">
        <v>8.9304512837406946</v>
      </c>
    </row>
    <row r="817" spans="1:18" x14ac:dyDescent="0.3">
      <c r="A817" s="26">
        <v>816</v>
      </c>
      <c r="B817" s="1">
        <v>9</v>
      </c>
      <c r="C817" s="1">
        <f t="shared" si="99"/>
        <v>12</v>
      </c>
      <c r="D817" s="21">
        <f t="shared" ca="1" si="98"/>
        <v>44908</v>
      </c>
      <c r="E817" s="1" t="s">
        <v>26</v>
      </c>
      <c r="F817" s="1" t="s">
        <v>845</v>
      </c>
      <c r="G817" s="1" t="s">
        <v>28</v>
      </c>
      <c r="H817" s="1">
        <v>915</v>
      </c>
      <c r="I817" s="1">
        <f t="shared" si="100"/>
        <v>59</v>
      </c>
      <c r="J817" s="1">
        <f>VLOOKUP(B817,Cena!$A$2:$B$101,2)</f>
        <v>96</v>
      </c>
      <c r="K817" s="1">
        <f t="shared" si="104"/>
        <v>5664</v>
      </c>
      <c r="L817" s="1">
        <f t="shared" si="101"/>
        <v>1302.72</v>
      </c>
      <c r="M817" s="22">
        <f t="shared" si="105"/>
        <v>6966.72</v>
      </c>
      <c r="N817" s="1">
        <f t="shared" ca="1" si="102"/>
        <v>12</v>
      </c>
      <c r="P817" s="1">
        <v>59.894188224279787</v>
      </c>
      <c r="Q817" s="1">
        <f t="shared" ca="1" si="103"/>
        <v>13</v>
      </c>
      <c r="R817" s="1">
        <v>12.241154106741305</v>
      </c>
    </row>
    <row r="818" spans="1:18" x14ac:dyDescent="0.3">
      <c r="A818" s="26">
        <v>817</v>
      </c>
      <c r="B818" s="1">
        <v>15</v>
      </c>
      <c r="C818" s="1">
        <f t="shared" si="99"/>
        <v>7</v>
      </c>
      <c r="D818" s="21">
        <f t="shared" ca="1" si="98"/>
        <v>44706</v>
      </c>
      <c r="E818" s="1" t="s">
        <v>26</v>
      </c>
      <c r="F818" s="1" t="s">
        <v>846</v>
      </c>
      <c r="G818" s="1" t="s">
        <v>28</v>
      </c>
      <c r="H818" s="1">
        <v>916</v>
      </c>
      <c r="I818" s="1">
        <f t="shared" si="100"/>
        <v>50</v>
      </c>
      <c r="J818" s="1">
        <f>VLOOKUP(B818,Cena!$A$2:$B$101,2)</f>
        <v>85</v>
      </c>
      <c r="K818" s="1">
        <f t="shared" si="104"/>
        <v>4250</v>
      </c>
      <c r="L818" s="1">
        <f t="shared" si="101"/>
        <v>977.5</v>
      </c>
      <c r="M818" s="22">
        <f t="shared" si="105"/>
        <v>5227.5</v>
      </c>
      <c r="N818" s="1">
        <f t="shared" ca="1" si="102"/>
        <v>5</v>
      </c>
      <c r="P818" s="1">
        <v>50.293414359475719</v>
      </c>
      <c r="Q818" s="1">
        <f t="shared" ca="1" si="103"/>
        <v>21</v>
      </c>
      <c r="R818" s="1">
        <v>7.422605702013243</v>
      </c>
    </row>
    <row r="819" spans="1:18" x14ac:dyDescent="0.3">
      <c r="A819" s="26">
        <v>818</v>
      </c>
      <c r="B819" s="1">
        <v>3</v>
      </c>
      <c r="C819" s="1">
        <f t="shared" si="99"/>
        <v>13</v>
      </c>
      <c r="D819" s="21">
        <f t="shared" ca="1" si="98"/>
        <v>44584</v>
      </c>
      <c r="E819" s="1" t="s">
        <v>26</v>
      </c>
      <c r="F819" s="1" t="s">
        <v>847</v>
      </c>
      <c r="G819" s="1" t="s">
        <v>28</v>
      </c>
      <c r="H819" s="1">
        <v>917</v>
      </c>
      <c r="I819" s="1">
        <f t="shared" si="100"/>
        <v>46</v>
      </c>
      <c r="J819" s="1">
        <f>VLOOKUP(B819,Cena!$A$2:$B$101,2)</f>
        <v>89</v>
      </c>
      <c r="K819" s="1">
        <f t="shared" si="104"/>
        <v>4094</v>
      </c>
      <c r="L819" s="1">
        <f t="shared" si="101"/>
        <v>941.62</v>
      </c>
      <c r="M819" s="22">
        <f t="shared" si="105"/>
        <v>5035.62</v>
      </c>
      <c r="N819" s="1">
        <f t="shared" ca="1" si="102"/>
        <v>1</v>
      </c>
      <c r="P819" s="1">
        <v>46.069686858390924</v>
      </c>
      <c r="Q819" s="1">
        <f t="shared" ca="1" si="103"/>
        <v>19</v>
      </c>
      <c r="R819" s="1">
        <v>13.280456439824775</v>
      </c>
    </row>
    <row r="820" spans="1:18" x14ac:dyDescent="0.3">
      <c r="A820" s="26">
        <v>819</v>
      </c>
      <c r="B820" s="1">
        <v>27</v>
      </c>
      <c r="C820" s="1">
        <f t="shared" si="99"/>
        <v>10</v>
      </c>
      <c r="D820" s="21">
        <f t="shared" ca="1" si="98"/>
        <v>44798</v>
      </c>
      <c r="E820" s="1" t="s">
        <v>26</v>
      </c>
      <c r="F820" s="1" t="s">
        <v>848</v>
      </c>
      <c r="G820" s="1" t="s">
        <v>28</v>
      </c>
      <c r="H820" s="1">
        <v>918</v>
      </c>
      <c r="I820" s="1">
        <f t="shared" si="100"/>
        <v>42</v>
      </c>
      <c r="J820" s="1">
        <f>VLOOKUP(B820,Cena!$A$2:$B$101,2)</f>
        <v>87</v>
      </c>
      <c r="K820" s="1">
        <f t="shared" si="104"/>
        <v>3654</v>
      </c>
      <c r="L820" s="1">
        <f t="shared" si="101"/>
        <v>840.42000000000007</v>
      </c>
      <c r="M820" s="22">
        <f t="shared" si="105"/>
        <v>4494.42</v>
      </c>
      <c r="N820" s="1">
        <f t="shared" ca="1" si="102"/>
        <v>8</v>
      </c>
      <c r="P820" s="1">
        <v>42.036964613362215</v>
      </c>
      <c r="Q820" s="1">
        <f t="shared" ca="1" si="103"/>
        <v>6</v>
      </c>
      <c r="R820" s="1">
        <v>10.397645294469839</v>
      </c>
    </row>
    <row r="821" spans="1:18" x14ac:dyDescent="0.3">
      <c r="A821" s="26">
        <v>820</v>
      </c>
      <c r="B821" s="1">
        <v>19</v>
      </c>
      <c r="C821" s="1">
        <f t="shared" si="99"/>
        <v>11</v>
      </c>
      <c r="D821" s="21">
        <f t="shared" ca="1" si="98"/>
        <v>44667</v>
      </c>
      <c r="E821" s="1" t="s">
        <v>26</v>
      </c>
      <c r="F821" s="1" t="s">
        <v>849</v>
      </c>
      <c r="G821" s="1" t="s">
        <v>28</v>
      </c>
      <c r="H821" s="1">
        <v>919</v>
      </c>
      <c r="I821" s="1">
        <f t="shared" si="100"/>
        <v>41</v>
      </c>
      <c r="J821" s="1">
        <f>VLOOKUP(B821,Cena!$A$2:$B$101,2)</f>
        <v>84</v>
      </c>
      <c r="K821" s="1">
        <f t="shared" si="104"/>
        <v>3444</v>
      </c>
      <c r="L821" s="1">
        <f t="shared" si="101"/>
        <v>792.12</v>
      </c>
      <c r="M821" s="22">
        <f t="shared" si="105"/>
        <v>4236.12</v>
      </c>
      <c r="N821" s="1">
        <f t="shared" ca="1" si="102"/>
        <v>4</v>
      </c>
      <c r="P821" s="1">
        <v>41.372169461101294</v>
      </c>
      <c r="Q821" s="1">
        <f t="shared" ca="1" si="103"/>
        <v>29</v>
      </c>
      <c r="R821" s="1">
        <v>11.344054112450976</v>
      </c>
    </row>
    <row r="822" spans="1:18" x14ac:dyDescent="0.3">
      <c r="A822" s="26">
        <v>821</v>
      </c>
      <c r="B822" s="1">
        <v>10</v>
      </c>
      <c r="C822" s="1">
        <f t="shared" si="99"/>
        <v>12</v>
      </c>
      <c r="D822" s="21">
        <f t="shared" ca="1" si="98"/>
        <v>44880</v>
      </c>
      <c r="E822" s="1" t="s">
        <v>26</v>
      </c>
      <c r="F822" s="1" t="s">
        <v>850</v>
      </c>
      <c r="G822" s="1" t="s">
        <v>28</v>
      </c>
      <c r="H822" s="1">
        <v>920</v>
      </c>
      <c r="I822" s="1">
        <f t="shared" si="100"/>
        <v>64</v>
      </c>
      <c r="J822" s="1">
        <f>VLOOKUP(B822,Cena!$A$2:$B$101,2)</f>
        <v>109</v>
      </c>
      <c r="K822" s="1">
        <f t="shared" si="104"/>
        <v>6976</v>
      </c>
      <c r="L822" s="1">
        <f t="shared" si="101"/>
        <v>1604.48</v>
      </c>
      <c r="M822" s="22">
        <f t="shared" si="105"/>
        <v>8580.48</v>
      </c>
      <c r="N822" s="1">
        <f t="shared" ca="1" si="102"/>
        <v>11</v>
      </c>
      <c r="P822" s="1">
        <v>64.802799341850914</v>
      </c>
      <c r="Q822" s="1">
        <f t="shared" ca="1" si="103"/>
        <v>24</v>
      </c>
      <c r="R822" s="1">
        <v>12.207059424108593</v>
      </c>
    </row>
    <row r="823" spans="1:18" x14ac:dyDescent="0.3">
      <c r="A823" s="26">
        <v>822</v>
      </c>
      <c r="B823" s="1">
        <v>15</v>
      </c>
      <c r="C823" s="1">
        <f t="shared" si="99"/>
        <v>11</v>
      </c>
      <c r="D823" s="21">
        <f t="shared" ca="1" si="98"/>
        <v>44653</v>
      </c>
      <c r="E823" s="1" t="s">
        <v>26</v>
      </c>
      <c r="F823" s="1" t="s">
        <v>851</v>
      </c>
      <c r="G823" s="1" t="s">
        <v>28</v>
      </c>
      <c r="H823" s="1">
        <v>921</v>
      </c>
      <c r="I823" s="1">
        <f t="shared" si="100"/>
        <v>65</v>
      </c>
      <c r="J823" s="1">
        <f>VLOOKUP(B823,Cena!$A$2:$B$101,2)</f>
        <v>85</v>
      </c>
      <c r="K823" s="1">
        <f t="shared" si="104"/>
        <v>5525</v>
      </c>
      <c r="L823" s="1">
        <f t="shared" si="101"/>
        <v>1270.75</v>
      </c>
      <c r="M823" s="22">
        <f t="shared" si="105"/>
        <v>6795.75</v>
      </c>
      <c r="N823" s="1">
        <f t="shared" ca="1" si="102"/>
        <v>4</v>
      </c>
      <c r="P823" s="1">
        <v>65.090336091816425</v>
      </c>
      <c r="Q823" s="1">
        <f t="shared" ca="1" si="103"/>
        <v>3</v>
      </c>
      <c r="R823" s="1">
        <v>11.838185426095151</v>
      </c>
    </row>
    <row r="824" spans="1:18" x14ac:dyDescent="0.3">
      <c r="A824" s="26">
        <v>823</v>
      </c>
      <c r="B824" s="1">
        <v>14</v>
      </c>
      <c r="C824" s="1">
        <f t="shared" si="99"/>
        <v>14</v>
      </c>
      <c r="D824" s="21">
        <f t="shared" ca="1" si="98"/>
        <v>44799</v>
      </c>
      <c r="E824" s="1" t="s">
        <v>26</v>
      </c>
      <c r="F824" s="1" t="s">
        <v>852</v>
      </c>
      <c r="G824" s="1" t="s">
        <v>28</v>
      </c>
      <c r="H824" s="1">
        <v>922</v>
      </c>
      <c r="I824" s="1">
        <f t="shared" si="100"/>
        <v>30</v>
      </c>
      <c r="J824" s="1">
        <f>VLOOKUP(B824,Cena!$A$2:$B$101,2)</f>
        <v>129</v>
      </c>
      <c r="K824" s="1">
        <f t="shared" si="104"/>
        <v>3870</v>
      </c>
      <c r="L824" s="1">
        <f t="shared" si="101"/>
        <v>890.1</v>
      </c>
      <c r="M824" s="22">
        <f t="shared" si="105"/>
        <v>4760.1000000000004</v>
      </c>
      <c r="N824" s="1">
        <f t="shared" ca="1" si="102"/>
        <v>8</v>
      </c>
      <c r="P824" s="1">
        <v>30.131360644008964</v>
      </c>
      <c r="Q824" s="1">
        <f t="shared" ca="1" si="103"/>
        <v>21</v>
      </c>
      <c r="R824" s="1">
        <v>14.133255515625933</v>
      </c>
    </row>
    <row r="825" spans="1:18" x14ac:dyDescent="0.3">
      <c r="A825" s="26">
        <v>824</v>
      </c>
      <c r="B825" s="1">
        <v>3</v>
      </c>
      <c r="C825" s="1">
        <f t="shared" si="99"/>
        <v>6</v>
      </c>
      <c r="D825" s="21">
        <f t="shared" ca="1" si="98"/>
        <v>44784</v>
      </c>
      <c r="E825" s="1" t="s">
        <v>26</v>
      </c>
      <c r="F825" s="1" t="s">
        <v>853</v>
      </c>
      <c r="G825" s="1" t="s">
        <v>28</v>
      </c>
      <c r="H825" s="1">
        <v>923</v>
      </c>
      <c r="I825" s="1">
        <f t="shared" si="100"/>
        <v>56</v>
      </c>
      <c r="J825" s="1">
        <f>VLOOKUP(B825,Cena!$A$2:$B$101,2)</f>
        <v>89</v>
      </c>
      <c r="K825" s="1">
        <f t="shared" si="104"/>
        <v>4984</v>
      </c>
      <c r="L825" s="1">
        <f t="shared" si="101"/>
        <v>1146.32</v>
      </c>
      <c r="M825" s="22">
        <f t="shared" si="105"/>
        <v>6130.32</v>
      </c>
      <c r="N825" s="1">
        <f t="shared" ca="1" si="102"/>
        <v>8</v>
      </c>
      <c r="P825" s="1">
        <v>56.304537691903533</v>
      </c>
      <c r="Q825" s="1">
        <f t="shared" ca="1" si="103"/>
        <v>19</v>
      </c>
      <c r="R825" s="1">
        <v>6.4286985232320148</v>
      </c>
    </row>
    <row r="826" spans="1:18" x14ac:dyDescent="0.3">
      <c r="A826" s="26">
        <v>825</v>
      </c>
      <c r="B826" s="1">
        <v>6</v>
      </c>
      <c r="C826" s="1">
        <f t="shared" si="99"/>
        <v>11</v>
      </c>
      <c r="D826" s="21">
        <f t="shared" ca="1" si="98"/>
        <v>44763</v>
      </c>
      <c r="E826" s="1" t="s">
        <v>26</v>
      </c>
      <c r="F826" s="1" t="s">
        <v>854</v>
      </c>
      <c r="G826" s="1" t="s">
        <v>28</v>
      </c>
      <c r="H826" s="1">
        <v>924</v>
      </c>
      <c r="I826" s="1">
        <f t="shared" si="100"/>
        <v>45</v>
      </c>
      <c r="J826" s="1">
        <f>VLOOKUP(B826,Cena!$A$2:$B$101,2)</f>
        <v>86</v>
      </c>
      <c r="K826" s="1">
        <f t="shared" si="104"/>
        <v>3870</v>
      </c>
      <c r="L826" s="1">
        <f t="shared" si="101"/>
        <v>890.1</v>
      </c>
      <c r="M826" s="22">
        <f t="shared" si="105"/>
        <v>4760.1000000000004</v>
      </c>
      <c r="N826" s="1">
        <f t="shared" ca="1" si="102"/>
        <v>7</v>
      </c>
      <c r="P826" s="1">
        <v>45.249970652366756</v>
      </c>
      <c r="Q826" s="1">
        <f t="shared" ca="1" si="103"/>
        <v>12</v>
      </c>
      <c r="R826" s="1">
        <v>11.157619067271298</v>
      </c>
    </row>
    <row r="827" spans="1:18" x14ac:dyDescent="0.3">
      <c r="A827" s="26">
        <v>826</v>
      </c>
      <c r="B827" s="1">
        <v>11</v>
      </c>
      <c r="C827" s="1">
        <f t="shared" si="99"/>
        <v>9</v>
      </c>
      <c r="D827" s="21">
        <f t="shared" ca="1" si="98"/>
        <v>44830</v>
      </c>
      <c r="E827" s="1" t="s">
        <v>26</v>
      </c>
      <c r="F827" s="1" t="s">
        <v>855</v>
      </c>
      <c r="G827" s="1" t="s">
        <v>28</v>
      </c>
      <c r="H827" s="1">
        <v>925</v>
      </c>
      <c r="I827" s="1">
        <f t="shared" si="100"/>
        <v>65</v>
      </c>
      <c r="J827" s="1">
        <f>VLOOKUP(B827,Cena!$A$2:$B$101,2)</f>
        <v>83</v>
      </c>
      <c r="K827" s="1">
        <f t="shared" si="104"/>
        <v>5395</v>
      </c>
      <c r="L827" s="1">
        <f t="shared" si="101"/>
        <v>1240.8500000000001</v>
      </c>
      <c r="M827" s="22">
        <f t="shared" si="105"/>
        <v>6635.85</v>
      </c>
      <c r="N827" s="1">
        <f t="shared" ca="1" si="102"/>
        <v>9</v>
      </c>
      <c r="P827" s="1">
        <v>65.865543900872581</v>
      </c>
      <c r="Q827" s="1">
        <f t="shared" ca="1" si="103"/>
        <v>17</v>
      </c>
      <c r="R827" s="1">
        <v>9.7191395095796906</v>
      </c>
    </row>
    <row r="828" spans="1:18" x14ac:dyDescent="0.3">
      <c r="A828" s="26">
        <v>827</v>
      </c>
      <c r="B828" s="1">
        <v>3</v>
      </c>
      <c r="C828" s="1">
        <f t="shared" si="99"/>
        <v>8</v>
      </c>
      <c r="D828" s="21">
        <f t="shared" ca="1" si="98"/>
        <v>44659</v>
      </c>
      <c r="E828" s="1" t="s">
        <v>26</v>
      </c>
      <c r="F828" s="1" t="s">
        <v>856</v>
      </c>
      <c r="G828" s="1" t="s">
        <v>28</v>
      </c>
      <c r="H828" s="1">
        <v>926</v>
      </c>
      <c r="I828" s="1">
        <f t="shared" si="100"/>
        <v>61</v>
      </c>
      <c r="J828" s="1">
        <f>VLOOKUP(B828,Cena!$A$2:$B$101,2)</f>
        <v>89</v>
      </c>
      <c r="K828" s="1">
        <f t="shared" si="104"/>
        <v>5429</v>
      </c>
      <c r="L828" s="1">
        <f t="shared" si="101"/>
        <v>1248.67</v>
      </c>
      <c r="M828" s="22">
        <f t="shared" si="105"/>
        <v>6677.67</v>
      </c>
      <c r="N828" s="1">
        <f t="shared" ca="1" si="102"/>
        <v>4</v>
      </c>
      <c r="P828" s="1">
        <v>61.305428415653296</v>
      </c>
      <c r="Q828" s="1">
        <f t="shared" ca="1" si="103"/>
        <v>21</v>
      </c>
      <c r="R828" s="1">
        <v>8.8347099133534357</v>
      </c>
    </row>
    <row r="829" spans="1:18" x14ac:dyDescent="0.3">
      <c r="A829" s="26">
        <v>828</v>
      </c>
      <c r="B829" s="1">
        <v>30</v>
      </c>
      <c r="C829" s="1">
        <f t="shared" si="99"/>
        <v>12</v>
      </c>
      <c r="D829" s="21">
        <f t="shared" ca="1" si="98"/>
        <v>44653</v>
      </c>
      <c r="E829" s="1" t="s">
        <v>26</v>
      </c>
      <c r="F829" s="1" t="s">
        <v>857</v>
      </c>
      <c r="G829" s="1" t="s">
        <v>28</v>
      </c>
      <c r="H829" s="1">
        <v>927</v>
      </c>
      <c r="I829" s="1">
        <f t="shared" si="100"/>
        <v>47</v>
      </c>
      <c r="J829" s="1">
        <f>VLOOKUP(B829,Cena!$A$2:$B$101,2)</f>
        <v>87</v>
      </c>
      <c r="K829" s="1">
        <f t="shared" si="104"/>
        <v>4089</v>
      </c>
      <c r="L829" s="1">
        <f t="shared" si="101"/>
        <v>940.47</v>
      </c>
      <c r="M829" s="22">
        <f t="shared" si="105"/>
        <v>5029.47</v>
      </c>
      <c r="N829" s="1">
        <f t="shared" ca="1" si="102"/>
        <v>4</v>
      </c>
      <c r="P829" s="1">
        <v>47.801046447420958</v>
      </c>
      <c r="Q829" s="1">
        <f t="shared" ca="1" si="103"/>
        <v>13</v>
      </c>
      <c r="R829" s="1">
        <v>12.172538415834424</v>
      </c>
    </row>
    <row r="830" spans="1:18" x14ac:dyDescent="0.3">
      <c r="A830" s="26">
        <v>829</v>
      </c>
      <c r="B830" s="1">
        <v>15</v>
      </c>
      <c r="C830" s="1">
        <f t="shared" si="99"/>
        <v>10</v>
      </c>
      <c r="D830" s="21">
        <f t="shared" ca="1" si="98"/>
        <v>44600</v>
      </c>
      <c r="E830" s="1" t="s">
        <v>26</v>
      </c>
      <c r="F830" s="1" t="s">
        <v>858</v>
      </c>
      <c r="G830" s="1" t="s">
        <v>28</v>
      </c>
      <c r="H830" s="1">
        <v>928</v>
      </c>
      <c r="I830" s="1">
        <f t="shared" si="100"/>
        <v>36</v>
      </c>
      <c r="J830" s="1">
        <f>VLOOKUP(B830,Cena!$A$2:$B$101,2)</f>
        <v>85</v>
      </c>
      <c r="K830" s="1">
        <f t="shared" si="104"/>
        <v>3060</v>
      </c>
      <c r="L830" s="1">
        <f t="shared" si="101"/>
        <v>703.80000000000007</v>
      </c>
      <c r="M830" s="22">
        <f t="shared" si="105"/>
        <v>3763.8</v>
      </c>
      <c r="N830" s="1">
        <f t="shared" ca="1" si="102"/>
        <v>2</v>
      </c>
      <c r="P830" s="1">
        <v>36.622401593194809</v>
      </c>
      <c r="Q830" s="1">
        <f t="shared" ca="1" si="103"/>
        <v>15</v>
      </c>
      <c r="R830" s="1">
        <v>10.530161514689098</v>
      </c>
    </row>
    <row r="831" spans="1:18" x14ac:dyDescent="0.3">
      <c r="A831" s="26">
        <v>830</v>
      </c>
      <c r="B831" s="1">
        <v>3</v>
      </c>
      <c r="C831" s="1">
        <f t="shared" si="99"/>
        <v>10</v>
      </c>
      <c r="D831" s="21">
        <f t="shared" ca="1" si="98"/>
        <v>44854</v>
      </c>
      <c r="E831" s="1" t="s">
        <v>26</v>
      </c>
      <c r="F831" s="1" t="s">
        <v>859</v>
      </c>
      <c r="G831" s="1" t="s">
        <v>28</v>
      </c>
      <c r="H831" s="1">
        <v>929</v>
      </c>
      <c r="I831" s="1">
        <f t="shared" si="100"/>
        <v>59</v>
      </c>
      <c r="J831" s="1">
        <f>VLOOKUP(B831,Cena!$A$2:$B$101,2)</f>
        <v>89</v>
      </c>
      <c r="K831" s="1">
        <f t="shared" si="104"/>
        <v>5251</v>
      </c>
      <c r="L831" s="1">
        <f t="shared" si="101"/>
        <v>1207.73</v>
      </c>
      <c r="M831" s="22">
        <f t="shared" si="105"/>
        <v>6458.73</v>
      </c>
      <c r="N831" s="1">
        <f t="shared" ca="1" si="102"/>
        <v>10</v>
      </c>
      <c r="P831" s="1">
        <v>59.223731467500329</v>
      </c>
      <c r="Q831" s="1">
        <f t="shared" ca="1" si="103"/>
        <v>6</v>
      </c>
      <c r="R831" s="1">
        <v>10.537011146661825</v>
      </c>
    </row>
    <row r="832" spans="1:18" x14ac:dyDescent="0.3">
      <c r="A832" s="26">
        <v>831</v>
      </c>
      <c r="B832" s="1">
        <v>2</v>
      </c>
      <c r="C832" s="1">
        <f t="shared" si="99"/>
        <v>14</v>
      </c>
      <c r="D832" s="21">
        <f t="shared" ca="1" si="98"/>
        <v>44759</v>
      </c>
      <c r="E832" s="1" t="s">
        <v>26</v>
      </c>
      <c r="F832" s="1" t="s">
        <v>860</v>
      </c>
      <c r="G832" s="1" t="s">
        <v>28</v>
      </c>
      <c r="H832" s="1">
        <v>930</v>
      </c>
      <c r="I832" s="1">
        <f t="shared" si="100"/>
        <v>58</v>
      </c>
      <c r="J832" s="1">
        <f>VLOOKUP(B832,Cena!$A$2:$B$101,2)</f>
        <v>121</v>
      </c>
      <c r="K832" s="1">
        <f t="shared" si="104"/>
        <v>7018</v>
      </c>
      <c r="L832" s="1">
        <f t="shared" si="101"/>
        <v>1614.14</v>
      </c>
      <c r="M832" s="22">
        <f t="shared" si="105"/>
        <v>8632.14</v>
      </c>
      <c r="N832" s="1">
        <f t="shared" ca="1" si="102"/>
        <v>7</v>
      </c>
      <c r="P832" s="1">
        <v>58.78878836374497</v>
      </c>
      <c r="Q832" s="1">
        <f t="shared" ca="1" si="103"/>
        <v>25</v>
      </c>
      <c r="R832" s="1">
        <v>14.480170900933444</v>
      </c>
    </row>
    <row r="833" spans="1:18" x14ac:dyDescent="0.3">
      <c r="A833" s="26">
        <v>832</v>
      </c>
      <c r="B833" s="1">
        <v>4</v>
      </c>
      <c r="C833" s="1">
        <f t="shared" si="99"/>
        <v>6</v>
      </c>
      <c r="D833" s="21">
        <f t="shared" ca="1" si="98"/>
        <v>44910</v>
      </c>
      <c r="E833" s="1" t="s">
        <v>26</v>
      </c>
      <c r="F833" s="1" t="s">
        <v>861</v>
      </c>
      <c r="G833" s="1" t="s">
        <v>28</v>
      </c>
      <c r="H833" s="1">
        <v>931</v>
      </c>
      <c r="I833" s="1">
        <f t="shared" si="100"/>
        <v>46</v>
      </c>
      <c r="J833" s="1">
        <f>VLOOKUP(B833,Cena!$A$2:$B$101,2)</f>
        <v>99</v>
      </c>
      <c r="K833" s="1">
        <f t="shared" si="104"/>
        <v>4554</v>
      </c>
      <c r="L833" s="1">
        <f t="shared" si="101"/>
        <v>1047.42</v>
      </c>
      <c r="M833" s="22">
        <f t="shared" si="105"/>
        <v>5601.42</v>
      </c>
      <c r="N833" s="1">
        <f t="shared" ca="1" si="102"/>
        <v>12</v>
      </c>
      <c r="P833" s="1">
        <v>46.821952663594857</v>
      </c>
      <c r="Q833" s="1">
        <f t="shared" ca="1" si="103"/>
        <v>11</v>
      </c>
      <c r="R833" s="1">
        <v>6.2321908242302015</v>
      </c>
    </row>
    <row r="834" spans="1:18" x14ac:dyDescent="0.3">
      <c r="A834" s="26">
        <v>833</v>
      </c>
      <c r="B834" s="1">
        <v>17</v>
      </c>
      <c r="C834" s="1">
        <f t="shared" si="99"/>
        <v>9</v>
      </c>
      <c r="D834" s="21">
        <f t="shared" ref="D834:D897" ca="1" si="106">DATE(2022,RANDBETWEEN(1,12),RANDBETWEEN(1,28))</f>
        <v>44781</v>
      </c>
      <c r="E834" s="1" t="s">
        <v>26</v>
      </c>
      <c r="F834" s="1" t="s">
        <v>862</v>
      </c>
      <c r="G834" s="1" t="s">
        <v>28</v>
      </c>
      <c r="H834" s="1">
        <v>932</v>
      </c>
      <c r="I834" s="1">
        <f t="shared" si="100"/>
        <v>46</v>
      </c>
      <c r="J834" s="1">
        <f>VLOOKUP(B834,Cena!$A$2:$B$101,2)</f>
        <v>84</v>
      </c>
      <c r="K834" s="1">
        <f t="shared" si="104"/>
        <v>3864</v>
      </c>
      <c r="L834" s="1">
        <f t="shared" si="101"/>
        <v>888.72</v>
      </c>
      <c r="M834" s="22">
        <f t="shared" si="105"/>
        <v>4752.72</v>
      </c>
      <c r="N834" s="1">
        <f t="shared" ca="1" si="102"/>
        <v>8</v>
      </c>
      <c r="P834" s="1">
        <v>46.313158590055536</v>
      </c>
      <c r="Q834" s="1">
        <f t="shared" ca="1" si="103"/>
        <v>22</v>
      </c>
      <c r="R834" s="1">
        <v>9.3583742252667435</v>
      </c>
    </row>
    <row r="835" spans="1:18" x14ac:dyDescent="0.3">
      <c r="A835" s="26">
        <v>834</v>
      </c>
      <c r="B835" s="1">
        <v>24</v>
      </c>
      <c r="C835" s="1">
        <f t="shared" ref="C835:C898" si="107">INT(R835)</f>
        <v>13</v>
      </c>
      <c r="D835" s="21">
        <f t="shared" ca="1" si="106"/>
        <v>44789</v>
      </c>
      <c r="E835" s="1" t="s">
        <v>26</v>
      </c>
      <c r="F835" s="1" t="s">
        <v>863</v>
      </c>
      <c r="G835" s="1" t="s">
        <v>28</v>
      </c>
      <c r="H835" s="1">
        <v>933</v>
      </c>
      <c r="I835" s="1">
        <f t="shared" ref="I835:I898" si="108">INT(P835)</f>
        <v>36</v>
      </c>
      <c r="J835" s="1">
        <f>VLOOKUP(B835,Cena!$A$2:$B$101,2)</f>
        <v>125</v>
      </c>
      <c r="K835" s="1">
        <f t="shared" si="104"/>
        <v>4500</v>
      </c>
      <c r="L835" s="1">
        <f t="shared" ref="L835:L898" si="109">K835*23%</f>
        <v>1035</v>
      </c>
      <c r="M835" s="22">
        <f t="shared" si="105"/>
        <v>5535</v>
      </c>
      <c r="N835" s="1">
        <f t="shared" ref="N835:N898" ca="1" si="110">MONTH(D835)</f>
        <v>8</v>
      </c>
      <c r="P835" s="1">
        <v>36.228385751019232</v>
      </c>
      <c r="Q835" s="1">
        <f t="shared" ref="Q835:Q898" ca="1" si="111">RANDBETWEEN(1,30)</f>
        <v>18</v>
      </c>
      <c r="R835" s="1">
        <v>13.520580094118486</v>
      </c>
    </row>
    <row r="836" spans="1:18" x14ac:dyDescent="0.3">
      <c r="A836" s="26">
        <v>835</v>
      </c>
      <c r="B836" s="1">
        <v>17</v>
      </c>
      <c r="C836" s="1">
        <f t="shared" si="107"/>
        <v>14</v>
      </c>
      <c r="D836" s="21">
        <f t="shared" ca="1" si="106"/>
        <v>44620</v>
      </c>
      <c r="E836" s="1" t="s">
        <v>26</v>
      </c>
      <c r="F836" s="1" t="s">
        <v>864</v>
      </c>
      <c r="G836" s="1" t="s">
        <v>28</v>
      </c>
      <c r="H836" s="1">
        <v>934</v>
      </c>
      <c r="I836" s="1">
        <f t="shared" si="108"/>
        <v>44</v>
      </c>
      <c r="J836" s="1">
        <f>VLOOKUP(B836,Cena!$A$2:$B$101,2)</f>
        <v>84</v>
      </c>
      <c r="K836" s="1">
        <f t="shared" si="104"/>
        <v>3696</v>
      </c>
      <c r="L836" s="1">
        <f t="shared" si="109"/>
        <v>850.08</v>
      </c>
      <c r="M836" s="22">
        <f t="shared" si="105"/>
        <v>4546.08</v>
      </c>
      <c r="N836" s="1">
        <f t="shared" ca="1" si="110"/>
        <v>2</v>
      </c>
      <c r="P836" s="1">
        <v>44.519180290808436</v>
      </c>
      <c r="Q836" s="1">
        <f t="shared" ca="1" si="111"/>
        <v>10</v>
      </c>
      <c r="R836" s="1">
        <v>14.774597073264886</v>
      </c>
    </row>
    <row r="837" spans="1:18" x14ac:dyDescent="0.3">
      <c r="A837" s="26">
        <v>836</v>
      </c>
      <c r="B837" s="1">
        <v>23</v>
      </c>
      <c r="C837" s="1">
        <f t="shared" si="107"/>
        <v>13</v>
      </c>
      <c r="D837" s="21">
        <f t="shared" ca="1" si="106"/>
        <v>44917</v>
      </c>
      <c r="E837" s="1" t="s">
        <v>26</v>
      </c>
      <c r="F837" s="1" t="s">
        <v>865</v>
      </c>
      <c r="G837" s="1" t="s">
        <v>28</v>
      </c>
      <c r="H837" s="1">
        <v>935</v>
      </c>
      <c r="I837" s="1">
        <f t="shared" si="108"/>
        <v>57</v>
      </c>
      <c r="J837" s="1">
        <f>VLOOKUP(B837,Cena!$A$2:$B$101,2)</f>
        <v>132</v>
      </c>
      <c r="K837" s="1">
        <f t="shared" si="104"/>
        <v>7524</v>
      </c>
      <c r="L837" s="1">
        <f t="shared" si="109"/>
        <v>1730.52</v>
      </c>
      <c r="M837" s="22">
        <f t="shared" si="105"/>
        <v>9254.52</v>
      </c>
      <c r="N837" s="1">
        <f t="shared" ca="1" si="110"/>
        <v>12</v>
      </c>
      <c r="P837" s="1">
        <v>57.805419954820536</v>
      </c>
      <c r="Q837" s="1">
        <f t="shared" ca="1" si="111"/>
        <v>10</v>
      </c>
      <c r="R837" s="1">
        <v>13.802711034950335</v>
      </c>
    </row>
    <row r="838" spans="1:18" x14ac:dyDescent="0.3">
      <c r="A838" s="26">
        <v>837</v>
      </c>
      <c r="B838" s="1">
        <v>30</v>
      </c>
      <c r="C838" s="1">
        <f t="shared" si="107"/>
        <v>8</v>
      </c>
      <c r="D838" s="21">
        <f t="shared" ca="1" si="106"/>
        <v>44850</v>
      </c>
      <c r="E838" s="1" t="s">
        <v>26</v>
      </c>
      <c r="F838" s="1" t="s">
        <v>866</v>
      </c>
      <c r="G838" s="1" t="s">
        <v>28</v>
      </c>
      <c r="H838" s="1">
        <v>936</v>
      </c>
      <c r="I838" s="1">
        <f t="shared" si="108"/>
        <v>52</v>
      </c>
      <c r="J838" s="1">
        <f>VLOOKUP(B838,Cena!$A$2:$B$101,2)</f>
        <v>87</v>
      </c>
      <c r="K838" s="1">
        <f t="shared" si="104"/>
        <v>4524</v>
      </c>
      <c r="L838" s="1">
        <f t="shared" si="109"/>
        <v>1040.52</v>
      </c>
      <c r="M838" s="22">
        <f t="shared" si="105"/>
        <v>5564.52</v>
      </c>
      <c r="N838" s="1">
        <f t="shared" ca="1" si="110"/>
        <v>10</v>
      </c>
      <c r="P838" s="1">
        <v>52.656736342032673</v>
      </c>
      <c r="Q838" s="1">
        <f t="shared" ca="1" si="111"/>
        <v>8</v>
      </c>
      <c r="R838" s="1">
        <v>8.5741169439279474</v>
      </c>
    </row>
    <row r="839" spans="1:18" x14ac:dyDescent="0.3">
      <c r="A839" s="26">
        <v>838</v>
      </c>
      <c r="B839" s="1">
        <v>25</v>
      </c>
      <c r="C839" s="1">
        <f t="shared" si="107"/>
        <v>8</v>
      </c>
      <c r="D839" s="21">
        <f t="shared" ca="1" si="106"/>
        <v>44890</v>
      </c>
      <c r="E839" s="1" t="s">
        <v>26</v>
      </c>
      <c r="F839" s="1" t="s">
        <v>867</v>
      </c>
      <c r="G839" s="1" t="s">
        <v>28</v>
      </c>
      <c r="H839" s="1">
        <v>937</v>
      </c>
      <c r="I839" s="1">
        <f t="shared" si="108"/>
        <v>60</v>
      </c>
      <c r="J839" s="1">
        <f>VLOOKUP(B839,Cena!$A$2:$B$101,2)</f>
        <v>108</v>
      </c>
      <c r="K839" s="1">
        <f t="shared" si="104"/>
        <v>6480</v>
      </c>
      <c r="L839" s="1">
        <f t="shared" si="109"/>
        <v>1490.4</v>
      </c>
      <c r="M839" s="22">
        <f t="shared" si="105"/>
        <v>7970.4</v>
      </c>
      <c r="N839" s="1">
        <f t="shared" ca="1" si="110"/>
        <v>11</v>
      </c>
      <c r="P839" s="1">
        <v>60.469693734194152</v>
      </c>
      <c r="Q839" s="1">
        <f t="shared" ca="1" si="111"/>
        <v>4</v>
      </c>
      <c r="R839" s="1">
        <v>8.1758207923121518</v>
      </c>
    </row>
    <row r="840" spans="1:18" x14ac:dyDescent="0.3">
      <c r="A840" s="26">
        <v>839</v>
      </c>
      <c r="B840" s="1">
        <v>28</v>
      </c>
      <c r="C840" s="1">
        <f t="shared" si="107"/>
        <v>11</v>
      </c>
      <c r="D840" s="21">
        <f t="shared" ca="1" si="106"/>
        <v>44704</v>
      </c>
      <c r="E840" s="1" t="s">
        <v>26</v>
      </c>
      <c r="F840" s="1" t="s">
        <v>868</v>
      </c>
      <c r="G840" s="1" t="s">
        <v>28</v>
      </c>
      <c r="H840" s="1">
        <v>938</v>
      </c>
      <c r="I840" s="1">
        <f t="shared" si="108"/>
        <v>54</v>
      </c>
      <c r="J840" s="1">
        <f>VLOOKUP(B840,Cena!$A$2:$B$101,2)</f>
        <v>59</v>
      </c>
      <c r="K840" s="1">
        <f t="shared" si="104"/>
        <v>3186</v>
      </c>
      <c r="L840" s="1">
        <f t="shared" si="109"/>
        <v>732.78000000000009</v>
      </c>
      <c r="M840" s="22">
        <f t="shared" si="105"/>
        <v>3918.78</v>
      </c>
      <c r="N840" s="1">
        <f t="shared" ca="1" si="110"/>
        <v>5</v>
      </c>
      <c r="P840" s="1">
        <v>54.513276508077979</v>
      </c>
      <c r="Q840" s="1">
        <f t="shared" ca="1" si="111"/>
        <v>20</v>
      </c>
      <c r="R840" s="1">
        <v>11.790402848200756</v>
      </c>
    </row>
    <row r="841" spans="1:18" x14ac:dyDescent="0.3">
      <c r="A841" s="26">
        <v>840</v>
      </c>
      <c r="B841" s="1">
        <v>25</v>
      </c>
      <c r="C841" s="1">
        <f t="shared" si="107"/>
        <v>9</v>
      </c>
      <c r="D841" s="21">
        <f t="shared" ca="1" si="106"/>
        <v>44907</v>
      </c>
      <c r="E841" s="1" t="s">
        <v>26</v>
      </c>
      <c r="F841" s="1" t="s">
        <v>869</v>
      </c>
      <c r="G841" s="1" t="s">
        <v>28</v>
      </c>
      <c r="H841" s="1">
        <v>939</v>
      </c>
      <c r="I841" s="1">
        <f t="shared" si="108"/>
        <v>62</v>
      </c>
      <c r="J841" s="1">
        <f>VLOOKUP(B841,Cena!$A$2:$B$101,2)</f>
        <v>108</v>
      </c>
      <c r="K841" s="1">
        <f t="shared" si="104"/>
        <v>6696</v>
      </c>
      <c r="L841" s="1">
        <f t="shared" si="109"/>
        <v>1540.0800000000002</v>
      </c>
      <c r="M841" s="22">
        <f t="shared" si="105"/>
        <v>8236.08</v>
      </c>
      <c r="N841" s="1">
        <f t="shared" ca="1" si="110"/>
        <v>12</v>
      </c>
      <c r="P841" s="1">
        <v>62.22379069076851</v>
      </c>
      <c r="Q841" s="1">
        <f t="shared" ca="1" si="111"/>
        <v>1</v>
      </c>
      <c r="R841" s="1">
        <v>9.8335880491140415</v>
      </c>
    </row>
    <row r="842" spans="1:18" x14ac:dyDescent="0.3">
      <c r="A842" s="26">
        <v>841</v>
      </c>
      <c r="B842" s="1">
        <v>28</v>
      </c>
      <c r="C842" s="1">
        <f t="shared" si="107"/>
        <v>10</v>
      </c>
      <c r="D842" s="21">
        <f t="shared" ca="1" si="106"/>
        <v>44657</v>
      </c>
      <c r="E842" s="1" t="s">
        <v>26</v>
      </c>
      <c r="F842" s="1" t="s">
        <v>870</v>
      </c>
      <c r="G842" s="1" t="s">
        <v>28</v>
      </c>
      <c r="H842" s="1">
        <v>940</v>
      </c>
      <c r="I842" s="1">
        <f t="shared" si="108"/>
        <v>52</v>
      </c>
      <c r="J842" s="1">
        <f>VLOOKUP(B842,Cena!$A$2:$B$101,2)</f>
        <v>59</v>
      </c>
      <c r="K842" s="1">
        <f t="shared" si="104"/>
        <v>3068</v>
      </c>
      <c r="L842" s="1">
        <f t="shared" si="109"/>
        <v>705.64</v>
      </c>
      <c r="M842" s="22">
        <f t="shared" si="105"/>
        <v>3773.64</v>
      </c>
      <c r="N842" s="1">
        <f t="shared" ca="1" si="110"/>
        <v>4</v>
      </c>
      <c r="P842" s="1">
        <v>52.021386080741649</v>
      </c>
      <c r="Q842" s="1">
        <f t="shared" ca="1" si="111"/>
        <v>12</v>
      </c>
      <c r="R842" s="1">
        <v>10.970607061390183</v>
      </c>
    </row>
    <row r="843" spans="1:18" x14ac:dyDescent="0.3">
      <c r="A843" s="26">
        <v>842</v>
      </c>
      <c r="B843" s="1">
        <v>9</v>
      </c>
      <c r="C843" s="1">
        <f t="shared" si="107"/>
        <v>5</v>
      </c>
      <c r="D843" s="21">
        <f t="shared" ca="1" si="106"/>
        <v>44853</v>
      </c>
      <c r="E843" s="1" t="s">
        <v>26</v>
      </c>
      <c r="F843" s="1" t="s">
        <v>871</v>
      </c>
      <c r="G843" s="1" t="s">
        <v>28</v>
      </c>
      <c r="H843" s="1">
        <v>941</v>
      </c>
      <c r="I843" s="1">
        <f t="shared" si="108"/>
        <v>61</v>
      </c>
      <c r="J843" s="1">
        <f>VLOOKUP(B843,Cena!$A$2:$B$101,2)</f>
        <v>96</v>
      </c>
      <c r="K843" s="1">
        <f t="shared" si="104"/>
        <v>5856</v>
      </c>
      <c r="L843" s="1">
        <f t="shared" si="109"/>
        <v>1346.88</v>
      </c>
      <c r="M843" s="22">
        <f t="shared" si="105"/>
        <v>7202.88</v>
      </c>
      <c r="N843" s="1">
        <f t="shared" ca="1" si="110"/>
        <v>10</v>
      </c>
      <c r="P843" s="1">
        <v>61.253405318711884</v>
      </c>
      <c r="Q843" s="1">
        <f t="shared" ca="1" si="111"/>
        <v>20</v>
      </c>
      <c r="R843" s="1">
        <v>5.9926867632020731</v>
      </c>
    </row>
    <row r="844" spans="1:18" x14ac:dyDescent="0.3">
      <c r="A844" s="26">
        <v>843</v>
      </c>
      <c r="B844" s="1">
        <v>25</v>
      </c>
      <c r="C844" s="1">
        <f t="shared" si="107"/>
        <v>14</v>
      </c>
      <c r="D844" s="21">
        <f t="shared" ca="1" si="106"/>
        <v>44852</v>
      </c>
      <c r="E844" s="1" t="s">
        <v>26</v>
      </c>
      <c r="F844" s="1" t="s">
        <v>872</v>
      </c>
      <c r="G844" s="1" t="s">
        <v>28</v>
      </c>
      <c r="H844" s="1">
        <v>942</v>
      </c>
      <c r="I844" s="1">
        <f t="shared" si="108"/>
        <v>44</v>
      </c>
      <c r="J844" s="1">
        <f>VLOOKUP(B844,Cena!$A$2:$B$101,2)</f>
        <v>108</v>
      </c>
      <c r="K844" s="1">
        <f t="shared" si="104"/>
        <v>4752</v>
      </c>
      <c r="L844" s="1">
        <f t="shared" si="109"/>
        <v>1092.96</v>
      </c>
      <c r="M844" s="22">
        <f t="shared" si="105"/>
        <v>5844.96</v>
      </c>
      <c r="N844" s="1">
        <f t="shared" ca="1" si="110"/>
        <v>10</v>
      </c>
      <c r="P844" s="1">
        <v>44.812003478728002</v>
      </c>
      <c r="Q844" s="1">
        <f t="shared" ca="1" si="111"/>
        <v>7</v>
      </c>
      <c r="R844" s="1">
        <v>14.046501089760568</v>
      </c>
    </row>
    <row r="845" spans="1:18" x14ac:dyDescent="0.3">
      <c r="A845" s="26">
        <v>844</v>
      </c>
      <c r="B845" s="1">
        <v>16</v>
      </c>
      <c r="C845" s="1">
        <f t="shared" si="107"/>
        <v>11</v>
      </c>
      <c r="D845" s="21">
        <f t="shared" ca="1" si="106"/>
        <v>44811</v>
      </c>
      <c r="E845" s="1" t="s">
        <v>26</v>
      </c>
      <c r="F845" s="1" t="s">
        <v>873</v>
      </c>
      <c r="G845" s="1" t="s">
        <v>28</v>
      </c>
      <c r="H845" s="1">
        <v>943</v>
      </c>
      <c r="I845" s="1">
        <f t="shared" si="108"/>
        <v>48</v>
      </c>
      <c r="J845" s="1">
        <f>VLOOKUP(B845,Cena!$A$2:$B$101,2)</f>
        <v>93</v>
      </c>
      <c r="K845" s="1">
        <f t="shared" si="104"/>
        <v>4464</v>
      </c>
      <c r="L845" s="1">
        <f t="shared" si="109"/>
        <v>1026.72</v>
      </c>
      <c r="M845" s="22">
        <f t="shared" si="105"/>
        <v>5490.72</v>
      </c>
      <c r="N845" s="1">
        <f t="shared" ca="1" si="110"/>
        <v>9</v>
      </c>
      <c r="P845" s="1">
        <v>48.418707036762498</v>
      </c>
      <c r="Q845" s="1">
        <f t="shared" ca="1" si="111"/>
        <v>8</v>
      </c>
      <c r="R845" s="1">
        <v>11.495527612860315</v>
      </c>
    </row>
    <row r="846" spans="1:18" x14ac:dyDescent="0.3">
      <c r="A846" s="26">
        <v>845</v>
      </c>
      <c r="B846" s="1">
        <v>30</v>
      </c>
      <c r="C846" s="1">
        <f t="shared" si="107"/>
        <v>8</v>
      </c>
      <c r="D846" s="21">
        <f t="shared" ca="1" si="106"/>
        <v>44756</v>
      </c>
      <c r="E846" s="1" t="s">
        <v>26</v>
      </c>
      <c r="F846" s="1" t="s">
        <v>874</v>
      </c>
      <c r="G846" s="1" t="s">
        <v>28</v>
      </c>
      <c r="H846" s="1">
        <v>944</v>
      </c>
      <c r="I846" s="1">
        <f t="shared" si="108"/>
        <v>42</v>
      </c>
      <c r="J846" s="1">
        <f>VLOOKUP(B846,Cena!$A$2:$B$101,2)</f>
        <v>87</v>
      </c>
      <c r="K846" s="1">
        <f t="shared" si="104"/>
        <v>3654</v>
      </c>
      <c r="L846" s="1">
        <f t="shared" si="109"/>
        <v>840.42000000000007</v>
      </c>
      <c r="M846" s="22">
        <f t="shared" si="105"/>
        <v>4494.42</v>
      </c>
      <c r="N846" s="1">
        <f t="shared" ca="1" si="110"/>
        <v>7</v>
      </c>
      <c r="P846" s="1">
        <v>42.599055076425429</v>
      </c>
      <c r="Q846" s="1">
        <f t="shared" ca="1" si="111"/>
        <v>20</v>
      </c>
      <c r="R846" s="1">
        <v>8.1341346710905782</v>
      </c>
    </row>
    <row r="847" spans="1:18" x14ac:dyDescent="0.3">
      <c r="A847" s="26">
        <v>846</v>
      </c>
      <c r="B847" s="1">
        <v>8</v>
      </c>
      <c r="C847" s="1">
        <f t="shared" si="107"/>
        <v>6</v>
      </c>
      <c r="D847" s="21">
        <f t="shared" ca="1" si="106"/>
        <v>44603</v>
      </c>
      <c r="E847" s="1" t="s">
        <v>26</v>
      </c>
      <c r="F847" s="1" t="s">
        <v>875</v>
      </c>
      <c r="G847" s="1" t="s">
        <v>28</v>
      </c>
      <c r="H847" s="1">
        <v>945</v>
      </c>
      <c r="I847" s="1">
        <f t="shared" si="108"/>
        <v>44</v>
      </c>
      <c r="J847" s="1">
        <f>VLOOKUP(B847,Cena!$A$2:$B$101,2)</f>
        <v>88</v>
      </c>
      <c r="K847" s="1">
        <f t="shared" si="104"/>
        <v>3872</v>
      </c>
      <c r="L847" s="1">
        <f t="shared" si="109"/>
        <v>890.56000000000006</v>
      </c>
      <c r="M847" s="22">
        <f t="shared" si="105"/>
        <v>4762.5600000000004</v>
      </c>
      <c r="N847" s="1">
        <f t="shared" ca="1" si="110"/>
        <v>2</v>
      </c>
      <c r="P847" s="1">
        <v>44.076347320515197</v>
      </c>
      <c r="Q847" s="1">
        <f t="shared" ca="1" si="111"/>
        <v>23</v>
      </c>
      <c r="R847" s="1">
        <v>6.7545079471165081</v>
      </c>
    </row>
    <row r="848" spans="1:18" x14ac:dyDescent="0.3">
      <c r="A848" s="26">
        <v>847</v>
      </c>
      <c r="B848" s="1">
        <v>17</v>
      </c>
      <c r="C848" s="1">
        <f t="shared" si="107"/>
        <v>7</v>
      </c>
      <c r="D848" s="21">
        <f t="shared" ca="1" si="106"/>
        <v>44896</v>
      </c>
      <c r="E848" s="1" t="s">
        <v>26</v>
      </c>
      <c r="F848" s="1" t="s">
        <v>876</v>
      </c>
      <c r="G848" s="1" t="s">
        <v>28</v>
      </c>
      <c r="H848" s="1">
        <v>946</v>
      </c>
      <c r="I848" s="1">
        <f t="shared" si="108"/>
        <v>44</v>
      </c>
      <c r="J848" s="1">
        <f>VLOOKUP(B848,Cena!$A$2:$B$101,2)</f>
        <v>84</v>
      </c>
      <c r="K848" s="1">
        <f t="shared" si="104"/>
        <v>3696</v>
      </c>
      <c r="L848" s="1">
        <f t="shared" si="109"/>
        <v>850.08</v>
      </c>
      <c r="M848" s="22">
        <f t="shared" si="105"/>
        <v>4546.08</v>
      </c>
      <c r="N848" s="1">
        <f t="shared" ca="1" si="110"/>
        <v>12</v>
      </c>
      <c r="P848" s="1">
        <v>44.888867149711587</v>
      </c>
      <c r="Q848" s="1">
        <f t="shared" ca="1" si="111"/>
        <v>18</v>
      </c>
      <c r="R848" s="1">
        <v>7.8849189119500807</v>
      </c>
    </row>
    <row r="849" spans="1:18" x14ac:dyDescent="0.3">
      <c r="A849" s="26">
        <v>848</v>
      </c>
      <c r="B849" s="1">
        <v>10</v>
      </c>
      <c r="C849" s="1">
        <f t="shared" si="107"/>
        <v>11</v>
      </c>
      <c r="D849" s="21">
        <f t="shared" ca="1" si="106"/>
        <v>44841</v>
      </c>
      <c r="E849" s="1" t="s">
        <v>26</v>
      </c>
      <c r="F849" s="1" t="s">
        <v>877</v>
      </c>
      <c r="G849" s="1" t="s">
        <v>28</v>
      </c>
      <c r="H849" s="1">
        <v>947</v>
      </c>
      <c r="I849" s="1">
        <f t="shared" si="108"/>
        <v>61</v>
      </c>
      <c r="J849" s="1">
        <f>VLOOKUP(B849,Cena!$A$2:$B$101,2)</f>
        <v>109</v>
      </c>
      <c r="K849" s="1">
        <f t="shared" si="104"/>
        <v>6649</v>
      </c>
      <c r="L849" s="1">
        <f t="shared" si="109"/>
        <v>1529.27</v>
      </c>
      <c r="M849" s="22">
        <f t="shared" si="105"/>
        <v>8178.27</v>
      </c>
      <c r="N849" s="1">
        <f t="shared" ca="1" si="110"/>
        <v>10</v>
      </c>
      <c r="P849" s="1">
        <v>61.980364433838986</v>
      </c>
      <c r="Q849" s="1">
        <f t="shared" ca="1" si="111"/>
        <v>24</v>
      </c>
      <c r="R849" s="1">
        <v>11.611991251593281</v>
      </c>
    </row>
    <row r="850" spans="1:18" x14ac:dyDescent="0.3">
      <c r="A850" s="26">
        <v>849</v>
      </c>
      <c r="B850" s="1">
        <v>1</v>
      </c>
      <c r="C850" s="1">
        <f t="shared" si="107"/>
        <v>7</v>
      </c>
      <c r="D850" s="21">
        <f t="shared" ca="1" si="106"/>
        <v>44671</v>
      </c>
      <c r="E850" s="1" t="s">
        <v>26</v>
      </c>
      <c r="F850" s="1" t="s">
        <v>878</v>
      </c>
      <c r="G850" s="1" t="s">
        <v>28</v>
      </c>
      <c r="H850" s="1">
        <v>948</v>
      </c>
      <c r="I850" s="1">
        <f t="shared" si="108"/>
        <v>39</v>
      </c>
      <c r="J850" s="1">
        <f>VLOOKUP(B850,Cena!$A$2:$B$101,2)</f>
        <v>84</v>
      </c>
      <c r="K850" s="1">
        <f t="shared" si="104"/>
        <v>3276</v>
      </c>
      <c r="L850" s="1">
        <f t="shared" si="109"/>
        <v>753.48</v>
      </c>
      <c r="M850" s="22">
        <f t="shared" si="105"/>
        <v>4029.48</v>
      </c>
      <c r="N850" s="1">
        <f t="shared" ca="1" si="110"/>
        <v>4</v>
      </c>
      <c r="P850" s="1">
        <v>39.218190421524923</v>
      </c>
      <c r="Q850" s="1">
        <f t="shared" ca="1" si="111"/>
        <v>9</v>
      </c>
      <c r="R850" s="1">
        <v>7.3776084516430274</v>
      </c>
    </row>
    <row r="851" spans="1:18" x14ac:dyDescent="0.3">
      <c r="A851" s="26">
        <v>850</v>
      </c>
      <c r="B851" s="1">
        <v>4</v>
      </c>
      <c r="C851" s="1">
        <f t="shared" si="107"/>
        <v>10</v>
      </c>
      <c r="D851" s="21">
        <f t="shared" ca="1" si="106"/>
        <v>44676</v>
      </c>
      <c r="E851" s="1" t="s">
        <v>26</v>
      </c>
      <c r="F851" s="1" t="s">
        <v>879</v>
      </c>
      <c r="G851" s="1" t="s">
        <v>28</v>
      </c>
      <c r="H851" s="1">
        <v>949</v>
      </c>
      <c r="I851" s="1">
        <f t="shared" si="108"/>
        <v>64</v>
      </c>
      <c r="J851" s="1">
        <f>VLOOKUP(B851,Cena!$A$2:$B$101,2)</f>
        <v>99</v>
      </c>
      <c r="K851" s="1">
        <f t="shared" si="104"/>
        <v>6336</v>
      </c>
      <c r="L851" s="1">
        <f t="shared" si="109"/>
        <v>1457.28</v>
      </c>
      <c r="M851" s="22">
        <f t="shared" si="105"/>
        <v>7793.28</v>
      </c>
      <c r="N851" s="1">
        <f t="shared" ca="1" si="110"/>
        <v>4</v>
      </c>
      <c r="P851" s="1">
        <v>64.617739907407667</v>
      </c>
      <c r="Q851" s="1">
        <f t="shared" ca="1" si="111"/>
        <v>27</v>
      </c>
      <c r="R851" s="1">
        <v>10.742380734664039</v>
      </c>
    </row>
    <row r="852" spans="1:18" x14ac:dyDescent="0.3">
      <c r="A852" s="26">
        <v>851</v>
      </c>
      <c r="B852" s="1">
        <v>15</v>
      </c>
      <c r="C852" s="1">
        <f t="shared" si="107"/>
        <v>8</v>
      </c>
      <c r="D852" s="21">
        <f t="shared" ca="1" si="106"/>
        <v>44700</v>
      </c>
      <c r="E852" s="1" t="s">
        <v>26</v>
      </c>
      <c r="F852" s="1" t="s">
        <v>880</v>
      </c>
      <c r="G852" s="1" t="s">
        <v>28</v>
      </c>
      <c r="H852" s="1">
        <v>950</v>
      </c>
      <c r="I852" s="1">
        <f t="shared" si="108"/>
        <v>57</v>
      </c>
      <c r="J852" s="1">
        <f>VLOOKUP(B852,Cena!$A$2:$B$101,2)</f>
        <v>85</v>
      </c>
      <c r="K852" s="1">
        <f t="shared" si="104"/>
        <v>4845</v>
      </c>
      <c r="L852" s="1">
        <f t="shared" si="109"/>
        <v>1114.3500000000001</v>
      </c>
      <c r="M852" s="22">
        <f t="shared" si="105"/>
        <v>5959.35</v>
      </c>
      <c r="N852" s="1">
        <f t="shared" ca="1" si="110"/>
        <v>5</v>
      </c>
      <c r="P852" s="1">
        <v>57.440235094691161</v>
      </c>
      <c r="Q852" s="1">
        <f t="shared" ca="1" si="111"/>
        <v>2</v>
      </c>
      <c r="R852" s="1">
        <v>8.5804123525667819</v>
      </c>
    </row>
    <row r="853" spans="1:18" x14ac:dyDescent="0.3">
      <c r="A853" s="26">
        <v>852</v>
      </c>
      <c r="B853" s="1">
        <v>15</v>
      </c>
      <c r="C853" s="1">
        <f t="shared" si="107"/>
        <v>6</v>
      </c>
      <c r="D853" s="21">
        <f t="shared" ca="1" si="106"/>
        <v>44601</v>
      </c>
      <c r="E853" s="1" t="s">
        <v>26</v>
      </c>
      <c r="F853" s="1" t="s">
        <v>881</v>
      </c>
      <c r="G853" s="1" t="s">
        <v>28</v>
      </c>
      <c r="H853" s="1">
        <v>951</v>
      </c>
      <c r="I853" s="1">
        <f t="shared" si="108"/>
        <v>50</v>
      </c>
      <c r="J853" s="1">
        <f>VLOOKUP(B853,Cena!$A$2:$B$101,2)</f>
        <v>85</v>
      </c>
      <c r="K853" s="1">
        <f t="shared" si="104"/>
        <v>4250</v>
      </c>
      <c r="L853" s="1">
        <f t="shared" si="109"/>
        <v>977.5</v>
      </c>
      <c r="M853" s="22">
        <f t="shared" si="105"/>
        <v>5227.5</v>
      </c>
      <c r="N853" s="1">
        <f t="shared" ca="1" si="110"/>
        <v>2</v>
      </c>
      <c r="P853" s="1">
        <v>50.115130660560681</v>
      </c>
      <c r="Q853" s="1">
        <f t="shared" ca="1" si="111"/>
        <v>12</v>
      </c>
      <c r="R853" s="1">
        <v>6.9396071719529573</v>
      </c>
    </row>
    <row r="854" spans="1:18" x14ac:dyDescent="0.3">
      <c r="A854" s="26">
        <v>853</v>
      </c>
      <c r="B854" s="1">
        <v>5</v>
      </c>
      <c r="C854" s="1">
        <f t="shared" si="107"/>
        <v>9</v>
      </c>
      <c r="D854" s="21">
        <f t="shared" ca="1" si="106"/>
        <v>44611</v>
      </c>
      <c r="E854" s="1" t="s">
        <v>26</v>
      </c>
      <c r="F854" s="1" t="s">
        <v>882</v>
      </c>
      <c r="G854" s="1" t="s">
        <v>28</v>
      </c>
      <c r="H854" s="1">
        <v>952</v>
      </c>
      <c r="I854" s="1">
        <f t="shared" si="108"/>
        <v>46</v>
      </c>
      <c r="J854" s="1">
        <f>VLOOKUP(B854,Cena!$A$2:$B$101,2)</f>
        <v>91</v>
      </c>
      <c r="K854" s="1">
        <f t="shared" si="104"/>
        <v>4186</v>
      </c>
      <c r="L854" s="1">
        <f t="shared" si="109"/>
        <v>962.78000000000009</v>
      </c>
      <c r="M854" s="22">
        <f t="shared" si="105"/>
        <v>5148.78</v>
      </c>
      <c r="N854" s="1">
        <f t="shared" ca="1" si="110"/>
        <v>2</v>
      </c>
      <c r="P854" s="1">
        <v>46.630663190444466</v>
      </c>
      <c r="Q854" s="1">
        <f t="shared" ca="1" si="111"/>
        <v>19</v>
      </c>
      <c r="R854" s="1">
        <v>9.7295276443765033</v>
      </c>
    </row>
    <row r="855" spans="1:18" x14ac:dyDescent="0.3">
      <c r="A855" s="26">
        <v>854</v>
      </c>
      <c r="B855" s="1">
        <v>18</v>
      </c>
      <c r="C855" s="1">
        <f t="shared" si="107"/>
        <v>10</v>
      </c>
      <c r="D855" s="21">
        <f t="shared" ca="1" si="106"/>
        <v>44572</v>
      </c>
      <c r="E855" s="1" t="s">
        <v>26</v>
      </c>
      <c r="F855" s="1" t="s">
        <v>883</v>
      </c>
      <c r="G855" s="1" t="s">
        <v>28</v>
      </c>
      <c r="H855" s="1">
        <v>953</v>
      </c>
      <c r="I855" s="1">
        <f t="shared" si="108"/>
        <v>50</v>
      </c>
      <c r="J855" s="1">
        <f>VLOOKUP(B855,Cena!$A$2:$B$101,2)</f>
        <v>90</v>
      </c>
      <c r="K855" s="1">
        <f t="shared" si="104"/>
        <v>4500</v>
      </c>
      <c r="L855" s="1">
        <f t="shared" si="109"/>
        <v>1035</v>
      </c>
      <c r="M855" s="22">
        <f t="shared" si="105"/>
        <v>5535</v>
      </c>
      <c r="N855" s="1">
        <f t="shared" ca="1" si="110"/>
        <v>1</v>
      </c>
      <c r="P855" s="1">
        <v>50.770717178966152</v>
      </c>
      <c r="Q855" s="1">
        <f t="shared" ca="1" si="111"/>
        <v>25</v>
      </c>
      <c r="R855" s="1">
        <v>10.049249138101004</v>
      </c>
    </row>
    <row r="856" spans="1:18" x14ac:dyDescent="0.3">
      <c r="A856" s="26">
        <v>855</v>
      </c>
      <c r="B856" s="1">
        <v>11</v>
      </c>
      <c r="C856" s="1">
        <f t="shared" si="107"/>
        <v>13</v>
      </c>
      <c r="D856" s="21">
        <f t="shared" ca="1" si="106"/>
        <v>44832</v>
      </c>
      <c r="E856" s="1" t="s">
        <v>26</v>
      </c>
      <c r="F856" s="1" t="s">
        <v>884</v>
      </c>
      <c r="G856" s="1" t="s">
        <v>28</v>
      </c>
      <c r="H856" s="1">
        <v>954</v>
      </c>
      <c r="I856" s="1">
        <f t="shared" si="108"/>
        <v>49</v>
      </c>
      <c r="J856" s="1">
        <f>VLOOKUP(B856,Cena!$A$2:$B$101,2)</f>
        <v>83</v>
      </c>
      <c r="K856" s="1">
        <f t="shared" si="104"/>
        <v>4067</v>
      </c>
      <c r="L856" s="1">
        <f t="shared" si="109"/>
        <v>935.41000000000008</v>
      </c>
      <c r="M856" s="22">
        <f t="shared" si="105"/>
        <v>5002.41</v>
      </c>
      <c r="N856" s="1">
        <f t="shared" ca="1" si="110"/>
        <v>9</v>
      </c>
      <c r="P856" s="1">
        <v>49.015790308476426</v>
      </c>
      <c r="Q856" s="1">
        <f t="shared" ca="1" si="111"/>
        <v>6</v>
      </c>
      <c r="R856" s="1">
        <v>13.349555299791973</v>
      </c>
    </row>
    <row r="857" spans="1:18" x14ac:dyDescent="0.3">
      <c r="A857" s="26">
        <v>856</v>
      </c>
      <c r="B857" s="1">
        <v>15</v>
      </c>
      <c r="C857" s="1">
        <f t="shared" si="107"/>
        <v>6</v>
      </c>
      <c r="D857" s="21">
        <f t="shared" ca="1" si="106"/>
        <v>44904</v>
      </c>
      <c r="E857" s="1" t="s">
        <v>26</v>
      </c>
      <c r="F857" s="1" t="s">
        <v>885</v>
      </c>
      <c r="G857" s="1" t="s">
        <v>28</v>
      </c>
      <c r="H857" s="1">
        <v>955</v>
      </c>
      <c r="I857" s="1">
        <f t="shared" si="108"/>
        <v>62</v>
      </c>
      <c r="J857" s="1">
        <f>VLOOKUP(B857,Cena!$A$2:$B$101,2)</f>
        <v>85</v>
      </c>
      <c r="K857" s="1">
        <f t="shared" si="104"/>
        <v>5270</v>
      </c>
      <c r="L857" s="1">
        <f t="shared" si="109"/>
        <v>1212.1000000000001</v>
      </c>
      <c r="M857" s="22">
        <f t="shared" si="105"/>
        <v>6482.1</v>
      </c>
      <c r="N857" s="1">
        <f t="shared" ca="1" si="110"/>
        <v>12</v>
      </c>
      <c r="P857" s="1">
        <v>62.007058103336021</v>
      </c>
      <c r="Q857" s="1">
        <f t="shared" ca="1" si="111"/>
        <v>20</v>
      </c>
      <c r="R857" s="1">
        <v>6.1641151458024979</v>
      </c>
    </row>
    <row r="858" spans="1:18" x14ac:dyDescent="0.3">
      <c r="A858" s="26">
        <v>857</v>
      </c>
      <c r="B858" s="1">
        <v>12</v>
      </c>
      <c r="C858" s="1">
        <f t="shared" si="107"/>
        <v>14</v>
      </c>
      <c r="D858" s="21">
        <f t="shared" ca="1" si="106"/>
        <v>44759</v>
      </c>
      <c r="E858" s="1" t="s">
        <v>26</v>
      </c>
      <c r="F858" s="1" t="s">
        <v>886</v>
      </c>
      <c r="G858" s="1" t="s">
        <v>28</v>
      </c>
      <c r="H858" s="1">
        <v>956</v>
      </c>
      <c r="I858" s="1">
        <f t="shared" si="108"/>
        <v>34</v>
      </c>
      <c r="J858" s="1">
        <f>VLOOKUP(B858,Cena!$A$2:$B$101,2)</f>
        <v>88</v>
      </c>
      <c r="K858" s="1">
        <f t="shared" si="104"/>
        <v>2992</v>
      </c>
      <c r="L858" s="1">
        <f t="shared" si="109"/>
        <v>688.16000000000008</v>
      </c>
      <c r="M858" s="22">
        <f t="shared" si="105"/>
        <v>3680.16</v>
      </c>
      <c r="N858" s="1">
        <f t="shared" ca="1" si="110"/>
        <v>7</v>
      </c>
      <c r="P858" s="1">
        <v>34.772102834540419</v>
      </c>
      <c r="Q858" s="1">
        <f t="shared" ca="1" si="111"/>
        <v>2</v>
      </c>
      <c r="R858" s="1">
        <v>14.379967322165612</v>
      </c>
    </row>
    <row r="859" spans="1:18" x14ac:dyDescent="0.3">
      <c r="A859" s="26">
        <v>858</v>
      </c>
      <c r="B859" s="1">
        <v>24</v>
      </c>
      <c r="C859" s="1">
        <f t="shared" si="107"/>
        <v>9</v>
      </c>
      <c r="D859" s="21">
        <f t="shared" ca="1" si="106"/>
        <v>44613</v>
      </c>
      <c r="E859" s="1" t="s">
        <v>26</v>
      </c>
      <c r="F859" s="1" t="s">
        <v>887</v>
      </c>
      <c r="G859" s="1" t="s">
        <v>28</v>
      </c>
      <c r="H859" s="1">
        <v>957</v>
      </c>
      <c r="I859" s="1">
        <f t="shared" si="108"/>
        <v>47</v>
      </c>
      <c r="J859" s="1">
        <f>VLOOKUP(B859,Cena!$A$2:$B$101,2)</f>
        <v>125</v>
      </c>
      <c r="K859" s="1">
        <f t="shared" si="104"/>
        <v>5875</v>
      </c>
      <c r="L859" s="1">
        <f t="shared" si="109"/>
        <v>1351.25</v>
      </c>
      <c r="M859" s="22">
        <f t="shared" si="105"/>
        <v>7226.25</v>
      </c>
      <c r="N859" s="1">
        <f t="shared" ca="1" si="110"/>
        <v>2</v>
      </c>
      <c r="P859" s="1">
        <v>47.122290551487822</v>
      </c>
      <c r="Q859" s="1">
        <f t="shared" ca="1" si="111"/>
        <v>1</v>
      </c>
      <c r="R859" s="1">
        <v>9.4123839996973402</v>
      </c>
    </row>
    <row r="860" spans="1:18" x14ac:dyDescent="0.3">
      <c r="A860" s="26">
        <v>859</v>
      </c>
      <c r="B860" s="1">
        <v>23</v>
      </c>
      <c r="C860" s="1">
        <f t="shared" si="107"/>
        <v>10</v>
      </c>
      <c r="D860" s="21">
        <f t="shared" ca="1" si="106"/>
        <v>44585</v>
      </c>
      <c r="E860" s="1" t="s">
        <v>26</v>
      </c>
      <c r="F860" s="1" t="s">
        <v>888</v>
      </c>
      <c r="G860" s="1" t="s">
        <v>28</v>
      </c>
      <c r="H860" s="1">
        <v>958</v>
      </c>
      <c r="I860" s="1">
        <f t="shared" si="108"/>
        <v>55</v>
      </c>
      <c r="J860" s="1">
        <f>VLOOKUP(B860,Cena!$A$2:$B$101,2)</f>
        <v>132</v>
      </c>
      <c r="K860" s="1">
        <f t="shared" si="104"/>
        <v>7260</v>
      </c>
      <c r="L860" s="1">
        <f t="shared" si="109"/>
        <v>1669.8000000000002</v>
      </c>
      <c r="M860" s="22">
        <f t="shared" si="105"/>
        <v>8929.7999999999993</v>
      </c>
      <c r="N860" s="1">
        <f t="shared" ca="1" si="110"/>
        <v>1</v>
      </c>
      <c r="P860" s="1">
        <v>55.160018190508708</v>
      </c>
      <c r="Q860" s="1">
        <f t="shared" ca="1" si="111"/>
        <v>2</v>
      </c>
      <c r="R860" s="1">
        <v>10.170052771863993</v>
      </c>
    </row>
    <row r="861" spans="1:18" x14ac:dyDescent="0.3">
      <c r="A861" s="26">
        <v>860</v>
      </c>
      <c r="B861" s="1">
        <v>11</v>
      </c>
      <c r="C861" s="1">
        <f t="shared" si="107"/>
        <v>10</v>
      </c>
      <c r="D861" s="21">
        <f t="shared" ca="1" si="106"/>
        <v>44738</v>
      </c>
      <c r="E861" s="1" t="s">
        <v>26</v>
      </c>
      <c r="F861" s="1" t="s">
        <v>889</v>
      </c>
      <c r="G861" s="1" t="s">
        <v>28</v>
      </c>
      <c r="H861" s="1">
        <v>959</v>
      </c>
      <c r="I861" s="1">
        <f t="shared" si="108"/>
        <v>60</v>
      </c>
      <c r="J861" s="1">
        <f>VLOOKUP(B861,Cena!$A$2:$B$101,2)</f>
        <v>83</v>
      </c>
      <c r="K861" s="1">
        <f t="shared" si="104"/>
        <v>4980</v>
      </c>
      <c r="L861" s="1">
        <f t="shared" si="109"/>
        <v>1145.4000000000001</v>
      </c>
      <c r="M861" s="22">
        <f t="shared" si="105"/>
        <v>6125.4</v>
      </c>
      <c r="N861" s="1">
        <f t="shared" ca="1" si="110"/>
        <v>6</v>
      </c>
      <c r="P861" s="1">
        <v>60.750386536528822</v>
      </c>
      <c r="Q861" s="1">
        <f t="shared" ca="1" si="111"/>
        <v>9</v>
      </c>
      <c r="R861" s="1">
        <v>10.914960196496395</v>
      </c>
    </row>
    <row r="862" spans="1:18" x14ac:dyDescent="0.3">
      <c r="A862" s="26">
        <v>861</v>
      </c>
      <c r="B862" s="1">
        <v>8</v>
      </c>
      <c r="C862" s="1">
        <f t="shared" si="107"/>
        <v>12</v>
      </c>
      <c r="D862" s="21">
        <f t="shared" ca="1" si="106"/>
        <v>44659</v>
      </c>
      <c r="E862" s="1" t="s">
        <v>26</v>
      </c>
      <c r="F862" s="1" t="s">
        <v>890</v>
      </c>
      <c r="G862" s="1" t="s">
        <v>28</v>
      </c>
      <c r="H862" s="1">
        <v>960</v>
      </c>
      <c r="I862" s="1">
        <f t="shared" si="108"/>
        <v>58</v>
      </c>
      <c r="J862" s="1">
        <f>VLOOKUP(B862,Cena!$A$2:$B$101,2)</f>
        <v>88</v>
      </c>
      <c r="K862" s="1">
        <f t="shared" si="104"/>
        <v>5104</v>
      </c>
      <c r="L862" s="1">
        <f t="shared" si="109"/>
        <v>1173.92</v>
      </c>
      <c r="M862" s="22">
        <f t="shared" si="105"/>
        <v>6277.92</v>
      </c>
      <c r="N862" s="1">
        <f t="shared" ca="1" si="110"/>
        <v>4</v>
      </c>
      <c r="P862" s="1">
        <v>58.703557341505075</v>
      </c>
      <c r="Q862" s="1">
        <f t="shared" ca="1" si="111"/>
        <v>27</v>
      </c>
      <c r="R862" s="1">
        <v>12.030134282904328</v>
      </c>
    </row>
    <row r="863" spans="1:18" x14ac:dyDescent="0.3">
      <c r="A863" s="26">
        <v>862</v>
      </c>
      <c r="B863" s="1">
        <v>28</v>
      </c>
      <c r="C863" s="1">
        <f t="shared" si="107"/>
        <v>10</v>
      </c>
      <c r="D863" s="21">
        <f t="shared" ca="1" si="106"/>
        <v>44588</v>
      </c>
      <c r="E863" s="1" t="s">
        <v>26</v>
      </c>
      <c r="F863" s="1" t="s">
        <v>891</v>
      </c>
      <c r="G863" s="1" t="s">
        <v>28</v>
      </c>
      <c r="H863" s="1">
        <v>961</v>
      </c>
      <c r="I863" s="1">
        <f t="shared" si="108"/>
        <v>29</v>
      </c>
      <c r="J863" s="1">
        <f>VLOOKUP(B863,Cena!$A$2:$B$101,2)</f>
        <v>59</v>
      </c>
      <c r="K863" s="1">
        <f t="shared" ref="K863:K926" si="112">I863*J863</f>
        <v>1711</v>
      </c>
      <c r="L863" s="1">
        <f t="shared" si="109"/>
        <v>393.53000000000003</v>
      </c>
      <c r="M863" s="22">
        <f t="shared" ref="M863:M926" si="113">K863+L863</f>
        <v>2104.5300000000002</v>
      </c>
      <c r="N863" s="1">
        <f t="shared" ca="1" si="110"/>
        <v>1</v>
      </c>
      <c r="P863" s="1">
        <v>29.516815074020997</v>
      </c>
      <c r="Q863" s="1">
        <f t="shared" ca="1" si="111"/>
        <v>20</v>
      </c>
      <c r="R863" s="1">
        <v>10.553461632080143</v>
      </c>
    </row>
    <row r="864" spans="1:18" x14ac:dyDescent="0.3">
      <c r="A864" s="26">
        <v>863</v>
      </c>
      <c r="B864" s="1">
        <v>25</v>
      </c>
      <c r="C864" s="1">
        <f t="shared" si="107"/>
        <v>11</v>
      </c>
      <c r="D864" s="21">
        <f t="shared" ca="1" si="106"/>
        <v>44588</v>
      </c>
      <c r="E864" s="1" t="s">
        <v>26</v>
      </c>
      <c r="F864" s="1" t="s">
        <v>892</v>
      </c>
      <c r="G864" s="1" t="s">
        <v>28</v>
      </c>
      <c r="H864" s="1">
        <v>962</v>
      </c>
      <c r="I864" s="1">
        <f t="shared" si="108"/>
        <v>52</v>
      </c>
      <c r="J864" s="1">
        <f>VLOOKUP(B864,Cena!$A$2:$B$101,2)</f>
        <v>108</v>
      </c>
      <c r="K864" s="1">
        <f t="shared" si="112"/>
        <v>5616</v>
      </c>
      <c r="L864" s="1">
        <f t="shared" si="109"/>
        <v>1291.68</v>
      </c>
      <c r="M864" s="22">
        <f t="shared" si="113"/>
        <v>6907.68</v>
      </c>
      <c r="N864" s="1">
        <f t="shared" ca="1" si="110"/>
        <v>1</v>
      </c>
      <c r="P864" s="1">
        <v>52.939964360848535</v>
      </c>
      <c r="Q864" s="1">
        <f t="shared" ca="1" si="111"/>
        <v>3</v>
      </c>
      <c r="R864" s="1">
        <v>11.952392381099344</v>
      </c>
    </row>
    <row r="865" spans="1:18" x14ac:dyDescent="0.3">
      <c r="A865" s="26">
        <v>864</v>
      </c>
      <c r="B865" s="1">
        <v>23</v>
      </c>
      <c r="C865" s="1">
        <f t="shared" si="107"/>
        <v>4</v>
      </c>
      <c r="D865" s="21">
        <f t="shared" ca="1" si="106"/>
        <v>44658</v>
      </c>
      <c r="E865" s="1" t="s">
        <v>26</v>
      </c>
      <c r="F865" s="1" t="s">
        <v>893</v>
      </c>
      <c r="G865" s="1" t="s">
        <v>28</v>
      </c>
      <c r="H865" s="1">
        <v>963</v>
      </c>
      <c r="I865" s="1">
        <f t="shared" si="108"/>
        <v>47</v>
      </c>
      <c r="J865" s="1">
        <f>VLOOKUP(B865,Cena!$A$2:$B$101,2)</f>
        <v>132</v>
      </c>
      <c r="K865" s="1">
        <f t="shared" si="112"/>
        <v>6204</v>
      </c>
      <c r="L865" s="1">
        <f t="shared" si="109"/>
        <v>1426.92</v>
      </c>
      <c r="M865" s="22">
        <f t="shared" si="113"/>
        <v>7630.92</v>
      </c>
      <c r="N865" s="1">
        <f t="shared" ca="1" si="110"/>
        <v>4</v>
      </c>
      <c r="P865" s="1">
        <v>47.401857854129048</v>
      </c>
      <c r="Q865" s="1">
        <f t="shared" ca="1" si="111"/>
        <v>13</v>
      </c>
      <c r="R865" s="1">
        <v>4.7920059639727697</v>
      </c>
    </row>
    <row r="866" spans="1:18" x14ac:dyDescent="0.3">
      <c r="A866" s="26">
        <v>865</v>
      </c>
      <c r="B866" s="1">
        <v>26</v>
      </c>
      <c r="C866" s="1">
        <f t="shared" si="107"/>
        <v>10</v>
      </c>
      <c r="D866" s="21">
        <f t="shared" ca="1" si="106"/>
        <v>44597</v>
      </c>
      <c r="E866" s="1" t="s">
        <v>26</v>
      </c>
      <c r="F866" s="1" t="s">
        <v>894</v>
      </c>
      <c r="G866" s="1" t="s">
        <v>28</v>
      </c>
      <c r="H866" s="1">
        <v>964</v>
      </c>
      <c r="I866" s="1">
        <f t="shared" si="108"/>
        <v>33</v>
      </c>
      <c r="J866" s="1">
        <f>VLOOKUP(B866,Cena!$A$2:$B$101,2)</f>
        <v>99</v>
      </c>
      <c r="K866" s="1">
        <f t="shared" si="112"/>
        <v>3267</v>
      </c>
      <c r="L866" s="1">
        <f t="shared" si="109"/>
        <v>751.41000000000008</v>
      </c>
      <c r="M866" s="22">
        <f t="shared" si="113"/>
        <v>4018.41</v>
      </c>
      <c r="N866" s="1">
        <f t="shared" ca="1" si="110"/>
        <v>2</v>
      </c>
      <c r="P866" s="1">
        <v>33.811176207382232</v>
      </c>
      <c r="Q866" s="1">
        <f t="shared" ca="1" si="111"/>
        <v>12</v>
      </c>
      <c r="R866" s="1">
        <v>10.882113226907677</v>
      </c>
    </row>
    <row r="867" spans="1:18" x14ac:dyDescent="0.3">
      <c r="A867" s="26">
        <v>866</v>
      </c>
      <c r="B867" s="1">
        <v>27</v>
      </c>
      <c r="C867" s="1">
        <f t="shared" si="107"/>
        <v>13</v>
      </c>
      <c r="D867" s="21">
        <f t="shared" ca="1" si="106"/>
        <v>44703</v>
      </c>
      <c r="E867" s="1" t="s">
        <v>26</v>
      </c>
      <c r="F867" s="1" t="s">
        <v>895</v>
      </c>
      <c r="G867" s="1" t="s">
        <v>28</v>
      </c>
      <c r="H867" s="1">
        <v>965</v>
      </c>
      <c r="I867" s="1">
        <f t="shared" si="108"/>
        <v>49</v>
      </c>
      <c r="J867" s="1">
        <f>VLOOKUP(B867,Cena!$A$2:$B$101,2)</f>
        <v>87</v>
      </c>
      <c r="K867" s="1">
        <f t="shared" si="112"/>
        <v>4263</v>
      </c>
      <c r="L867" s="1">
        <f t="shared" si="109"/>
        <v>980.49</v>
      </c>
      <c r="M867" s="22">
        <f t="shared" si="113"/>
        <v>5243.49</v>
      </c>
      <c r="N867" s="1">
        <f t="shared" ca="1" si="110"/>
        <v>5</v>
      </c>
      <c r="P867" s="1">
        <v>49.26073996903142</v>
      </c>
      <c r="Q867" s="1">
        <f t="shared" ca="1" si="111"/>
        <v>17</v>
      </c>
      <c r="R867" s="1">
        <v>13.621903488237876</v>
      </c>
    </row>
    <row r="868" spans="1:18" x14ac:dyDescent="0.3">
      <c r="A868" s="26">
        <v>867</v>
      </c>
      <c r="B868" s="1">
        <v>14</v>
      </c>
      <c r="C868" s="1">
        <f t="shared" si="107"/>
        <v>11</v>
      </c>
      <c r="D868" s="21">
        <f t="shared" ca="1" si="106"/>
        <v>44626</v>
      </c>
      <c r="E868" s="1" t="s">
        <v>26</v>
      </c>
      <c r="F868" s="1" t="s">
        <v>896</v>
      </c>
      <c r="G868" s="1" t="s">
        <v>28</v>
      </c>
      <c r="H868" s="1">
        <v>966</v>
      </c>
      <c r="I868" s="1">
        <f t="shared" si="108"/>
        <v>47</v>
      </c>
      <c r="J868" s="1">
        <f>VLOOKUP(B868,Cena!$A$2:$B$101,2)</f>
        <v>129</v>
      </c>
      <c r="K868" s="1">
        <f t="shared" si="112"/>
        <v>6063</v>
      </c>
      <c r="L868" s="1">
        <f t="shared" si="109"/>
        <v>1394.49</v>
      </c>
      <c r="M868" s="22">
        <f t="shared" si="113"/>
        <v>7457.49</v>
      </c>
      <c r="N868" s="1">
        <f t="shared" ca="1" si="110"/>
        <v>3</v>
      </c>
      <c r="P868" s="1">
        <v>47.671557139256038</v>
      </c>
      <c r="Q868" s="1">
        <f t="shared" ca="1" si="111"/>
        <v>15</v>
      </c>
      <c r="R868" s="1">
        <v>11.589222620168584</v>
      </c>
    </row>
    <row r="869" spans="1:18" x14ac:dyDescent="0.3">
      <c r="A869" s="26">
        <v>868</v>
      </c>
      <c r="B869" s="1">
        <v>9</v>
      </c>
      <c r="C869" s="1">
        <f t="shared" si="107"/>
        <v>9</v>
      </c>
      <c r="D869" s="21">
        <f t="shared" ca="1" si="106"/>
        <v>44786</v>
      </c>
      <c r="E869" s="1" t="s">
        <v>26</v>
      </c>
      <c r="F869" s="1" t="s">
        <v>897</v>
      </c>
      <c r="G869" s="1" t="s">
        <v>28</v>
      </c>
      <c r="H869" s="1">
        <v>967</v>
      </c>
      <c r="I869" s="1">
        <f t="shared" si="108"/>
        <v>49</v>
      </c>
      <c r="J869" s="1">
        <f>VLOOKUP(B869,Cena!$A$2:$B$101,2)</f>
        <v>96</v>
      </c>
      <c r="K869" s="1">
        <f t="shared" si="112"/>
        <v>4704</v>
      </c>
      <c r="L869" s="1">
        <f t="shared" si="109"/>
        <v>1081.92</v>
      </c>
      <c r="M869" s="22">
        <f t="shared" si="113"/>
        <v>5785.92</v>
      </c>
      <c r="N869" s="1">
        <f t="shared" ca="1" si="110"/>
        <v>8</v>
      </c>
      <c r="P869" s="1">
        <v>49.988142462825635</v>
      </c>
      <c r="Q869" s="1">
        <f t="shared" ca="1" si="111"/>
        <v>5</v>
      </c>
      <c r="R869" s="1">
        <v>9.5612370184971951</v>
      </c>
    </row>
    <row r="870" spans="1:18" x14ac:dyDescent="0.3">
      <c r="A870" s="26">
        <v>869</v>
      </c>
      <c r="B870" s="1">
        <v>18</v>
      </c>
      <c r="C870" s="1">
        <f t="shared" si="107"/>
        <v>3</v>
      </c>
      <c r="D870" s="21">
        <f t="shared" ca="1" si="106"/>
        <v>44714</v>
      </c>
      <c r="E870" s="1" t="s">
        <v>26</v>
      </c>
      <c r="F870" s="1" t="s">
        <v>898</v>
      </c>
      <c r="G870" s="1" t="s">
        <v>28</v>
      </c>
      <c r="H870" s="1">
        <v>968</v>
      </c>
      <c r="I870" s="1">
        <f t="shared" si="108"/>
        <v>52</v>
      </c>
      <c r="J870" s="1">
        <f>VLOOKUP(B870,Cena!$A$2:$B$101,2)</f>
        <v>90</v>
      </c>
      <c r="K870" s="1">
        <f t="shared" si="112"/>
        <v>4680</v>
      </c>
      <c r="L870" s="1">
        <f t="shared" si="109"/>
        <v>1076.4000000000001</v>
      </c>
      <c r="M870" s="22">
        <f t="shared" si="113"/>
        <v>5756.4</v>
      </c>
      <c r="N870" s="1">
        <f t="shared" ca="1" si="110"/>
        <v>6</v>
      </c>
      <c r="P870" s="1">
        <v>52.149602096324088</v>
      </c>
      <c r="Q870" s="1">
        <f t="shared" ca="1" si="111"/>
        <v>26</v>
      </c>
      <c r="R870" s="1">
        <v>3.539950082777068</v>
      </c>
    </row>
    <row r="871" spans="1:18" x14ac:dyDescent="0.3">
      <c r="A871" s="26">
        <v>870</v>
      </c>
      <c r="B871" s="1">
        <v>7</v>
      </c>
      <c r="C871" s="1">
        <f t="shared" si="107"/>
        <v>11</v>
      </c>
      <c r="D871" s="21">
        <f t="shared" ca="1" si="106"/>
        <v>44778</v>
      </c>
      <c r="E871" s="1" t="s">
        <v>26</v>
      </c>
      <c r="F871" s="1" t="s">
        <v>899</v>
      </c>
      <c r="G871" s="1" t="s">
        <v>28</v>
      </c>
      <c r="H871" s="1">
        <v>969</v>
      </c>
      <c r="I871" s="1">
        <f t="shared" si="108"/>
        <v>50</v>
      </c>
      <c r="J871" s="1">
        <f>VLOOKUP(B871,Cena!$A$2:$B$101,2)</f>
        <v>104</v>
      </c>
      <c r="K871" s="1">
        <f t="shared" si="112"/>
        <v>5200</v>
      </c>
      <c r="L871" s="1">
        <f t="shared" si="109"/>
        <v>1196</v>
      </c>
      <c r="M871" s="22">
        <f t="shared" si="113"/>
        <v>6396</v>
      </c>
      <c r="N871" s="1">
        <f t="shared" ca="1" si="110"/>
        <v>8</v>
      </c>
      <c r="P871" s="1">
        <v>50.807551714387955</v>
      </c>
      <c r="Q871" s="1">
        <f t="shared" ca="1" si="111"/>
        <v>15</v>
      </c>
      <c r="R871" s="1">
        <v>11.487072154304769</v>
      </c>
    </row>
    <row r="872" spans="1:18" x14ac:dyDescent="0.3">
      <c r="A872" s="26">
        <v>871</v>
      </c>
      <c r="B872" s="1">
        <v>8</v>
      </c>
      <c r="C872" s="1">
        <f t="shared" si="107"/>
        <v>10</v>
      </c>
      <c r="D872" s="21">
        <f t="shared" ca="1" si="106"/>
        <v>44624</v>
      </c>
      <c r="E872" s="1" t="s">
        <v>26</v>
      </c>
      <c r="F872" s="1" t="s">
        <v>900</v>
      </c>
      <c r="G872" s="1" t="s">
        <v>28</v>
      </c>
      <c r="H872" s="1">
        <v>970</v>
      </c>
      <c r="I872" s="1">
        <f t="shared" si="108"/>
        <v>55</v>
      </c>
      <c r="J872" s="1">
        <f>VLOOKUP(B872,Cena!$A$2:$B$101,2)</f>
        <v>88</v>
      </c>
      <c r="K872" s="1">
        <f t="shared" si="112"/>
        <v>4840</v>
      </c>
      <c r="L872" s="1">
        <f t="shared" si="109"/>
        <v>1113.2</v>
      </c>
      <c r="M872" s="22">
        <f t="shared" si="113"/>
        <v>5953.2</v>
      </c>
      <c r="N872" s="1">
        <f t="shared" ca="1" si="110"/>
        <v>3</v>
      </c>
      <c r="P872" s="1">
        <v>55.997662810841575</v>
      </c>
      <c r="Q872" s="1">
        <f t="shared" ca="1" si="111"/>
        <v>23</v>
      </c>
      <c r="R872" s="1">
        <v>10.204957473215472</v>
      </c>
    </row>
    <row r="873" spans="1:18" x14ac:dyDescent="0.3">
      <c r="A873" s="26">
        <v>872</v>
      </c>
      <c r="B873" s="1">
        <v>19</v>
      </c>
      <c r="C873" s="1">
        <f t="shared" si="107"/>
        <v>12</v>
      </c>
      <c r="D873" s="21">
        <f t="shared" ca="1" si="106"/>
        <v>44910</v>
      </c>
      <c r="E873" s="1" t="s">
        <v>26</v>
      </c>
      <c r="F873" s="1" t="s">
        <v>901</v>
      </c>
      <c r="G873" s="1" t="s">
        <v>28</v>
      </c>
      <c r="H873" s="1">
        <v>971</v>
      </c>
      <c r="I873" s="1">
        <f t="shared" si="108"/>
        <v>52</v>
      </c>
      <c r="J873" s="1">
        <f>VLOOKUP(B873,Cena!$A$2:$B$101,2)</f>
        <v>84</v>
      </c>
      <c r="K873" s="1">
        <f t="shared" si="112"/>
        <v>4368</v>
      </c>
      <c r="L873" s="1">
        <f t="shared" si="109"/>
        <v>1004.6400000000001</v>
      </c>
      <c r="M873" s="22">
        <f t="shared" si="113"/>
        <v>5372.64</v>
      </c>
      <c r="N873" s="1">
        <f t="shared" ca="1" si="110"/>
        <v>12</v>
      </c>
      <c r="P873" s="1">
        <v>52.613182914501522</v>
      </c>
      <c r="Q873" s="1">
        <f t="shared" ca="1" si="111"/>
        <v>18</v>
      </c>
      <c r="R873" s="1">
        <v>12.339800175832352</v>
      </c>
    </row>
    <row r="874" spans="1:18" x14ac:dyDescent="0.3">
      <c r="A874" s="26">
        <v>873</v>
      </c>
      <c r="B874" s="1">
        <v>9</v>
      </c>
      <c r="C874" s="1">
        <f t="shared" si="107"/>
        <v>9</v>
      </c>
      <c r="D874" s="21">
        <f t="shared" ca="1" si="106"/>
        <v>44704</v>
      </c>
      <c r="E874" s="1" t="s">
        <v>26</v>
      </c>
      <c r="F874" s="1" t="s">
        <v>902</v>
      </c>
      <c r="G874" s="1" t="s">
        <v>28</v>
      </c>
      <c r="H874" s="1">
        <v>972</v>
      </c>
      <c r="I874" s="1">
        <f t="shared" si="108"/>
        <v>47</v>
      </c>
      <c r="J874" s="1">
        <f>VLOOKUP(B874,Cena!$A$2:$B$101,2)</f>
        <v>96</v>
      </c>
      <c r="K874" s="1">
        <f t="shared" si="112"/>
        <v>4512</v>
      </c>
      <c r="L874" s="1">
        <f t="shared" si="109"/>
        <v>1037.76</v>
      </c>
      <c r="M874" s="22">
        <f t="shared" si="113"/>
        <v>5549.76</v>
      </c>
      <c r="N874" s="1">
        <f t="shared" ca="1" si="110"/>
        <v>5</v>
      </c>
      <c r="P874" s="1">
        <v>47.754002833971754</v>
      </c>
      <c r="Q874" s="1">
        <f t="shared" ca="1" si="111"/>
        <v>15</v>
      </c>
      <c r="R874" s="1">
        <v>9.6319616002438124</v>
      </c>
    </row>
    <row r="875" spans="1:18" x14ac:dyDescent="0.3">
      <c r="A875" s="26">
        <v>874</v>
      </c>
      <c r="B875" s="1">
        <v>12</v>
      </c>
      <c r="C875" s="1">
        <f t="shared" si="107"/>
        <v>11</v>
      </c>
      <c r="D875" s="21">
        <f t="shared" ca="1" si="106"/>
        <v>44798</v>
      </c>
      <c r="E875" s="1" t="s">
        <v>26</v>
      </c>
      <c r="F875" s="1" t="s">
        <v>903</v>
      </c>
      <c r="G875" s="1" t="s">
        <v>28</v>
      </c>
      <c r="H875" s="1">
        <v>973</v>
      </c>
      <c r="I875" s="1">
        <f t="shared" si="108"/>
        <v>55</v>
      </c>
      <c r="J875" s="1">
        <f>VLOOKUP(B875,Cena!$A$2:$B$101,2)</f>
        <v>88</v>
      </c>
      <c r="K875" s="1">
        <f t="shared" si="112"/>
        <v>4840</v>
      </c>
      <c r="L875" s="1">
        <f t="shared" si="109"/>
        <v>1113.2</v>
      </c>
      <c r="M875" s="22">
        <f t="shared" si="113"/>
        <v>5953.2</v>
      </c>
      <c r="N875" s="1">
        <f t="shared" ca="1" si="110"/>
        <v>8</v>
      </c>
      <c r="P875" s="1">
        <v>55.953768322797259</v>
      </c>
      <c r="Q875" s="1">
        <f t="shared" ca="1" si="111"/>
        <v>14</v>
      </c>
      <c r="R875" s="1">
        <v>11.037989250107785</v>
      </c>
    </row>
    <row r="876" spans="1:18" x14ac:dyDescent="0.3">
      <c r="A876" s="26">
        <v>875</v>
      </c>
      <c r="B876" s="1">
        <v>6</v>
      </c>
      <c r="C876" s="1">
        <f t="shared" si="107"/>
        <v>10</v>
      </c>
      <c r="D876" s="21">
        <f t="shared" ca="1" si="106"/>
        <v>44638</v>
      </c>
      <c r="E876" s="1" t="s">
        <v>26</v>
      </c>
      <c r="F876" s="1" t="s">
        <v>904</v>
      </c>
      <c r="G876" s="1" t="s">
        <v>28</v>
      </c>
      <c r="H876" s="1">
        <v>974</v>
      </c>
      <c r="I876" s="1">
        <f t="shared" si="108"/>
        <v>62</v>
      </c>
      <c r="J876" s="1">
        <f>VLOOKUP(B876,Cena!$A$2:$B$101,2)</f>
        <v>86</v>
      </c>
      <c r="K876" s="1">
        <f t="shared" si="112"/>
        <v>5332</v>
      </c>
      <c r="L876" s="1">
        <f t="shared" si="109"/>
        <v>1226.3600000000001</v>
      </c>
      <c r="M876" s="22">
        <f t="shared" si="113"/>
        <v>6558.3600000000006</v>
      </c>
      <c r="N876" s="1">
        <f t="shared" ca="1" si="110"/>
        <v>3</v>
      </c>
      <c r="P876" s="1">
        <v>62.754389899782836</v>
      </c>
      <c r="Q876" s="1">
        <f t="shared" ca="1" si="111"/>
        <v>14</v>
      </c>
      <c r="R876" s="1">
        <v>10.947142098084441</v>
      </c>
    </row>
    <row r="877" spans="1:18" x14ac:dyDescent="0.3">
      <c r="A877" s="26">
        <v>876</v>
      </c>
      <c r="B877" s="1">
        <v>9</v>
      </c>
      <c r="C877" s="1">
        <f t="shared" si="107"/>
        <v>11</v>
      </c>
      <c r="D877" s="21">
        <f t="shared" ca="1" si="106"/>
        <v>44572</v>
      </c>
      <c r="E877" s="1" t="s">
        <v>26</v>
      </c>
      <c r="F877" s="1" t="s">
        <v>905</v>
      </c>
      <c r="G877" s="1" t="s">
        <v>28</v>
      </c>
      <c r="H877" s="1">
        <v>975</v>
      </c>
      <c r="I877" s="1">
        <f t="shared" si="108"/>
        <v>51</v>
      </c>
      <c r="J877" s="1">
        <f>VLOOKUP(B877,Cena!$A$2:$B$101,2)</f>
        <v>96</v>
      </c>
      <c r="K877" s="1">
        <f t="shared" si="112"/>
        <v>4896</v>
      </c>
      <c r="L877" s="1">
        <f t="shared" si="109"/>
        <v>1126.0800000000002</v>
      </c>
      <c r="M877" s="22">
        <f t="shared" si="113"/>
        <v>6022.08</v>
      </c>
      <c r="N877" s="1">
        <f t="shared" ca="1" si="110"/>
        <v>1</v>
      </c>
      <c r="P877" s="1">
        <v>51.408773186994949</v>
      </c>
      <c r="Q877" s="1">
        <f t="shared" ca="1" si="111"/>
        <v>16</v>
      </c>
      <c r="R877" s="1">
        <v>11.346484168607276</v>
      </c>
    </row>
    <row r="878" spans="1:18" x14ac:dyDescent="0.3">
      <c r="A878" s="26">
        <v>877</v>
      </c>
      <c r="B878" s="1">
        <v>30</v>
      </c>
      <c r="C878" s="1">
        <f t="shared" si="107"/>
        <v>7</v>
      </c>
      <c r="D878" s="21">
        <f t="shared" ca="1" si="106"/>
        <v>44699</v>
      </c>
      <c r="E878" s="1" t="s">
        <v>26</v>
      </c>
      <c r="F878" s="1" t="s">
        <v>906</v>
      </c>
      <c r="G878" s="1" t="s">
        <v>28</v>
      </c>
      <c r="H878" s="1">
        <v>976</v>
      </c>
      <c r="I878" s="1">
        <f t="shared" si="108"/>
        <v>69</v>
      </c>
      <c r="J878" s="1">
        <f>VLOOKUP(B878,Cena!$A$2:$B$101,2)</f>
        <v>87</v>
      </c>
      <c r="K878" s="1">
        <f t="shared" si="112"/>
        <v>6003</v>
      </c>
      <c r="L878" s="1">
        <f t="shared" si="109"/>
        <v>1380.69</v>
      </c>
      <c r="M878" s="22">
        <f t="shared" si="113"/>
        <v>7383.6900000000005</v>
      </c>
      <c r="N878" s="1">
        <f t="shared" ca="1" si="110"/>
        <v>5</v>
      </c>
      <c r="P878" s="1">
        <v>69.117396732326597</v>
      </c>
      <c r="Q878" s="1">
        <f t="shared" ca="1" si="111"/>
        <v>22</v>
      </c>
      <c r="R878" s="1">
        <v>7.1104159612877993</v>
      </c>
    </row>
    <row r="879" spans="1:18" x14ac:dyDescent="0.3">
      <c r="A879" s="26">
        <v>878</v>
      </c>
      <c r="B879" s="1">
        <v>25</v>
      </c>
      <c r="C879" s="1">
        <f t="shared" si="107"/>
        <v>11</v>
      </c>
      <c r="D879" s="21">
        <f t="shared" ca="1" si="106"/>
        <v>44890</v>
      </c>
      <c r="E879" s="1" t="s">
        <v>26</v>
      </c>
      <c r="F879" s="1" t="s">
        <v>907</v>
      </c>
      <c r="G879" s="1" t="s">
        <v>28</v>
      </c>
      <c r="H879" s="1">
        <v>977</v>
      </c>
      <c r="I879" s="1">
        <f t="shared" si="108"/>
        <v>43</v>
      </c>
      <c r="J879" s="1">
        <f>VLOOKUP(B879,Cena!$A$2:$B$101,2)</f>
        <v>108</v>
      </c>
      <c r="K879" s="1">
        <f t="shared" si="112"/>
        <v>4644</v>
      </c>
      <c r="L879" s="1">
        <f t="shared" si="109"/>
        <v>1068.1200000000001</v>
      </c>
      <c r="M879" s="22">
        <f t="shared" si="113"/>
        <v>5712.12</v>
      </c>
      <c r="N879" s="1">
        <f t="shared" ca="1" si="110"/>
        <v>11</v>
      </c>
      <c r="P879" s="1">
        <v>43.829283084778581</v>
      </c>
      <c r="Q879" s="1">
        <f t="shared" ca="1" si="111"/>
        <v>26</v>
      </c>
      <c r="R879" s="1">
        <v>11.085078338292078</v>
      </c>
    </row>
    <row r="880" spans="1:18" x14ac:dyDescent="0.3">
      <c r="A880" s="26">
        <v>879</v>
      </c>
      <c r="B880" s="1">
        <v>24</v>
      </c>
      <c r="C880" s="1">
        <f t="shared" si="107"/>
        <v>9</v>
      </c>
      <c r="D880" s="21">
        <f t="shared" ca="1" si="106"/>
        <v>44735</v>
      </c>
      <c r="E880" s="1" t="s">
        <v>26</v>
      </c>
      <c r="F880" s="1" t="s">
        <v>908</v>
      </c>
      <c r="G880" s="1" t="s">
        <v>28</v>
      </c>
      <c r="H880" s="1">
        <v>978</v>
      </c>
      <c r="I880" s="1">
        <f t="shared" si="108"/>
        <v>38</v>
      </c>
      <c r="J880" s="1">
        <f>VLOOKUP(B880,Cena!$A$2:$B$101,2)</f>
        <v>125</v>
      </c>
      <c r="K880" s="1">
        <f t="shared" si="112"/>
        <v>4750</v>
      </c>
      <c r="L880" s="1">
        <f t="shared" si="109"/>
        <v>1092.5</v>
      </c>
      <c r="M880" s="22">
        <f t="shared" si="113"/>
        <v>5842.5</v>
      </c>
      <c r="N880" s="1">
        <f t="shared" ca="1" si="110"/>
        <v>6</v>
      </c>
      <c r="P880" s="1">
        <v>38.518902682699263</v>
      </c>
      <c r="Q880" s="1">
        <f t="shared" ca="1" si="111"/>
        <v>23</v>
      </c>
      <c r="R880" s="1">
        <v>9.4437956729598227</v>
      </c>
    </row>
    <row r="881" spans="1:18" x14ac:dyDescent="0.3">
      <c r="A881" s="26">
        <v>880</v>
      </c>
      <c r="B881" s="1">
        <v>28</v>
      </c>
      <c r="C881" s="1">
        <f t="shared" si="107"/>
        <v>8</v>
      </c>
      <c r="D881" s="21">
        <f t="shared" ca="1" si="106"/>
        <v>44752</v>
      </c>
      <c r="E881" s="1" t="s">
        <v>26</v>
      </c>
      <c r="F881" s="1" t="s">
        <v>909</v>
      </c>
      <c r="G881" s="1" t="s">
        <v>28</v>
      </c>
      <c r="H881" s="1">
        <v>979</v>
      </c>
      <c r="I881" s="1">
        <f t="shared" si="108"/>
        <v>54</v>
      </c>
      <c r="J881" s="1">
        <f>VLOOKUP(B881,Cena!$A$2:$B$101,2)</f>
        <v>59</v>
      </c>
      <c r="K881" s="1">
        <f t="shared" si="112"/>
        <v>3186</v>
      </c>
      <c r="L881" s="1">
        <f t="shared" si="109"/>
        <v>732.78000000000009</v>
      </c>
      <c r="M881" s="22">
        <f t="shared" si="113"/>
        <v>3918.78</v>
      </c>
      <c r="N881" s="1">
        <f t="shared" ca="1" si="110"/>
        <v>7</v>
      </c>
      <c r="P881" s="1">
        <v>54.503112904785667</v>
      </c>
      <c r="Q881" s="1">
        <f t="shared" ca="1" si="111"/>
        <v>28</v>
      </c>
      <c r="R881" s="1">
        <v>8.0283519107615575</v>
      </c>
    </row>
    <row r="882" spans="1:18" x14ac:dyDescent="0.3">
      <c r="A882" s="26">
        <v>881</v>
      </c>
      <c r="B882" s="1">
        <v>26</v>
      </c>
      <c r="C882" s="1">
        <f t="shared" si="107"/>
        <v>11</v>
      </c>
      <c r="D882" s="21">
        <f t="shared" ca="1" si="106"/>
        <v>44728</v>
      </c>
      <c r="E882" s="1" t="s">
        <v>26</v>
      </c>
      <c r="F882" s="1" t="s">
        <v>910</v>
      </c>
      <c r="G882" s="1" t="s">
        <v>28</v>
      </c>
      <c r="H882" s="1">
        <v>980</v>
      </c>
      <c r="I882" s="1">
        <f t="shared" si="108"/>
        <v>36</v>
      </c>
      <c r="J882" s="1">
        <f>VLOOKUP(B882,Cena!$A$2:$B$101,2)</f>
        <v>99</v>
      </c>
      <c r="K882" s="1">
        <f t="shared" si="112"/>
        <v>3564</v>
      </c>
      <c r="L882" s="1">
        <f t="shared" si="109"/>
        <v>819.72</v>
      </c>
      <c r="M882" s="22">
        <f t="shared" si="113"/>
        <v>4383.72</v>
      </c>
      <c r="N882" s="1">
        <f t="shared" ca="1" si="110"/>
        <v>6</v>
      </c>
      <c r="P882" s="1">
        <v>36.928673934016842</v>
      </c>
      <c r="Q882" s="1">
        <f t="shared" ca="1" si="111"/>
        <v>27</v>
      </c>
      <c r="R882" s="1">
        <v>11.369537017126277</v>
      </c>
    </row>
    <row r="883" spans="1:18" x14ac:dyDescent="0.3">
      <c r="A883" s="26">
        <v>882</v>
      </c>
      <c r="B883" s="1">
        <v>30</v>
      </c>
      <c r="C883" s="1">
        <f t="shared" si="107"/>
        <v>16</v>
      </c>
      <c r="D883" s="21">
        <f t="shared" ca="1" si="106"/>
        <v>44815</v>
      </c>
      <c r="E883" s="1" t="s">
        <v>26</v>
      </c>
      <c r="F883" s="1" t="s">
        <v>911</v>
      </c>
      <c r="G883" s="1" t="s">
        <v>28</v>
      </c>
      <c r="H883" s="1">
        <v>981</v>
      </c>
      <c r="I883" s="1">
        <f t="shared" si="108"/>
        <v>60</v>
      </c>
      <c r="J883" s="1">
        <f>VLOOKUP(B883,Cena!$A$2:$B$101,2)</f>
        <v>87</v>
      </c>
      <c r="K883" s="1">
        <f t="shared" si="112"/>
        <v>5220</v>
      </c>
      <c r="L883" s="1">
        <f t="shared" si="109"/>
        <v>1200.6000000000001</v>
      </c>
      <c r="M883" s="22">
        <f t="shared" si="113"/>
        <v>6420.6</v>
      </c>
      <c r="N883" s="1">
        <f t="shared" ca="1" si="110"/>
        <v>9</v>
      </c>
      <c r="P883" s="1">
        <v>60.806456884893123</v>
      </c>
      <c r="Q883" s="1">
        <f t="shared" ca="1" si="111"/>
        <v>18</v>
      </c>
      <c r="R883" s="1">
        <v>16.301252142293379</v>
      </c>
    </row>
    <row r="884" spans="1:18" x14ac:dyDescent="0.3">
      <c r="A884" s="26">
        <v>883</v>
      </c>
      <c r="B884" s="1">
        <v>16</v>
      </c>
      <c r="C884" s="1">
        <f t="shared" si="107"/>
        <v>13</v>
      </c>
      <c r="D884" s="21">
        <f t="shared" ca="1" si="106"/>
        <v>44739</v>
      </c>
      <c r="E884" s="1" t="s">
        <v>26</v>
      </c>
      <c r="F884" s="1" t="s">
        <v>912</v>
      </c>
      <c r="G884" s="1" t="s">
        <v>28</v>
      </c>
      <c r="H884" s="1">
        <v>982</v>
      </c>
      <c r="I884" s="1">
        <f t="shared" si="108"/>
        <v>44</v>
      </c>
      <c r="J884" s="1">
        <f>VLOOKUP(B884,Cena!$A$2:$B$101,2)</f>
        <v>93</v>
      </c>
      <c r="K884" s="1">
        <f t="shared" si="112"/>
        <v>4092</v>
      </c>
      <c r="L884" s="1">
        <f t="shared" si="109"/>
        <v>941.16000000000008</v>
      </c>
      <c r="M884" s="22">
        <f t="shared" si="113"/>
        <v>5033.16</v>
      </c>
      <c r="N884" s="1">
        <f t="shared" ca="1" si="110"/>
        <v>6</v>
      </c>
      <c r="P884" s="1">
        <v>44.372808487241855</v>
      </c>
      <c r="Q884" s="1">
        <f t="shared" ca="1" si="111"/>
        <v>22</v>
      </c>
      <c r="R884" s="1">
        <v>13.604509402066469</v>
      </c>
    </row>
    <row r="885" spans="1:18" x14ac:dyDescent="0.3">
      <c r="A885" s="26">
        <v>884</v>
      </c>
      <c r="B885" s="1">
        <v>3</v>
      </c>
      <c r="C885" s="1">
        <f t="shared" si="107"/>
        <v>4</v>
      </c>
      <c r="D885" s="21">
        <f t="shared" ca="1" si="106"/>
        <v>44920</v>
      </c>
      <c r="E885" s="1" t="s">
        <v>26</v>
      </c>
      <c r="F885" s="1" t="s">
        <v>913</v>
      </c>
      <c r="G885" s="1" t="s">
        <v>28</v>
      </c>
      <c r="H885" s="1">
        <v>983</v>
      </c>
      <c r="I885" s="1">
        <f t="shared" si="108"/>
        <v>63</v>
      </c>
      <c r="J885" s="1">
        <f>VLOOKUP(B885,Cena!$A$2:$B$101,2)</f>
        <v>89</v>
      </c>
      <c r="K885" s="1">
        <f t="shared" si="112"/>
        <v>5607</v>
      </c>
      <c r="L885" s="1">
        <f t="shared" si="109"/>
        <v>1289.6100000000001</v>
      </c>
      <c r="M885" s="22">
        <f t="shared" si="113"/>
        <v>6896.6100000000006</v>
      </c>
      <c r="N885" s="1">
        <f t="shared" ca="1" si="110"/>
        <v>12</v>
      </c>
      <c r="P885" s="1">
        <v>63.785461305815261</v>
      </c>
      <c r="Q885" s="1">
        <f t="shared" ca="1" si="111"/>
        <v>30</v>
      </c>
      <c r="R885" s="1">
        <v>4.4637693261029199</v>
      </c>
    </row>
    <row r="886" spans="1:18" x14ac:dyDescent="0.3">
      <c r="A886" s="26">
        <v>885</v>
      </c>
      <c r="B886" s="1">
        <v>10</v>
      </c>
      <c r="C886" s="1">
        <f t="shared" si="107"/>
        <v>12</v>
      </c>
      <c r="D886" s="21">
        <f t="shared" ca="1" si="106"/>
        <v>44566</v>
      </c>
      <c r="E886" s="1" t="s">
        <v>26</v>
      </c>
      <c r="F886" s="1" t="s">
        <v>914</v>
      </c>
      <c r="G886" s="1" t="s">
        <v>28</v>
      </c>
      <c r="H886" s="1">
        <v>984</v>
      </c>
      <c r="I886" s="1">
        <f t="shared" si="108"/>
        <v>52</v>
      </c>
      <c r="J886" s="1">
        <f>VLOOKUP(B886,Cena!$A$2:$B$101,2)</f>
        <v>109</v>
      </c>
      <c r="K886" s="1">
        <f t="shared" si="112"/>
        <v>5668</v>
      </c>
      <c r="L886" s="1">
        <f t="shared" si="109"/>
        <v>1303.6400000000001</v>
      </c>
      <c r="M886" s="22">
        <f t="shared" si="113"/>
        <v>6971.64</v>
      </c>
      <c r="N886" s="1">
        <f t="shared" ca="1" si="110"/>
        <v>1</v>
      </c>
      <c r="P886" s="1">
        <v>52.297019818797708</v>
      </c>
      <c r="Q886" s="1">
        <f t="shared" ca="1" si="111"/>
        <v>16</v>
      </c>
      <c r="R886" s="1">
        <v>12.651410113685415</v>
      </c>
    </row>
    <row r="887" spans="1:18" x14ac:dyDescent="0.3">
      <c r="A887" s="26">
        <v>886</v>
      </c>
      <c r="B887" s="1">
        <v>4</v>
      </c>
      <c r="C887" s="1">
        <f t="shared" si="107"/>
        <v>8</v>
      </c>
      <c r="D887" s="21">
        <f t="shared" ca="1" si="106"/>
        <v>44754</v>
      </c>
      <c r="E887" s="1" t="s">
        <v>26</v>
      </c>
      <c r="F887" s="1" t="s">
        <v>915</v>
      </c>
      <c r="G887" s="1" t="s">
        <v>28</v>
      </c>
      <c r="H887" s="1">
        <v>985</v>
      </c>
      <c r="I887" s="1">
        <f t="shared" si="108"/>
        <v>50</v>
      </c>
      <c r="J887" s="1">
        <f>VLOOKUP(B887,Cena!$A$2:$B$101,2)</f>
        <v>99</v>
      </c>
      <c r="K887" s="1">
        <f t="shared" si="112"/>
        <v>4950</v>
      </c>
      <c r="L887" s="1">
        <f t="shared" si="109"/>
        <v>1138.5</v>
      </c>
      <c r="M887" s="22">
        <f t="shared" si="113"/>
        <v>6088.5</v>
      </c>
      <c r="N887" s="1">
        <f t="shared" ca="1" si="110"/>
        <v>7</v>
      </c>
      <c r="P887" s="1">
        <v>50.19317667465657</v>
      </c>
      <c r="Q887" s="1">
        <f t="shared" ca="1" si="111"/>
        <v>22</v>
      </c>
      <c r="R887" s="1">
        <v>8.3553806259806152</v>
      </c>
    </row>
    <row r="888" spans="1:18" x14ac:dyDescent="0.3">
      <c r="A888" s="26">
        <v>887</v>
      </c>
      <c r="B888" s="1">
        <v>4</v>
      </c>
      <c r="C888" s="1">
        <f t="shared" si="107"/>
        <v>5</v>
      </c>
      <c r="D888" s="21">
        <f t="shared" ca="1" si="106"/>
        <v>44566</v>
      </c>
      <c r="E888" s="1" t="s">
        <v>26</v>
      </c>
      <c r="F888" s="1" t="s">
        <v>916</v>
      </c>
      <c r="G888" s="1" t="s">
        <v>28</v>
      </c>
      <c r="H888" s="1">
        <v>986</v>
      </c>
      <c r="I888" s="1">
        <f t="shared" si="108"/>
        <v>51</v>
      </c>
      <c r="J888" s="1">
        <f>VLOOKUP(B888,Cena!$A$2:$B$101,2)</f>
        <v>99</v>
      </c>
      <c r="K888" s="1">
        <f t="shared" si="112"/>
        <v>5049</v>
      </c>
      <c r="L888" s="1">
        <f t="shared" si="109"/>
        <v>1161.27</v>
      </c>
      <c r="M888" s="22">
        <f t="shared" si="113"/>
        <v>6210.27</v>
      </c>
      <c r="N888" s="1">
        <f t="shared" ca="1" si="110"/>
        <v>1</v>
      </c>
      <c r="P888" s="1">
        <v>51.187368070532102</v>
      </c>
      <c r="Q888" s="1">
        <f t="shared" ca="1" si="111"/>
        <v>24</v>
      </c>
      <c r="R888" s="1">
        <v>5.642906469583977</v>
      </c>
    </row>
    <row r="889" spans="1:18" x14ac:dyDescent="0.3">
      <c r="A889" s="26">
        <v>888</v>
      </c>
      <c r="B889" s="1">
        <v>14</v>
      </c>
      <c r="C889" s="1">
        <f t="shared" si="107"/>
        <v>13</v>
      </c>
      <c r="D889" s="21">
        <f t="shared" ca="1" si="106"/>
        <v>44862</v>
      </c>
      <c r="E889" s="1" t="s">
        <v>26</v>
      </c>
      <c r="F889" s="1" t="s">
        <v>917</v>
      </c>
      <c r="G889" s="1" t="s">
        <v>28</v>
      </c>
      <c r="H889" s="1">
        <v>987</v>
      </c>
      <c r="I889" s="1">
        <f t="shared" si="108"/>
        <v>55</v>
      </c>
      <c r="J889" s="1">
        <f>VLOOKUP(B889,Cena!$A$2:$B$101,2)</f>
        <v>129</v>
      </c>
      <c r="K889" s="1">
        <f t="shared" si="112"/>
        <v>7095</v>
      </c>
      <c r="L889" s="1">
        <f t="shared" si="109"/>
        <v>1631.8500000000001</v>
      </c>
      <c r="M889" s="22">
        <f t="shared" si="113"/>
        <v>8726.85</v>
      </c>
      <c r="N889" s="1">
        <f t="shared" ca="1" si="110"/>
        <v>10</v>
      </c>
      <c r="P889" s="1">
        <v>55.647825673804618</v>
      </c>
      <c r="Q889" s="1">
        <f t="shared" ca="1" si="111"/>
        <v>13</v>
      </c>
      <c r="R889" s="1">
        <v>13.907575774064753</v>
      </c>
    </row>
    <row r="890" spans="1:18" x14ac:dyDescent="0.3">
      <c r="A890" s="26">
        <v>889</v>
      </c>
      <c r="B890" s="1">
        <v>29</v>
      </c>
      <c r="C890" s="1">
        <f t="shared" si="107"/>
        <v>8</v>
      </c>
      <c r="D890" s="21">
        <f t="shared" ca="1" si="106"/>
        <v>44873</v>
      </c>
      <c r="E890" s="1" t="s">
        <v>26</v>
      </c>
      <c r="F890" s="1" t="s">
        <v>918</v>
      </c>
      <c r="G890" s="1" t="s">
        <v>28</v>
      </c>
      <c r="H890" s="1">
        <v>988</v>
      </c>
      <c r="I890" s="1">
        <f t="shared" si="108"/>
        <v>62</v>
      </c>
      <c r="J890" s="1">
        <f>VLOOKUP(B890,Cena!$A$2:$B$101,2)</f>
        <v>105</v>
      </c>
      <c r="K890" s="1">
        <f t="shared" si="112"/>
        <v>6510</v>
      </c>
      <c r="L890" s="1">
        <f t="shared" si="109"/>
        <v>1497.3</v>
      </c>
      <c r="M890" s="22">
        <f t="shared" si="113"/>
        <v>8007.3</v>
      </c>
      <c r="N890" s="1">
        <f t="shared" ca="1" si="110"/>
        <v>11</v>
      </c>
      <c r="P890" s="1">
        <v>62.317991604504641</v>
      </c>
      <c r="Q890" s="1">
        <f t="shared" ca="1" si="111"/>
        <v>26</v>
      </c>
      <c r="R890" s="1">
        <v>8.9655549370581866</v>
      </c>
    </row>
    <row r="891" spans="1:18" x14ac:dyDescent="0.3">
      <c r="A891" s="26">
        <v>890</v>
      </c>
      <c r="B891" s="1">
        <v>17</v>
      </c>
      <c r="C891" s="1">
        <f t="shared" si="107"/>
        <v>11</v>
      </c>
      <c r="D891" s="21">
        <f t="shared" ca="1" si="106"/>
        <v>44768</v>
      </c>
      <c r="E891" s="1" t="s">
        <v>26</v>
      </c>
      <c r="F891" s="1" t="s">
        <v>919</v>
      </c>
      <c r="G891" s="1" t="s">
        <v>28</v>
      </c>
      <c r="H891" s="1">
        <v>989</v>
      </c>
      <c r="I891" s="1">
        <f t="shared" si="108"/>
        <v>42</v>
      </c>
      <c r="J891" s="1">
        <f>VLOOKUP(B891,Cena!$A$2:$B$101,2)</f>
        <v>84</v>
      </c>
      <c r="K891" s="1">
        <f t="shared" si="112"/>
        <v>3528</v>
      </c>
      <c r="L891" s="1">
        <f t="shared" si="109"/>
        <v>811.44</v>
      </c>
      <c r="M891" s="22">
        <f t="shared" si="113"/>
        <v>4339.4400000000005</v>
      </c>
      <c r="N891" s="1">
        <f t="shared" ca="1" si="110"/>
        <v>7</v>
      </c>
      <c r="P891" s="1">
        <v>42.636230672360398</v>
      </c>
      <c r="Q891" s="1">
        <f t="shared" ca="1" si="111"/>
        <v>20</v>
      </c>
      <c r="R891" s="1">
        <v>11.605874899723858</v>
      </c>
    </row>
    <row r="892" spans="1:18" x14ac:dyDescent="0.3">
      <c r="A892" s="26">
        <v>891</v>
      </c>
      <c r="B892" s="1">
        <v>11</v>
      </c>
      <c r="C892" s="1">
        <f t="shared" si="107"/>
        <v>10</v>
      </c>
      <c r="D892" s="21">
        <f t="shared" ca="1" si="106"/>
        <v>44821</v>
      </c>
      <c r="E892" s="1" t="s">
        <v>26</v>
      </c>
      <c r="F892" s="1" t="s">
        <v>920</v>
      </c>
      <c r="G892" s="1" t="s">
        <v>28</v>
      </c>
      <c r="H892" s="1">
        <v>990</v>
      </c>
      <c r="I892" s="1">
        <f t="shared" si="108"/>
        <v>47</v>
      </c>
      <c r="J892" s="1">
        <f>VLOOKUP(B892,Cena!$A$2:$B$101,2)</f>
        <v>83</v>
      </c>
      <c r="K892" s="1">
        <f t="shared" si="112"/>
        <v>3901</v>
      </c>
      <c r="L892" s="1">
        <f t="shared" si="109"/>
        <v>897.23</v>
      </c>
      <c r="M892" s="22">
        <f t="shared" si="113"/>
        <v>4798.2299999999996</v>
      </c>
      <c r="N892" s="1">
        <f t="shared" ca="1" si="110"/>
        <v>9</v>
      </c>
      <c r="P892" s="1">
        <v>47.278223418106791</v>
      </c>
      <c r="Q892" s="1">
        <f t="shared" ca="1" si="111"/>
        <v>7</v>
      </c>
      <c r="R892" s="1">
        <v>10.439538894170255</v>
      </c>
    </row>
    <row r="893" spans="1:18" x14ac:dyDescent="0.3">
      <c r="A893" s="26">
        <v>892</v>
      </c>
      <c r="B893" s="1">
        <v>12</v>
      </c>
      <c r="C893" s="1">
        <f t="shared" si="107"/>
        <v>5</v>
      </c>
      <c r="D893" s="21">
        <f t="shared" ca="1" si="106"/>
        <v>44843</v>
      </c>
      <c r="E893" s="1" t="s">
        <v>26</v>
      </c>
      <c r="F893" s="1" t="s">
        <v>921</v>
      </c>
      <c r="G893" s="1" t="s">
        <v>28</v>
      </c>
      <c r="H893" s="1">
        <v>991</v>
      </c>
      <c r="I893" s="1">
        <f t="shared" si="108"/>
        <v>49</v>
      </c>
      <c r="J893" s="1">
        <f>VLOOKUP(B893,Cena!$A$2:$B$101,2)</f>
        <v>88</v>
      </c>
      <c r="K893" s="1">
        <f t="shared" si="112"/>
        <v>4312</v>
      </c>
      <c r="L893" s="1">
        <f t="shared" si="109"/>
        <v>991.76</v>
      </c>
      <c r="M893" s="22">
        <f t="shared" si="113"/>
        <v>5303.76</v>
      </c>
      <c r="N893" s="1">
        <f t="shared" ca="1" si="110"/>
        <v>10</v>
      </c>
      <c r="P893" s="1">
        <v>49.481497070519254</v>
      </c>
      <c r="Q893" s="1">
        <f t="shared" ca="1" si="111"/>
        <v>29</v>
      </c>
      <c r="R893" s="1">
        <v>5.4454779071966186</v>
      </c>
    </row>
    <row r="894" spans="1:18" x14ac:dyDescent="0.3">
      <c r="A894" s="26">
        <v>893</v>
      </c>
      <c r="B894" s="1">
        <v>12</v>
      </c>
      <c r="C894" s="1">
        <f t="shared" si="107"/>
        <v>7</v>
      </c>
      <c r="D894" s="21">
        <f t="shared" ca="1" si="106"/>
        <v>44611</v>
      </c>
      <c r="E894" s="1" t="s">
        <v>26</v>
      </c>
      <c r="F894" s="1" t="s">
        <v>922</v>
      </c>
      <c r="G894" s="1" t="s">
        <v>28</v>
      </c>
      <c r="H894" s="1">
        <v>992</v>
      </c>
      <c r="I894" s="1">
        <f t="shared" si="108"/>
        <v>53</v>
      </c>
      <c r="J894" s="1">
        <f>VLOOKUP(B894,Cena!$A$2:$B$101,2)</f>
        <v>88</v>
      </c>
      <c r="K894" s="1">
        <f t="shared" si="112"/>
        <v>4664</v>
      </c>
      <c r="L894" s="1">
        <f t="shared" si="109"/>
        <v>1072.72</v>
      </c>
      <c r="M894" s="22">
        <f t="shared" si="113"/>
        <v>5736.72</v>
      </c>
      <c r="N894" s="1">
        <f t="shared" ca="1" si="110"/>
        <v>2</v>
      </c>
      <c r="P894" s="1">
        <v>53.899754119629506</v>
      </c>
      <c r="Q894" s="1">
        <f t="shared" ca="1" si="111"/>
        <v>10</v>
      </c>
      <c r="R894" s="1">
        <v>7.2690488903026562</v>
      </c>
    </row>
    <row r="895" spans="1:18" x14ac:dyDescent="0.3">
      <c r="A895" s="26">
        <v>894</v>
      </c>
      <c r="B895" s="1">
        <v>25</v>
      </c>
      <c r="C895" s="1">
        <f t="shared" si="107"/>
        <v>11</v>
      </c>
      <c r="D895" s="21">
        <f t="shared" ca="1" si="106"/>
        <v>44754</v>
      </c>
      <c r="E895" s="1" t="s">
        <v>26</v>
      </c>
      <c r="F895" s="1" t="s">
        <v>923</v>
      </c>
      <c r="G895" s="1" t="s">
        <v>28</v>
      </c>
      <c r="H895" s="1">
        <v>993</v>
      </c>
      <c r="I895" s="1">
        <f t="shared" si="108"/>
        <v>62</v>
      </c>
      <c r="J895" s="1">
        <f>VLOOKUP(B895,Cena!$A$2:$B$101,2)</f>
        <v>108</v>
      </c>
      <c r="K895" s="1">
        <f t="shared" si="112"/>
        <v>6696</v>
      </c>
      <c r="L895" s="1">
        <f t="shared" si="109"/>
        <v>1540.0800000000002</v>
      </c>
      <c r="M895" s="22">
        <f t="shared" si="113"/>
        <v>8236.08</v>
      </c>
      <c r="N895" s="1">
        <f t="shared" ca="1" si="110"/>
        <v>7</v>
      </c>
      <c r="P895" s="1">
        <v>62.186728781671263</v>
      </c>
      <c r="Q895" s="1">
        <f t="shared" ca="1" si="111"/>
        <v>2</v>
      </c>
      <c r="R895" s="1">
        <v>11.732797727527213</v>
      </c>
    </row>
    <row r="896" spans="1:18" x14ac:dyDescent="0.3">
      <c r="A896" s="26">
        <v>895</v>
      </c>
      <c r="B896" s="1">
        <v>16</v>
      </c>
      <c r="C896" s="1">
        <f t="shared" si="107"/>
        <v>9</v>
      </c>
      <c r="D896" s="21">
        <f t="shared" ca="1" si="106"/>
        <v>44639</v>
      </c>
      <c r="E896" s="1" t="s">
        <v>26</v>
      </c>
      <c r="F896" s="1" t="s">
        <v>924</v>
      </c>
      <c r="G896" s="1" t="s">
        <v>28</v>
      </c>
      <c r="H896" s="1">
        <v>994</v>
      </c>
      <c r="I896" s="1">
        <f t="shared" si="108"/>
        <v>43</v>
      </c>
      <c r="J896" s="1">
        <f>VLOOKUP(B896,Cena!$A$2:$B$101,2)</f>
        <v>93</v>
      </c>
      <c r="K896" s="1">
        <f t="shared" si="112"/>
        <v>3999</v>
      </c>
      <c r="L896" s="1">
        <f t="shared" si="109"/>
        <v>919.7700000000001</v>
      </c>
      <c r="M896" s="22">
        <f t="shared" si="113"/>
        <v>4918.7700000000004</v>
      </c>
      <c r="N896" s="1">
        <f t="shared" ca="1" si="110"/>
        <v>3</v>
      </c>
      <c r="P896" s="1">
        <v>43.728079061838798</v>
      </c>
      <c r="Q896" s="1">
        <f t="shared" ca="1" si="111"/>
        <v>22</v>
      </c>
      <c r="R896" s="1">
        <v>9.1321203651750693</v>
      </c>
    </row>
    <row r="897" spans="1:18" x14ac:dyDescent="0.3">
      <c r="A897" s="26">
        <v>896</v>
      </c>
      <c r="B897" s="1">
        <v>29</v>
      </c>
      <c r="C897" s="1">
        <f t="shared" si="107"/>
        <v>13</v>
      </c>
      <c r="D897" s="21">
        <f t="shared" ca="1" si="106"/>
        <v>44661</v>
      </c>
      <c r="E897" s="1" t="s">
        <v>26</v>
      </c>
      <c r="F897" s="1" t="s">
        <v>925</v>
      </c>
      <c r="G897" s="1" t="s">
        <v>28</v>
      </c>
      <c r="H897" s="1">
        <v>995</v>
      </c>
      <c r="I897" s="1">
        <f t="shared" si="108"/>
        <v>45</v>
      </c>
      <c r="J897" s="1">
        <f>VLOOKUP(B897,Cena!$A$2:$B$101,2)</f>
        <v>105</v>
      </c>
      <c r="K897" s="1">
        <f t="shared" si="112"/>
        <v>4725</v>
      </c>
      <c r="L897" s="1">
        <f t="shared" si="109"/>
        <v>1086.75</v>
      </c>
      <c r="M897" s="22">
        <f t="shared" si="113"/>
        <v>5811.75</v>
      </c>
      <c r="N897" s="1">
        <f t="shared" ca="1" si="110"/>
        <v>4</v>
      </c>
      <c r="P897" s="1">
        <v>45.500274962978438</v>
      </c>
      <c r="Q897" s="1">
        <f t="shared" ca="1" si="111"/>
        <v>11</v>
      </c>
      <c r="R897" s="1">
        <v>13.270076831540791</v>
      </c>
    </row>
    <row r="898" spans="1:18" x14ac:dyDescent="0.3">
      <c r="A898" s="26">
        <v>897</v>
      </c>
      <c r="B898" s="1">
        <v>12</v>
      </c>
      <c r="C898" s="1">
        <f t="shared" si="107"/>
        <v>9</v>
      </c>
      <c r="D898" s="21">
        <f t="shared" ref="D898:D961" ca="1" si="114">DATE(2022,RANDBETWEEN(1,12),RANDBETWEEN(1,28))</f>
        <v>44750</v>
      </c>
      <c r="E898" s="1" t="s">
        <v>26</v>
      </c>
      <c r="F898" s="1" t="s">
        <v>926</v>
      </c>
      <c r="G898" s="1" t="s">
        <v>28</v>
      </c>
      <c r="H898" s="1">
        <v>996</v>
      </c>
      <c r="I898" s="1">
        <f t="shared" si="108"/>
        <v>55</v>
      </c>
      <c r="J898" s="1">
        <f>VLOOKUP(B898,Cena!$A$2:$B$101,2)</f>
        <v>88</v>
      </c>
      <c r="K898" s="1">
        <f t="shared" si="112"/>
        <v>4840</v>
      </c>
      <c r="L898" s="1">
        <f t="shared" si="109"/>
        <v>1113.2</v>
      </c>
      <c r="M898" s="22">
        <f t="shared" si="113"/>
        <v>5953.2</v>
      </c>
      <c r="N898" s="1">
        <f t="shared" ca="1" si="110"/>
        <v>7</v>
      </c>
      <c r="P898" s="1">
        <v>55.564561433857307</v>
      </c>
      <c r="Q898" s="1">
        <f t="shared" ca="1" si="111"/>
        <v>30</v>
      </c>
      <c r="R898" s="1">
        <v>9.4663170355124748</v>
      </c>
    </row>
    <row r="899" spans="1:18" x14ac:dyDescent="0.3">
      <c r="A899" s="26">
        <v>898</v>
      </c>
      <c r="B899" s="1">
        <v>30</v>
      </c>
      <c r="C899" s="1">
        <f t="shared" ref="C899:C962" si="115">INT(R899)</f>
        <v>8</v>
      </c>
      <c r="D899" s="21">
        <f t="shared" ca="1" si="114"/>
        <v>44768</v>
      </c>
      <c r="E899" s="1" t="s">
        <v>26</v>
      </c>
      <c r="F899" s="1" t="s">
        <v>927</v>
      </c>
      <c r="G899" s="1" t="s">
        <v>28</v>
      </c>
      <c r="H899" s="1">
        <v>997</v>
      </c>
      <c r="I899" s="1">
        <f t="shared" ref="I899:I962" si="116">INT(P899)</f>
        <v>64</v>
      </c>
      <c r="J899" s="1">
        <f>VLOOKUP(B899,Cena!$A$2:$B$101,2)</f>
        <v>87</v>
      </c>
      <c r="K899" s="1">
        <f t="shared" si="112"/>
        <v>5568</v>
      </c>
      <c r="L899" s="1">
        <f t="shared" ref="L899:L962" si="117">K899*23%</f>
        <v>1280.6400000000001</v>
      </c>
      <c r="M899" s="22">
        <f t="shared" si="113"/>
        <v>6848.64</v>
      </c>
      <c r="N899" s="1">
        <f t="shared" ref="N899:N962" ca="1" si="118">MONTH(D899)</f>
        <v>7</v>
      </c>
      <c r="P899" s="1">
        <v>64.522674973704852</v>
      </c>
      <c r="Q899" s="1">
        <f t="shared" ref="Q899:Q962" ca="1" si="119">RANDBETWEEN(1,30)</f>
        <v>19</v>
      </c>
      <c r="R899" s="1">
        <v>8.7119622346654069</v>
      </c>
    </row>
    <row r="900" spans="1:18" x14ac:dyDescent="0.3">
      <c r="A900" s="26">
        <v>899</v>
      </c>
      <c r="B900" s="1">
        <v>12</v>
      </c>
      <c r="C900" s="1">
        <f t="shared" si="115"/>
        <v>9</v>
      </c>
      <c r="D900" s="21">
        <f t="shared" ca="1" si="114"/>
        <v>44754</v>
      </c>
      <c r="E900" s="1" t="s">
        <v>26</v>
      </c>
      <c r="F900" s="1" t="s">
        <v>928</v>
      </c>
      <c r="G900" s="1" t="s">
        <v>28</v>
      </c>
      <c r="H900" s="1">
        <v>998</v>
      </c>
      <c r="I900" s="1">
        <f t="shared" si="116"/>
        <v>48</v>
      </c>
      <c r="J900" s="1">
        <f>VLOOKUP(B900,Cena!$A$2:$B$101,2)</f>
        <v>88</v>
      </c>
      <c r="K900" s="1">
        <f t="shared" si="112"/>
        <v>4224</v>
      </c>
      <c r="L900" s="1">
        <f t="shared" si="117"/>
        <v>971.5200000000001</v>
      </c>
      <c r="M900" s="22">
        <f t="shared" si="113"/>
        <v>5195.5200000000004</v>
      </c>
      <c r="N900" s="1">
        <f t="shared" ca="1" si="118"/>
        <v>7</v>
      </c>
      <c r="P900" s="1">
        <v>48.720136318297591</v>
      </c>
      <c r="Q900" s="1">
        <f t="shared" ca="1" si="119"/>
        <v>18</v>
      </c>
      <c r="R900" s="1">
        <v>9.5643463535088813</v>
      </c>
    </row>
    <row r="901" spans="1:18" x14ac:dyDescent="0.3">
      <c r="A901" s="26">
        <v>900</v>
      </c>
      <c r="B901" s="1">
        <v>14</v>
      </c>
      <c r="C901" s="1">
        <f t="shared" si="115"/>
        <v>4</v>
      </c>
      <c r="D901" s="21">
        <f t="shared" ca="1" si="114"/>
        <v>44657</v>
      </c>
      <c r="E901" s="1" t="s">
        <v>26</v>
      </c>
      <c r="F901" s="1" t="s">
        <v>929</v>
      </c>
      <c r="G901" s="1" t="s">
        <v>28</v>
      </c>
      <c r="H901" s="1">
        <v>999</v>
      </c>
      <c r="I901" s="1">
        <f t="shared" si="116"/>
        <v>32</v>
      </c>
      <c r="J901" s="1">
        <f>VLOOKUP(B901,Cena!$A$2:$B$101,2)</f>
        <v>129</v>
      </c>
      <c r="K901" s="1">
        <f t="shared" si="112"/>
        <v>4128</v>
      </c>
      <c r="L901" s="1">
        <f t="shared" si="117"/>
        <v>949.44</v>
      </c>
      <c r="M901" s="22">
        <f t="shared" si="113"/>
        <v>5077.4400000000005</v>
      </c>
      <c r="N901" s="1">
        <f t="shared" ca="1" si="118"/>
        <v>4</v>
      </c>
      <c r="P901" s="1">
        <v>32.173812895780429</v>
      </c>
      <c r="Q901" s="1">
        <f t="shared" ca="1" si="119"/>
        <v>24</v>
      </c>
      <c r="R901" s="1">
        <v>4.7936657918035053</v>
      </c>
    </row>
    <row r="902" spans="1:18" x14ac:dyDescent="0.3">
      <c r="A902" s="26">
        <v>901</v>
      </c>
      <c r="B902" s="1">
        <v>18</v>
      </c>
      <c r="C902" s="1">
        <f t="shared" si="115"/>
        <v>12</v>
      </c>
      <c r="D902" s="21">
        <f t="shared" ca="1" si="114"/>
        <v>44845</v>
      </c>
      <c r="E902" s="1" t="s">
        <v>26</v>
      </c>
      <c r="F902" s="1" t="s">
        <v>930</v>
      </c>
      <c r="G902" s="1" t="s">
        <v>28</v>
      </c>
      <c r="H902" s="1">
        <v>1000</v>
      </c>
      <c r="I902" s="1">
        <f t="shared" si="116"/>
        <v>45</v>
      </c>
      <c r="J902" s="1">
        <f>VLOOKUP(B902,Cena!$A$2:$B$101,2)</f>
        <v>90</v>
      </c>
      <c r="K902" s="1">
        <f t="shared" si="112"/>
        <v>4050</v>
      </c>
      <c r="L902" s="1">
        <f t="shared" si="117"/>
        <v>931.5</v>
      </c>
      <c r="M902" s="22">
        <f t="shared" si="113"/>
        <v>4981.5</v>
      </c>
      <c r="N902" s="1">
        <f t="shared" ca="1" si="118"/>
        <v>10</v>
      </c>
      <c r="P902" s="1">
        <v>45.214830050827004</v>
      </c>
      <c r="Q902" s="1">
        <f t="shared" ca="1" si="119"/>
        <v>12</v>
      </c>
      <c r="R902" s="1">
        <v>12.224624040536582</v>
      </c>
    </row>
    <row r="903" spans="1:18" x14ac:dyDescent="0.3">
      <c r="A903" s="26">
        <v>902</v>
      </c>
      <c r="B903" s="1">
        <v>17</v>
      </c>
      <c r="C903" s="1">
        <f t="shared" si="115"/>
        <v>12</v>
      </c>
      <c r="D903" s="21">
        <f t="shared" ca="1" si="114"/>
        <v>44705</v>
      </c>
      <c r="E903" s="1" t="s">
        <v>26</v>
      </c>
      <c r="F903" s="1" t="s">
        <v>931</v>
      </c>
      <c r="G903" s="1" t="s">
        <v>28</v>
      </c>
      <c r="H903" s="1">
        <v>1001</v>
      </c>
      <c r="I903" s="1">
        <f t="shared" si="116"/>
        <v>45</v>
      </c>
      <c r="J903" s="1">
        <f>VLOOKUP(B903,Cena!$A$2:$B$101,2)</f>
        <v>84</v>
      </c>
      <c r="K903" s="1">
        <f t="shared" si="112"/>
        <v>3780</v>
      </c>
      <c r="L903" s="1">
        <f t="shared" si="117"/>
        <v>869.40000000000009</v>
      </c>
      <c r="M903" s="22">
        <f t="shared" si="113"/>
        <v>4649.3999999999996</v>
      </c>
      <c r="N903" s="1">
        <f t="shared" ca="1" si="118"/>
        <v>5</v>
      </c>
      <c r="P903" s="1">
        <v>45.355040027789073</v>
      </c>
      <c r="Q903" s="1">
        <f t="shared" ca="1" si="119"/>
        <v>12</v>
      </c>
      <c r="R903" s="1">
        <v>12.537376531108748</v>
      </c>
    </row>
    <row r="904" spans="1:18" x14ac:dyDescent="0.3">
      <c r="A904" s="26">
        <v>903</v>
      </c>
      <c r="B904" s="1">
        <v>13</v>
      </c>
      <c r="C904" s="1">
        <f t="shared" si="115"/>
        <v>11</v>
      </c>
      <c r="D904" s="21">
        <f t="shared" ca="1" si="114"/>
        <v>44624</v>
      </c>
      <c r="E904" s="1" t="s">
        <v>26</v>
      </c>
      <c r="F904" s="1" t="s">
        <v>932</v>
      </c>
      <c r="G904" s="1" t="s">
        <v>28</v>
      </c>
      <c r="H904" s="1">
        <v>1002</v>
      </c>
      <c r="I904" s="1">
        <f t="shared" si="116"/>
        <v>46</v>
      </c>
      <c r="J904" s="1">
        <f>VLOOKUP(B904,Cena!$A$2:$B$101,2)</f>
        <v>94</v>
      </c>
      <c r="K904" s="1">
        <f t="shared" si="112"/>
        <v>4324</v>
      </c>
      <c r="L904" s="1">
        <f t="shared" si="117"/>
        <v>994.5200000000001</v>
      </c>
      <c r="M904" s="22">
        <f t="shared" si="113"/>
        <v>5318.52</v>
      </c>
      <c r="N904" s="1">
        <f t="shared" ca="1" si="118"/>
        <v>3</v>
      </c>
      <c r="P904" s="1">
        <v>46.560143245005747</v>
      </c>
      <c r="Q904" s="1">
        <f t="shared" ca="1" si="119"/>
        <v>18</v>
      </c>
      <c r="R904" s="1">
        <v>11.574034058648976</v>
      </c>
    </row>
    <row r="905" spans="1:18" x14ac:dyDescent="0.3">
      <c r="A905" s="26">
        <v>904</v>
      </c>
      <c r="B905" s="1">
        <v>1</v>
      </c>
      <c r="C905" s="1">
        <f t="shared" si="115"/>
        <v>13</v>
      </c>
      <c r="D905" s="21">
        <f t="shared" ca="1" si="114"/>
        <v>44664</v>
      </c>
      <c r="E905" s="1" t="s">
        <v>26</v>
      </c>
      <c r="F905" s="1" t="s">
        <v>933</v>
      </c>
      <c r="G905" s="1" t="s">
        <v>28</v>
      </c>
      <c r="H905" s="1">
        <v>1003</v>
      </c>
      <c r="I905" s="1">
        <f t="shared" si="116"/>
        <v>58</v>
      </c>
      <c r="J905" s="1">
        <f>VLOOKUP(B905,Cena!$A$2:$B$101,2)</f>
        <v>84</v>
      </c>
      <c r="K905" s="1">
        <f t="shared" si="112"/>
        <v>4872</v>
      </c>
      <c r="L905" s="1">
        <f t="shared" si="117"/>
        <v>1120.56</v>
      </c>
      <c r="M905" s="22">
        <f t="shared" si="113"/>
        <v>5992.5599999999995</v>
      </c>
      <c r="N905" s="1">
        <f t="shared" ca="1" si="118"/>
        <v>4</v>
      </c>
      <c r="P905" s="1">
        <v>58.568053999624681</v>
      </c>
      <c r="Q905" s="1">
        <f t="shared" ca="1" si="119"/>
        <v>14</v>
      </c>
      <c r="R905" s="1">
        <v>13.362742972967681</v>
      </c>
    </row>
    <row r="906" spans="1:18" x14ac:dyDescent="0.3">
      <c r="A906" s="26">
        <v>905</v>
      </c>
      <c r="B906" s="1">
        <v>11</v>
      </c>
      <c r="C906" s="1">
        <f t="shared" si="115"/>
        <v>13</v>
      </c>
      <c r="D906" s="21">
        <f t="shared" ca="1" si="114"/>
        <v>44880</v>
      </c>
      <c r="E906" s="1" t="s">
        <v>26</v>
      </c>
      <c r="F906" s="1" t="s">
        <v>934</v>
      </c>
      <c r="G906" s="1" t="s">
        <v>28</v>
      </c>
      <c r="H906" s="1">
        <v>1004</v>
      </c>
      <c r="I906" s="1">
        <f t="shared" si="116"/>
        <v>30</v>
      </c>
      <c r="J906" s="1">
        <f>VLOOKUP(B906,Cena!$A$2:$B$101,2)</f>
        <v>83</v>
      </c>
      <c r="K906" s="1">
        <f t="shared" si="112"/>
        <v>2490</v>
      </c>
      <c r="L906" s="1">
        <f t="shared" si="117"/>
        <v>572.70000000000005</v>
      </c>
      <c r="M906" s="22">
        <f t="shared" si="113"/>
        <v>3062.7</v>
      </c>
      <c r="N906" s="1">
        <f t="shared" ca="1" si="118"/>
        <v>11</v>
      </c>
      <c r="P906" s="1">
        <v>30.315169523237273</v>
      </c>
      <c r="Q906" s="1">
        <f t="shared" ca="1" si="119"/>
        <v>10</v>
      </c>
      <c r="R906" s="1">
        <v>13.722004748851759</v>
      </c>
    </row>
    <row r="907" spans="1:18" x14ac:dyDescent="0.3">
      <c r="A907" s="26">
        <v>906</v>
      </c>
      <c r="B907" s="1">
        <v>18</v>
      </c>
      <c r="C907" s="1">
        <f t="shared" si="115"/>
        <v>9</v>
      </c>
      <c r="D907" s="21">
        <f t="shared" ca="1" si="114"/>
        <v>44764</v>
      </c>
      <c r="E907" s="1" t="s">
        <v>26</v>
      </c>
      <c r="F907" s="1" t="s">
        <v>935</v>
      </c>
      <c r="G907" s="1" t="s">
        <v>28</v>
      </c>
      <c r="H907" s="1">
        <v>1005</v>
      </c>
      <c r="I907" s="1">
        <f t="shared" si="116"/>
        <v>49</v>
      </c>
      <c r="J907" s="1">
        <f>VLOOKUP(B907,Cena!$A$2:$B$101,2)</f>
        <v>90</v>
      </c>
      <c r="K907" s="1">
        <f t="shared" si="112"/>
        <v>4410</v>
      </c>
      <c r="L907" s="1">
        <f t="shared" si="117"/>
        <v>1014.3000000000001</v>
      </c>
      <c r="M907" s="22">
        <f t="shared" si="113"/>
        <v>5424.3</v>
      </c>
      <c r="N907" s="1">
        <f t="shared" ca="1" si="118"/>
        <v>7</v>
      </c>
      <c r="P907" s="1">
        <v>49.980491338646971</v>
      </c>
      <c r="Q907" s="1">
        <f t="shared" ca="1" si="119"/>
        <v>2</v>
      </c>
      <c r="R907" s="1">
        <v>9.7917797145419172</v>
      </c>
    </row>
    <row r="908" spans="1:18" x14ac:dyDescent="0.3">
      <c r="A908" s="26">
        <v>907</v>
      </c>
      <c r="B908" s="1">
        <v>9</v>
      </c>
      <c r="C908" s="1">
        <f t="shared" si="115"/>
        <v>12</v>
      </c>
      <c r="D908" s="21">
        <f t="shared" ca="1" si="114"/>
        <v>44827</v>
      </c>
      <c r="E908" s="1" t="s">
        <v>26</v>
      </c>
      <c r="F908" s="1" t="s">
        <v>936</v>
      </c>
      <c r="G908" s="1" t="s">
        <v>28</v>
      </c>
      <c r="H908" s="1">
        <v>1006</v>
      </c>
      <c r="I908" s="1">
        <f t="shared" si="116"/>
        <v>64</v>
      </c>
      <c r="J908" s="1">
        <f>VLOOKUP(B908,Cena!$A$2:$B$101,2)</f>
        <v>96</v>
      </c>
      <c r="K908" s="1">
        <f t="shared" si="112"/>
        <v>6144</v>
      </c>
      <c r="L908" s="1">
        <f t="shared" si="117"/>
        <v>1413.1200000000001</v>
      </c>
      <c r="M908" s="22">
        <f t="shared" si="113"/>
        <v>7557.12</v>
      </c>
      <c r="N908" s="1">
        <f t="shared" ca="1" si="118"/>
        <v>9</v>
      </c>
      <c r="P908" s="1">
        <v>64.867191566736437</v>
      </c>
      <c r="Q908" s="1">
        <f t="shared" ca="1" si="119"/>
        <v>30</v>
      </c>
      <c r="R908" s="1">
        <v>12.630360995681258</v>
      </c>
    </row>
    <row r="909" spans="1:18" x14ac:dyDescent="0.3">
      <c r="A909" s="26">
        <v>908</v>
      </c>
      <c r="B909" s="1">
        <v>30</v>
      </c>
      <c r="C909" s="1">
        <f t="shared" si="115"/>
        <v>12</v>
      </c>
      <c r="D909" s="21">
        <f t="shared" ca="1" si="114"/>
        <v>44632</v>
      </c>
      <c r="E909" s="1" t="s">
        <v>26</v>
      </c>
      <c r="F909" s="1" t="s">
        <v>937</v>
      </c>
      <c r="G909" s="1" t="s">
        <v>28</v>
      </c>
      <c r="H909" s="1">
        <v>1007</v>
      </c>
      <c r="I909" s="1">
        <f t="shared" si="116"/>
        <v>57</v>
      </c>
      <c r="J909" s="1">
        <f>VLOOKUP(B909,Cena!$A$2:$B$101,2)</f>
        <v>87</v>
      </c>
      <c r="K909" s="1">
        <f t="shared" si="112"/>
        <v>4959</v>
      </c>
      <c r="L909" s="1">
        <f t="shared" si="117"/>
        <v>1140.57</v>
      </c>
      <c r="M909" s="22">
        <f t="shared" si="113"/>
        <v>6099.57</v>
      </c>
      <c r="N909" s="1">
        <f t="shared" ca="1" si="118"/>
        <v>3</v>
      </c>
      <c r="P909" s="1">
        <v>57.601624929520767</v>
      </c>
      <c r="Q909" s="1">
        <f t="shared" ca="1" si="119"/>
        <v>18</v>
      </c>
      <c r="R909" s="1">
        <v>12.66960569206276</v>
      </c>
    </row>
    <row r="910" spans="1:18" x14ac:dyDescent="0.3">
      <c r="A910" s="26">
        <v>909</v>
      </c>
      <c r="B910" s="1">
        <v>8</v>
      </c>
      <c r="C910" s="1">
        <f t="shared" si="115"/>
        <v>9</v>
      </c>
      <c r="D910" s="21">
        <f t="shared" ca="1" si="114"/>
        <v>44719</v>
      </c>
      <c r="E910" s="1" t="s">
        <v>26</v>
      </c>
      <c r="F910" s="1" t="s">
        <v>938</v>
      </c>
      <c r="G910" s="1" t="s">
        <v>28</v>
      </c>
      <c r="H910" s="1">
        <v>1008</v>
      </c>
      <c r="I910" s="1">
        <f t="shared" si="116"/>
        <v>41</v>
      </c>
      <c r="J910" s="1">
        <f>VLOOKUP(B910,Cena!$A$2:$B$101,2)</f>
        <v>88</v>
      </c>
      <c r="K910" s="1">
        <f t="shared" si="112"/>
        <v>3608</v>
      </c>
      <c r="L910" s="1">
        <f t="shared" si="117"/>
        <v>829.84</v>
      </c>
      <c r="M910" s="22">
        <f t="shared" si="113"/>
        <v>4437.84</v>
      </c>
      <c r="N910" s="1">
        <f t="shared" ca="1" si="118"/>
        <v>6</v>
      </c>
      <c r="P910" s="1">
        <v>41.038816915533971</v>
      </c>
      <c r="Q910" s="1">
        <f t="shared" ca="1" si="119"/>
        <v>19</v>
      </c>
      <c r="R910" s="1">
        <v>9.5854949474960449</v>
      </c>
    </row>
    <row r="911" spans="1:18" x14ac:dyDescent="0.3">
      <c r="A911" s="26">
        <v>910</v>
      </c>
      <c r="B911" s="1">
        <v>24</v>
      </c>
      <c r="C911" s="1">
        <f t="shared" si="115"/>
        <v>7</v>
      </c>
      <c r="D911" s="21">
        <f t="shared" ca="1" si="114"/>
        <v>44598</v>
      </c>
      <c r="E911" s="1" t="s">
        <v>26</v>
      </c>
      <c r="F911" s="1" t="s">
        <v>939</v>
      </c>
      <c r="G911" s="1" t="s">
        <v>28</v>
      </c>
      <c r="H911" s="1">
        <v>1009</v>
      </c>
      <c r="I911" s="1">
        <f t="shared" si="116"/>
        <v>50</v>
      </c>
      <c r="J911" s="1">
        <f>VLOOKUP(B911,Cena!$A$2:$B$101,2)</f>
        <v>125</v>
      </c>
      <c r="K911" s="1">
        <f t="shared" si="112"/>
        <v>6250</v>
      </c>
      <c r="L911" s="1">
        <f t="shared" si="117"/>
        <v>1437.5</v>
      </c>
      <c r="M911" s="22">
        <f t="shared" si="113"/>
        <v>7687.5</v>
      </c>
      <c r="N911" s="1">
        <f t="shared" ca="1" si="118"/>
        <v>2</v>
      </c>
      <c r="P911" s="1">
        <v>50.553745849174447</v>
      </c>
      <c r="Q911" s="1">
        <f t="shared" ca="1" si="119"/>
        <v>9</v>
      </c>
      <c r="R911" s="1">
        <v>7.907804072383442</v>
      </c>
    </row>
    <row r="912" spans="1:18" x14ac:dyDescent="0.3">
      <c r="A912" s="26">
        <v>911</v>
      </c>
      <c r="B912" s="1">
        <v>10</v>
      </c>
      <c r="C912" s="1">
        <f t="shared" si="115"/>
        <v>7</v>
      </c>
      <c r="D912" s="21">
        <f t="shared" ca="1" si="114"/>
        <v>44815</v>
      </c>
      <c r="E912" s="1" t="s">
        <v>26</v>
      </c>
      <c r="F912" s="1" t="s">
        <v>940</v>
      </c>
      <c r="G912" s="1" t="s">
        <v>28</v>
      </c>
      <c r="H912" s="1">
        <v>1010</v>
      </c>
      <c r="I912" s="1">
        <f t="shared" si="116"/>
        <v>39</v>
      </c>
      <c r="J912" s="1">
        <f>VLOOKUP(B912,Cena!$A$2:$B$101,2)</f>
        <v>109</v>
      </c>
      <c r="K912" s="1">
        <f t="shared" si="112"/>
        <v>4251</v>
      </c>
      <c r="L912" s="1">
        <f t="shared" si="117"/>
        <v>977.73</v>
      </c>
      <c r="M912" s="22">
        <f t="shared" si="113"/>
        <v>5228.7299999999996</v>
      </c>
      <c r="N912" s="1">
        <f t="shared" ca="1" si="118"/>
        <v>9</v>
      </c>
      <c r="P912" s="1">
        <v>39.189427651581354</v>
      </c>
      <c r="Q912" s="1">
        <f t="shared" ca="1" si="119"/>
        <v>8</v>
      </c>
      <c r="R912" s="1">
        <v>7.0837677665258525</v>
      </c>
    </row>
    <row r="913" spans="1:18" x14ac:dyDescent="0.3">
      <c r="A913" s="26">
        <v>912</v>
      </c>
      <c r="B913" s="1">
        <v>11</v>
      </c>
      <c r="C913" s="1">
        <f t="shared" si="115"/>
        <v>5</v>
      </c>
      <c r="D913" s="21">
        <f t="shared" ca="1" si="114"/>
        <v>44563</v>
      </c>
      <c r="E913" s="1" t="s">
        <v>26</v>
      </c>
      <c r="F913" s="1" t="s">
        <v>941</v>
      </c>
      <c r="G913" s="1" t="s">
        <v>28</v>
      </c>
      <c r="H913" s="1">
        <v>1011</v>
      </c>
      <c r="I913" s="1">
        <f t="shared" si="116"/>
        <v>66</v>
      </c>
      <c r="J913" s="1">
        <f>VLOOKUP(B913,Cena!$A$2:$B$101,2)</f>
        <v>83</v>
      </c>
      <c r="K913" s="1">
        <f t="shared" si="112"/>
        <v>5478</v>
      </c>
      <c r="L913" s="1">
        <f t="shared" si="117"/>
        <v>1259.94</v>
      </c>
      <c r="M913" s="22">
        <f t="shared" si="113"/>
        <v>6737.9400000000005</v>
      </c>
      <c r="N913" s="1">
        <f t="shared" ca="1" si="118"/>
        <v>1</v>
      </c>
      <c r="P913" s="1">
        <v>66.154899640241638</v>
      </c>
      <c r="Q913" s="1">
        <f t="shared" ca="1" si="119"/>
        <v>23</v>
      </c>
      <c r="R913" s="1">
        <v>5.7882209855597466</v>
      </c>
    </row>
    <row r="914" spans="1:18" x14ac:dyDescent="0.3">
      <c r="A914" s="26">
        <v>913</v>
      </c>
      <c r="B914" s="1">
        <v>12</v>
      </c>
      <c r="C914" s="1">
        <f t="shared" si="115"/>
        <v>11</v>
      </c>
      <c r="D914" s="21">
        <f t="shared" ca="1" si="114"/>
        <v>44701</v>
      </c>
      <c r="E914" s="1" t="s">
        <v>26</v>
      </c>
      <c r="F914" s="1" t="s">
        <v>942</v>
      </c>
      <c r="G914" s="1" t="s">
        <v>28</v>
      </c>
      <c r="H914" s="1">
        <v>1012</v>
      </c>
      <c r="I914" s="1">
        <f t="shared" si="116"/>
        <v>47</v>
      </c>
      <c r="J914" s="1">
        <f>VLOOKUP(B914,Cena!$A$2:$B$101,2)</f>
        <v>88</v>
      </c>
      <c r="K914" s="1">
        <f t="shared" si="112"/>
        <v>4136</v>
      </c>
      <c r="L914" s="1">
        <f t="shared" si="117"/>
        <v>951.28000000000009</v>
      </c>
      <c r="M914" s="22">
        <f t="shared" si="113"/>
        <v>5087.28</v>
      </c>
      <c r="N914" s="1">
        <f t="shared" ca="1" si="118"/>
        <v>5</v>
      </c>
      <c r="P914" s="1">
        <v>47.61176923129824</v>
      </c>
      <c r="Q914" s="1">
        <f t="shared" ca="1" si="119"/>
        <v>16</v>
      </c>
      <c r="R914" s="1">
        <v>11.055315124176559</v>
      </c>
    </row>
    <row r="915" spans="1:18" x14ac:dyDescent="0.3">
      <c r="A915" s="26">
        <v>914</v>
      </c>
      <c r="B915" s="1">
        <v>9</v>
      </c>
      <c r="C915" s="1">
        <f t="shared" si="115"/>
        <v>12</v>
      </c>
      <c r="D915" s="21">
        <f t="shared" ca="1" si="114"/>
        <v>44663</v>
      </c>
      <c r="E915" s="1" t="s">
        <v>26</v>
      </c>
      <c r="F915" s="1" t="s">
        <v>943</v>
      </c>
      <c r="G915" s="1" t="s">
        <v>28</v>
      </c>
      <c r="H915" s="1">
        <v>1013</v>
      </c>
      <c r="I915" s="1">
        <f t="shared" si="116"/>
        <v>44</v>
      </c>
      <c r="J915" s="1">
        <f>VLOOKUP(B915,Cena!$A$2:$B$101,2)</f>
        <v>96</v>
      </c>
      <c r="K915" s="1">
        <f t="shared" si="112"/>
        <v>4224</v>
      </c>
      <c r="L915" s="1">
        <f t="shared" si="117"/>
        <v>971.5200000000001</v>
      </c>
      <c r="M915" s="22">
        <f t="shared" si="113"/>
        <v>5195.5200000000004</v>
      </c>
      <c r="N915" s="1">
        <f t="shared" ca="1" si="118"/>
        <v>4</v>
      </c>
      <c r="P915" s="1">
        <v>44.967163274850463</v>
      </c>
      <c r="Q915" s="1">
        <f t="shared" ca="1" si="119"/>
        <v>22</v>
      </c>
      <c r="R915" s="1">
        <v>12.098443019349361</v>
      </c>
    </row>
    <row r="916" spans="1:18" x14ac:dyDescent="0.3">
      <c r="A916" s="26">
        <v>915</v>
      </c>
      <c r="B916" s="1">
        <v>30</v>
      </c>
      <c r="C916" s="1">
        <f t="shared" si="115"/>
        <v>9</v>
      </c>
      <c r="D916" s="21">
        <f t="shared" ca="1" si="114"/>
        <v>44835</v>
      </c>
      <c r="E916" s="1" t="s">
        <v>26</v>
      </c>
      <c r="F916" s="1" t="s">
        <v>944</v>
      </c>
      <c r="G916" s="1" t="s">
        <v>28</v>
      </c>
      <c r="H916" s="1">
        <v>1014</v>
      </c>
      <c r="I916" s="1">
        <f t="shared" si="116"/>
        <v>50</v>
      </c>
      <c r="J916" s="1">
        <f>VLOOKUP(B916,Cena!$A$2:$B$101,2)</f>
        <v>87</v>
      </c>
      <c r="K916" s="1">
        <f t="shared" si="112"/>
        <v>4350</v>
      </c>
      <c r="L916" s="1">
        <f t="shared" si="117"/>
        <v>1000.5</v>
      </c>
      <c r="M916" s="22">
        <f t="shared" si="113"/>
        <v>5350.5</v>
      </c>
      <c r="N916" s="1">
        <f t="shared" ca="1" si="118"/>
        <v>10</v>
      </c>
      <c r="P916" s="1">
        <v>50.395220922655426</v>
      </c>
      <c r="Q916" s="1">
        <f t="shared" ca="1" si="119"/>
        <v>23</v>
      </c>
      <c r="R916" s="1">
        <v>9.6727069628832396</v>
      </c>
    </row>
    <row r="917" spans="1:18" x14ac:dyDescent="0.3">
      <c r="A917" s="26">
        <v>916</v>
      </c>
      <c r="B917" s="1">
        <v>23</v>
      </c>
      <c r="C917" s="1">
        <f t="shared" si="115"/>
        <v>11</v>
      </c>
      <c r="D917" s="21">
        <f t="shared" ca="1" si="114"/>
        <v>44767</v>
      </c>
      <c r="E917" s="1" t="s">
        <v>26</v>
      </c>
      <c r="F917" s="1" t="s">
        <v>945</v>
      </c>
      <c r="G917" s="1" t="s">
        <v>28</v>
      </c>
      <c r="H917" s="1">
        <v>1015</v>
      </c>
      <c r="I917" s="1">
        <f t="shared" si="116"/>
        <v>47</v>
      </c>
      <c r="J917" s="1">
        <f>VLOOKUP(B917,Cena!$A$2:$B$101,2)</f>
        <v>132</v>
      </c>
      <c r="K917" s="1">
        <f t="shared" si="112"/>
        <v>6204</v>
      </c>
      <c r="L917" s="1">
        <f t="shared" si="117"/>
        <v>1426.92</v>
      </c>
      <c r="M917" s="22">
        <f t="shared" si="113"/>
        <v>7630.92</v>
      </c>
      <c r="N917" s="1">
        <f t="shared" ca="1" si="118"/>
        <v>7</v>
      </c>
      <c r="P917" s="1">
        <v>47.646386873384472</v>
      </c>
      <c r="Q917" s="1">
        <f t="shared" ca="1" si="119"/>
        <v>14</v>
      </c>
      <c r="R917" s="1">
        <v>11.855772779890685</v>
      </c>
    </row>
    <row r="918" spans="1:18" x14ac:dyDescent="0.3">
      <c r="A918" s="26">
        <v>917</v>
      </c>
      <c r="B918" s="1">
        <v>10</v>
      </c>
      <c r="C918" s="1">
        <f t="shared" si="115"/>
        <v>7</v>
      </c>
      <c r="D918" s="21">
        <f t="shared" ca="1" si="114"/>
        <v>44756</v>
      </c>
      <c r="E918" s="1" t="s">
        <v>26</v>
      </c>
      <c r="F918" s="1" t="s">
        <v>946</v>
      </c>
      <c r="G918" s="1" t="s">
        <v>28</v>
      </c>
      <c r="H918" s="1">
        <v>1016</v>
      </c>
      <c r="I918" s="1">
        <f t="shared" si="116"/>
        <v>63</v>
      </c>
      <c r="J918" s="1">
        <f>VLOOKUP(B918,Cena!$A$2:$B$101,2)</f>
        <v>109</v>
      </c>
      <c r="K918" s="1">
        <f t="shared" si="112"/>
        <v>6867</v>
      </c>
      <c r="L918" s="1">
        <f t="shared" si="117"/>
        <v>1579.41</v>
      </c>
      <c r="M918" s="22">
        <f t="shared" si="113"/>
        <v>8446.41</v>
      </c>
      <c r="N918" s="1">
        <f t="shared" ca="1" si="118"/>
        <v>7</v>
      </c>
      <c r="P918" s="1">
        <v>63.565249901148491</v>
      </c>
      <c r="Q918" s="1">
        <f t="shared" ca="1" si="119"/>
        <v>12</v>
      </c>
      <c r="R918" s="1">
        <v>7.7514050897298148</v>
      </c>
    </row>
    <row r="919" spans="1:18" x14ac:dyDescent="0.3">
      <c r="A919" s="26">
        <v>918</v>
      </c>
      <c r="B919" s="1">
        <v>28</v>
      </c>
      <c r="C919" s="1">
        <f t="shared" si="115"/>
        <v>11</v>
      </c>
      <c r="D919" s="21">
        <f t="shared" ca="1" si="114"/>
        <v>44637</v>
      </c>
      <c r="E919" s="1" t="s">
        <v>26</v>
      </c>
      <c r="F919" s="1" t="s">
        <v>947</v>
      </c>
      <c r="G919" s="1" t="s">
        <v>28</v>
      </c>
      <c r="H919" s="1">
        <v>1017</v>
      </c>
      <c r="I919" s="1">
        <f t="shared" si="116"/>
        <v>40</v>
      </c>
      <c r="J919" s="1">
        <f>VLOOKUP(B919,Cena!$A$2:$B$101,2)</f>
        <v>59</v>
      </c>
      <c r="K919" s="1">
        <f t="shared" si="112"/>
        <v>2360</v>
      </c>
      <c r="L919" s="1">
        <f t="shared" si="117"/>
        <v>542.80000000000007</v>
      </c>
      <c r="M919" s="22">
        <f t="shared" si="113"/>
        <v>2902.8</v>
      </c>
      <c r="N919" s="1">
        <f t="shared" ca="1" si="118"/>
        <v>3</v>
      </c>
      <c r="P919" s="1">
        <v>40.621836332138628</v>
      </c>
      <c r="Q919" s="1">
        <f t="shared" ca="1" si="119"/>
        <v>5</v>
      </c>
      <c r="R919" s="1">
        <v>11.533669546915917</v>
      </c>
    </row>
    <row r="920" spans="1:18" x14ac:dyDescent="0.3">
      <c r="A920" s="26">
        <v>919</v>
      </c>
      <c r="B920" s="1">
        <v>4</v>
      </c>
      <c r="C920" s="1">
        <f t="shared" si="115"/>
        <v>9</v>
      </c>
      <c r="D920" s="21">
        <f t="shared" ca="1" si="114"/>
        <v>44580</v>
      </c>
      <c r="E920" s="1" t="s">
        <v>26</v>
      </c>
      <c r="F920" s="1" t="s">
        <v>948</v>
      </c>
      <c r="G920" s="1" t="s">
        <v>28</v>
      </c>
      <c r="H920" s="1">
        <v>1018</v>
      </c>
      <c r="I920" s="1">
        <f t="shared" si="116"/>
        <v>52</v>
      </c>
      <c r="J920" s="1">
        <f>VLOOKUP(B920,Cena!$A$2:$B$101,2)</f>
        <v>99</v>
      </c>
      <c r="K920" s="1">
        <f t="shared" si="112"/>
        <v>5148</v>
      </c>
      <c r="L920" s="1">
        <f t="shared" si="117"/>
        <v>1184.04</v>
      </c>
      <c r="M920" s="22">
        <f t="shared" si="113"/>
        <v>6332.04</v>
      </c>
      <c r="N920" s="1">
        <f t="shared" ca="1" si="118"/>
        <v>1</v>
      </c>
      <c r="P920" s="1">
        <v>52.697970558074303</v>
      </c>
      <c r="Q920" s="1">
        <f t="shared" ca="1" si="119"/>
        <v>8</v>
      </c>
      <c r="R920" s="1">
        <v>9.6000298096987535</v>
      </c>
    </row>
    <row r="921" spans="1:18" x14ac:dyDescent="0.3">
      <c r="A921" s="26">
        <v>920</v>
      </c>
      <c r="B921" s="1">
        <v>19</v>
      </c>
      <c r="C921" s="1">
        <f t="shared" si="115"/>
        <v>11</v>
      </c>
      <c r="D921" s="21">
        <f t="shared" ca="1" si="114"/>
        <v>44572</v>
      </c>
      <c r="E921" s="1" t="s">
        <v>26</v>
      </c>
      <c r="F921" s="1" t="s">
        <v>949</v>
      </c>
      <c r="G921" s="1" t="s">
        <v>28</v>
      </c>
      <c r="H921" s="1">
        <v>1019</v>
      </c>
      <c r="I921" s="1">
        <f t="shared" si="116"/>
        <v>50</v>
      </c>
      <c r="J921" s="1">
        <f>VLOOKUP(B921,Cena!$A$2:$B$101,2)</f>
        <v>84</v>
      </c>
      <c r="K921" s="1">
        <f t="shared" si="112"/>
        <v>4200</v>
      </c>
      <c r="L921" s="1">
        <f t="shared" si="117"/>
        <v>966</v>
      </c>
      <c r="M921" s="22">
        <f t="shared" si="113"/>
        <v>5166</v>
      </c>
      <c r="N921" s="1">
        <f t="shared" ca="1" si="118"/>
        <v>1</v>
      </c>
      <c r="P921" s="1">
        <v>50.043985437514493</v>
      </c>
      <c r="Q921" s="1">
        <f t="shared" ca="1" si="119"/>
        <v>8</v>
      </c>
      <c r="R921" s="1">
        <v>11.190289822261548</v>
      </c>
    </row>
    <row r="922" spans="1:18" x14ac:dyDescent="0.3">
      <c r="A922" s="26">
        <v>921</v>
      </c>
      <c r="B922" s="1">
        <v>10</v>
      </c>
      <c r="C922" s="1">
        <f t="shared" si="115"/>
        <v>7</v>
      </c>
      <c r="D922" s="21">
        <f t="shared" ca="1" si="114"/>
        <v>44696</v>
      </c>
      <c r="E922" s="1" t="s">
        <v>26</v>
      </c>
      <c r="F922" s="1" t="s">
        <v>950</v>
      </c>
      <c r="G922" s="1" t="s">
        <v>28</v>
      </c>
      <c r="H922" s="1">
        <v>1020</v>
      </c>
      <c r="I922" s="1">
        <f t="shared" si="116"/>
        <v>41</v>
      </c>
      <c r="J922" s="1">
        <f>VLOOKUP(B922,Cena!$A$2:$B$101,2)</f>
        <v>109</v>
      </c>
      <c r="K922" s="1">
        <f t="shared" si="112"/>
        <v>4469</v>
      </c>
      <c r="L922" s="1">
        <f t="shared" si="117"/>
        <v>1027.8700000000001</v>
      </c>
      <c r="M922" s="22">
        <f t="shared" si="113"/>
        <v>5496.87</v>
      </c>
      <c r="N922" s="1">
        <f t="shared" ca="1" si="118"/>
        <v>5</v>
      </c>
      <c r="P922" s="1">
        <v>41.933600540505722</v>
      </c>
      <c r="Q922" s="1">
        <f t="shared" ca="1" si="119"/>
        <v>27</v>
      </c>
      <c r="R922" s="1">
        <v>7.4491402099374682</v>
      </c>
    </row>
    <row r="923" spans="1:18" x14ac:dyDescent="0.3">
      <c r="A923" s="26">
        <v>922</v>
      </c>
      <c r="B923" s="1">
        <v>10</v>
      </c>
      <c r="C923" s="1">
        <f t="shared" si="115"/>
        <v>11</v>
      </c>
      <c r="D923" s="21">
        <f t="shared" ca="1" si="114"/>
        <v>44660</v>
      </c>
      <c r="E923" s="1" t="s">
        <v>26</v>
      </c>
      <c r="F923" s="1" t="s">
        <v>951</v>
      </c>
      <c r="G923" s="1" t="s">
        <v>28</v>
      </c>
      <c r="H923" s="1">
        <v>1021</v>
      </c>
      <c r="I923" s="1">
        <f t="shared" si="116"/>
        <v>49</v>
      </c>
      <c r="J923" s="1">
        <f>VLOOKUP(B923,Cena!$A$2:$B$101,2)</f>
        <v>109</v>
      </c>
      <c r="K923" s="1">
        <f t="shared" si="112"/>
        <v>5341</v>
      </c>
      <c r="L923" s="1">
        <f t="shared" si="117"/>
        <v>1228.43</v>
      </c>
      <c r="M923" s="22">
        <f t="shared" si="113"/>
        <v>6569.43</v>
      </c>
      <c r="N923" s="1">
        <f t="shared" ca="1" si="118"/>
        <v>4</v>
      </c>
      <c r="P923" s="1">
        <v>49.787701199238654</v>
      </c>
      <c r="Q923" s="1">
        <f t="shared" ca="1" si="119"/>
        <v>18</v>
      </c>
      <c r="R923" s="1">
        <v>11.251049752681865</v>
      </c>
    </row>
    <row r="924" spans="1:18" x14ac:dyDescent="0.3">
      <c r="A924" s="26">
        <v>923</v>
      </c>
      <c r="B924" s="1">
        <v>24</v>
      </c>
      <c r="C924" s="1">
        <f t="shared" si="115"/>
        <v>15</v>
      </c>
      <c r="D924" s="21">
        <f t="shared" ca="1" si="114"/>
        <v>44623</v>
      </c>
      <c r="E924" s="1" t="s">
        <v>26</v>
      </c>
      <c r="F924" s="1" t="s">
        <v>952</v>
      </c>
      <c r="G924" s="1" t="s">
        <v>28</v>
      </c>
      <c r="H924" s="1">
        <v>1022</v>
      </c>
      <c r="I924" s="1">
        <f t="shared" si="116"/>
        <v>40</v>
      </c>
      <c r="J924" s="1">
        <f>VLOOKUP(B924,Cena!$A$2:$B$101,2)</f>
        <v>125</v>
      </c>
      <c r="K924" s="1">
        <f t="shared" si="112"/>
        <v>5000</v>
      </c>
      <c r="L924" s="1">
        <f t="shared" si="117"/>
        <v>1150</v>
      </c>
      <c r="M924" s="22">
        <f t="shared" si="113"/>
        <v>6150</v>
      </c>
      <c r="N924" s="1">
        <f t="shared" ca="1" si="118"/>
        <v>3</v>
      </c>
      <c r="P924" s="1">
        <v>40.069568411854561</v>
      </c>
      <c r="Q924" s="1">
        <f t="shared" ca="1" si="119"/>
        <v>6</v>
      </c>
      <c r="R924" s="1">
        <v>15.296624294715002</v>
      </c>
    </row>
    <row r="925" spans="1:18" x14ac:dyDescent="0.3">
      <c r="A925" s="26">
        <v>924</v>
      </c>
      <c r="B925" s="1">
        <v>27</v>
      </c>
      <c r="C925" s="1">
        <f t="shared" si="115"/>
        <v>10</v>
      </c>
      <c r="D925" s="21">
        <f t="shared" ca="1" si="114"/>
        <v>44836</v>
      </c>
      <c r="E925" s="1" t="s">
        <v>26</v>
      </c>
      <c r="F925" s="1" t="s">
        <v>953</v>
      </c>
      <c r="G925" s="1" t="s">
        <v>28</v>
      </c>
      <c r="H925" s="1">
        <v>1023</v>
      </c>
      <c r="I925" s="1">
        <f t="shared" si="116"/>
        <v>63</v>
      </c>
      <c r="J925" s="1">
        <f>VLOOKUP(B925,Cena!$A$2:$B$101,2)</f>
        <v>87</v>
      </c>
      <c r="K925" s="1">
        <f t="shared" si="112"/>
        <v>5481</v>
      </c>
      <c r="L925" s="1">
        <f t="shared" si="117"/>
        <v>1260.6300000000001</v>
      </c>
      <c r="M925" s="22">
        <f t="shared" si="113"/>
        <v>6741.63</v>
      </c>
      <c r="N925" s="1">
        <f t="shared" ca="1" si="118"/>
        <v>10</v>
      </c>
      <c r="P925" s="1">
        <v>63.87502379657235</v>
      </c>
      <c r="Q925" s="1">
        <f t="shared" ca="1" si="119"/>
        <v>29</v>
      </c>
      <c r="R925" s="1">
        <v>10.820301693238434</v>
      </c>
    </row>
    <row r="926" spans="1:18" x14ac:dyDescent="0.3">
      <c r="A926" s="26">
        <v>925</v>
      </c>
      <c r="B926" s="1">
        <v>26</v>
      </c>
      <c r="C926" s="1">
        <f t="shared" si="115"/>
        <v>13</v>
      </c>
      <c r="D926" s="21">
        <f t="shared" ca="1" si="114"/>
        <v>44580</v>
      </c>
      <c r="E926" s="1" t="s">
        <v>26</v>
      </c>
      <c r="F926" s="1" t="s">
        <v>954</v>
      </c>
      <c r="G926" s="1" t="s">
        <v>28</v>
      </c>
      <c r="H926" s="1">
        <v>1024</v>
      </c>
      <c r="I926" s="1">
        <f t="shared" si="116"/>
        <v>65</v>
      </c>
      <c r="J926" s="1">
        <f>VLOOKUP(B926,Cena!$A$2:$B$101,2)</f>
        <v>99</v>
      </c>
      <c r="K926" s="1">
        <f t="shared" si="112"/>
        <v>6435</v>
      </c>
      <c r="L926" s="1">
        <f t="shared" si="117"/>
        <v>1480.05</v>
      </c>
      <c r="M926" s="22">
        <f t="shared" si="113"/>
        <v>7915.05</v>
      </c>
      <c r="N926" s="1">
        <f t="shared" ca="1" si="118"/>
        <v>1</v>
      </c>
      <c r="P926" s="1">
        <v>65.844034351175651</v>
      </c>
      <c r="Q926" s="1">
        <f t="shared" ca="1" si="119"/>
        <v>3</v>
      </c>
      <c r="R926" s="1">
        <v>13.708726126205875</v>
      </c>
    </row>
    <row r="927" spans="1:18" x14ac:dyDescent="0.3">
      <c r="A927" s="26">
        <v>926</v>
      </c>
      <c r="B927" s="1">
        <v>2</v>
      </c>
      <c r="C927" s="1">
        <f t="shared" si="115"/>
        <v>9</v>
      </c>
      <c r="D927" s="21">
        <f t="shared" ca="1" si="114"/>
        <v>44631</v>
      </c>
      <c r="E927" s="1" t="s">
        <v>26</v>
      </c>
      <c r="F927" s="1" t="s">
        <v>955</v>
      </c>
      <c r="G927" s="1" t="s">
        <v>28</v>
      </c>
      <c r="H927" s="1">
        <v>1025</v>
      </c>
      <c r="I927" s="1">
        <f t="shared" si="116"/>
        <v>55</v>
      </c>
      <c r="J927" s="1">
        <f>VLOOKUP(B927,Cena!$A$2:$B$101,2)</f>
        <v>121</v>
      </c>
      <c r="K927" s="1">
        <f t="shared" ref="K927:K990" si="120">I927*J927</f>
        <v>6655</v>
      </c>
      <c r="L927" s="1">
        <f t="shared" si="117"/>
        <v>1530.65</v>
      </c>
      <c r="M927" s="22">
        <f t="shared" ref="M927:M990" si="121">K927+L927</f>
        <v>8185.65</v>
      </c>
      <c r="N927" s="1">
        <f t="shared" ca="1" si="118"/>
        <v>3</v>
      </c>
      <c r="P927" s="1">
        <v>55.588697149505606</v>
      </c>
      <c r="Q927" s="1">
        <f t="shared" ca="1" si="119"/>
        <v>8</v>
      </c>
      <c r="R927" s="1">
        <v>9.4341862930014031</v>
      </c>
    </row>
    <row r="928" spans="1:18" x14ac:dyDescent="0.3">
      <c r="A928" s="26">
        <v>927</v>
      </c>
      <c r="B928" s="1">
        <v>1</v>
      </c>
      <c r="C928" s="1">
        <f t="shared" si="115"/>
        <v>16</v>
      </c>
      <c r="D928" s="21">
        <f t="shared" ca="1" si="114"/>
        <v>44876</v>
      </c>
      <c r="E928" s="1" t="s">
        <v>26</v>
      </c>
      <c r="F928" s="1" t="s">
        <v>956</v>
      </c>
      <c r="G928" s="1" t="s">
        <v>28</v>
      </c>
      <c r="H928" s="1">
        <v>1026</v>
      </c>
      <c r="I928" s="1">
        <f t="shared" si="116"/>
        <v>39</v>
      </c>
      <c r="J928" s="1">
        <f>VLOOKUP(B928,Cena!$A$2:$B$101,2)</f>
        <v>84</v>
      </c>
      <c r="K928" s="1">
        <f t="shared" si="120"/>
        <v>3276</v>
      </c>
      <c r="L928" s="1">
        <f t="shared" si="117"/>
        <v>753.48</v>
      </c>
      <c r="M928" s="22">
        <f t="shared" si="121"/>
        <v>4029.48</v>
      </c>
      <c r="N928" s="1">
        <f t="shared" ca="1" si="118"/>
        <v>11</v>
      </c>
      <c r="P928" s="1">
        <v>39.761749930039514</v>
      </c>
      <c r="Q928" s="1">
        <f t="shared" ca="1" si="119"/>
        <v>17</v>
      </c>
      <c r="R928" s="1">
        <v>16.81520759826526</v>
      </c>
    </row>
    <row r="929" spans="1:18" x14ac:dyDescent="0.3">
      <c r="A929" s="26">
        <v>928</v>
      </c>
      <c r="B929" s="1">
        <v>18</v>
      </c>
      <c r="C929" s="1">
        <f t="shared" si="115"/>
        <v>6</v>
      </c>
      <c r="D929" s="21">
        <f t="shared" ca="1" si="114"/>
        <v>44574</v>
      </c>
      <c r="E929" s="1" t="s">
        <v>26</v>
      </c>
      <c r="F929" s="1" t="s">
        <v>957</v>
      </c>
      <c r="G929" s="1" t="s">
        <v>28</v>
      </c>
      <c r="H929" s="1">
        <v>1027</v>
      </c>
      <c r="I929" s="1">
        <f t="shared" si="116"/>
        <v>42</v>
      </c>
      <c r="J929" s="1">
        <f>VLOOKUP(B929,Cena!$A$2:$B$101,2)</f>
        <v>90</v>
      </c>
      <c r="K929" s="1">
        <f t="shared" si="120"/>
        <v>3780</v>
      </c>
      <c r="L929" s="1">
        <f t="shared" si="117"/>
        <v>869.40000000000009</v>
      </c>
      <c r="M929" s="22">
        <f t="shared" si="121"/>
        <v>4649.3999999999996</v>
      </c>
      <c r="N929" s="1">
        <f t="shared" ca="1" si="118"/>
        <v>1</v>
      </c>
      <c r="P929" s="1">
        <v>42.626180755905807</v>
      </c>
      <c r="Q929" s="1">
        <f t="shared" ca="1" si="119"/>
        <v>17</v>
      </c>
      <c r="R929" s="1">
        <v>6.9151872392103542</v>
      </c>
    </row>
    <row r="930" spans="1:18" x14ac:dyDescent="0.3">
      <c r="A930" s="26">
        <v>929</v>
      </c>
      <c r="B930" s="1">
        <v>10</v>
      </c>
      <c r="C930" s="1">
        <f t="shared" si="115"/>
        <v>12</v>
      </c>
      <c r="D930" s="21">
        <f t="shared" ca="1" si="114"/>
        <v>44877</v>
      </c>
      <c r="E930" s="1" t="s">
        <v>26</v>
      </c>
      <c r="F930" s="1" t="s">
        <v>958</v>
      </c>
      <c r="G930" s="1" t="s">
        <v>28</v>
      </c>
      <c r="H930" s="1">
        <v>1028</v>
      </c>
      <c r="I930" s="1">
        <f t="shared" si="116"/>
        <v>46</v>
      </c>
      <c r="J930" s="1">
        <f>VLOOKUP(B930,Cena!$A$2:$B$101,2)</f>
        <v>109</v>
      </c>
      <c r="K930" s="1">
        <f t="shared" si="120"/>
        <v>5014</v>
      </c>
      <c r="L930" s="1">
        <f t="shared" si="117"/>
        <v>1153.22</v>
      </c>
      <c r="M930" s="22">
        <f t="shared" si="121"/>
        <v>6167.22</v>
      </c>
      <c r="N930" s="1">
        <f t="shared" ca="1" si="118"/>
        <v>11</v>
      </c>
      <c r="P930" s="1">
        <v>46.82033831049921</v>
      </c>
      <c r="Q930" s="1">
        <f t="shared" ca="1" si="119"/>
        <v>14</v>
      </c>
      <c r="R930" s="1">
        <v>12.350486738578184</v>
      </c>
    </row>
    <row r="931" spans="1:18" x14ac:dyDescent="0.3">
      <c r="A931" s="26">
        <v>930</v>
      </c>
      <c r="B931" s="1">
        <v>11</v>
      </c>
      <c r="C931" s="1">
        <f t="shared" si="115"/>
        <v>4</v>
      </c>
      <c r="D931" s="21">
        <f t="shared" ca="1" si="114"/>
        <v>44880</v>
      </c>
      <c r="E931" s="1" t="s">
        <v>26</v>
      </c>
      <c r="F931" s="1" t="s">
        <v>959</v>
      </c>
      <c r="G931" s="1" t="s">
        <v>28</v>
      </c>
      <c r="H931" s="1">
        <v>1029</v>
      </c>
      <c r="I931" s="1">
        <f t="shared" si="116"/>
        <v>51</v>
      </c>
      <c r="J931" s="1">
        <f>VLOOKUP(B931,Cena!$A$2:$B$101,2)</f>
        <v>83</v>
      </c>
      <c r="K931" s="1">
        <f t="shared" si="120"/>
        <v>4233</v>
      </c>
      <c r="L931" s="1">
        <f t="shared" si="117"/>
        <v>973.59</v>
      </c>
      <c r="M931" s="22">
        <f t="shared" si="121"/>
        <v>5206.59</v>
      </c>
      <c r="N931" s="1">
        <f t="shared" ca="1" si="118"/>
        <v>11</v>
      </c>
      <c r="P931" s="1">
        <v>51.772923496901058</v>
      </c>
      <c r="Q931" s="1">
        <f t="shared" ca="1" si="119"/>
        <v>24</v>
      </c>
      <c r="R931" s="1">
        <v>4.657378010742832</v>
      </c>
    </row>
    <row r="932" spans="1:18" x14ac:dyDescent="0.3">
      <c r="A932" s="26">
        <v>931</v>
      </c>
      <c r="B932" s="1">
        <v>11</v>
      </c>
      <c r="C932" s="1">
        <f t="shared" si="115"/>
        <v>9</v>
      </c>
      <c r="D932" s="21">
        <f t="shared" ca="1" si="114"/>
        <v>44888</v>
      </c>
      <c r="E932" s="1" t="s">
        <v>26</v>
      </c>
      <c r="F932" s="1" t="s">
        <v>960</v>
      </c>
      <c r="G932" s="1" t="s">
        <v>28</v>
      </c>
      <c r="H932" s="1">
        <v>1030</v>
      </c>
      <c r="I932" s="1">
        <f t="shared" si="116"/>
        <v>45</v>
      </c>
      <c r="J932" s="1">
        <f>VLOOKUP(B932,Cena!$A$2:$B$101,2)</f>
        <v>83</v>
      </c>
      <c r="K932" s="1">
        <f t="shared" si="120"/>
        <v>3735</v>
      </c>
      <c r="L932" s="1">
        <f t="shared" si="117"/>
        <v>859.05000000000007</v>
      </c>
      <c r="M932" s="22">
        <f t="shared" si="121"/>
        <v>4594.05</v>
      </c>
      <c r="N932" s="1">
        <f t="shared" ca="1" si="118"/>
        <v>11</v>
      </c>
      <c r="P932" s="1">
        <v>45.123710050393129</v>
      </c>
      <c r="Q932" s="1">
        <f t="shared" ca="1" si="119"/>
        <v>8</v>
      </c>
      <c r="R932" s="1">
        <v>9.4092377164633945</v>
      </c>
    </row>
    <row r="933" spans="1:18" x14ac:dyDescent="0.3">
      <c r="A933" s="26">
        <v>932</v>
      </c>
      <c r="B933" s="1">
        <v>17</v>
      </c>
      <c r="C933" s="1">
        <f t="shared" si="115"/>
        <v>13</v>
      </c>
      <c r="D933" s="21">
        <f t="shared" ca="1" si="114"/>
        <v>44813</v>
      </c>
      <c r="E933" s="1" t="s">
        <v>26</v>
      </c>
      <c r="F933" s="1" t="s">
        <v>961</v>
      </c>
      <c r="G933" s="1" t="s">
        <v>28</v>
      </c>
      <c r="H933" s="1">
        <v>1031</v>
      </c>
      <c r="I933" s="1">
        <f t="shared" si="116"/>
        <v>66</v>
      </c>
      <c r="J933" s="1">
        <f>VLOOKUP(B933,Cena!$A$2:$B$101,2)</f>
        <v>84</v>
      </c>
      <c r="K933" s="1">
        <f t="shared" si="120"/>
        <v>5544</v>
      </c>
      <c r="L933" s="1">
        <f t="shared" si="117"/>
        <v>1275.1200000000001</v>
      </c>
      <c r="M933" s="22">
        <f t="shared" si="121"/>
        <v>6819.12</v>
      </c>
      <c r="N933" s="1">
        <f t="shared" ca="1" si="118"/>
        <v>9</v>
      </c>
      <c r="P933" s="1">
        <v>66.725061868783087</v>
      </c>
      <c r="Q933" s="1">
        <f t="shared" ca="1" si="119"/>
        <v>19</v>
      </c>
      <c r="R933" s="1">
        <v>13.021523298230022</v>
      </c>
    </row>
    <row r="934" spans="1:18" x14ac:dyDescent="0.3">
      <c r="A934" s="26">
        <v>933</v>
      </c>
      <c r="B934" s="1">
        <v>26</v>
      </c>
      <c r="C934" s="1">
        <f t="shared" si="115"/>
        <v>9</v>
      </c>
      <c r="D934" s="21">
        <f t="shared" ca="1" si="114"/>
        <v>44767</v>
      </c>
      <c r="E934" s="1" t="s">
        <v>26</v>
      </c>
      <c r="F934" s="1" t="s">
        <v>962</v>
      </c>
      <c r="G934" s="1" t="s">
        <v>28</v>
      </c>
      <c r="H934" s="1">
        <v>1032</v>
      </c>
      <c r="I934" s="1">
        <f t="shared" si="116"/>
        <v>46</v>
      </c>
      <c r="J934" s="1">
        <f>VLOOKUP(B934,Cena!$A$2:$B$101,2)</f>
        <v>99</v>
      </c>
      <c r="K934" s="1">
        <f t="shared" si="120"/>
        <v>4554</v>
      </c>
      <c r="L934" s="1">
        <f t="shared" si="117"/>
        <v>1047.42</v>
      </c>
      <c r="M934" s="22">
        <f t="shared" si="121"/>
        <v>5601.42</v>
      </c>
      <c r="N934" s="1">
        <f t="shared" ca="1" si="118"/>
        <v>7</v>
      </c>
      <c r="P934" s="1">
        <v>46.872600149799837</v>
      </c>
      <c r="Q934" s="1">
        <f t="shared" ca="1" si="119"/>
        <v>21</v>
      </c>
      <c r="R934" s="1">
        <v>9.3781187868080451</v>
      </c>
    </row>
    <row r="935" spans="1:18" x14ac:dyDescent="0.3">
      <c r="A935" s="26">
        <v>934</v>
      </c>
      <c r="B935" s="1">
        <v>24</v>
      </c>
      <c r="C935" s="1">
        <f t="shared" si="115"/>
        <v>11</v>
      </c>
      <c r="D935" s="21">
        <f t="shared" ca="1" si="114"/>
        <v>44883</v>
      </c>
      <c r="E935" s="1" t="s">
        <v>26</v>
      </c>
      <c r="F935" s="1" t="s">
        <v>963</v>
      </c>
      <c r="G935" s="1" t="s">
        <v>28</v>
      </c>
      <c r="H935" s="1">
        <v>1033</v>
      </c>
      <c r="I935" s="1">
        <f t="shared" si="116"/>
        <v>56</v>
      </c>
      <c r="J935" s="1">
        <f>VLOOKUP(B935,Cena!$A$2:$B$101,2)</f>
        <v>125</v>
      </c>
      <c r="K935" s="1">
        <f t="shared" si="120"/>
        <v>7000</v>
      </c>
      <c r="L935" s="1">
        <f t="shared" si="117"/>
        <v>1610</v>
      </c>
      <c r="M935" s="22">
        <f t="shared" si="121"/>
        <v>8610</v>
      </c>
      <c r="N935" s="1">
        <f t="shared" ca="1" si="118"/>
        <v>11</v>
      </c>
      <c r="P935" s="1">
        <v>56.169807420519646</v>
      </c>
      <c r="Q935" s="1">
        <f t="shared" ca="1" si="119"/>
        <v>23</v>
      </c>
      <c r="R935" s="1">
        <v>11.827675077947788</v>
      </c>
    </row>
    <row r="936" spans="1:18" x14ac:dyDescent="0.3">
      <c r="A936" s="26">
        <v>935</v>
      </c>
      <c r="B936" s="1">
        <v>6</v>
      </c>
      <c r="C936" s="1">
        <f t="shared" si="115"/>
        <v>6</v>
      </c>
      <c r="D936" s="21">
        <f t="shared" ca="1" si="114"/>
        <v>44854</v>
      </c>
      <c r="E936" s="1" t="s">
        <v>26</v>
      </c>
      <c r="F936" s="1" t="s">
        <v>964</v>
      </c>
      <c r="G936" s="1" t="s">
        <v>28</v>
      </c>
      <c r="H936" s="1">
        <v>1034</v>
      </c>
      <c r="I936" s="1">
        <f t="shared" si="116"/>
        <v>44</v>
      </c>
      <c r="J936" s="1">
        <f>VLOOKUP(B936,Cena!$A$2:$B$101,2)</f>
        <v>86</v>
      </c>
      <c r="K936" s="1">
        <f t="shared" si="120"/>
        <v>3784</v>
      </c>
      <c r="L936" s="1">
        <f t="shared" si="117"/>
        <v>870.32</v>
      </c>
      <c r="M936" s="22">
        <f t="shared" si="121"/>
        <v>4654.32</v>
      </c>
      <c r="N936" s="1">
        <f t="shared" ca="1" si="118"/>
        <v>10</v>
      </c>
      <c r="P936" s="1">
        <v>44.971506112051429</v>
      </c>
      <c r="Q936" s="1">
        <f t="shared" ca="1" si="119"/>
        <v>16</v>
      </c>
      <c r="R936" s="1">
        <v>6.8692122820357326</v>
      </c>
    </row>
    <row r="937" spans="1:18" x14ac:dyDescent="0.3">
      <c r="A937" s="26">
        <v>936</v>
      </c>
      <c r="B937" s="1">
        <v>7</v>
      </c>
      <c r="C937" s="1">
        <f t="shared" si="115"/>
        <v>11</v>
      </c>
      <c r="D937" s="21">
        <f t="shared" ca="1" si="114"/>
        <v>44920</v>
      </c>
      <c r="E937" s="1" t="s">
        <v>26</v>
      </c>
      <c r="F937" s="1" t="s">
        <v>965</v>
      </c>
      <c r="G937" s="1" t="s">
        <v>28</v>
      </c>
      <c r="H937" s="1">
        <v>1035</v>
      </c>
      <c r="I937" s="1">
        <f t="shared" si="116"/>
        <v>52</v>
      </c>
      <c r="J937" s="1">
        <f>VLOOKUP(B937,Cena!$A$2:$B$101,2)</f>
        <v>104</v>
      </c>
      <c r="K937" s="1">
        <f t="shared" si="120"/>
        <v>5408</v>
      </c>
      <c r="L937" s="1">
        <f t="shared" si="117"/>
        <v>1243.8400000000001</v>
      </c>
      <c r="M937" s="22">
        <f t="shared" si="121"/>
        <v>6651.84</v>
      </c>
      <c r="N937" s="1">
        <f t="shared" ca="1" si="118"/>
        <v>12</v>
      </c>
      <c r="P937" s="1">
        <v>52.541219146223739</v>
      </c>
      <c r="Q937" s="1">
        <f t="shared" ca="1" si="119"/>
        <v>15</v>
      </c>
      <c r="R937" s="1">
        <v>11.919096348501625</v>
      </c>
    </row>
    <row r="938" spans="1:18" x14ac:dyDescent="0.3">
      <c r="A938" s="26">
        <v>937</v>
      </c>
      <c r="B938" s="1">
        <v>9</v>
      </c>
      <c r="C938" s="1">
        <f t="shared" si="115"/>
        <v>8</v>
      </c>
      <c r="D938" s="21">
        <f t="shared" ca="1" si="114"/>
        <v>44784</v>
      </c>
      <c r="E938" s="1" t="s">
        <v>26</v>
      </c>
      <c r="F938" s="1" t="s">
        <v>966</v>
      </c>
      <c r="G938" s="1" t="s">
        <v>28</v>
      </c>
      <c r="H938" s="1">
        <v>1036</v>
      </c>
      <c r="I938" s="1">
        <f t="shared" si="116"/>
        <v>46</v>
      </c>
      <c r="J938" s="1">
        <f>VLOOKUP(B938,Cena!$A$2:$B$101,2)</f>
        <v>96</v>
      </c>
      <c r="K938" s="1">
        <f t="shared" si="120"/>
        <v>4416</v>
      </c>
      <c r="L938" s="1">
        <f t="shared" si="117"/>
        <v>1015.6800000000001</v>
      </c>
      <c r="M938" s="22">
        <f t="shared" si="121"/>
        <v>5431.68</v>
      </c>
      <c r="N938" s="1">
        <f t="shared" ca="1" si="118"/>
        <v>8</v>
      </c>
      <c r="P938" s="1">
        <v>46.072165231453255</v>
      </c>
      <c r="Q938" s="1">
        <f t="shared" ca="1" si="119"/>
        <v>20</v>
      </c>
      <c r="R938" s="1">
        <v>8.1082623889960814</v>
      </c>
    </row>
    <row r="939" spans="1:18" x14ac:dyDescent="0.3">
      <c r="A939" s="26">
        <v>938</v>
      </c>
      <c r="B939" s="1">
        <v>25</v>
      </c>
      <c r="C939" s="1">
        <f t="shared" si="115"/>
        <v>9</v>
      </c>
      <c r="D939" s="21">
        <f t="shared" ca="1" si="114"/>
        <v>44896</v>
      </c>
      <c r="E939" s="1" t="s">
        <v>26</v>
      </c>
      <c r="F939" s="1" t="s">
        <v>967</v>
      </c>
      <c r="G939" s="1" t="s">
        <v>28</v>
      </c>
      <c r="H939" s="1">
        <v>1037</v>
      </c>
      <c r="I939" s="1">
        <f t="shared" si="116"/>
        <v>54</v>
      </c>
      <c r="J939" s="1">
        <f>VLOOKUP(B939,Cena!$A$2:$B$101,2)</f>
        <v>108</v>
      </c>
      <c r="K939" s="1">
        <f t="shared" si="120"/>
        <v>5832</v>
      </c>
      <c r="L939" s="1">
        <f t="shared" si="117"/>
        <v>1341.3600000000001</v>
      </c>
      <c r="M939" s="22">
        <f t="shared" si="121"/>
        <v>7173.3600000000006</v>
      </c>
      <c r="N939" s="1">
        <f t="shared" ca="1" si="118"/>
        <v>12</v>
      </c>
      <c r="P939" s="1">
        <v>54.228786565363407</v>
      </c>
      <c r="Q939" s="1">
        <f t="shared" ca="1" si="119"/>
        <v>29</v>
      </c>
      <c r="R939" s="1">
        <v>9.4539848557906225</v>
      </c>
    </row>
    <row r="940" spans="1:18" x14ac:dyDescent="0.3">
      <c r="A940" s="26">
        <v>939</v>
      </c>
      <c r="B940" s="1">
        <v>2</v>
      </c>
      <c r="C940" s="1">
        <f t="shared" si="115"/>
        <v>15</v>
      </c>
      <c r="D940" s="21">
        <f t="shared" ca="1" si="114"/>
        <v>44858</v>
      </c>
      <c r="E940" s="1" t="s">
        <v>26</v>
      </c>
      <c r="F940" s="1" t="s">
        <v>968</v>
      </c>
      <c r="G940" s="1" t="s">
        <v>28</v>
      </c>
      <c r="H940" s="1">
        <v>1038</v>
      </c>
      <c r="I940" s="1">
        <f t="shared" si="116"/>
        <v>43</v>
      </c>
      <c r="J940" s="1">
        <f>VLOOKUP(B940,Cena!$A$2:$B$101,2)</f>
        <v>121</v>
      </c>
      <c r="K940" s="1">
        <f t="shared" si="120"/>
        <v>5203</v>
      </c>
      <c r="L940" s="1">
        <f t="shared" si="117"/>
        <v>1196.69</v>
      </c>
      <c r="M940" s="22">
        <f t="shared" si="121"/>
        <v>6399.6900000000005</v>
      </c>
      <c r="N940" s="1">
        <f t="shared" ca="1" si="118"/>
        <v>10</v>
      </c>
      <c r="P940" s="1">
        <v>43.017172528197989</v>
      </c>
      <c r="Q940" s="1">
        <f t="shared" ca="1" si="119"/>
        <v>1</v>
      </c>
      <c r="R940" s="1">
        <v>15.849778972333297</v>
      </c>
    </row>
    <row r="941" spans="1:18" x14ac:dyDescent="0.3">
      <c r="A941" s="26">
        <v>940</v>
      </c>
      <c r="B941" s="1">
        <v>10</v>
      </c>
      <c r="C941" s="1">
        <f t="shared" si="115"/>
        <v>7</v>
      </c>
      <c r="D941" s="21">
        <f t="shared" ca="1" si="114"/>
        <v>44779</v>
      </c>
      <c r="E941" s="1" t="s">
        <v>26</v>
      </c>
      <c r="F941" s="1" t="s">
        <v>969</v>
      </c>
      <c r="G941" s="1" t="s">
        <v>28</v>
      </c>
      <c r="H941" s="1">
        <v>1039</v>
      </c>
      <c r="I941" s="1">
        <f t="shared" si="116"/>
        <v>59</v>
      </c>
      <c r="J941" s="1">
        <f>VLOOKUP(B941,Cena!$A$2:$B$101,2)</f>
        <v>109</v>
      </c>
      <c r="K941" s="1">
        <f t="shared" si="120"/>
        <v>6431</v>
      </c>
      <c r="L941" s="1">
        <f t="shared" si="117"/>
        <v>1479.13</v>
      </c>
      <c r="M941" s="22">
        <f t="shared" si="121"/>
        <v>7910.13</v>
      </c>
      <c r="N941" s="1">
        <f t="shared" ca="1" si="118"/>
        <v>8</v>
      </c>
      <c r="P941" s="1">
        <v>59.128166311711539</v>
      </c>
      <c r="Q941" s="1">
        <f t="shared" ca="1" si="119"/>
        <v>10</v>
      </c>
      <c r="R941" s="1">
        <v>7.4808019942429382</v>
      </c>
    </row>
    <row r="942" spans="1:18" x14ac:dyDescent="0.3">
      <c r="A942" s="26">
        <v>941</v>
      </c>
      <c r="B942" s="1">
        <v>18</v>
      </c>
      <c r="C942" s="1">
        <f t="shared" si="115"/>
        <v>9</v>
      </c>
      <c r="D942" s="21">
        <f t="shared" ca="1" si="114"/>
        <v>44686</v>
      </c>
      <c r="E942" s="1" t="s">
        <v>26</v>
      </c>
      <c r="F942" s="1" t="s">
        <v>970</v>
      </c>
      <c r="G942" s="1" t="s">
        <v>28</v>
      </c>
      <c r="H942" s="1">
        <v>1040</v>
      </c>
      <c r="I942" s="1">
        <f t="shared" si="116"/>
        <v>67</v>
      </c>
      <c r="J942" s="1">
        <f>VLOOKUP(B942,Cena!$A$2:$B$101,2)</f>
        <v>90</v>
      </c>
      <c r="K942" s="1">
        <f t="shared" si="120"/>
        <v>6030</v>
      </c>
      <c r="L942" s="1">
        <f t="shared" si="117"/>
        <v>1386.9</v>
      </c>
      <c r="M942" s="22">
        <f t="shared" si="121"/>
        <v>7416.9</v>
      </c>
      <c r="N942" s="1">
        <f t="shared" ca="1" si="118"/>
        <v>5</v>
      </c>
      <c r="P942" s="1">
        <v>67.072761693270877</v>
      </c>
      <c r="Q942" s="1">
        <f t="shared" ca="1" si="119"/>
        <v>15</v>
      </c>
      <c r="R942" s="1">
        <v>9.8996656813687878</v>
      </c>
    </row>
    <row r="943" spans="1:18" x14ac:dyDescent="0.3">
      <c r="A943" s="26">
        <v>942</v>
      </c>
      <c r="B943" s="1">
        <v>9</v>
      </c>
      <c r="C943" s="1">
        <f t="shared" si="115"/>
        <v>14</v>
      </c>
      <c r="D943" s="21">
        <f t="shared" ca="1" si="114"/>
        <v>44675</v>
      </c>
      <c r="E943" s="1" t="s">
        <v>26</v>
      </c>
      <c r="F943" s="1" t="s">
        <v>971</v>
      </c>
      <c r="G943" s="1" t="s">
        <v>28</v>
      </c>
      <c r="H943" s="1">
        <v>1041</v>
      </c>
      <c r="I943" s="1">
        <f t="shared" si="116"/>
        <v>30</v>
      </c>
      <c r="J943" s="1">
        <f>VLOOKUP(B943,Cena!$A$2:$B$101,2)</f>
        <v>96</v>
      </c>
      <c r="K943" s="1">
        <f t="shared" si="120"/>
        <v>2880</v>
      </c>
      <c r="L943" s="1">
        <f t="shared" si="117"/>
        <v>662.4</v>
      </c>
      <c r="M943" s="22">
        <f t="shared" si="121"/>
        <v>3542.4</v>
      </c>
      <c r="N943" s="1">
        <f t="shared" ca="1" si="118"/>
        <v>4</v>
      </c>
      <c r="P943" s="1">
        <v>30.528355081332847</v>
      </c>
      <c r="Q943" s="1">
        <f t="shared" ca="1" si="119"/>
        <v>29</v>
      </c>
      <c r="R943" s="1">
        <v>14.749949766846839</v>
      </c>
    </row>
    <row r="944" spans="1:18" x14ac:dyDescent="0.3">
      <c r="A944" s="26">
        <v>943</v>
      </c>
      <c r="B944" s="1">
        <v>1</v>
      </c>
      <c r="C944" s="1">
        <f t="shared" si="115"/>
        <v>11</v>
      </c>
      <c r="D944" s="21">
        <f t="shared" ca="1" si="114"/>
        <v>44603</v>
      </c>
      <c r="E944" s="1" t="s">
        <v>26</v>
      </c>
      <c r="F944" s="1" t="s">
        <v>972</v>
      </c>
      <c r="G944" s="1" t="s">
        <v>28</v>
      </c>
      <c r="H944" s="1">
        <v>1042</v>
      </c>
      <c r="I944" s="1">
        <f t="shared" si="116"/>
        <v>53</v>
      </c>
      <c r="J944" s="1">
        <f>VLOOKUP(B944,Cena!$A$2:$B$101,2)</f>
        <v>84</v>
      </c>
      <c r="K944" s="1">
        <f t="shared" si="120"/>
        <v>4452</v>
      </c>
      <c r="L944" s="1">
        <f t="shared" si="117"/>
        <v>1023.96</v>
      </c>
      <c r="M944" s="22">
        <f t="shared" si="121"/>
        <v>5475.96</v>
      </c>
      <c r="N944" s="1">
        <f t="shared" ca="1" si="118"/>
        <v>2</v>
      </c>
      <c r="P944" s="1">
        <v>53.375805590621894</v>
      </c>
      <c r="Q944" s="1">
        <f t="shared" ca="1" si="119"/>
        <v>4</v>
      </c>
      <c r="R944" s="1">
        <v>11.741074129313347</v>
      </c>
    </row>
    <row r="945" spans="1:18" x14ac:dyDescent="0.3">
      <c r="A945" s="26">
        <v>944</v>
      </c>
      <c r="B945" s="1">
        <v>15</v>
      </c>
      <c r="C945" s="1">
        <f t="shared" si="115"/>
        <v>7</v>
      </c>
      <c r="D945" s="21">
        <f t="shared" ca="1" si="114"/>
        <v>44784</v>
      </c>
      <c r="E945" s="1" t="s">
        <v>26</v>
      </c>
      <c r="F945" s="1" t="s">
        <v>973</v>
      </c>
      <c r="G945" s="1" t="s">
        <v>28</v>
      </c>
      <c r="H945" s="1">
        <v>1043</v>
      </c>
      <c r="I945" s="1">
        <f t="shared" si="116"/>
        <v>37</v>
      </c>
      <c r="J945" s="1">
        <f>VLOOKUP(B945,Cena!$A$2:$B$101,2)</f>
        <v>85</v>
      </c>
      <c r="K945" s="1">
        <f t="shared" si="120"/>
        <v>3145</v>
      </c>
      <c r="L945" s="1">
        <f t="shared" si="117"/>
        <v>723.35</v>
      </c>
      <c r="M945" s="22">
        <f t="shared" si="121"/>
        <v>3868.35</v>
      </c>
      <c r="N945" s="1">
        <f t="shared" ca="1" si="118"/>
        <v>8</v>
      </c>
      <c r="P945" s="1">
        <v>37.221417541150004</v>
      </c>
      <c r="Q945" s="1">
        <f t="shared" ca="1" si="119"/>
        <v>15</v>
      </c>
      <c r="R945" s="1">
        <v>7.8613004714134149</v>
      </c>
    </row>
    <row r="946" spans="1:18" x14ac:dyDescent="0.3">
      <c r="A946" s="26">
        <v>945</v>
      </c>
      <c r="B946" s="1">
        <v>19</v>
      </c>
      <c r="C946" s="1">
        <f t="shared" si="115"/>
        <v>9</v>
      </c>
      <c r="D946" s="21">
        <f t="shared" ca="1" si="114"/>
        <v>44916</v>
      </c>
      <c r="E946" s="1" t="s">
        <v>26</v>
      </c>
      <c r="F946" s="1" t="s">
        <v>974</v>
      </c>
      <c r="G946" s="1" t="s">
        <v>28</v>
      </c>
      <c r="H946" s="1">
        <v>1044</v>
      </c>
      <c r="I946" s="1">
        <f t="shared" si="116"/>
        <v>38</v>
      </c>
      <c r="J946" s="1">
        <f>VLOOKUP(B946,Cena!$A$2:$B$101,2)</f>
        <v>84</v>
      </c>
      <c r="K946" s="1">
        <f t="shared" si="120"/>
        <v>3192</v>
      </c>
      <c r="L946" s="1">
        <f t="shared" si="117"/>
        <v>734.16000000000008</v>
      </c>
      <c r="M946" s="22">
        <f t="shared" si="121"/>
        <v>3926.16</v>
      </c>
      <c r="N946" s="1">
        <f t="shared" ca="1" si="118"/>
        <v>12</v>
      </c>
      <c r="P946" s="1">
        <v>38.752369972644374</v>
      </c>
      <c r="Q946" s="1">
        <f t="shared" ca="1" si="119"/>
        <v>19</v>
      </c>
      <c r="R946" s="1">
        <v>9.1970355495141121</v>
      </c>
    </row>
    <row r="947" spans="1:18" x14ac:dyDescent="0.3">
      <c r="A947" s="26">
        <v>946</v>
      </c>
      <c r="B947" s="1">
        <v>3</v>
      </c>
      <c r="C947" s="1">
        <f t="shared" si="115"/>
        <v>7</v>
      </c>
      <c r="D947" s="21">
        <f t="shared" ca="1" si="114"/>
        <v>44729</v>
      </c>
      <c r="E947" s="1" t="s">
        <v>26</v>
      </c>
      <c r="F947" s="1" t="s">
        <v>975</v>
      </c>
      <c r="G947" s="1" t="s">
        <v>28</v>
      </c>
      <c r="H947" s="1">
        <v>1045</v>
      </c>
      <c r="I947" s="1">
        <f t="shared" si="116"/>
        <v>45</v>
      </c>
      <c r="J947" s="1">
        <f>VLOOKUP(B947,Cena!$A$2:$B$101,2)</f>
        <v>89</v>
      </c>
      <c r="K947" s="1">
        <f t="shared" si="120"/>
        <v>4005</v>
      </c>
      <c r="L947" s="1">
        <f t="shared" si="117"/>
        <v>921.15000000000009</v>
      </c>
      <c r="M947" s="22">
        <f t="shared" si="121"/>
        <v>4926.1499999999996</v>
      </c>
      <c r="N947" s="1">
        <f t="shared" ca="1" si="118"/>
        <v>6</v>
      </c>
      <c r="P947" s="1">
        <v>45.893040249939077</v>
      </c>
      <c r="Q947" s="1">
        <f t="shared" ca="1" si="119"/>
        <v>30</v>
      </c>
      <c r="R947" s="1">
        <v>7.9021026774717029</v>
      </c>
    </row>
    <row r="948" spans="1:18" x14ac:dyDescent="0.3">
      <c r="A948" s="26">
        <v>947</v>
      </c>
      <c r="B948" s="1">
        <v>6</v>
      </c>
      <c r="C948" s="1">
        <f t="shared" si="115"/>
        <v>10</v>
      </c>
      <c r="D948" s="21">
        <f t="shared" ca="1" si="114"/>
        <v>44874</v>
      </c>
      <c r="E948" s="1" t="s">
        <v>26</v>
      </c>
      <c r="F948" s="1" t="s">
        <v>976</v>
      </c>
      <c r="G948" s="1" t="s">
        <v>28</v>
      </c>
      <c r="H948" s="1">
        <v>1046</v>
      </c>
      <c r="I948" s="1">
        <f t="shared" si="116"/>
        <v>49</v>
      </c>
      <c r="J948" s="1">
        <f>VLOOKUP(B948,Cena!$A$2:$B$101,2)</f>
        <v>86</v>
      </c>
      <c r="K948" s="1">
        <f t="shared" si="120"/>
        <v>4214</v>
      </c>
      <c r="L948" s="1">
        <f t="shared" si="117"/>
        <v>969.22</v>
      </c>
      <c r="M948" s="22">
        <f t="shared" si="121"/>
        <v>5183.22</v>
      </c>
      <c r="N948" s="1">
        <f t="shared" ca="1" si="118"/>
        <v>11</v>
      </c>
      <c r="P948" s="1">
        <v>49.917758941592183</v>
      </c>
      <c r="Q948" s="1">
        <f t="shared" ca="1" si="119"/>
        <v>25</v>
      </c>
      <c r="R948" s="1">
        <v>10.622472384748107</v>
      </c>
    </row>
    <row r="949" spans="1:18" x14ac:dyDescent="0.3">
      <c r="A949" s="26">
        <v>948</v>
      </c>
      <c r="B949" s="1">
        <v>6</v>
      </c>
      <c r="C949" s="1">
        <f t="shared" si="115"/>
        <v>9</v>
      </c>
      <c r="D949" s="21">
        <f t="shared" ca="1" si="114"/>
        <v>44571</v>
      </c>
      <c r="E949" s="1" t="s">
        <v>26</v>
      </c>
      <c r="F949" s="1" t="s">
        <v>977</v>
      </c>
      <c r="G949" s="1" t="s">
        <v>28</v>
      </c>
      <c r="H949" s="1">
        <v>1047</v>
      </c>
      <c r="I949" s="1">
        <f t="shared" si="116"/>
        <v>37</v>
      </c>
      <c r="J949" s="1">
        <f>VLOOKUP(B949,Cena!$A$2:$B$101,2)</f>
        <v>86</v>
      </c>
      <c r="K949" s="1">
        <f t="shared" si="120"/>
        <v>3182</v>
      </c>
      <c r="L949" s="1">
        <f t="shared" si="117"/>
        <v>731.86</v>
      </c>
      <c r="M949" s="22">
        <f t="shared" si="121"/>
        <v>3913.86</v>
      </c>
      <c r="N949" s="1">
        <f t="shared" ca="1" si="118"/>
        <v>1</v>
      </c>
      <c r="P949" s="1">
        <v>37.872524798149243</v>
      </c>
      <c r="Q949" s="1">
        <f t="shared" ca="1" si="119"/>
        <v>17</v>
      </c>
      <c r="R949" s="1">
        <v>9.3490803262830013</v>
      </c>
    </row>
    <row r="950" spans="1:18" x14ac:dyDescent="0.3">
      <c r="A950" s="26">
        <v>949</v>
      </c>
      <c r="B950" s="1">
        <v>16</v>
      </c>
      <c r="C950" s="1">
        <f t="shared" si="115"/>
        <v>10</v>
      </c>
      <c r="D950" s="21">
        <f t="shared" ca="1" si="114"/>
        <v>44605</v>
      </c>
      <c r="E950" s="1" t="s">
        <v>26</v>
      </c>
      <c r="F950" s="1" t="s">
        <v>978</v>
      </c>
      <c r="G950" s="1" t="s">
        <v>28</v>
      </c>
      <c r="H950" s="1">
        <v>1048</v>
      </c>
      <c r="I950" s="1">
        <f t="shared" si="116"/>
        <v>40</v>
      </c>
      <c r="J950" s="1">
        <f>VLOOKUP(B950,Cena!$A$2:$B$101,2)</f>
        <v>93</v>
      </c>
      <c r="K950" s="1">
        <f t="shared" si="120"/>
        <v>3720</v>
      </c>
      <c r="L950" s="1">
        <f t="shared" si="117"/>
        <v>855.6</v>
      </c>
      <c r="M950" s="22">
        <f t="shared" si="121"/>
        <v>4575.6000000000004</v>
      </c>
      <c r="N950" s="1">
        <f t="shared" ca="1" si="118"/>
        <v>2</v>
      </c>
      <c r="P950" s="1">
        <v>40.77510892675491</v>
      </c>
      <c r="Q950" s="1">
        <f t="shared" ca="1" si="119"/>
        <v>12</v>
      </c>
      <c r="R950" s="1">
        <v>10.971226654655766</v>
      </c>
    </row>
    <row r="951" spans="1:18" x14ac:dyDescent="0.3">
      <c r="A951" s="26">
        <v>950</v>
      </c>
      <c r="B951" s="1">
        <v>10</v>
      </c>
      <c r="C951" s="1">
        <f t="shared" si="115"/>
        <v>10</v>
      </c>
      <c r="D951" s="21">
        <f t="shared" ca="1" si="114"/>
        <v>44568</v>
      </c>
      <c r="E951" s="1" t="s">
        <v>26</v>
      </c>
      <c r="F951" s="1" t="s">
        <v>979</v>
      </c>
      <c r="G951" s="1" t="s">
        <v>28</v>
      </c>
      <c r="H951" s="1">
        <v>1049</v>
      </c>
      <c r="I951" s="1">
        <f t="shared" si="116"/>
        <v>43</v>
      </c>
      <c r="J951" s="1">
        <f>VLOOKUP(B951,Cena!$A$2:$B$101,2)</f>
        <v>109</v>
      </c>
      <c r="K951" s="1">
        <f t="shared" si="120"/>
        <v>4687</v>
      </c>
      <c r="L951" s="1">
        <f t="shared" si="117"/>
        <v>1078.01</v>
      </c>
      <c r="M951" s="22">
        <f t="shared" si="121"/>
        <v>5765.01</v>
      </c>
      <c r="N951" s="1">
        <f t="shared" ca="1" si="118"/>
        <v>1</v>
      </c>
      <c r="P951" s="1">
        <v>43.102824191737454</v>
      </c>
      <c r="Q951" s="1">
        <f t="shared" ca="1" si="119"/>
        <v>30</v>
      </c>
      <c r="R951" s="1">
        <v>10.363593244401272</v>
      </c>
    </row>
    <row r="952" spans="1:18" x14ac:dyDescent="0.3">
      <c r="A952" s="26">
        <v>951</v>
      </c>
      <c r="B952" s="1">
        <v>19</v>
      </c>
      <c r="C952" s="1">
        <f t="shared" si="115"/>
        <v>9</v>
      </c>
      <c r="D952" s="21">
        <f t="shared" ca="1" si="114"/>
        <v>44801</v>
      </c>
      <c r="E952" s="1" t="s">
        <v>26</v>
      </c>
      <c r="F952" s="1" t="s">
        <v>980</v>
      </c>
      <c r="G952" s="1" t="s">
        <v>28</v>
      </c>
      <c r="H952" s="1">
        <v>1050</v>
      </c>
      <c r="I952" s="1">
        <f t="shared" si="116"/>
        <v>56</v>
      </c>
      <c r="J952" s="1">
        <f>VLOOKUP(B952,Cena!$A$2:$B$101,2)</f>
        <v>84</v>
      </c>
      <c r="K952" s="1">
        <f t="shared" si="120"/>
        <v>4704</v>
      </c>
      <c r="L952" s="1">
        <f t="shared" si="117"/>
        <v>1081.92</v>
      </c>
      <c r="M952" s="22">
        <f t="shared" si="121"/>
        <v>5785.92</v>
      </c>
      <c r="N952" s="1">
        <f t="shared" ca="1" si="118"/>
        <v>8</v>
      </c>
      <c r="P952" s="1">
        <v>56.520645001728553</v>
      </c>
      <c r="Q952" s="1">
        <f t="shared" ca="1" si="119"/>
        <v>13</v>
      </c>
      <c r="R952" s="1">
        <v>9.8203605855451315</v>
      </c>
    </row>
    <row r="953" spans="1:18" x14ac:dyDescent="0.3">
      <c r="A953" s="26">
        <v>952</v>
      </c>
      <c r="B953" s="1">
        <v>12</v>
      </c>
      <c r="C953" s="1">
        <f t="shared" si="115"/>
        <v>9</v>
      </c>
      <c r="D953" s="21">
        <f t="shared" ca="1" si="114"/>
        <v>44684</v>
      </c>
      <c r="E953" s="1" t="s">
        <v>26</v>
      </c>
      <c r="F953" s="1" t="s">
        <v>981</v>
      </c>
      <c r="G953" s="1" t="s">
        <v>28</v>
      </c>
      <c r="H953" s="1">
        <v>1051</v>
      </c>
      <c r="I953" s="1">
        <f t="shared" si="116"/>
        <v>41</v>
      </c>
      <c r="J953" s="1">
        <f>VLOOKUP(B953,Cena!$A$2:$B$101,2)</f>
        <v>88</v>
      </c>
      <c r="K953" s="1">
        <f t="shared" si="120"/>
        <v>3608</v>
      </c>
      <c r="L953" s="1">
        <f t="shared" si="117"/>
        <v>829.84</v>
      </c>
      <c r="M953" s="22">
        <f t="shared" si="121"/>
        <v>4437.84</v>
      </c>
      <c r="N953" s="1">
        <f t="shared" ca="1" si="118"/>
        <v>5</v>
      </c>
      <c r="P953" s="1">
        <v>41.017079992161598</v>
      </c>
      <c r="Q953" s="1">
        <f t="shared" ca="1" si="119"/>
        <v>28</v>
      </c>
      <c r="R953" s="1">
        <v>9.4678830717020901</v>
      </c>
    </row>
    <row r="954" spans="1:18" x14ac:dyDescent="0.3">
      <c r="A954" s="26">
        <v>953</v>
      </c>
      <c r="B954" s="1">
        <v>12</v>
      </c>
      <c r="C954" s="1">
        <f t="shared" si="115"/>
        <v>8</v>
      </c>
      <c r="D954" s="21">
        <f t="shared" ca="1" si="114"/>
        <v>44716</v>
      </c>
      <c r="E954" s="1" t="s">
        <v>26</v>
      </c>
      <c r="F954" s="1" t="s">
        <v>982</v>
      </c>
      <c r="G954" s="1" t="s">
        <v>28</v>
      </c>
      <c r="H954" s="1">
        <v>1052</v>
      </c>
      <c r="I954" s="1">
        <f t="shared" si="116"/>
        <v>49</v>
      </c>
      <c r="J954" s="1">
        <f>VLOOKUP(B954,Cena!$A$2:$B$101,2)</f>
        <v>88</v>
      </c>
      <c r="K954" s="1">
        <f t="shared" si="120"/>
        <v>4312</v>
      </c>
      <c r="L954" s="1">
        <f t="shared" si="117"/>
        <v>991.76</v>
      </c>
      <c r="M954" s="22">
        <f t="shared" si="121"/>
        <v>5303.76</v>
      </c>
      <c r="N954" s="1">
        <f t="shared" ca="1" si="118"/>
        <v>6</v>
      </c>
      <c r="P954" s="1">
        <v>49.083411239553243</v>
      </c>
      <c r="Q954" s="1">
        <f t="shared" ca="1" si="119"/>
        <v>28</v>
      </c>
      <c r="R954" s="1">
        <v>8.4776252404117258</v>
      </c>
    </row>
    <row r="955" spans="1:18" x14ac:dyDescent="0.3">
      <c r="A955" s="26">
        <v>954</v>
      </c>
      <c r="B955" s="1">
        <v>18</v>
      </c>
      <c r="C955" s="1">
        <f t="shared" si="115"/>
        <v>13</v>
      </c>
      <c r="D955" s="21">
        <f t="shared" ca="1" si="114"/>
        <v>44854</v>
      </c>
      <c r="E955" s="1" t="s">
        <v>26</v>
      </c>
      <c r="F955" s="1" t="s">
        <v>983</v>
      </c>
      <c r="G955" s="1" t="s">
        <v>28</v>
      </c>
      <c r="H955" s="1">
        <v>1053</v>
      </c>
      <c r="I955" s="1">
        <f t="shared" si="116"/>
        <v>36</v>
      </c>
      <c r="J955" s="1">
        <f>VLOOKUP(B955,Cena!$A$2:$B$101,2)</f>
        <v>90</v>
      </c>
      <c r="K955" s="1">
        <f t="shared" si="120"/>
        <v>3240</v>
      </c>
      <c r="L955" s="1">
        <f t="shared" si="117"/>
        <v>745.2</v>
      </c>
      <c r="M955" s="22">
        <f t="shared" si="121"/>
        <v>3985.2</v>
      </c>
      <c r="N955" s="1">
        <f t="shared" ca="1" si="118"/>
        <v>10</v>
      </c>
      <c r="P955" s="1">
        <v>36.665329743118491</v>
      </c>
      <c r="Q955" s="1">
        <f t="shared" ca="1" si="119"/>
        <v>14</v>
      </c>
      <c r="R955" s="1">
        <v>13.316074526082957</v>
      </c>
    </row>
    <row r="956" spans="1:18" x14ac:dyDescent="0.3">
      <c r="A956" s="26">
        <v>955</v>
      </c>
      <c r="B956" s="1">
        <v>1</v>
      </c>
      <c r="C956" s="1">
        <f t="shared" si="115"/>
        <v>6</v>
      </c>
      <c r="D956" s="21">
        <f t="shared" ca="1" si="114"/>
        <v>44899</v>
      </c>
      <c r="E956" s="1" t="s">
        <v>26</v>
      </c>
      <c r="F956" s="1" t="s">
        <v>984</v>
      </c>
      <c r="G956" s="1" t="s">
        <v>28</v>
      </c>
      <c r="H956" s="1">
        <v>1054</v>
      </c>
      <c r="I956" s="1">
        <f t="shared" si="116"/>
        <v>49</v>
      </c>
      <c r="J956" s="1">
        <f>VLOOKUP(B956,Cena!$A$2:$B$101,2)</f>
        <v>84</v>
      </c>
      <c r="K956" s="1">
        <f t="shared" si="120"/>
        <v>4116</v>
      </c>
      <c r="L956" s="1">
        <f t="shared" si="117"/>
        <v>946.68000000000006</v>
      </c>
      <c r="M956" s="22">
        <f t="shared" si="121"/>
        <v>5062.68</v>
      </c>
      <c r="N956" s="1">
        <f t="shared" ca="1" si="118"/>
        <v>12</v>
      </c>
      <c r="P956" s="1">
        <v>49.586407284368761</v>
      </c>
      <c r="Q956" s="1">
        <f t="shared" ca="1" si="119"/>
        <v>19</v>
      </c>
      <c r="R956" s="1">
        <v>6.5247184263716917</v>
      </c>
    </row>
    <row r="957" spans="1:18" x14ac:dyDescent="0.3">
      <c r="A957" s="26">
        <v>956</v>
      </c>
      <c r="B957" s="1">
        <v>24</v>
      </c>
      <c r="C957" s="1">
        <f t="shared" si="115"/>
        <v>11</v>
      </c>
      <c r="D957" s="21">
        <f t="shared" ca="1" si="114"/>
        <v>44861</v>
      </c>
      <c r="E957" s="1" t="s">
        <v>26</v>
      </c>
      <c r="F957" s="1" t="s">
        <v>985</v>
      </c>
      <c r="G957" s="1" t="s">
        <v>28</v>
      </c>
      <c r="H957" s="1">
        <v>1055</v>
      </c>
      <c r="I957" s="1">
        <f t="shared" si="116"/>
        <v>69</v>
      </c>
      <c r="J957" s="1">
        <f>VLOOKUP(B957,Cena!$A$2:$B$101,2)</f>
        <v>125</v>
      </c>
      <c r="K957" s="1">
        <f t="shared" si="120"/>
        <v>8625</v>
      </c>
      <c r="L957" s="1">
        <f t="shared" si="117"/>
        <v>1983.75</v>
      </c>
      <c r="M957" s="22">
        <f t="shared" si="121"/>
        <v>10608.75</v>
      </c>
      <c r="N957" s="1">
        <f t="shared" ca="1" si="118"/>
        <v>10</v>
      </c>
      <c r="P957" s="1">
        <v>69.098388293059543</v>
      </c>
      <c r="Q957" s="1">
        <f t="shared" ca="1" si="119"/>
        <v>7</v>
      </c>
      <c r="R957" s="1">
        <v>11.52306256495649</v>
      </c>
    </row>
    <row r="958" spans="1:18" x14ac:dyDescent="0.3">
      <c r="A958" s="26">
        <v>957</v>
      </c>
      <c r="B958" s="1">
        <v>2</v>
      </c>
      <c r="C958" s="1">
        <f t="shared" si="115"/>
        <v>10</v>
      </c>
      <c r="D958" s="21">
        <f t="shared" ca="1" si="114"/>
        <v>44716</v>
      </c>
      <c r="E958" s="1" t="s">
        <v>26</v>
      </c>
      <c r="F958" s="1" t="s">
        <v>986</v>
      </c>
      <c r="G958" s="1" t="s">
        <v>28</v>
      </c>
      <c r="H958" s="1">
        <v>1056</v>
      </c>
      <c r="I958" s="1">
        <f t="shared" si="116"/>
        <v>50</v>
      </c>
      <c r="J958" s="1">
        <f>VLOOKUP(B958,Cena!$A$2:$B$101,2)</f>
        <v>121</v>
      </c>
      <c r="K958" s="1">
        <f t="shared" si="120"/>
        <v>6050</v>
      </c>
      <c r="L958" s="1">
        <f t="shared" si="117"/>
        <v>1391.5</v>
      </c>
      <c r="M958" s="22">
        <f t="shared" si="121"/>
        <v>7441.5</v>
      </c>
      <c r="N958" s="1">
        <f t="shared" ca="1" si="118"/>
        <v>6</v>
      </c>
      <c r="P958" s="1">
        <v>50.898148755368311</v>
      </c>
      <c r="Q958" s="1">
        <f t="shared" ca="1" si="119"/>
        <v>5</v>
      </c>
      <c r="R958" s="1">
        <v>10.085600504462491</v>
      </c>
    </row>
    <row r="959" spans="1:18" x14ac:dyDescent="0.3">
      <c r="A959" s="26">
        <v>958</v>
      </c>
      <c r="B959" s="1">
        <v>27</v>
      </c>
      <c r="C959" s="1">
        <f t="shared" si="115"/>
        <v>11</v>
      </c>
      <c r="D959" s="21">
        <f t="shared" ca="1" si="114"/>
        <v>44709</v>
      </c>
      <c r="E959" s="1" t="s">
        <v>26</v>
      </c>
      <c r="F959" s="1" t="s">
        <v>987</v>
      </c>
      <c r="G959" s="1" t="s">
        <v>28</v>
      </c>
      <c r="H959" s="1">
        <v>1057</v>
      </c>
      <c r="I959" s="1">
        <f t="shared" si="116"/>
        <v>40</v>
      </c>
      <c r="J959" s="1">
        <f>VLOOKUP(B959,Cena!$A$2:$B$101,2)</f>
        <v>87</v>
      </c>
      <c r="K959" s="1">
        <f t="shared" si="120"/>
        <v>3480</v>
      </c>
      <c r="L959" s="1">
        <f t="shared" si="117"/>
        <v>800.40000000000009</v>
      </c>
      <c r="M959" s="22">
        <f t="shared" si="121"/>
        <v>4280.3999999999996</v>
      </c>
      <c r="N959" s="1">
        <f t="shared" ca="1" si="118"/>
        <v>5</v>
      </c>
      <c r="P959" s="1">
        <v>40.923924997332506</v>
      </c>
      <c r="Q959" s="1">
        <f t="shared" ca="1" si="119"/>
        <v>8</v>
      </c>
      <c r="R959" s="1">
        <v>11.915503844429622</v>
      </c>
    </row>
    <row r="960" spans="1:18" x14ac:dyDescent="0.3">
      <c r="A960" s="26">
        <v>959</v>
      </c>
      <c r="B960" s="1">
        <v>16</v>
      </c>
      <c r="C960" s="1">
        <f t="shared" si="115"/>
        <v>8</v>
      </c>
      <c r="D960" s="21">
        <f t="shared" ca="1" si="114"/>
        <v>44562</v>
      </c>
      <c r="E960" s="1" t="s">
        <v>26</v>
      </c>
      <c r="F960" s="1" t="s">
        <v>988</v>
      </c>
      <c r="G960" s="1" t="s">
        <v>28</v>
      </c>
      <c r="H960" s="1">
        <v>1058</v>
      </c>
      <c r="I960" s="1">
        <f t="shared" si="116"/>
        <v>48</v>
      </c>
      <c r="J960" s="1">
        <f>VLOOKUP(B960,Cena!$A$2:$B$101,2)</f>
        <v>93</v>
      </c>
      <c r="K960" s="1">
        <f t="shared" si="120"/>
        <v>4464</v>
      </c>
      <c r="L960" s="1">
        <f t="shared" si="117"/>
        <v>1026.72</v>
      </c>
      <c r="M960" s="22">
        <f t="shared" si="121"/>
        <v>5490.72</v>
      </c>
      <c r="N960" s="1">
        <f t="shared" ca="1" si="118"/>
        <v>1</v>
      </c>
      <c r="P960" s="1">
        <v>48.839598447375465</v>
      </c>
      <c r="Q960" s="1">
        <f t="shared" ca="1" si="119"/>
        <v>7</v>
      </c>
      <c r="R960" s="1">
        <v>8.3114349788593245</v>
      </c>
    </row>
    <row r="961" spans="1:18" x14ac:dyDescent="0.3">
      <c r="A961" s="26">
        <v>960</v>
      </c>
      <c r="B961" s="1">
        <v>6</v>
      </c>
      <c r="C961" s="1">
        <f t="shared" si="115"/>
        <v>7</v>
      </c>
      <c r="D961" s="21">
        <f t="shared" ca="1" si="114"/>
        <v>44635</v>
      </c>
      <c r="E961" s="1" t="s">
        <v>26</v>
      </c>
      <c r="F961" s="1" t="s">
        <v>989</v>
      </c>
      <c r="G961" s="1" t="s">
        <v>28</v>
      </c>
      <c r="H961" s="1">
        <v>1059</v>
      </c>
      <c r="I961" s="1">
        <f t="shared" si="116"/>
        <v>59</v>
      </c>
      <c r="J961" s="1">
        <f>VLOOKUP(B961,Cena!$A$2:$B$101,2)</f>
        <v>86</v>
      </c>
      <c r="K961" s="1">
        <f t="shared" si="120"/>
        <v>5074</v>
      </c>
      <c r="L961" s="1">
        <f t="shared" si="117"/>
        <v>1167.02</v>
      </c>
      <c r="M961" s="22">
        <f t="shared" si="121"/>
        <v>6241.02</v>
      </c>
      <c r="N961" s="1">
        <f t="shared" ca="1" si="118"/>
        <v>3</v>
      </c>
      <c r="P961" s="1">
        <v>59.727068572829012</v>
      </c>
      <c r="Q961" s="1">
        <f t="shared" ca="1" si="119"/>
        <v>8</v>
      </c>
      <c r="R961" s="1">
        <v>7.6357912601088174</v>
      </c>
    </row>
    <row r="962" spans="1:18" x14ac:dyDescent="0.3">
      <c r="A962" s="26">
        <v>961</v>
      </c>
      <c r="B962" s="1">
        <v>17</v>
      </c>
      <c r="C962" s="1">
        <f t="shared" si="115"/>
        <v>9</v>
      </c>
      <c r="D962" s="21">
        <f t="shared" ref="D962:D1025" ca="1" si="122">DATE(2022,RANDBETWEEN(1,12),RANDBETWEEN(1,28))</f>
        <v>44765</v>
      </c>
      <c r="E962" s="1" t="s">
        <v>26</v>
      </c>
      <c r="F962" s="1" t="s">
        <v>990</v>
      </c>
      <c r="G962" s="1" t="s">
        <v>28</v>
      </c>
      <c r="H962" s="1">
        <v>1060</v>
      </c>
      <c r="I962" s="1">
        <f t="shared" si="116"/>
        <v>38</v>
      </c>
      <c r="J962" s="1">
        <f>VLOOKUP(B962,Cena!$A$2:$B$101,2)</f>
        <v>84</v>
      </c>
      <c r="K962" s="1">
        <f t="shared" si="120"/>
        <v>3192</v>
      </c>
      <c r="L962" s="1">
        <f t="shared" si="117"/>
        <v>734.16000000000008</v>
      </c>
      <c r="M962" s="22">
        <f t="shared" si="121"/>
        <v>3926.16</v>
      </c>
      <c r="N962" s="1">
        <f t="shared" ca="1" si="118"/>
        <v>7</v>
      </c>
      <c r="P962" s="1">
        <v>38.289641805749852</v>
      </c>
      <c r="Q962" s="1">
        <f t="shared" ca="1" si="119"/>
        <v>6</v>
      </c>
      <c r="R962" s="1">
        <v>9.9811620909895282</v>
      </c>
    </row>
    <row r="963" spans="1:18" x14ac:dyDescent="0.3">
      <c r="A963" s="26">
        <v>962</v>
      </c>
      <c r="B963" s="1">
        <v>16</v>
      </c>
      <c r="C963" s="1">
        <f t="shared" ref="C963:C1026" si="123">INT(R963)</f>
        <v>9</v>
      </c>
      <c r="D963" s="21">
        <f t="shared" ca="1" si="122"/>
        <v>44608</v>
      </c>
      <c r="E963" s="1" t="s">
        <v>26</v>
      </c>
      <c r="F963" s="1" t="s">
        <v>991</v>
      </c>
      <c r="G963" s="1" t="s">
        <v>28</v>
      </c>
      <c r="H963" s="1">
        <v>1061</v>
      </c>
      <c r="I963" s="1">
        <f t="shared" ref="I963:I1026" si="124">INT(P963)</f>
        <v>48</v>
      </c>
      <c r="J963" s="1">
        <f>VLOOKUP(B963,Cena!$A$2:$B$101,2)</f>
        <v>93</v>
      </c>
      <c r="K963" s="1">
        <f t="shared" si="120"/>
        <v>4464</v>
      </c>
      <c r="L963" s="1">
        <f t="shared" ref="L963:L1026" si="125">K963*23%</f>
        <v>1026.72</v>
      </c>
      <c r="M963" s="22">
        <f t="shared" si="121"/>
        <v>5490.72</v>
      </c>
      <c r="N963" s="1">
        <f t="shared" ref="N963:N1026" ca="1" si="126">MONTH(D963)</f>
        <v>2</v>
      </c>
      <c r="P963" s="1">
        <v>48.108057752688183</v>
      </c>
      <c r="Q963" s="1">
        <f t="shared" ref="Q963:Q1026" ca="1" si="127">RANDBETWEEN(1,30)</f>
        <v>14</v>
      </c>
      <c r="R963" s="1">
        <v>9.6033238858217373</v>
      </c>
    </row>
    <row r="964" spans="1:18" x14ac:dyDescent="0.3">
      <c r="A964" s="26">
        <v>963</v>
      </c>
      <c r="B964" s="1">
        <v>28</v>
      </c>
      <c r="C964" s="1">
        <f t="shared" si="123"/>
        <v>12</v>
      </c>
      <c r="D964" s="21">
        <f t="shared" ca="1" si="122"/>
        <v>44740</v>
      </c>
      <c r="E964" s="1" t="s">
        <v>26</v>
      </c>
      <c r="F964" s="1" t="s">
        <v>992</v>
      </c>
      <c r="G964" s="1" t="s">
        <v>28</v>
      </c>
      <c r="H964" s="1">
        <v>1062</v>
      </c>
      <c r="I964" s="1">
        <f t="shared" si="124"/>
        <v>40</v>
      </c>
      <c r="J964" s="1">
        <f>VLOOKUP(B964,Cena!$A$2:$B$101,2)</f>
        <v>59</v>
      </c>
      <c r="K964" s="1">
        <f t="shared" si="120"/>
        <v>2360</v>
      </c>
      <c r="L964" s="1">
        <f t="shared" si="125"/>
        <v>542.80000000000007</v>
      </c>
      <c r="M964" s="22">
        <f t="shared" si="121"/>
        <v>2902.8</v>
      </c>
      <c r="N964" s="1">
        <f t="shared" ca="1" si="126"/>
        <v>6</v>
      </c>
      <c r="P964" s="1">
        <v>40.784453984815627</v>
      </c>
      <c r="Q964" s="1">
        <f t="shared" ca="1" si="127"/>
        <v>17</v>
      </c>
      <c r="R964" s="1">
        <v>12.111255525960587</v>
      </c>
    </row>
    <row r="965" spans="1:18" x14ac:dyDescent="0.3">
      <c r="A965" s="26">
        <v>964</v>
      </c>
      <c r="B965" s="1">
        <v>6</v>
      </c>
      <c r="C965" s="1">
        <f t="shared" si="123"/>
        <v>12</v>
      </c>
      <c r="D965" s="21">
        <f t="shared" ca="1" si="122"/>
        <v>44619</v>
      </c>
      <c r="E965" s="1" t="s">
        <v>26</v>
      </c>
      <c r="F965" s="1" t="s">
        <v>993</v>
      </c>
      <c r="G965" s="1" t="s">
        <v>28</v>
      </c>
      <c r="H965" s="1">
        <v>1063</v>
      </c>
      <c r="I965" s="1">
        <f t="shared" si="124"/>
        <v>67</v>
      </c>
      <c r="J965" s="1">
        <f>VLOOKUP(B965,Cena!$A$2:$B$101,2)</f>
        <v>86</v>
      </c>
      <c r="K965" s="1">
        <f t="shared" si="120"/>
        <v>5762</v>
      </c>
      <c r="L965" s="1">
        <f t="shared" si="125"/>
        <v>1325.26</v>
      </c>
      <c r="M965" s="22">
        <f t="shared" si="121"/>
        <v>7087.26</v>
      </c>
      <c r="N965" s="1">
        <f t="shared" ca="1" si="126"/>
        <v>2</v>
      </c>
      <c r="P965" s="1">
        <v>67.390084394719452</v>
      </c>
      <c r="Q965" s="1">
        <f t="shared" ca="1" si="127"/>
        <v>9</v>
      </c>
      <c r="R965" s="1">
        <v>12.890703854063759</v>
      </c>
    </row>
    <row r="966" spans="1:18" x14ac:dyDescent="0.3">
      <c r="A966" s="26">
        <v>965</v>
      </c>
      <c r="B966" s="1">
        <v>7</v>
      </c>
      <c r="C966" s="1">
        <f t="shared" si="123"/>
        <v>9</v>
      </c>
      <c r="D966" s="21">
        <f t="shared" ca="1" si="122"/>
        <v>44690</v>
      </c>
      <c r="E966" s="1" t="s">
        <v>26</v>
      </c>
      <c r="F966" s="1" t="s">
        <v>994</v>
      </c>
      <c r="G966" s="1" t="s">
        <v>28</v>
      </c>
      <c r="H966" s="1">
        <v>1064</v>
      </c>
      <c r="I966" s="1">
        <f t="shared" si="124"/>
        <v>61</v>
      </c>
      <c r="J966" s="1">
        <f>VLOOKUP(B966,Cena!$A$2:$B$101,2)</f>
        <v>104</v>
      </c>
      <c r="K966" s="1">
        <f t="shared" si="120"/>
        <v>6344</v>
      </c>
      <c r="L966" s="1">
        <f t="shared" si="125"/>
        <v>1459.1200000000001</v>
      </c>
      <c r="M966" s="22">
        <f t="shared" si="121"/>
        <v>7803.12</v>
      </c>
      <c r="N966" s="1">
        <f t="shared" ca="1" si="126"/>
        <v>5</v>
      </c>
      <c r="P966" s="1">
        <v>61.698216439981479</v>
      </c>
      <c r="Q966" s="1">
        <f t="shared" ca="1" si="127"/>
        <v>8</v>
      </c>
      <c r="R966" s="1">
        <v>9.9654789917258313</v>
      </c>
    </row>
    <row r="967" spans="1:18" x14ac:dyDescent="0.3">
      <c r="A967" s="26">
        <v>966</v>
      </c>
      <c r="B967" s="1">
        <v>30</v>
      </c>
      <c r="C967" s="1">
        <f t="shared" si="123"/>
        <v>10</v>
      </c>
      <c r="D967" s="21">
        <f t="shared" ca="1" si="122"/>
        <v>44817</v>
      </c>
      <c r="E967" s="1" t="s">
        <v>26</v>
      </c>
      <c r="F967" s="1" t="s">
        <v>995</v>
      </c>
      <c r="G967" s="1" t="s">
        <v>28</v>
      </c>
      <c r="H967" s="1">
        <v>1065</v>
      </c>
      <c r="I967" s="1">
        <f t="shared" si="124"/>
        <v>54</v>
      </c>
      <c r="J967" s="1">
        <f>VLOOKUP(B967,Cena!$A$2:$B$101,2)</f>
        <v>87</v>
      </c>
      <c r="K967" s="1">
        <f t="shared" si="120"/>
        <v>4698</v>
      </c>
      <c r="L967" s="1">
        <f t="shared" si="125"/>
        <v>1080.54</v>
      </c>
      <c r="M967" s="22">
        <f t="shared" si="121"/>
        <v>5778.54</v>
      </c>
      <c r="N967" s="1">
        <f t="shared" ca="1" si="126"/>
        <v>9</v>
      </c>
      <c r="P967" s="1">
        <v>54.705543688032776</v>
      </c>
      <c r="Q967" s="1">
        <f t="shared" ca="1" si="127"/>
        <v>18</v>
      </c>
      <c r="R967" s="1">
        <v>10.444202896687784</v>
      </c>
    </row>
    <row r="968" spans="1:18" x14ac:dyDescent="0.3">
      <c r="A968" s="26">
        <v>967</v>
      </c>
      <c r="B968" s="1">
        <v>9</v>
      </c>
      <c r="C968" s="1">
        <f t="shared" si="123"/>
        <v>11</v>
      </c>
      <c r="D968" s="21">
        <f t="shared" ca="1" si="122"/>
        <v>44701</v>
      </c>
      <c r="E968" s="1" t="s">
        <v>26</v>
      </c>
      <c r="F968" s="1" t="s">
        <v>996</v>
      </c>
      <c r="G968" s="1" t="s">
        <v>28</v>
      </c>
      <c r="H968" s="1">
        <v>1066</v>
      </c>
      <c r="I968" s="1">
        <f t="shared" si="124"/>
        <v>33</v>
      </c>
      <c r="J968" s="1">
        <f>VLOOKUP(B968,Cena!$A$2:$B$101,2)</f>
        <v>96</v>
      </c>
      <c r="K968" s="1">
        <f t="shared" si="120"/>
        <v>3168</v>
      </c>
      <c r="L968" s="1">
        <f t="shared" si="125"/>
        <v>728.64</v>
      </c>
      <c r="M968" s="22">
        <f t="shared" si="121"/>
        <v>3896.64</v>
      </c>
      <c r="N968" s="1">
        <f t="shared" ca="1" si="126"/>
        <v>5</v>
      </c>
      <c r="P968" s="1">
        <v>33.287307259161025</v>
      </c>
      <c r="Q968" s="1">
        <f t="shared" ca="1" si="127"/>
        <v>15</v>
      </c>
      <c r="R968" s="1">
        <v>11.009078687275178</v>
      </c>
    </row>
    <row r="969" spans="1:18" x14ac:dyDescent="0.3">
      <c r="A969" s="26">
        <v>968</v>
      </c>
      <c r="B969" s="1">
        <v>26</v>
      </c>
      <c r="C969" s="1">
        <f t="shared" si="123"/>
        <v>10</v>
      </c>
      <c r="D969" s="21">
        <f t="shared" ca="1" si="122"/>
        <v>44617</v>
      </c>
      <c r="E969" s="1" t="s">
        <v>26</v>
      </c>
      <c r="F969" s="1" t="s">
        <v>997</v>
      </c>
      <c r="G969" s="1" t="s">
        <v>28</v>
      </c>
      <c r="H969" s="1">
        <v>1067</v>
      </c>
      <c r="I969" s="1">
        <f t="shared" si="124"/>
        <v>56</v>
      </c>
      <c r="J969" s="1">
        <f>VLOOKUP(B969,Cena!$A$2:$B$101,2)</f>
        <v>99</v>
      </c>
      <c r="K969" s="1">
        <f t="shared" si="120"/>
        <v>5544</v>
      </c>
      <c r="L969" s="1">
        <f t="shared" si="125"/>
        <v>1275.1200000000001</v>
      </c>
      <c r="M969" s="22">
        <f t="shared" si="121"/>
        <v>6819.12</v>
      </c>
      <c r="N969" s="1">
        <f t="shared" ca="1" si="126"/>
        <v>2</v>
      </c>
      <c r="P969" s="1">
        <v>56.909795047249645</v>
      </c>
      <c r="Q969" s="1">
        <f t="shared" ca="1" si="127"/>
        <v>1</v>
      </c>
      <c r="R969" s="1">
        <v>10.859557758303708</v>
      </c>
    </row>
    <row r="970" spans="1:18" x14ac:dyDescent="0.3">
      <c r="A970" s="26">
        <v>969</v>
      </c>
      <c r="B970" s="1">
        <v>9</v>
      </c>
      <c r="C970" s="1">
        <f t="shared" si="123"/>
        <v>14</v>
      </c>
      <c r="D970" s="21">
        <f t="shared" ca="1" si="122"/>
        <v>44806</v>
      </c>
      <c r="E970" s="1" t="s">
        <v>26</v>
      </c>
      <c r="F970" s="1" t="s">
        <v>998</v>
      </c>
      <c r="G970" s="1" t="s">
        <v>28</v>
      </c>
      <c r="H970" s="1">
        <v>1068</v>
      </c>
      <c r="I970" s="1">
        <f t="shared" si="124"/>
        <v>45</v>
      </c>
      <c r="J970" s="1">
        <f>VLOOKUP(B970,Cena!$A$2:$B$101,2)</f>
        <v>96</v>
      </c>
      <c r="K970" s="1">
        <f t="shared" si="120"/>
        <v>4320</v>
      </c>
      <c r="L970" s="1">
        <f t="shared" si="125"/>
        <v>993.6</v>
      </c>
      <c r="M970" s="22">
        <f t="shared" si="121"/>
        <v>5313.6</v>
      </c>
      <c r="N970" s="1">
        <f t="shared" ca="1" si="126"/>
        <v>9</v>
      </c>
      <c r="P970" s="1">
        <v>45.808821040554903</v>
      </c>
      <c r="Q970" s="1">
        <f t="shared" ca="1" si="127"/>
        <v>6</v>
      </c>
      <c r="R970" s="1">
        <v>14.216531124257017</v>
      </c>
    </row>
    <row r="971" spans="1:18" x14ac:dyDescent="0.3">
      <c r="A971" s="26">
        <v>970</v>
      </c>
      <c r="B971" s="1">
        <v>16</v>
      </c>
      <c r="C971" s="1">
        <f t="shared" si="123"/>
        <v>12</v>
      </c>
      <c r="D971" s="21">
        <f t="shared" ca="1" si="122"/>
        <v>44795</v>
      </c>
      <c r="E971" s="1" t="s">
        <v>26</v>
      </c>
      <c r="F971" s="1" t="s">
        <v>999</v>
      </c>
      <c r="G971" s="1" t="s">
        <v>28</v>
      </c>
      <c r="H971" s="1">
        <v>1069</v>
      </c>
      <c r="I971" s="1">
        <f t="shared" si="124"/>
        <v>52</v>
      </c>
      <c r="J971" s="1">
        <f>VLOOKUP(B971,Cena!$A$2:$B$101,2)</f>
        <v>93</v>
      </c>
      <c r="K971" s="1">
        <f t="shared" si="120"/>
        <v>4836</v>
      </c>
      <c r="L971" s="1">
        <f t="shared" si="125"/>
        <v>1112.28</v>
      </c>
      <c r="M971" s="22">
        <f t="shared" si="121"/>
        <v>5948.28</v>
      </c>
      <c r="N971" s="1">
        <f t="shared" ca="1" si="126"/>
        <v>8</v>
      </c>
      <c r="P971" s="1">
        <v>52.357546691200696</v>
      </c>
      <c r="Q971" s="1">
        <f t="shared" ca="1" si="127"/>
        <v>22</v>
      </c>
      <c r="R971" s="1">
        <v>12.581953140179394</v>
      </c>
    </row>
    <row r="972" spans="1:18" x14ac:dyDescent="0.3">
      <c r="A972" s="26">
        <v>971</v>
      </c>
      <c r="B972" s="1">
        <v>10</v>
      </c>
      <c r="C972" s="1">
        <f t="shared" si="123"/>
        <v>8</v>
      </c>
      <c r="D972" s="21">
        <f t="shared" ca="1" si="122"/>
        <v>44871</v>
      </c>
      <c r="E972" s="1" t="s">
        <v>26</v>
      </c>
      <c r="F972" s="1" t="s">
        <v>1000</v>
      </c>
      <c r="G972" s="1" t="s">
        <v>28</v>
      </c>
      <c r="H972" s="1">
        <v>1070</v>
      </c>
      <c r="I972" s="1">
        <f t="shared" si="124"/>
        <v>67</v>
      </c>
      <c r="J972" s="1">
        <f>VLOOKUP(B972,Cena!$A$2:$B$101,2)</f>
        <v>109</v>
      </c>
      <c r="K972" s="1">
        <f t="shared" si="120"/>
        <v>7303</v>
      </c>
      <c r="L972" s="1">
        <f t="shared" si="125"/>
        <v>1679.69</v>
      </c>
      <c r="M972" s="22">
        <f t="shared" si="121"/>
        <v>8982.69</v>
      </c>
      <c r="N972" s="1">
        <f t="shared" ca="1" si="126"/>
        <v>11</v>
      </c>
      <c r="P972" s="1">
        <v>67.10895958240144</v>
      </c>
      <c r="Q972" s="1">
        <f t="shared" ca="1" si="127"/>
        <v>19</v>
      </c>
      <c r="R972" s="1">
        <v>8.422697444766527</v>
      </c>
    </row>
    <row r="973" spans="1:18" x14ac:dyDescent="0.3">
      <c r="A973" s="26">
        <v>972</v>
      </c>
      <c r="B973" s="1">
        <v>4</v>
      </c>
      <c r="C973" s="1">
        <f t="shared" si="123"/>
        <v>8</v>
      </c>
      <c r="D973" s="21">
        <f t="shared" ca="1" si="122"/>
        <v>44751</v>
      </c>
      <c r="E973" s="1" t="s">
        <v>26</v>
      </c>
      <c r="F973" s="1" t="s">
        <v>1001</v>
      </c>
      <c r="G973" s="1" t="s">
        <v>28</v>
      </c>
      <c r="H973" s="1">
        <v>1071</v>
      </c>
      <c r="I973" s="1">
        <f t="shared" si="124"/>
        <v>51</v>
      </c>
      <c r="J973" s="1">
        <f>VLOOKUP(B973,Cena!$A$2:$B$101,2)</f>
        <v>99</v>
      </c>
      <c r="K973" s="1">
        <f t="shared" si="120"/>
        <v>5049</v>
      </c>
      <c r="L973" s="1">
        <f t="shared" si="125"/>
        <v>1161.27</v>
      </c>
      <c r="M973" s="22">
        <f t="shared" si="121"/>
        <v>6210.27</v>
      </c>
      <c r="N973" s="1">
        <f t="shared" ca="1" si="126"/>
        <v>7</v>
      </c>
      <c r="P973" s="1">
        <v>51.558055373607203</v>
      </c>
      <c r="Q973" s="1">
        <f t="shared" ca="1" si="127"/>
        <v>30</v>
      </c>
      <c r="R973" s="1">
        <v>8.1932433001929894</v>
      </c>
    </row>
    <row r="974" spans="1:18" x14ac:dyDescent="0.3">
      <c r="A974" s="26">
        <v>973</v>
      </c>
      <c r="B974" s="1">
        <v>6</v>
      </c>
      <c r="C974" s="1">
        <f t="shared" si="123"/>
        <v>10</v>
      </c>
      <c r="D974" s="21">
        <f t="shared" ca="1" si="122"/>
        <v>44808</v>
      </c>
      <c r="E974" s="1" t="s">
        <v>26</v>
      </c>
      <c r="F974" s="1" t="s">
        <v>1002</v>
      </c>
      <c r="G974" s="1" t="s">
        <v>28</v>
      </c>
      <c r="H974" s="1">
        <v>1072</v>
      </c>
      <c r="I974" s="1">
        <f t="shared" si="124"/>
        <v>63</v>
      </c>
      <c r="J974" s="1">
        <f>VLOOKUP(B974,Cena!$A$2:$B$101,2)</f>
        <v>86</v>
      </c>
      <c r="K974" s="1">
        <f t="shared" si="120"/>
        <v>5418</v>
      </c>
      <c r="L974" s="1">
        <f t="shared" si="125"/>
        <v>1246.1400000000001</v>
      </c>
      <c r="M974" s="22">
        <f t="shared" si="121"/>
        <v>6664.14</v>
      </c>
      <c r="N974" s="1">
        <f t="shared" ca="1" si="126"/>
        <v>9</v>
      </c>
      <c r="P974" s="1">
        <v>63.010458133067004</v>
      </c>
      <c r="Q974" s="1">
        <f t="shared" ca="1" si="127"/>
        <v>11</v>
      </c>
      <c r="R974" s="1">
        <v>10.829996338325145</v>
      </c>
    </row>
    <row r="975" spans="1:18" x14ac:dyDescent="0.3">
      <c r="A975" s="26">
        <v>974</v>
      </c>
      <c r="B975" s="1">
        <v>27</v>
      </c>
      <c r="C975" s="1">
        <f t="shared" si="123"/>
        <v>7</v>
      </c>
      <c r="D975" s="21">
        <f t="shared" ca="1" si="122"/>
        <v>44663</v>
      </c>
      <c r="E975" s="1" t="s">
        <v>26</v>
      </c>
      <c r="F975" s="1" t="s">
        <v>1003</v>
      </c>
      <c r="G975" s="1" t="s">
        <v>28</v>
      </c>
      <c r="H975" s="1">
        <v>1073</v>
      </c>
      <c r="I975" s="1">
        <f t="shared" si="124"/>
        <v>40</v>
      </c>
      <c r="J975" s="1">
        <f>VLOOKUP(B975,Cena!$A$2:$B$101,2)</f>
        <v>87</v>
      </c>
      <c r="K975" s="1">
        <f t="shared" si="120"/>
        <v>3480</v>
      </c>
      <c r="L975" s="1">
        <f t="shared" si="125"/>
        <v>800.40000000000009</v>
      </c>
      <c r="M975" s="22">
        <f t="shared" si="121"/>
        <v>4280.3999999999996</v>
      </c>
      <c r="N975" s="1">
        <f t="shared" ca="1" si="126"/>
        <v>4</v>
      </c>
      <c r="P975" s="1">
        <v>40.630135471292306</v>
      </c>
      <c r="Q975" s="1">
        <f t="shared" ca="1" si="127"/>
        <v>30</v>
      </c>
      <c r="R975" s="1">
        <v>7.4884133280284004</v>
      </c>
    </row>
    <row r="976" spans="1:18" x14ac:dyDescent="0.3">
      <c r="A976" s="26">
        <v>975</v>
      </c>
      <c r="B976" s="1">
        <v>17</v>
      </c>
      <c r="C976" s="1">
        <f t="shared" si="123"/>
        <v>5</v>
      </c>
      <c r="D976" s="21">
        <f t="shared" ca="1" si="122"/>
        <v>44595</v>
      </c>
      <c r="E976" s="1" t="s">
        <v>26</v>
      </c>
      <c r="F976" s="1" t="s">
        <v>1004</v>
      </c>
      <c r="G976" s="1" t="s">
        <v>28</v>
      </c>
      <c r="H976" s="1">
        <v>1074</v>
      </c>
      <c r="I976" s="1">
        <f t="shared" si="124"/>
        <v>54</v>
      </c>
      <c r="J976" s="1">
        <f>VLOOKUP(B976,Cena!$A$2:$B$101,2)</f>
        <v>84</v>
      </c>
      <c r="K976" s="1">
        <f t="shared" si="120"/>
        <v>4536</v>
      </c>
      <c r="L976" s="1">
        <f t="shared" si="125"/>
        <v>1043.28</v>
      </c>
      <c r="M976" s="22">
        <f t="shared" si="121"/>
        <v>5579.28</v>
      </c>
      <c r="N976" s="1">
        <f t="shared" ca="1" si="126"/>
        <v>2</v>
      </c>
      <c r="P976" s="1">
        <v>54.346202331362292</v>
      </c>
      <c r="Q976" s="1">
        <f t="shared" ca="1" si="127"/>
        <v>12</v>
      </c>
      <c r="R976" s="1">
        <v>5.2146936266217381</v>
      </c>
    </row>
    <row r="977" spans="1:18" x14ac:dyDescent="0.3">
      <c r="A977" s="26">
        <v>976</v>
      </c>
      <c r="B977" s="1">
        <v>12</v>
      </c>
      <c r="C977" s="1">
        <f t="shared" si="123"/>
        <v>11</v>
      </c>
      <c r="D977" s="21">
        <f t="shared" ca="1" si="122"/>
        <v>44687</v>
      </c>
      <c r="E977" s="1" t="s">
        <v>26</v>
      </c>
      <c r="F977" s="1" t="s">
        <v>1005</v>
      </c>
      <c r="G977" s="1" t="s">
        <v>28</v>
      </c>
      <c r="H977" s="1">
        <v>1075</v>
      </c>
      <c r="I977" s="1">
        <f t="shared" si="124"/>
        <v>41</v>
      </c>
      <c r="J977" s="1">
        <f>VLOOKUP(B977,Cena!$A$2:$B$101,2)</f>
        <v>88</v>
      </c>
      <c r="K977" s="1">
        <f t="shared" si="120"/>
        <v>3608</v>
      </c>
      <c r="L977" s="1">
        <f t="shared" si="125"/>
        <v>829.84</v>
      </c>
      <c r="M977" s="22">
        <f t="shared" si="121"/>
        <v>4437.84</v>
      </c>
      <c r="N977" s="1">
        <f t="shared" ca="1" si="126"/>
        <v>5</v>
      </c>
      <c r="P977" s="1">
        <v>41.149138622859027</v>
      </c>
      <c r="Q977" s="1">
        <f t="shared" ca="1" si="127"/>
        <v>26</v>
      </c>
      <c r="R977" s="1">
        <v>11.972432528418722</v>
      </c>
    </row>
    <row r="978" spans="1:18" x14ac:dyDescent="0.3">
      <c r="A978" s="26">
        <v>977</v>
      </c>
      <c r="B978" s="1">
        <v>13</v>
      </c>
      <c r="C978" s="1">
        <f t="shared" si="123"/>
        <v>11</v>
      </c>
      <c r="D978" s="21">
        <f t="shared" ca="1" si="122"/>
        <v>44706</v>
      </c>
      <c r="E978" s="1" t="s">
        <v>26</v>
      </c>
      <c r="F978" s="1" t="s">
        <v>1006</v>
      </c>
      <c r="G978" s="1" t="s">
        <v>28</v>
      </c>
      <c r="H978" s="1">
        <v>1076</v>
      </c>
      <c r="I978" s="1">
        <f t="shared" si="124"/>
        <v>46</v>
      </c>
      <c r="J978" s="1">
        <f>VLOOKUP(B978,Cena!$A$2:$B$101,2)</f>
        <v>94</v>
      </c>
      <c r="K978" s="1">
        <f t="shared" si="120"/>
        <v>4324</v>
      </c>
      <c r="L978" s="1">
        <f t="shared" si="125"/>
        <v>994.5200000000001</v>
      </c>
      <c r="M978" s="22">
        <f t="shared" si="121"/>
        <v>5318.52</v>
      </c>
      <c r="N978" s="1">
        <f t="shared" ca="1" si="126"/>
        <v>5</v>
      </c>
      <c r="P978" s="1">
        <v>46.438964444678277</v>
      </c>
      <c r="Q978" s="1">
        <f t="shared" ca="1" si="127"/>
        <v>23</v>
      </c>
      <c r="R978" s="1">
        <v>11.543605776532786</v>
      </c>
    </row>
    <row r="979" spans="1:18" x14ac:dyDescent="0.3">
      <c r="A979" s="26">
        <v>978</v>
      </c>
      <c r="B979" s="1">
        <v>29</v>
      </c>
      <c r="C979" s="1">
        <f t="shared" si="123"/>
        <v>11</v>
      </c>
      <c r="D979" s="21">
        <f t="shared" ca="1" si="122"/>
        <v>44646</v>
      </c>
      <c r="E979" s="1" t="s">
        <v>26</v>
      </c>
      <c r="F979" s="1" t="s">
        <v>1007</v>
      </c>
      <c r="G979" s="1" t="s">
        <v>28</v>
      </c>
      <c r="H979" s="1">
        <v>1077</v>
      </c>
      <c r="I979" s="1">
        <f t="shared" si="124"/>
        <v>65</v>
      </c>
      <c r="J979" s="1">
        <f>VLOOKUP(B979,Cena!$A$2:$B$101,2)</f>
        <v>105</v>
      </c>
      <c r="K979" s="1">
        <f t="shared" si="120"/>
        <v>6825</v>
      </c>
      <c r="L979" s="1">
        <f t="shared" si="125"/>
        <v>1569.75</v>
      </c>
      <c r="M979" s="22">
        <f t="shared" si="121"/>
        <v>8394.75</v>
      </c>
      <c r="N979" s="1">
        <f t="shared" ca="1" si="126"/>
        <v>3</v>
      </c>
      <c r="P979" s="1">
        <v>65.271962183760479</v>
      </c>
      <c r="Q979" s="1">
        <f t="shared" ca="1" si="127"/>
        <v>4</v>
      </c>
      <c r="R979" s="1">
        <v>11.868392018877785</v>
      </c>
    </row>
    <row r="980" spans="1:18" x14ac:dyDescent="0.3">
      <c r="A980" s="26">
        <v>979</v>
      </c>
      <c r="B980" s="1">
        <v>12</v>
      </c>
      <c r="C980" s="1">
        <f t="shared" si="123"/>
        <v>13</v>
      </c>
      <c r="D980" s="21">
        <f t="shared" ca="1" si="122"/>
        <v>44604</v>
      </c>
      <c r="E980" s="1" t="s">
        <v>26</v>
      </c>
      <c r="F980" s="1" t="s">
        <v>1008</v>
      </c>
      <c r="G980" s="1" t="s">
        <v>28</v>
      </c>
      <c r="H980" s="1">
        <v>1078</v>
      </c>
      <c r="I980" s="1">
        <f t="shared" si="124"/>
        <v>51</v>
      </c>
      <c r="J980" s="1">
        <f>VLOOKUP(B980,Cena!$A$2:$B$101,2)</f>
        <v>88</v>
      </c>
      <c r="K980" s="1">
        <f t="shared" si="120"/>
        <v>4488</v>
      </c>
      <c r="L980" s="1">
        <f t="shared" si="125"/>
        <v>1032.24</v>
      </c>
      <c r="M980" s="22">
        <f t="shared" si="121"/>
        <v>5520.24</v>
      </c>
      <c r="N980" s="1">
        <f t="shared" ca="1" si="126"/>
        <v>2</v>
      </c>
      <c r="P980" s="1">
        <v>51.238231561728753</v>
      </c>
      <c r="Q980" s="1">
        <f t="shared" ca="1" si="127"/>
        <v>3</v>
      </c>
      <c r="R980" s="1">
        <v>13.249044766562292</v>
      </c>
    </row>
    <row r="981" spans="1:18" x14ac:dyDescent="0.3">
      <c r="A981" s="26">
        <v>980</v>
      </c>
      <c r="B981" s="1">
        <v>23</v>
      </c>
      <c r="C981" s="1">
        <f t="shared" si="123"/>
        <v>10</v>
      </c>
      <c r="D981" s="21">
        <f t="shared" ca="1" si="122"/>
        <v>44658</v>
      </c>
      <c r="E981" s="1" t="s">
        <v>26</v>
      </c>
      <c r="F981" s="1" t="s">
        <v>1009</v>
      </c>
      <c r="G981" s="1" t="s">
        <v>28</v>
      </c>
      <c r="H981" s="1">
        <v>1079</v>
      </c>
      <c r="I981" s="1">
        <f t="shared" si="124"/>
        <v>45</v>
      </c>
      <c r="J981" s="1">
        <f>VLOOKUP(B981,Cena!$A$2:$B$101,2)</f>
        <v>132</v>
      </c>
      <c r="K981" s="1">
        <f t="shared" si="120"/>
        <v>5940</v>
      </c>
      <c r="L981" s="1">
        <f t="shared" si="125"/>
        <v>1366.2</v>
      </c>
      <c r="M981" s="22">
        <f t="shared" si="121"/>
        <v>7306.2</v>
      </c>
      <c r="N981" s="1">
        <f t="shared" ca="1" si="126"/>
        <v>4</v>
      </c>
      <c r="P981" s="1">
        <v>45.439236499805702</v>
      </c>
      <c r="Q981" s="1">
        <f t="shared" ca="1" si="127"/>
        <v>4</v>
      </c>
      <c r="R981" s="1">
        <v>10.392225274481461</v>
      </c>
    </row>
    <row r="982" spans="1:18" x14ac:dyDescent="0.3">
      <c r="A982" s="26">
        <v>981</v>
      </c>
      <c r="B982" s="1">
        <v>3</v>
      </c>
      <c r="C982" s="1">
        <f t="shared" si="123"/>
        <v>9</v>
      </c>
      <c r="D982" s="21">
        <f t="shared" ca="1" si="122"/>
        <v>44645</v>
      </c>
      <c r="E982" s="1" t="s">
        <v>26</v>
      </c>
      <c r="F982" s="1" t="s">
        <v>1010</v>
      </c>
      <c r="G982" s="1" t="s">
        <v>28</v>
      </c>
      <c r="H982" s="1">
        <v>1080</v>
      </c>
      <c r="I982" s="1">
        <f t="shared" si="124"/>
        <v>57</v>
      </c>
      <c r="J982" s="1">
        <f>VLOOKUP(B982,Cena!$A$2:$B$101,2)</f>
        <v>89</v>
      </c>
      <c r="K982" s="1">
        <f t="shared" si="120"/>
        <v>5073</v>
      </c>
      <c r="L982" s="1">
        <f t="shared" si="125"/>
        <v>1166.79</v>
      </c>
      <c r="M982" s="22">
        <f t="shared" si="121"/>
        <v>6239.79</v>
      </c>
      <c r="N982" s="1">
        <f t="shared" ca="1" si="126"/>
        <v>3</v>
      </c>
      <c r="P982" s="1">
        <v>57.19030595064396</v>
      </c>
      <c r="Q982" s="1">
        <f t="shared" ca="1" si="127"/>
        <v>29</v>
      </c>
      <c r="R982" s="1">
        <v>9.9744687784186681</v>
      </c>
    </row>
    <row r="983" spans="1:18" x14ac:dyDescent="0.3">
      <c r="A983" s="26">
        <v>982</v>
      </c>
      <c r="B983" s="1">
        <v>19</v>
      </c>
      <c r="C983" s="1">
        <f t="shared" si="123"/>
        <v>8</v>
      </c>
      <c r="D983" s="21">
        <f t="shared" ca="1" si="122"/>
        <v>44631</v>
      </c>
      <c r="E983" s="1" t="s">
        <v>26</v>
      </c>
      <c r="F983" s="1" t="s">
        <v>1011</v>
      </c>
      <c r="G983" s="1" t="s">
        <v>28</v>
      </c>
      <c r="H983" s="1">
        <v>1081</v>
      </c>
      <c r="I983" s="1">
        <f t="shared" si="124"/>
        <v>60</v>
      </c>
      <c r="J983" s="1">
        <f>VLOOKUP(B983,Cena!$A$2:$B$101,2)</f>
        <v>84</v>
      </c>
      <c r="K983" s="1">
        <f t="shared" si="120"/>
        <v>5040</v>
      </c>
      <c r="L983" s="1">
        <f t="shared" si="125"/>
        <v>1159.2</v>
      </c>
      <c r="M983" s="22">
        <f t="shared" si="121"/>
        <v>6199.2</v>
      </c>
      <c r="N983" s="1">
        <f t="shared" ca="1" si="126"/>
        <v>3</v>
      </c>
      <c r="P983" s="1">
        <v>60.031135388999246</v>
      </c>
      <c r="Q983" s="1">
        <f t="shared" ca="1" si="127"/>
        <v>29</v>
      </c>
      <c r="R983" s="1">
        <v>8.4649463158348226</v>
      </c>
    </row>
    <row r="984" spans="1:18" x14ac:dyDescent="0.3">
      <c r="A984" s="26">
        <v>983</v>
      </c>
      <c r="B984" s="1">
        <v>24</v>
      </c>
      <c r="C984" s="1">
        <f t="shared" si="123"/>
        <v>12</v>
      </c>
      <c r="D984" s="21">
        <f t="shared" ca="1" si="122"/>
        <v>44876</v>
      </c>
      <c r="E984" s="1" t="s">
        <v>26</v>
      </c>
      <c r="F984" s="1" t="s">
        <v>1012</v>
      </c>
      <c r="G984" s="1" t="s">
        <v>28</v>
      </c>
      <c r="H984" s="1">
        <v>1082</v>
      </c>
      <c r="I984" s="1">
        <f t="shared" si="124"/>
        <v>60</v>
      </c>
      <c r="J984" s="1">
        <f>VLOOKUP(B984,Cena!$A$2:$B$101,2)</f>
        <v>125</v>
      </c>
      <c r="K984" s="1">
        <f t="shared" si="120"/>
        <v>7500</v>
      </c>
      <c r="L984" s="1">
        <f t="shared" si="125"/>
        <v>1725</v>
      </c>
      <c r="M984" s="22">
        <f t="shared" si="121"/>
        <v>9225</v>
      </c>
      <c r="N984" s="1">
        <f t="shared" ca="1" si="126"/>
        <v>11</v>
      </c>
      <c r="P984" s="1">
        <v>60.052690413431264</v>
      </c>
      <c r="Q984" s="1">
        <f t="shared" ca="1" si="127"/>
        <v>24</v>
      </c>
      <c r="R984" s="1">
        <v>12.112619768013246</v>
      </c>
    </row>
    <row r="985" spans="1:18" x14ac:dyDescent="0.3">
      <c r="A985" s="26">
        <v>984</v>
      </c>
      <c r="B985" s="1">
        <v>24</v>
      </c>
      <c r="C985" s="1">
        <f t="shared" si="123"/>
        <v>9</v>
      </c>
      <c r="D985" s="21">
        <f t="shared" ca="1" si="122"/>
        <v>44815</v>
      </c>
      <c r="E985" s="1" t="s">
        <v>26</v>
      </c>
      <c r="F985" s="1" t="s">
        <v>1013</v>
      </c>
      <c r="G985" s="1" t="s">
        <v>28</v>
      </c>
      <c r="H985" s="1">
        <v>1083</v>
      </c>
      <c r="I985" s="1">
        <f t="shared" si="124"/>
        <v>46</v>
      </c>
      <c r="J985" s="1">
        <f>VLOOKUP(B985,Cena!$A$2:$B$101,2)</f>
        <v>125</v>
      </c>
      <c r="K985" s="1">
        <f t="shared" si="120"/>
        <v>5750</v>
      </c>
      <c r="L985" s="1">
        <f t="shared" si="125"/>
        <v>1322.5</v>
      </c>
      <c r="M985" s="22">
        <f t="shared" si="121"/>
        <v>7072.5</v>
      </c>
      <c r="N985" s="1">
        <f t="shared" ca="1" si="126"/>
        <v>9</v>
      </c>
      <c r="P985" s="1">
        <v>46.259066392667592</v>
      </c>
      <c r="Q985" s="1">
        <f t="shared" ca="1" si="127"/>
        <v>5</v>
      </c>
      <c r="R985" s="1">
        <v>9.5118173501396086</v>
      </c>
    </row>
    <row r="986" spans="1:18" x14ac:dyDescent="0.3">
      <c r="A986" s="26">
        <v>985</v>
      </c>
      <c r="B986" s="1">
        <v>14</v>
      </c>
      <c r="C986" s="1">
        <f t="shared" si="123"/>
        <v>6</v>
      </c>
      <c r="D986" s="21">
        <f t="shared" ca="1" si="122"/>
        <v>44721</v>
      </c>
      <c r="E986" s="1" t="s">
        <v>26</v>
      </c>
      <c r="F986" s="1" t="s">
        <v>1014</v>
      </c>
      <c r="G986" s="1" t="s">
        <v>28</v>
      </c>
      <c r="H986" s="1">
        <v>1084</v>
      </c>
      <c r="I986" s="1">
        <f t="shared" si="124"/>
        <v>38</v>
      </c>
      <c r="J986" s="1">
        <f>VLOOKUP(B986,Cena!$A$2:$B$101,2)</f>
        <v>129</v>
      </c>
      <c r="K986" s="1">
        <f t="shared" si="120"/>
        <v>4902</v>
      </c>
      <c r="L986" s="1">
        <f t="shared" si="125"/>
        <v>1127.46</v>
      </c>
      <c r="M986" s="22">
        <f t="shared" si="121"/>
        <v>6029.46</v>
      </c>
      <c r="N986" s="1">
        <f t="shared" ca="1" si="126"/>
        <v>6</v>
      </c>
      <c r="P986" s="1">
        <v>38.517424753808882</v>
      </c>
      <c r="Q986" s="1">
        <f t="shared" ca="1" si="127"/>
        <v>7</v>
      </c>
      <c r="R986" s="1">
        <v>6.6737618706247304</v>
      </c>
    </row>
    <row r="987" spans="1:18" x14ac:dyDescent="0.3">
      <c r="A987" s="26">
        <v>986</v>
      </c>
      <c r="B987" s="1">
        <v>19</v>
      </c>
      <c r="C987" s="1">
        <f t="shared" si="123"/>
        <v>9</v>
      </c>
      <c r="D987" s="21">
        <f t="shared" ca="1" si="122"/>
        <v>44615</v>
      </c>
      <c r="E987" s="1" t="s">
        <v>26</v>
      </c>
      <c r="F987" s="1" t="s">
        <v>1015</v>
      </c>
      <c r="G987" s="1" t="s">
        <v>28</v>
      </c>
      <c r="H987" s="1">
        <v>1085</v>
      </c>
      <c r="I987" s="1">
        <f t="shared" si="124"/>
        <v>60</v>
      </c>
      <c r="J987" s="1">
        <f>VLOOKUP(B987,Cena!$A$2:$B$101,2)</f>
        <v>84</v>
      </c>
      <c r="K987" s="1">
        <f t="shared" si="120"/>
        <v>5040</v>
      </c>
      <c r="L987" s="1">
        <f t="shared" si="125"/>
        <v>1159.2</v>
      </c>
      <c r="M987" s="22">
        <f t="shared" si="121"/>
        <v>6199.2</v>
      </c>
      <c r="N987" s="1">
        <f t="shared" ca="1" si="126"/>
        <v>2</v>
      </c>
      <c r="P987" s="1">
        <v>60.721805665525608</v>
      </c>
      <c r="Q987" s="1">
        <f t="shared" ca="1" si="127"/>
        <v>28</v>
      </c>
      <c r="R987" s="1">
        <v>9.6149369962950004</v>
      </c>
    </row>
    <row r="988" spans="1:18" x14ac:dyDescent="0.3">
      <c r="A988" s="26">
        <v>987</v>
      </c>
      <c r="B988" s="1">
        <v>3</v>
      </c>
      <c r="C988" s="1">
        <f t="shared" si="123"/>
        <v>14</v>
      </c>
      <c r="D988" s="21">
        <f t="shared" ca="1" si="122"/>
        <v>44811</v>
      </c>
      <c r="E988" s="1" t="s">
        <v>26</v>
      </c>
      <c r="F988" s="1" t="s">
        <v>1016</v>
      </c>
      <c r="G988" s="1" t="s">
        <v>28</v>
      </c>
      <c r="H988" s="1">
        <v>1086</v>
      </c>
      <c r="I988" s="1">
        <f t="shared" si="124"/>
        <v>38</v>
      </c>
      <c r="J988" s="1">
        <f>VLOOKUP(B988,Cena!$A$2:$B$101,2)</f>
        <v>89</v>
      </c>
      <c r="K988" s="1">
        <f t="shared" si="120"/>
        <v>3382</v>
      </c>
      <c r="L988" s="1">
        <f t="shared" si="125"/>
        <v>777.86</v>
      </c>
      <c r="M988" s="22">
        <f t="shared" si="121"/>
        <v>4159.8599999999997</v>
      </c>
      <c r="N988" s="1">
        <f t="shared" ca="1" si="126"/>
        <v>9</v>
      </c>
      <c r="P988" s="1">
        <v>38.595459399220999</v>
      </c>
      <c r="Q988" s="1">
        <f t="shared" ca="1" si="127"/>
        <v>6</v>
      </c>
      <c r="R988" s="1">
        <v>14.521746177488239</v>
      </c>
    </row>
    <row r="989" spans="1:18" x14ac:dyDescent="0.3">
      <c r="A989" s="26">
        <v>988</v>
      </c>
      <c r="B989" s="1">
        <v>17</v>
      </c>
      <c r="C989" s="1">
        <f t="shared" si="123"/>
        <v>8</v>
      </c>
      <c r="D989" s="21">
        <f t="shared" ca="1" si="122"/>
        <v>44874</v>
      </c>
      <c r="E989" s="1" t="s">
        <v>26</v>
      </c>
      <c r="F989" s="1" t="s">
        <v>1017</v>
      </c>
      <c r="G989" s="1" t="s">
        <v>28</v>
      </c>
      <c r="H989" s="1">
        <v>1087</v>
      </c>
      <c r="I989" s="1">
        <f t="shared" si="124"/>
        <v>52</v>
      </c>
      <c r="J989" s="1">
        <f>VLOOKUP(B989,Cena!$A$2:$B$101,2)</f>
        <v>84</v>
      </c>
      <c r="K989" s="1">
        <f t="shared" si="120"/>
        <v>4368</v>
      </c>
      <c r="L989" s="1">
        <f t="shared" si="125"/>
        <v>1004.6400000000001</v>
      </c>
      <c r="M989" s="22">
        <f t="shared" si="121"/>
        <v>5372.64</v>
      </c>
      <c r="N989" s="1">
        <f t="shared" ca="1" si="126"/>
        <v>11</v>
      </c>
      <c r="P989" s="1">
        <v>52.492265593900811</v>
      </c>
      <c r="Q989" s="1">
        <f t="shared" ca="1" si="127"/>
        <v>12</v>
      </c>
      <c r="R989" s="1">
        <v>8.6466548307362245</v>
      </c>
    </row>
    <row r="990" spans="1:18" x14ac:dyDescent="0.3">
      <c r="A990" s="26">
        <v>989</v>
      </c>
      <c r="B990" s="1">
        <v>8</v>
      </c>
      <c r="C990" s="1">
        <f t="shared" si="123"/>
        <v>8</v>
      </c>
      <c r="D990" s="21">
        <f t="shared" ca="1" si="122"/>
        <v>44767</v>
      </c>
      <c r="E990" s="1" t="s">
        <v>26</v>
      </c>
      <c r="F990" s="1" t="s">
        <v>1018</v>
      </c>
      <c r="G990" s="1" t="s">
        <v>28</v>
      </c>
      <c r="H990" s="1">
        <v>1088</v>
      </c>
      <c r="I990" s="1">
        <f t="shared" si="124"/>
        <v>58</v>
      </c>
      <c r="J990" s="1">
        <f>VLOOKUP(B990,Cena!$A$2:$B$101,2)</f>
        <v>88</v>
      </c>
      <c r="K990" s="1">
        <f t="shared" si="120"/>
        <v>5104</v>
      </c>
      <c r="L990" s="1">
        <f t="shared" si="125"/>
        <v>1173.92</v>
      </c>
      <c r="M990" s="22">
        <f t="shared" si="121"/>
        <v>6277.92</v>
      </c>
      <c r="N990" s="1">
        <f t="shared" ca="1" si="126"/>
        <v>7</v>
      </c>
      <c r="P990" s="1">
        <v>58.885990609996952</v>
      </c>
      <c r="Q990" s="1">
        <f t="shared" ca="1" si="127"/>
        <v>26</v>
      </c>
      <c r="R990" s="1">
        <v>8.3731470365455607</v>
      </c>
    </row>
    <row r="991" spans="1:18" x14ac:dyDescent="0.3">
      <c r="A991" s="26">
        <v>990</v>
      </c>
      <c r="B991" s="1">
        <v>14</v>
      </c>
      <c r="C991" s="1">
        <f t="shared" si="123"/>
        <v>16</v>
      </c>
      <c r="D991" s="21">
        <f t="shared" ca="1" si="122"/>
        <v>44698</v>
      </c>
      <c r="E991" s="1" t="s">
        <v>26</v>
      </c>
      <c r="F991" s="1" t="s">
        <v>1019</v>
      </c>
      <c r="G991" s="1" t="s">
        <v>28</v>
      </c>
      <c r="H991" s="1">
        <v>1089</v>
      </c>
      <c r="I991" s="1">
        <f t="shared" si="124"/>
        <v>47</v>
      </c>
      <c r="J991" s="1">
        <f>VLOOKUP(B991,Cena!$A$2:$B$101,2)</f>
        <v>129</v>
      </c>
      <c r="K991" s="1">
        <f t="shared" ref="K991:K1054" si="128">I991*J991</f>
        <v>6063</v>
      </c>
      <c r="L991" s="1">
        <f t="shared" si="125"/>
        <v>1394.49</v>
      </c>
      <c r="M991" s="22">
        <f t="shared" ref="M991:M1054" si="129">K991+L991</f>
        <v>7457.49</v>
      </c>
      <c r="N991" s="1">
        <f t="shared" ca="1" si="126"/>
        <v>5</v>
      </c>
      <c r="P991" s="1">
        <v>47.386032646318199</v>
      </c>
      <c r="Q991" s="1">
        <f t="shared" ca="1" si="127"/>
        <v>15</v>
      </c>
      <c r="R991" s="1">
        <v>16.033269528415985</v>
      </c>
    </row>
    <row r="992" spans="1:18" x14ac:dyDescent="0.3">
      <c r="A992" s="26">
        <v>991</v>
      </c>
      <c r="B992" s="1">
        <v>5</v>
      </c>
      <c r="C992" s="1">
        <f t="shared" si="123"/>
        <v>14</v>
      </c>
      <c r="D992" s="21">
        <f t="shared" ca="1" si="122"/>
        <v>44795</v>
      </c>
      <c r="E992" s="1" t="s">
        <v>26</v>
      </c>
      <c r="F992" s="1" t="s">
        <v>1020</v>
      </c>
      <c r="G992" s="1" t="s">
        <v>28</v>
      </c>
      <c r="H992" s="1">
        <v>1090</v>
      </c>
      <c r="I992" s="1">
        <f t="shared" si="124"/>
        <v>38</v>
      </c>
      <c r="J992" s="1">
        <f>VLOOKUP(B992,Cena!$A$2:$B$101,2)</f>
        <v>91</v>
      </c>
      <c r="K992" s="1">
        <f t="shared" si="128"/>
        <v>3458</v>
      </c>
      <c r="L992" s="1">
        <f t="shared" si="125"/>
        <v>795.34</v>
      </c>
      <c r="M992" s="22">
        <f t="shared" si="129"/>
        <v>4253.34</v>
      </c>
      <c r="N992" s="1">
        <f t="shared" ca="1" si="126"/>
        <v>8</v>
      </c>
      <c r="P992" s="1">
        <v>38.449121701705735</v>
      </c>
      <c r="Q992" s="1">
        <f t="shared" ca="1" si="127"/>
        <v>3</v>
      </c>
      <c r="R992" s="1">
        <v>14.8552465159446</v>
      </c>
    </row>
    <row r="993" spans="1:18" x14ac:dyDescent="0.3">
      <c r="A993" s="26">
        <v>992</v>
      </c>
      <c r="B993" s="1">
        <v>6</v>
      </c>
      <c r="C993" s="1">
        <f t="shared" si="123"/>
        <v>12</v>
      </c>
      <c r="D993" s="21">
        <f t="shared" ca="1" si="122"/>
        <v>44923</v>
      </c>
      <c r="E993" s="1" t="s">
        <v>26</v>
      </c>
      <c r="F993" s="1" t="s">
        <v>1021</v>
      </c>
      <c r="G993" s="1" t="s">
        <v>28</v>
      </c>
      <c r="H993" s="1">
        <v>1091</v>
      </c>
      <c r="I993" s="1">
        <f t="shared" si="124"/>
        <v>50</v>
      </c>
      <c r="J993" s="1">
        <f>VLOOKUP(B993,Cena!$A$2:$B$101,2)</f>
        <v>86</v>
      </c>
      <c r="K993" s="1">
        <f t="shared" si="128"/>
        <v>4300</v>
      </c>
      <c r="L993" s="1">
        <f t="shared" si="125"/>
        <v>989</v>
      </c>
      <c r="M993" s="22">
        <f t="shared" si="129"/>
        <v>5289</v>
      </c>
      <c r="N993" s="1">
        <f t="shared" ca="1" si="126"/>
        <v>12</v>
      </c>
      <c r="P993" s="1">
        <v>50.50242761062691</v>
      </c>
      <c r="Q993" s="1">
        <f t="shared" ca="1" si="127"/>
        <v>28</v>
      </c>
      <c r="R993" s="1">
        <v>12.038922275460209</v>
      </c>
    </row>
    <row r="994" spans="1:18" x14ac:dyDescent="0.3">
      <c r="A994" s="26">
        <v>993</v>
      </c>
      <c r="B994" s="1">
        <v>5</v>
      </c>
      <c r="C994" s="1">
        <f t="shared" si="123"/>
        <v>10</v>
      </c>
      <c r="D994" s="21">
        <f t="shared" ca="1" si="122"/>
        <v>44896</v>
      </c>
      <c r="E994" s="1" t="s">
        <v>26</v>
      </c>
      <c r="F994" s="1" t="s">
        <v>1022</v>
      </c>
      <c r="G994" s="1" t="s">
        <v>28</v>
      </c>
      <c r="H994" s="1">
        <v>1092</v>
      </c>
      <c r="I994" s="1">
        <f t="shared" si="124"/>
        <v>33</v>
      </c>
      <c r="J994" s="1">
        <f>VLOOKUP(B994,Cena!$A$2:$B$101,2)</f>
        <v>91</v>
      </c>
      <c r="K994" s="1">
        <f t="shared" si="128"/>
        <v>3003</v>
      </c>
      <c r="L994" s="1">
        <f t="shared" si="125"/>
        <v>690.69</v>
      </c>
      <c r="M994" s="22">
        <f t="shared" si="129"/>
        <v>3693.69</v>
      </c>
      <c r="N994" s="1">
        <f t="shared" ca="1" si="126"/>
        <v>12</v>
      </c>
      <c r="P994" s="1">
        <v>33.96242517628707</v>
      </c>
      <c r="Q994" s="1">
        <f t="shared" ca="1" si="127"/>
        <v>30</v>
      </c>
      <c r="R994" s="1">
        <v>10.534271293872735</v>
      </c>
    </row>
    <row r="995" spans="1:18" x14ac:dyDescent="0.3">
      <c r="A995" s="26">
        <v>994</v>
      </c>
      <c r="B995" s="1">
        <v>12</v>
      </c>
      <c r="C995" s="1">
        <f t="shared" si="123"/>
        <v>8</v>
      </c>
      <c r="D995" s="21">
        <f t="shared" ca="1" si="122"/>
        <v>44820</v>
      </c>
      <c r="E995" s="1" t="s">
        <v>26</v>
      </c>
      <c r="F995" s="1" t="s">
        <v>1023</v>
      </c>
      <c r="G995" s="1" t="s">
        <v>28</v>
      </c>
      <c r="H995" s="1">
        <v>1093</v>
      </c>
      <c r="I995" s="1">
        <f t="shared" si="124"/>
        <v>47</v>
      </c>
      <c r="J995" s="1">
        <f>VLOOKUP(B995,Cena!$A$2:$B$101,2)</f>
        <v>88</v>
      </c>
      <c r="K995" s="1">
        <f t="shared" si="128"/>
        <v>4136</v>
      </c>
      <c r="L995" s="1">
        <f t="shared" si="125"/>
        <v>951.28000000000009</v>
      </c>
      <c r="M995" s="22">
        <f t="shared" si="129"/>
        <v>5087.28</v>
      </c>
      <c r="N995" s="1">
        <f t="shared" ca="1" si="126"/>
        <v>9</v>
      </c>
      <c r="P995" s="1">
        <v>47.995007561257808</v>
      </c>
      <c r="Q995" s="1">
        <f t="shared" ca="1" si="127"/>
        <v>20</v>
      </c>
      <c r="R995" s="1">
        <v>8.987391336413566</v>
      </c>
    </row>
    <row r="996" spans="1:18" x14ac:dyDescent="0.3">
      <c r="A996" s="26">
        <v>995</v>
      </c>
      <c r="B996" s="1">
        <v>9</v>
      </c>
      <c r="C996" s="1">
        <f t="shared" si="123"/>
        <v>10</v>
      </c>
      <c r="D996" s="21">
        <f t="shared" ca="1" si="122"/>
        <v>44623</v>
      </c>
      <c r="E996" s="1" t="s">
        <v>26</v>
      </c>
      <c r="F996" s="1" t="s">
        <v>1024</v>
      </c>
      <c r="G996" s="1" t="s">
        <v>28</v>
      </c>
      <c r="H996" s="1">
        <v>1094</v>
      </c>
      <c r="I996" s="1">
        <f t="shared" si="124"/>
        <v>50</v>
      </c>
      <c r="J996" s="1">
        <f>VLOOKUP(B996,Cena!$A$2:$B$101,2)</f>
        <v>96</v>
      </c>
      <c r="K996" s="1">
        <f t="shared" si="128"/>
        <v>4800</v>
      </c>
      <c r="L996" s="1">
        <f t="shared" si="125"/>
        <v>1104</v>
      </c>
      <c r="M996" s="22">
        <f t="shared" si="129"/>
        <v>5904</v>
      </c>
      <c r="N996" s="1">
        <f t="shared" ca="1" si="126"/>
        <v>3</v>
      </c>
      <c r="P996" s="1">
        <v>50.143438683153363</v>
      </c>
      <c r="Q996" s="1">
        <f t="shared" ca="1" si="127"/>
        <v>23</v>
      </c>
      <c r="R996" s="1">
        <v>10.192295601664227</v>
      </c>
    </row>
    <row r="997" spans="1:18" x14ac:dyDescent="0.3">
      <c r="A997" s="26">
        <v>996</v>
      </c>
      <c r="B997" s="1">
        <v>24</v>
      </c>
      <c r="C997" s="1">
        <f t="shared" si="123"/>
        <v>9</v>
      </c>
      <c r="D997" s="21">
        <f t="shared" ca="1" si="122"/>
        <v>44707</v>
      </c>
      <c r="E997" s="1" t="s">
        <v>26</v>
      </c>
      <c r="F997" s="1" t="s">
        <v>1025</v>
      </c>
      <c r="G997" s="1" t="s">
        <v>28</v>
      </c>
      <c r="H997" s="1">
        <v>1095</v>
      </c>
      <c r="I997" s="1">
        <f t="shared" si="124"/>
        <v>64</v>
      </c>
      <c r="J997" s="1">
        <f>VLOOKUP(B997,Cena!$A$2:$B$101,2)</f>
        <v>125</v>
      </c>
      <c r="K997" s="1">
        <f t="shared" si="128"/>
        <v>8000</v>
      </c>
      <c r="L997" s="1">
        <f t="shared" si="125"/>
        <v>1840</v>
      </c>
      <c r="M997" s="22">
        <f t="shared" si="129"/>
        <v>9840</v>
      </c>
      <c r="N997" s="1">
        <f t="shared" ca="1" si="126"/>
        <v>5</v>
      </c>
      <c r="P997" s="1">
        <v>64.418037608265877</v>
      </c>
      <c r="Q997" s="1">
        <f t="shared" ca="1" si="127"/>
        <v>30</v>
      </c>
      <c r="R997" s="1">
        <v>9.9107643589013605</v>
      </c>
    </row>
    <row r="998" spans="1:18" x14ac:dyDescent="0.3">
      <c r="A998" s="26">
        <v>997</v>
      </c>
      <c r="B998" s="1">
        <v>15</v>
      </c>
      <c r="C998" s="1">
        <f t="shared" si="123"/>
        <v>12</v>
      </c>
      <c r="D998" s="21">
        <f t="shared" ca="1" si="122"/>
        <v>44713</v>
      </c>
      <c r="E998" s="1" t="s">
        <v>26</v>
      </c>
      <c r="F998" s="1" t="s">
        <v>1026</v>
      </c>
      <c r="G998" s="1" t="s">
        <v>28</v>
      </c>
      <c r="H998" s="1">
        <v>1096</v>
      </c>
      <c r="I998" s="1">
        <f t="shared" si="124"/>
        <v>49</v>
      </c>
      <c r="J998" s="1">
        <f>VLOOKUP(B998,Cena!$A$2:$B$101,2)</f>
        <v>85</v>
      </c>
      <c r="K998" s="1">
        <f t="shared" si="128"/>
        <v>4165</v>
      </c>
      <c r="L998" s="1">
        <f t="shared" si="125"/>
        <v>957.95</v>
      </c>
      <c r="M998" s="22">
        <f t="shared" si="129"/>
        <v>5122.95</v>
      </c>
      <c r="N998" s="1">
        <f t="shared" ca="1" si="126"/>
        <v>6</v>
      </c>
      <c r="P998" s="1">
        <v>49.074202605697792</v>
      </c>
      <c r="Q998" s="1">
        <f t="shared" ca="1" si="127"/>
        <v>21</v>
      </c>
      <c r="R998" s="1">
        <v>12.553758804424433</v>
      </c>
    </row>
    <row r="999" spans="1:18" x14ac:dyDescent="0.3">
      <c r="A999" s="26">
        <v>998</v>
      </c>
      <c r="B999" s="1">
        <v>14</v>
      </c>
      <c r="C999" s="1">
        <f t="shared" si="123"/>
        <v>8</v>
      </c>
      <c r="D999" s="21">
        <f t="shared" ca="1" si="122"/>
        <v>44626</v>
      </c>
      <c r="E999" s="1" t="s">
        <v>26</v>
      </c>
      <c r="F999" s="1" t="s">
        <v>1027</v>
      </c>
      <c r="G999" s="1" t="s">
        <v>28</v>
      </c>
      <c r="H999" s="1">
        <v>1097</v>
      </c>
      <c r="I999" s="1">
        <f t="shared" si="124"/>
        <v>49</v>
      </c>
      <c r="J999" s="1">
        <f>VLOOKUP(B999,Cena!$A$2:$B$101,2)</f>
        <v>129</v>
      </c>
      <c r="K999" s="1">
        <f t="shared" si="128"/>
        <v>6321</v>
      </c>
      <c r="L999" s="1">
        <f t="shared" si="125"/>
        <v>1453.8300000000002</v>
      </c>
      <c r="M999" s="22">
        <f t="shared" si="129"/>
        <v>7774.83</v>
      </c>
      <c r="N999" s="1">
        <f t="shared" ca="1" si="126"/>
        <v>3</v>
      </c>
      <c r="P999" s="1">
        <v>49.864212441025302</v>
      </c>
      <c r="Q999" s="1">
        <f t="shared" ca="1" si="127"/>
        <v>16</v>
      </c>
      <c r="R999" s="1">
        <v>8.2192207426123787</v>
      </c>
    </row>
    <row r="1000" spans="1:18" x14ac:dyDescent="0.3">
      <c r="A1000" s="26">
        <v>999</v>
      </c>
      <c r="B1000" s="1">
        <v>16</v>
      </c>
      <c r="C1000" s="1">
        <f t="shared" si="123"/>
        <v>11</v>
      </c>
      <c r="D1000" s="21">
        <f t="shared" ca="1" si="122"/>
        <v>44885</v>
      </c>
      <c r="E1000" s="1" t="s">
        <v>26</v>
      </c>
      <c r="F1000" s="1" t="s">
        <v>1028</v>
      </c>
      <c r="G1000" s="1" t="s">
        <v>28</v>
      </c>
      <c r="H1000" s="1">
        <v>1098</v>
      </c>
      <c r="I1000" s="1">
        <f t="shared" si="124"/>
        <v>60</v>
      </c>
      <c r="J1000" s="1">
        <f>VLOOKUP(B1000,Cena!$A$2:$B$101,2)</f>
        <v>93</v>
      </c>
      <c r="K1000" s="1">
        <f t="shared" si="128"/>
        <v>5580</v>
      </c>
      <c r="L1000" s="1">
        <f t="shared" si="125"/>
        <v>1283.4000000000001</v>
      </c>
      <c r="M1000" s="22">
        <f t="shared" si="129"/>
        <v>6863.4</v>
      </c>
      <c r="N1000" s="1">
        <f t="shared" ca="1" si="126"/>
        <v>11</v>
      </c>
      <c r="P1000" s="1">
        <v>60.869780453504063</v>
      </c>
      <c r="Q1000" s="1">
        <f t="shared" ca="1" si="127"/>
        <v>22</v>
      </c>
      <c r="R1000" s="1">
        <v>11.212401912198402</v>
      </c>
    </row>
    <row r="1001" spans="1:18" x14ac:dyDescent="0.3">
      <c r="A1001" s="26">
        <v>1000</v>
      </c>
      <c r="B1001" s="1">
        <v>12</v>
      </c>
      <c r="C1001" s="1">
        <f t="shared" si="123"/>
        <v>12</v>
      </c>
      <c r="D1001" s="21">
        <f t="shared" ca="1" si="122"/>
        <v>44778</v>
      </c>
      <c r="E1001" s="1" t="s">
        <v>26</v>
      </c>
      <c r="F1001" s="1" t="s">
        <v>1029</v>
      </c>
      <c r="G1001" s="1" t="s">
        <v>28</v>
      </c>
      <c r="H1001" s="1">
        <v>1099</v>
      </c>
      <c r="I1001" s="1">
        <f t="shared" si="124"/>
        <v>54</v>
      </c>
      <c r="J1001" s="1">
        <f>VLOOKUP(B1001,Cena!$A$2:$B$101,2)</f>
        <v>88</v>
      </c>
      <c r="K1001" s="1">
        <f t="shared" si="128"/>
        <v>4752</v>
      </c>
      <c r="L1001" s="1">
        <f t="shared" si="125"/>
        <v>1092.96</v>
      </c>
      <c r="M1001" s="22">
        <f t="shared" si="129"/>
        <v>5844.96</v>
      </c>
      <c r="N1001" s="1">
        <f t="shared" ca="1" si="126"/>
        <v>8</v>
      </c>
      <c r="P1001" s="1">
        <v>54.934963726554997</v>
      </c>
      <c r="Q1001" s="1">
        <f t="shared" ca="1" si="127"/>
        <v>30</v>
      </c>
      <c r="R1001" s="1">
        <v>12.484802053004387</v>
      </c>
    </row>
    <row r="1002" spans="1:18" x14ac:dyDescent="0.3">
      <c r="A1002" s="26">
        <v>1001</v>
      </c>
      <c r="B1002" s="1">
        <v>8</v>
      </c>
      <c r="C1002" s="1">
        <f t="shared" si="123"/>
        <v>8</v>
      </c>
      <c r="D1002" s="21">
        <f t="shared" ca="1" si="122"/>
        <v>44667</v>
      </c>
      <c r="E1002" s="1" t="s">
        <v>26</v>
      </c>
      <c r="F1002" s="1" t="s">
        <v>1030</v>
      </c>
      <c r="G1002" s="1" t="s">
        <v>28</v>
      </c>
      <c r="H1002" s="1">
        <v>1100</v>
      </c>
      <c r="I1002" s="1">
        <f t="shared" si="124"/>
        <v>71</v>
      </c>
      <c r="J1002" s="1">
        <f>VLOOKUP(B1002,Cena!$A$2:$B$101,2)</f>
        <v>88</v>
      </c>
      <c r="K1002" s="1">
        <f t="shared" si="128"/>
        <v>6248</v>
      </c>
      <c r="L1002" s="1">
        <f t="shared" si="125"/>
        <v>1437.04</v>
      </c>
      <c r="M1002" s="22">
        <f t="shared" si="129"/>
        <v>7685.04</v>
      </c>
      <c r="N1002" s="1">
        <f t="shared" ca="1" si="126"/>
        <v>4</v>
      </c>
      <c r="P1002" s="1">
        <v>71.696905605494976</v>
      </c>
      <c r="Q1002" s="1">
        <f t="shared" ca="1" si="127"/>
        <v>10</v>
      </c>
      <c r="R1002" s="1">
        <v>8.5846784511522856</v>
      </c>
    </row>
    <row r="1003" spans="1:18" x14ac:dyDescent="0.3">
      <c r="A1003" s="26">
        <v>1002</v>
      </c>
      <c r="B1003" s="1">
        <v>18</v>
      </c>
      <c r="C1003" s="1">
        <f t="shared" si="123"/>
        <v>10</v>
      </c>
      <c r="D1003" s="21">
        <f t="shared" ca="1" si="122"/>
        <v>44823</v>
      </c>
      <c r="E1003" s="1" t="s">
        <v>26</v>
      </c>
      <c r="F1003" s="1" t="s">
        <v>1031</v>
      </c>
      <c r="G1003" s="1" t="s">
        <v>28</v>
      </c>
      <c r="H1003" s="1">
        <v>1101</v>
      </c>
      <c r="I1003" s="1">
        <f t="shared" si="124"/>
        <v>51</v>
      </c>
      <c r="J1003" s="1">
        <f>VLOOKUP(B1003,Cena!$A$2:$B$101,2)</f>
        <v>90</v>
      </c>
      <c r="K1003" s="1">
        <f t="shared" si="128"/>
        <v>4590</v>
      </c>
      <c r="L1003" s="1">
        <f t="shared" si="125"/>
        <v>1055.7</v>
      </c>
      <c r="M1003" s="22">
        <f t="shared" si="129"/>
        <v>5645.7</v>
      </c>
      <c r="N1003" s="1">
        <f t="shared" ca="1" si="126"/>
        <v>9</v>
      </c>
      <c r="P1003" s="1">
        <v>51.734849774948088</v>
      </c>
      <c r="Q1003" s="1">
        <f t="shared" ca="1" si="127"/>
        <v>8</v>
      </c>
      <c r="R1003" s="1">
        <v>10.173696435012971</v>
      </c>
    </row>
    <row r="1004" spans="1:18" x14ac:dyDescent="0.3">
      <c r="A1004" s="26">
        <v>1003</v>
      </c>
      <c r="B1004" s="1">
        <v>18</v>
      </c>
      <c r="C1004" s="1">
        <f t="shared" si="123"/>
        <v>11</v>
      </c>
      <c r="D1004" s="21">
        <f t="shared" ca="1" si="122"/>
        <v>44763</v>
      </c>
      <c r="E1004" s="1" t="s">
        <v>26</v>
      </c>
      <c r="F1004" s="1" t="s">
        <v>1032</v>
      </c>
      <c r="G1004" s="1" t="s">
        <v>28</v>
      </c>
      <c r="H1004" s="1">
        <v>1102</v>
      </c>
      <c r="I1004" s="1">
        <f t="shared" si="124"/>
        <v>49</v>
      </c>
      <c r="J1004" s="1">
        <f>VLOOKUP(B1004,Cena!$A$2:$B$101,2)</f>
        <v>90</v>
      </c>
      <c r="K1004" s="1">
        <f t="shared" si="128"/>
        <v>4410</v>
      </c>
      <c r="L1004" s="1">
        <f t="shared" si="125"/>
        <v>1014.3000000000001</v>
      </c>
      <c r="M1004" s="22">
        <f t="shared" si="129"/>
        <v>5424.3</v>
      </c>
      <c r="N1004" s="1">
        <f t="shared" ca="1" si="126"/>
        <v>7</v>
      </c>
      <c r="P1004" s="1">
        <v>49.46617208479438</v>
      </c>
      <c r="Q1004" s="1">
        <f t="shared" ca="1" si="127"/>
        <v>11</v>
      </c>
      <c r="R1004" s="1">
        <v>11.04695914160402</v>
      </c>
    </row>
    <row r="1005" spans="1:18" x14ac:dyDescent="0.3">
      <c r="A1005" s="26">
        <v>1004</v>
      </c>
      <c r="B1005" s="1">
        <v>23</v>
      </c>
      <c r="C1005" s="1">
        <f t="shared" si="123"/>
        <v>9</v>
      </c>
      <c r="D1005" s="21">
        <f t="shared" ca="1" si="122"/>
        <v>44704</v>
      </c>
      <c r="E1005" s="1" t="s">
        <v>26</v>
      </c>
      <c r="F1005" s="1" t="s">
        <v>1033</v>
      </c>
      <c r="G1005" s="1" t="s">
        <v>28</v>
      </c>
      <c r="H1005" s="1">
        <v>1103</v>
      </c>
      <c r="I1005" s="1">
        <f t="shared" si="124"/>
        <v>32</v>
      </c>
      <c r="J1005" s="1">
        <f>VLOOKUP(B1005,Cena!$A$2:$B$101,2)</f>
        <v>132</v>
      </c>
      <c r="K1005" s="1">
        <f t="shared" si="128"/>
        <v>4224</v>
      </c>
      <c r="L1005" s="1">
        <f t="shared" si="125"/>
        <v>971.5200000000001</v>
      </c>
      <c r="M1005" s="22">
        <f t="shared" si="129"/>
        <v>5195.5200000000004</v>
      </c>
      <c r="N1005" s="1">
        <f t="shared" ca="1" si="126"/>
        <v>5</v>
      </c>
      <c r="P1005" s="1">
        <v>32.214876581565477</v>
      </c>
      <c r="Q1005" s="1">
        <f t="shared" ca="1" si="127"/>
        <v>15</v>
      </c>
      <c r="R1005" s="1">
        <v>9.2287882832897594</v>
      </c>
    </row>
    <row r="1006" spans="1:18" x14ac:dyDescent="0.3">
      <c r="A1006" s="26">
        <v>1005</v>
      </c>
      <c r="B1006" s="1">
        <v>29</v>
      </c>
      <c r="C1006" s="1">
        <f t="shared" si="123"/>
        <v>8</v>
      </c>
      <c r="D1006" s="21">
        <f t="shared" ca="1" si="122"/>
        <v>44683</v>
      </c>
      <c r="E1006" s="1" t="s">
        <v>26</v>
      </c>
      <c r="F1006" s="1" t="s">
        <v>1034</v>
      </c>
      <c r="G1006" s="1" t="s">
        <v>28</v>
      </c>
      <c r="H1006" s="1">
        <v>1104</v>
      </c>
      <c r="I1006" s="1">
        <f t="shared" si="124"/>
        <v>40</v>
      </c>
      <c r="J1006" s="1">
        <f>VLOOKUP(B1006,Cena!$A$2:$B$101,2)</f>
        <v>105</v>
      </c>
      <c r="K1006" s="1">
        <f t="shared" si="128"/>
        <v>4200</v>
      </c>
      <c r="L1006" s="1">
        <f t="shared" si="125"/>
        <v>966</v>
      </c>
      <c r="M1006" s="22">
        <f t="shared" si="129"/>
        <v>5166</v>
      </c>
      <c r="N1006" s="1">
        <f t="shared" ca="1" si="126"/>
        <v>5</v>
      </c>
      <c r="P1006" s="1">
        <v>40.714059094898403</v>
      </c>
      <c r="Q1006" s="1">
        <f t="shared" ca="1" si="127"/>
        <v>29</v>
      </c>
      <c r="R1006" s="1">
        <v>8.3938892000878695</v>
      </c>
    </row>
    <row r="1007" spans="1:18" x14ac:dyDescent="0.3">
      <c r="A1007" s="26">
        <v>1006</v>
      </c>
      <c r="B1007" s="1">
        <v>13</v>
      </c>
      <c r="C1007" s="1">
        <f t="shared" si="123"/>
        <v>12</v>
      </c>
      <c r="D1007" s="21">
        <f t="shared" ca="1" si="122"/>
        <v>44674</v>
      </c>
      <c r="E1007" s="1" t="s">
        <v>26</v>
      </c>
      <c r="F1007" s="1" t="s">
        <v>1035</v>
      </c>
      <c r="G1007" s="1" t="s">
        <v>28</v>
      </c>
      <c r="H1007" s="1">
        <v>1105</v>
      </c>
      <c r="I1007" s="1">
        <f t="shared" si="124"/>
        <v>57</v>
      </c>
      <c r="J1007" s="1">
        <f>VLOOKUP(B1007,Cena!$A$2:$B$101,2)</f>
        <v>94</v>
      </c>
      <c r="K1007" s="1">
        <f t="shared" si="128"/>
        <v>5358</v>
      </c>
      <c r="L1007" s="1">
        <f t="shared" si="125"/>
        <v>1232.3400000000001</v>
      </c>
      <c r="M1007" s="22">
        <f t="shared" si="129"/>
        <v>6590.34</v>
      </c>
      <c r="N1007" s="1">
        <f t="shared" ca="1" si="126"/>
        <v>4</v>
      </c>
      <c r="P1007" s="1">
        <v>57.356743481068406</v>
      </c>
      <c r="Q1007" s="1">
        <f t="shared" ca="1" si="127"/>
        <v>21</v>
      </c>
      <c r="R1007" s="1">
        <v>12.552468458816293</v>
      </c>
    </row>
    <row r="1008" spans="1:18" x14ac:dyDescent="0.3">
      <c r="A1008" s="26">
        <v>1007</v>
      </c>
      <c r="B1008" s="1">
        <v>2</v>
      </c>
      <c r="C1008" s="1">
        <f t="shared" si="123"/>
        <v>13</v>
      </c>
      <c r="D1008" s="21">
        <f t="shared" ca="1" si="122"/>
        <v>44696</v>
      </c>
      <c r="E1008" s="1" t="s">
        <v>26</v>
      </c>
      <c r="F1008" s="1" t="s">
        <v>1036</v>
      </c>
      <c r="G1008" s="1" t="s">
        <v>28</v>
      </c>
      <c r="H1008" s="1">
        <v>1106</v>
      </c>
      <c r="I1008" s="1">
        <f t="shared" si="124"/>
        <v>36</v>
      </c>
      <c r="J1008" s="1">
        <f>VLOOKUP(B1008,Cena!$A$2:$B$101,2)</f>
        <v>121</v>
      </c>
      <c r="K1008" s="1">
        <f t="shared" si="128"/>
        <v>4356</v>
      </c>
      <c r="L1008" s="1">
        <f t="shared" si="125"/>
        <v>1001.88</v>
      </c>
      <c r="M1008" s="22">
        <f t="shared" si="129"/>
        <v>5357.88</v>
      </c>
      <c r="N1008" s="1">
        <f t="shared" ca="1" si="126"/>
        <v>5</v>
      </c>
      <c r="P1008" s="1">
        <v>36.865509526978713</v>
      </c>
      <c r="Q1008" s="1">
        <f t="shared" ca="1" si="127"/>
        <v>4</v>
      </c>
      <c r="R1008" s="1">
        <v>13.613729404605692</v>
      </c>
    </row>
    <row r="1009" spans="1:18" x14ac:dyDescent="0.3">
      <c r="A1009" s="26">
        <v>1008</v>
      </c>
      <c r="B1009" s="1">
        <v>17</v>
      </c>
      <c r="C1009" s="1">
        <f t="shared" si="123"/>
        <v>6</v>
      </c>
      <c r="D1009" s="21">
        <f t="shared" ca="1" si="122"/>
        <v>44767</v>
      </c>
      <c r="E1009" s="1" t="s">
        <v>26</v>
      </c>
      <c r="F1009" s="1" t="s">
        <v>1037</v>
      </c>
      <c r="G1009" s="1" t="s">
        <v>28</v>
      </c>
      <c r="H1009" s="1">
        <v>1107</v>
      </c>
      <c r="I1009" s="1">
        <f t="shared" si="124"/>
        <v>63</v>
      </c>
      <c r="J1009" s="1">
        <f>VLOOKUP(B1009,Cena!$A$2:$B$101,2)</f>
        <v>84</v>
      </c>
      <c r="K1009" s="1">
        <f t="shared" si="128"/>
        <v>5292</v>
      </c>
      <c r="L1009" s="1">
        <f t="shared" si="125"/>
        <v>1217.1600000000001</v>
      </c>
      <c r="M1009" s="22">
        <f t="shared" si="129"/>
        <v>6509.16</v>
      </c>
      <c r="N1009" s="1">
        <f t="shared" ca="1" si="126"/>
        <v>7</v>
      </c>
      <c r="P1009" s="1">
        <v>63.937415133113973</v>
      </c>
      <c r="Q1009" s="1">
        <f t="shared" ca="1" si="127"/>
        <v>18</v>
      </c>
      <c r="R1009" s="1">
        <v>6.6168275022937451</v>
      </c>
    </row>
    <row r="1010" spans="1:18" x14ac:dyDescent="0.3">
      <c r="A1010" s="26">
        <v>1009</v>
      </c>
      <c r="B1010" s="1">
        <v>24</v>
      </c>
      <c r="C1010" s="1">
        <f t="shared" si="123"/>
        <v>7</v>
      </c>
      <c r="D1010" s="21">
        <f t="shared" ca="1" si="122"/>
        <v>44641</v>
      </c>
      <c r="E1010" s="1" t="s">
        <v>26</v>
      </c>
      <c r="F1010" s="1" t="s">
        <v>1038</v>
      </c>
      <c r="G1010" s="1" t="s">
        <v>28</v>
      </c>
      <c r="H1010" s="1">
        <v>1108</v>
      </c>
      <c r="I1010" s="1">
        <f t="shared" si="124"/>
        <v>42</v>
      </c>
      <c r="J1010" s="1">
        <f>VLOOKUP(B1010,Cena!$A$2:$B$101,2)</f>
        <v>125</v>
      </c>
      <c r="K1010" s="1">
        <f t="shared" si="128"/>
        <v>5250</v>
      </c>
      <c r="L1010" s="1">
        <f t="shared" si="125"/>
        <v>1207.5</v>
      </c>
      <c r="M1010" s="22">
        <f t="shared" si="129"/>
        <v>6457.5</v>
      </c>
      <c r="N1010" s="1">
        <f t="shared" ca="1" si="126"/>
        <v>3</v>
      </c>
      <c r="P1010" s="1">
        <v>42.261837178375572</v>
      </c>
      <c r="Q1010" s="1">
        <f t="shared" ca="1" si="127"/>
        <v>12</v>
      </c>
      <c r="R1010" s="1">
        <v>7.5032608290348435</v>
      </c>
    </row>
    <row r="1011" spans="1:18" x14ac:dyDescent="0.3">
      <c r="A1011" s="26">
        <v>1010</v>
      </c>
      <c r="B1011" s="1">
        <v>9</v>
      </c>
      <c r="C1011" s="1">
        <f t="shared" si="123"/>
        <v>9</v>
      </c>
      <c r="D1011" s="21">
        <f t="shared" ca="1" si="122"/>
        <v>44620</v>
      </c>
      <c r="E1011" s="1" t="s">
        <v>26</v>
      </c>
      <c r="F1011" s="1" t="s">
        <v>1039</v>
      </c>
      <c r="G1011" s="1" t="s">
        <v>28</v>
      </c>
      <c r="H1011" s="1">
        <v>1109</v>
      </c>
      <c r="I1011" s="1">
        <f t="shared" si="124"/>
        <v>70</v>
      </c>
      <c r="J1011" s="1">
        <f>VLOOKUP(B1011,Cena!$A$2:$B$101,2)</f>
        <v>96</v>
      </c>
      <c r="K1011" s="1">
        <f t="shared" si="128"/>
        <v>6720</v>
      </c>
      <c r="L1011" s="1">
        <f t="shared" si="125"/>
        <v>1545.6000000000001</v>
      </c>
      <c r="M1011" s="22">
        <f t="shared" si="129"/>
        <v>8265.6</v>
      </c>
      <c r="N1011" s="1">
        <f t="shared" ca="1" si="126"/>
        <v>2</v>
      </c>
      <c r="P1011" s="1">
        <v>70.216339180478826</v>
      </c>
      <c r="Q1011" s="1">
        <f t="shared" ca="1" si="127"/>
        <v>7</v>
      </c>
      <c r="R1011" s="1">
        <v>9.9729368482803693</v>
      </c>
    </row>
    <row r="1012" spans="1:18" x14ac:dyDescent="0.3">
      <c r="A1012" s="26">
        <v>1011</v>
      </c>
      <c r="B1012" s="1">
        <v>18</v>
      </c>
      <c r="C1012" s="1">
        <f t="shared" si="123"/>
        <v>11</v>
      </c>
      <c r="D1012" s="21">
        <f t="shared" ca="1" si="122"/>
        <v>44836</v>
      </c>
      <c r="E1012" s="1" t="s">
        <v>26</v>
      </c>
      <c r="F1012" s="1" t="s">
        <v>1040</v>
      </c>
      <c r="G1012" s="1" t="s">
        <v>28</v>
      </c>
      <c r="H1012" s="1">
        <v>1110</v>
      </c>
      <c r="I1012" s="1">
        <f t="shared" si="124"/>
        <v>43</v>
      </c>
      <c r="J1012" s="1">
        <f>VLOOKUP(B1012,Cena!$A$2:$B$101,2)</f>
        <v>90</v>
      </c>
      <c r="K1012" s="1">
        <f t="shared" si="128"/>
        <v>3870</v>
      </c>
      <c r="L1012" s="1">
        <f t="shared" si="125"/>
        <v>890.1</v>
      </c>
      <c r="M1012" s="22">
        <f t="shared" si="129"/>
        <v>4760.1000000000004</v>
      </c>
      <c r="N1012" s="1">
        <f t="shared" ca="1" si="126"/>
        <v>10</v>
      </c>
      <c r="P1012" s="1">
        <v>43.999585967685562</v>
      </c>
      <c r="Q1012" s="1">
        <f t="shared" ca="1" si="127"/>
        <v>4</v>
      </c>
      <c r="R1012" s="1">
        <v>11.101071234188566</v>
      </c>
    </row>
    <row r="1013" spans="1:18" x14ac:dyDescent="0.3">
      <c r="A1013" s="26">
        <v>1012</v>
      </c>
      <c r="B1013" s="1">
        <v>19</v>
      </c>
      <c r="C1013" s="1">
        <f t="shared" si="123"/>
        <v>10</v>
      </c>
      <c r="D1013" s="21">
        <f t="shared" ca="1" si="122"/>
        <v>44722</v>
      </c>
      <c r="E1013" s="1" t="s">
        <v>26</v>
      </c>
      <c r="F1013" s="1" t="s">
        <v>1041</v>
      </c>
      <c r="G1013" s="1" t="s">
        <v>28</v>
      </c>
      <c r="H1013" s="1">
        <v>1111</v>
      </c>
      <c r="I1013" s="1">
        <f t="shared" si="124"/>
        <v>49</v>
      </c>
      <c r="J1013" s="1">
        <f>VLOOKUP(B1013,Cena!$A$2:$B$101,2)</f>
        <v>84</v>
      </c>
      <c r="K1013" s="1">
        <f t="shared" si="128"/>
        <v>4116</v>
      </c>
      <c r="L1013" s="1">
        <f t="shared" si="125"/>
        <v>946.68000000000006</v>
      </c>
      <c r="M1013" s="22">
        <f t="shared" si="129"/>
        <v>5062.68</v>
      </c>
      <c r="N1013" s="1">
        <f t="shared" ca="1" si="126"/>
        <v>6</v>
      </c>
      <c r="P1013" s="1">
        <v>49.728777311247541</v>
      </c>
      <c r="Q1013" s="1">
        <f t="shared" ca="1" si="127"/>
        <v>25</v>
      </c>
      <c r="R1013" s="1">
        <v>10.585453108215006</v>
      </c>
    </row>
    <row r="1014" spans="1:18" x14ac:dyDescent="0.3">
      <c r="A1014" s="26">
        <v>1013</v>
      </c>
      <c r="B1014" s="1">
        <v>7</v>
      </c>
      <c r="C1014" s="1">
        <f t="shared" si="123"/>
        <v>15</v>
      </c>
      <c r="D1014" s="21">
        <f t="shared" ca="1" si="122"/>
        <v>44764</v>
      </c>
      <c r="E1014" s="1" t="s">
        <v>26</v>
      </c>
      <c r="F1014" s="1" t="s">
        <v>1042</v>
      </c>
      <c r="G1014" s="1" t="s">
        <v>28</v>
      </c>
      <c r="H1014" s="1">
        <v>1112</v>
      </c>
      <c r="I1014" s="1">
        <f t="shared" si="124"/>
        <v>51</v>
      </c>
      <c r="J1014" s="1">
        <f>VLOOKUP(B1014,Cena!$A$2:$B$101,2)</f>
        <v>104</v>
      </c>
      <c r="K1014" s="1">
        <f t="shared" si="128"/>
        <v>5304</v>
      </c>
      <c r="L1014" s="1">
        <f t="shared" si="125"/>
        <v>1219.92</v>
      </c>
      <c r="M1014" s="22">
        <f t="shared" si="129"/>
        <v>6523.92</v>
      </c>
      <c r="N1014" s="1">
        <f t="shared" ca="1" si="126"/>
        <v>7</v>
      </c>
      <c r="P1014" s="1">
        <v>51.9503886505845</v>
      </c>
      <c r="Q1014" s="1">
        <f t="shared" ca="1" si="127"/>
        <v>21</v>
      </c>
      <c r="R1014" s="1">
        <v>15.745687303715385</v>
      </c>
    </row>
    <row r="1015" spans="1:18" x14ac:dyDescent="0.3">
      <c r="A1015" s="26">
        <v>1014</v>
      </c>
      <c r="B1015" s="1">
        <v>10</v>
      </c>
      <c r="C1015" s="1">
        <f t="shared" si="123"/>
        <v>8</v>
      </c>
      <c r="D1015" s="21">
        <f t="shared" ca="1" si="122"/>
        <v>44645</v>
      </c>
      <c r="E1015" s="1" t="s">
        <v>26</v>
      </c>
      <c r="F1015" s="1" t="s">
        <v>1043</v>
      </c>
      <c r="G1015" s="1" t="s">
        <v>28</v>
      </c>
      <c r="H1015" s="1">
        <v>1113</v>
      </c>
      <c r="I1015" s="1">
        <f t="shared" si="124"/>
        <v>49</v>
      </c>
      <c r="J1015" s="1">
        <f>VLOOKUP(B1015,Cena!$A$2:$B$101,2)</f>
        <v>109</v>
      </c>
      <c r="K1015" s="1">
        <f t="shared" si="128"/>
        <v>5341</v>
      </c>
      <c r="L1015" s="1">
        <f t="shared" si="125"/>
        <v>1228.43</v>
      </c>
      <c r="M1015" s="22">
        <f t="shared" si="129"/>
        <v>6569.43</v>
      </c>
      <c r="N1015" s="1">
        <f t="shared" ca="1" si="126"/>
        <v>3</v>
      </c>
      <c r="P1015" s="1">
        <v>49.811416273587383</v>
      </c>
      <c r="Q1015" s="1">
        <f t="shared" ca="1" si="127"/>
        <v>3</v>
      </c>
      <c r="R1015" s="1">
        <v>8.7128376233158633</v>
      </c>
    </row>
    <row r="1016" spans="1:18" x14ac:dyDescent="0.3">
      <c r="A1016" s="26">
        <v>1015</v>
      </c>
      <c r="B1016" s="1">
        <v>4</v>
      </c>
      <c r="C1016" s="1">
        <f t="shared" si="123"/>
        <v>9</v>
      </c>
      <c r="D1016" s="21">
        <f t="shared" ca="1" si="122"/>
        <v>44743</v>
      </c>
      <c r="E1016" s="1" t="s">
        <v>26</v>
      </c>
      <c r="F1016" s="1" t="s">
        <v>1044</v>
      </c>
      <c r="G1016" s="1" t="s">
        <v>28</v>
      </c>
      <c r="H1016" s="1">
        <v>1114</v>
      </c>
      <c r="I1016" s="1">
        <f t="shared" si="124"/>
        <v>51</v>
      </c>
      <c r="J1016" s="1">
        <f>VLOOKUP(B1016,Cena!$A$2:$B$101,2)</f>
        <v>99</v>
      </c>
      <c r="K1016" s="1">
        <f t="shared" si="128"/>
        <v>5049</v>
      </c>
      <c r="L1016" s="1">
        <f t="shared" si="125"/>
        <v>1161.27</v>
      </c>
      <c r="M1016" s="22">
        <f t="shared" si="129"/>
        <v>6210.27</v>
      </c>
      <c r="N1016" s="1">
        <f t="shared" ca="1" si="126"/>
        <v>7</v>
      </c>
      <c r="P1016" s="1">
        <v>51.840567165345419</v>
      </c>
      <c r="Q1016" s="1">
        <f t="shared" ca="1" si="127"/>
        <v>27</v>
      </c>
      <c r="R1016" s="1">
        <v>9.1170710700316704</v>
      </c>
    </row>
    <row r="1017" spans="1:18" x14ac:dyDescent="0.3">
      <c r="A1017" s="26">
        <v>1016</v>
      </c>
      <c r="B1017" s="1">
        <v>26</v>
      </c>
      <c r="C1017" s="1">
        <f t="shared" si="123"/>
        <v>7</v>
      </c>
      <c r="D1017" s="21">
        <f t="shared" ca="1" si="122"/>
        <v>44609</v>
      </c>
      <c r="E1017" s="1" t="s">
        <v>26</v>
      </c>
      <c r="F1017" s="1" t="s">
        <v>1045</v>
      </c>
      <c r="G1017" s="1" t="s">
        <v>28</v>
      </c>
      <c r="H1017" s="1">
        <v>1115</v>
      </c>
      <c r="I1017" s="1">
        <f t="shared" si="124"/>
        <v>43</v>
      </c>
      <c r="J1017" s="1">
        <f>VLOOKUP(B1017,Cena!$A$2:$B$101,2)</f>
        <v>99</v>
      </c>
      <c r="K1017" s="1">
        <f t="shared" si="128"/>
        <v>4257</v>
      </c>
      <c r="L1017" s="1">
        <f t="shared" si="125"/>
        <v>979.11</v>
      </c>
      <c r="M1017" s="22">
        <f t="shared" si="129"/>
        <v>5236.1099999999997</v>
      </c>
      <c r="N1017" s="1">
        <f t="shared" ca="1" si="126"/>
        <v>2</v>
      </c>
      <c r="P1017" s="1">
        <v>43.535072917438811</v>
      </c>
      <c r="Q1017" s="1">
        <f t="shared" ca="1" si="127"/>
        <v>10</v>
      </c>
      <c r="R1017" s="1">
        <v>7.3364765537553467</v>
      </c>
    </row>
    <row r="1018" spans="1:18" x14ac:dyDescent="0.3">
      <c r="A1018" s="26">
        <v>1017</v>
      </c>
      <c r="B1018" s="1">
        <v>14</v>
      </c>
      <c r="C1018" s="1">
        <f t="shared" si="123"/>
        <v>10</v>
      </c>
      <c r="D1018" s="21">
        <f t="shared" ca="1" si="122"/>
        <v>44873</v>
      </c>
      <c r="E1018" s="1" t="s">
        <v>26</v>
      </c>
      <c r="F1018" s="1" t="s">
        <v>1046</v>
      </c>
      <c r="G1018" s="1" t="s">
        <v>28</v>
      </c>
      <c r="H1018" s="1">
        <v>1116</v>
      </c>
      <c r="I1018" s="1">
        <f t="shared" si="124"/>
        <v>55</v>
      </c>
      <c r="J1018" s="1">
        <f>VLOOKUP(B1018,Cena!$A$2:$B$101,2)</f>
        <v>129</v>
      </c>
      <c r="K1018" s="1">
        <f t="shared" si="128"/>
        <v>7095</v>
      </c>
      <c r="L1018" s="1">
        <f t="shared" si="125"/>
        <v>1631.8500000000001</v>
      </c>
      <c r="M1018" s="22">
        <f t="shared" si="129"/>
        <v>8726.85</v>
      </c>
      <c r="N1018" s="1">
        <f t="shared" ca="1" si="126"/>
        <v>11</v>
      </c>
      <c r="P1018" s="1">
        <v>55.272204361972399</v>
      </c>
      <c r="Q1018" s="1">
        <f t="shared" ca="1" si="127"/>
        <v>15</v>
      </c>
      <c r="R1018" s="1">
        <v>10.288366663880879</v>
      </c>
    </row>
    <row r="1019" spans="1:18" x14ac:dyDescent="0.3">
      <c r="A1019" s="26">
        <v>1018</v>
      </c>
      <c r="B1019" s="1">
        <v>25</v>
      </c>
      <c r="C1019" s="1">
        <f t="shared" si="123"/>
        <v>11</v>
      </c>
      <c r="D1019" s="21">
        <f t="shared" ca="1" si="122"/>
        <v>44918</v>
      </c>
      <c r="E1019" s="1" t="s">
        <v>26</v>
      </c>
      <c r="F1019" s="1" t="s">
        <v>1047</v>
      </c>
      <c r="G1019" s="1" t="s">
        <v>28</v>
      </c>
      <c r="H1019" s="1">
        <v>1117</v>
      </c>
      <c r="I1019" s="1">
        <f t="shared" si="124"/>
        <v>50</v>
      </c>
      <c r="J1019" s="1">
        <f>VLOOKUP(B1019,Cena!$A$2:$B$101,2)</f>
        <v>108</v>
      </c>
      <c r="K1019" s="1">
        <f t="shared" si="128"/>
        <v>5400</v>
      </c>
      <c r="L1019" s="1">
        <f t="shared" si="125"/>
        <v>1242</v>
      </c>
      <c r="M1019" s="22">
        <f t="shared" si="129"/>
        <v>6642</v>
      </c>
      <c r="N1019" s="1">
        <f t="shared" ca="1" si="126"/>
        <v>12</v>
      </c>
      <c r="P1019" s="1">
        <v>50.678676315146731</v>
      </c>
      <c r="Q1019" s="1">
        <f t="shared" ca="1" si="127"/>
        <v>23</v>
      </c>
      <c r="R1019" s="1">
        <v>11.626852963454439</v>
      </c>
    </row>
    <row r="1020" spans="1:18" x14ac:dyDescent="0.3">
      <c r="A1020" s="26">
        <v>1019</v>
      </c>
      <c r="B1020" s="1">
        <v>3</v>
      </c>
      <c r="C1020" s="1">
        <f t="shared" si="123"/>
        <v>10</v>
      </c>
      <c r="D1020" s="21">
        <f t="shared" ca="1" si="122"/>
        <v>44882</v>
      </c>
      <c r="E1020" s="1" t="s">
        <v>26</v>
      </c>
      <c r="F1020" s="1" t="s">
        <v>1048</v>
      </c>
      <c r="G1020" s="1" t="s">
        <v>28</v>
      </c>
      <c r="H1020" s="1">
        <v>1118</v>
      </c>
      <c r="I1020" s="1">
        <f t="shared" si="124"/>
        <v>39</v>
      </c>
      <c r="J1020" s="1">
        <f>VLOOKUP(B1020,Cena!$A$2:$B$101,2)</f>
        <v>89</v>
      </c>
      <c r="K1020" s="1">
        <f t="shared" si="128"/>
        <v>3471</v>
      </c>
      <c r="L1020" s="1">
        <f t="shared" si="125"/>
        <v>798.33</v>
      </c>
      <c r="M1020" s="22">
        <f t="shared" si="129"/>
        <v>4269.33</v>
      </c>
      <c r="N1020" s="1">
        <f t="shared" ca="1" si="126"/>
        <v>11</v>
      </c>
      <c r="P1020" s="1">
        <v>39.07064764352981</v>
      </c>
      <c r="Q1020" s="1">
        <f t="shared" ca="1" si="127"/>
        <v>29</v>
      </c>
      <c r="R1020" s="1">
        <v>10.05326512564352</v>
      </c>
    </row>
    <row r="1021" spans="1:18" x14ac:dyDescent="0.3">
      <c r="A1021" s="26">
        <v>1020</v>
      </c>
      <c r="B1021" s="1">
        <v>10</v>
      </c>
      <c r="C1021" s="1">
        <f t="shared" si="123"/>
        <v>13</v>
      </c>
      <c r="D1021" s="21">
        <f t="shared" ca="1" si="122"/>
        <v>44899</v>
      </c>
      <c r="E1021" s="1" t="s">
        <v>26</v>
      </c>
      <c r="F1021" s="1" t="s">
        <v>1049</v>
      </c>
      <c r="G1021" s="1" t="s">
        <v>28</v>
      </c>
      <c r="H1021" s="1">
        <v>1119</v>
      </c>
      <c r="I1021" s="1">
        <f t="shared" si="124"/>
        <v>63</v>
      </c>
      <c r="J1021" s="1">
        <f>VLOOKUP(B1021,Cena!$A$2:$B$101,2)</f>
        <v>109</v>
      </c>
      <c r="K1021" s="1">
        <f t="shared" si="128"/>
        <v>6867</v>
      </c>
      <c r="L1021" s="1">
        <f t="shared" si="125"/>
        <v>1579.41</v>
      </c>
      <c r="M1021" s="22">
        <f t="shared" si="129"/>
        <v>8446.41</v>
      </c>
      <c r="N1021" s="1">
        <f t="shared" ca="1" si="126"/>
        <v>12</v>
      </c>
      <c r="P1021" s="1">
        <v>63.306816981639713</v>
      </c>
      <c r="Q1021" s="1">
        <f t="shared" ca="1" si="127"/>
        <v>12</v>
      </c>
      <c r="R1021" s="1">
        <v>13.888226274284534</v>
      </c>
    </row>
    <row r="1022" spans="1:18" x14ac:dyDescent="0.3">
      <c r="A1022" s="26">
        <v>1021</v>
      </c>
      <c r="B1022" s="1">
        <v>14</v>
      </c>
      <c r="C1022" s="1">
        <f t="shared" si="123"/>
        <v>10</v>
      </c>
      <c r="D1022" s="21">
        <f t="shared" ca="1" si="122"/>
        <v>44852</v>
      </c>
      <c r="E1022" s="1" t="s">
        <v>26</v>
      </c>
      <c r="F1022" s="1" t="s">
        <v>1050</v>
      </c>
      <c r="G1022" s="1" t="s">
        <v>28</v>
      </c>
      <c r="H1022" s="1">
        <v>1120</v>
      </c>
      <c r="I1022" s="1">
        <f t="shared" si="124"/>
        <v>54</v>
      </c>
      <c r="J1022" s="1">
        <f>VLOOKUP(B1022,Cena!$A$2:$B$101,2)</f>
        <v>129</v>
      </c>
      <c r="K1022" s="1">
        <f t="shared" si="128"/>
        <v>6966</v>
      </c>
      <c r="L1022" s="1">
        <f t="shared" si="125"/>
        <v>1602.18</v>
      </c>
      <c r="M1022" s="22">
        <f t="shared" si="129"/>
        <v>8568.18</v>
      </c>
      <c r="N1022" s="1">
        <f t="shared" ca="1" si="126"/>
        <v>10</v>
      </c>
      <c r="P1022" s="1">
        <v>54.956575594405876</v>
      </c>
      <c r="Q1022" s="1">
        <f t="shared" ca="1" si="127"/>
        <v>9</v>
      </c>
      <c r="R1022" s="1">
        <v>10.418384615841205</v>
      </c>
    </row>
    <row r="1023" spans="1:18" x14ac:dyDescent="0.3">
      <c r="A1023" s="26">
        <v>1022</v>
      </c>
      <c r="B1023" s="1">
        <v>2</v>
      </c>
      <c r="C1023" s="1">
        <f t="shared" si="123"/>
        <v>6</v>
      </c>
      <c r="D1023" s="21">
        <f t="shared" ca="1" si="122"/>
        <v>44635</v>
      </c>
      <c r="E1023" s="1" t="s">
        <v>26</v>
      </c>
      <c r="F1023" s="1" t="s">
        <v>1051</v>
      </c>
      <c r="G1023" s="1" t="s">
        <v>28</v>
      </c>
      <c r="H1023" s="1">
        <v>1121</v>
      </c>
      <c r="I1023" s="1">
        <f t="shared" si="124"/>
        <v>60</v>
      </c>
      <c r="J1023" s="1">
        <f>VLOOKUP(B1023,Cena!$A$2:$B$101,2)</f>
        <v>121</v>
      </c>
      <c r="K1023" s="1">
        <f t="shared" si="128"/>
        <v>7260</v>
      </c>
      <c r="L1023" s="1">
        <f t="shared" si="125"/>
        <v>1669.8000000000002</v>
      </c>
      <c r="M1023" s="22">
        <f t="shared" si="129"/>
        <v>8929.7999999999993</v>
      </c>
      <c r="N1023" s="1">
        <f t="shared" ca="1" si="126"/>
        <v>3</v>
      </c>
      <c r="P1023" s="1">
        <v>60.831172403413802</v>
      </c>
      <c r="Q1023" s="1">
        <f t="shared" ca="1" si="127"/>
        <v>9</v>
      </c>
      <c r="R1023" s="1">
        <v>6.6700499953731196</v>
      </c>
    </row>
    <row r="1024" spans="1:18" x14ac:dyDescent="0.3">
      <c r="A1024" s="26">
        <v>1023</v>
      </c>
      <c r="B1024" s="1">
        <v>4</v>
      </c>
      <c r="C1024" s="1">
        <f t="shared" si="123"/>
        <v>8</v>
      </c>
      <c r="D1024" s="21">
        <f t="shared" ca="1" si="122"/>
        <v>44916</v>
      </c>
      <c r="E1024" s="1" t="s">
        <v>26</v>
      </c>
      <c r="F1024" s="1" t="s">
        <v>1052</v>
      </c>
      <c r="G1024" s="1" t="s">
        <v>28</v>
      </c>
      <c r="H1024" s="1">
        <v>1122</v>
      </c>
      <c r="I1024" s="1">
        <f t="shared" si="124"/>
        <v>62</v>
      </c>
      <c r="J1024" s="1">
        <f>VLOOKUP(B1024,Cena!$A$2:$B$101,2)</f>
        <v>99</v>
      </c>
      <c r="K1024" s="1">
        <f t="shared" si="128"/>
        <v>6138</v>
      </c>
      <c r="L1024" s="1">
        <f t="shared" si="125"/>
        <v>1411.74</v>
      </c>
      <c r="M1024" s="22">
        <f t="shared" si="129"/>
        <v>7549.74</v>
      </c>
      <c r="N1024" s="1">
        <f t="shared" ca="1" si="126"/>
        <v>12</v>
      </c>
      <c r="P1024" s="1">
        <v>62.888358469353989</v>
      </c>
      <c r="Q1024" s="1">
        <f t="shared" ca="1" si="127"/>
        <v>26</v>
      </c>
      <c r="R1024" s="1">
        <v>8.6992804679175606</v>
      </c>
    </row>
    <row r="1025" spans="1:18" x14ac:dyDescent="0.3">
      <c r="A1025" s="26">
        <v>1024</v>
      </c>
      <c r="B1025" s="1">
        <v>30</v>
      </c>
      <c r="C1025" s="1">
        <f t="shared" si="123"/>
        <v>12</v>
      </c>
      <c r="D1025" s="21">
        <f t="shared" ca="1" si="122"/>
        <v>44706</v>
      </c>
      <c r="E1025" s="1" t="s">
        <v>26</v>
      </c>
      <c r="F1025" s="1" t="s">
        <v>1053</v>
      </c>
      <c r="G1025" s="1" t="s">
        <v>28</v>
      </c>
      <c r="H1025" s="1">
        <v>1123</v>
      </c>
      <c r="I1025" s="1">
        <f t="shared" si="124"/>
        <v>45</v>
      </c>
      <c r="J1025" s="1">
        <f>VLOOKUP(B1025,Cena!$A$2:$B$101,2)</f>
        <v>87</v>
      </c>
      <c r="K1025" s="1">
        <f t="shared" si="128"/>
        <v>3915</v>
      </c>
      <c r="L1025" s="1">
        <f t="shared" si="125"/>
        <v>900.45</v>
      </c>
      <c r="M1025" s="22">
        <f t="shared" si="129"/>
        <v>4815.45</v>
      </c>
      <c r="N1025" s="1">
        <f t="shared" ca="1" si="126"/>
        <v>5</v>
      </c>
      <c r="P1025" s="1">
        <v>45.434143329475773</v>
      </c>
      <c r="Q1025" s="1">
        <f t="shared" ca="1" si="127"/>
        <v>13</v>
      </c>
      <c r="R1025" s="1">
        <v>12.324429715372389</v>
      </c>
    </row>
    <row r="1026" spans="1:18" x14ac:dyDescent="0.3">
      <c r="A1026" s="26">
        <v>1025</v>
      </c>
      <c r="B1026" s="1">
        <v>29</v>
      </c>
      <c r="C1026" s="1">
        <f t="shared" si="123"/>
        <v>11</v>
      </c>
      <c r="D1026" s="21">
        <f t="shared" ref="D1026:D1089" ca="1" si="130">DATE(2022,RANDBETWEEN(1,12),RANDBETWEEN(1,28))</f>
        <v>44787</v>
      </c>
      <c r="E1026" s="1" t="s">
        <v>26</v>
      </c>
      <c r="F1026" s="1" t="s">
        <v>1054</v>
      </c>
      <c r="G1026" s="1" t="s">
        <v>28</v>
      </c>
      <c r="H1026" s="1">
        <v>1124</v>
      </c>
      <c r="I1026" s="1">
        <f t="shared" si="124"/>
        <v>45</v>
      </c>
      <c r="J1026" s="1">
        <f>VLOOKUP(B1026,Cena!$A$2:$B$101,2)</f>
        <v>105</v>
      </c>
      <c r="K1026" s="1">
        <f t="shared" si="128"/>
        <v>4725</v>
      </c>
      <c r="L1026" s="1">
        <f t="shared" si="125"/>
        <v>1086.75</v>
      </c>
      <c r="M1026" s="22">
        <f t="shared" si="129"/>
        <v>5811.75</v>
      </c>
      <c r="N1026" s="1">
        <f t="shared" ca="1" si="126"/>
        <v>8</v>
      </c>
      <c r="P1026" s="1">
        <v>45.152984411106445</v>
      </c>
      <c r="Q1026" s="1">
        <f t="shared" ca="1" si="127"/>
        <v>21</v>
      </c>
      <c r="R1026" s="1">
        <v>11.913966229949438</v>
      </c>
    </row>
    <row r="1027" spans="1:18" x14ac:dyDescent="0.3">
      <c r="A1027" s="26">
        <v>1026</v>
      </c>
      <c r="B1027" s="1">
        <v>9</v>
      </c>
      <c r="C1027" s="1">
        <f t="shared" ref="C1027:C1090" si="131">INT(R1027)</f>
        <v>13</v>
      </c>
      <c r="D1027" s="21">
        <f t="shared" ca="1" si="130"/>
        <v>44717</v>
      </c>
      <c r="E1027" s="1" t="s">
        <v>26</v>
      </c>
      <c r="F1027" s="1" t="s">
        <v>1055</v>
      </c>
      <c r="G1027" s="1" t="s">
        <v>28</v>
      </c>
      <c r="H1027" s="1">
        <v>1125</v>
      </c>
      <c r="I1027" s="1">
        <f t="shared" ref="I1027:I1090" si="132">INT(P1027)</f>
        <v>47</v>
      </c>
      <c r="J1027" s="1">
        <f>VLOOKUP(B1027,Cena!$A$2:$B$101,2)</f>
        <v>96</v>
      </c>
      <c r="K1027" s="1">
        <f t="shared" si="128"/>
        <v>4512</v>
      </c>
      <c r="L1027" s="1">
        <f t="shared" ref="L1027:L1090" si="133">K1027*23%</f>
        <v>1037.76</v>
      </c>
      <c r="M1027" s="22">
        <f t="shared" si="129"/>
        <v>5549.76</v>
      </c>
      <c r="N1027" s="1">
        <f t="shared" ref="N1027:N1090" ca="1" si="134">MONTH(D1027)</f>
        <v>6</v>
      </c>
      <c r="P1027" s="1">
        <v>47.292502484924626</v>
      </c>
      <c r="Q1027" s="1">
        <f t="shared" ref="Q1027:Q1090" ca="1" si="135">RANDBETWEEN(1,30)</f>
        <v>3</v>
      </c>
      <c r="R1027" s="1">
        <v>13.47076820617076</v>
      </c>
    </row>
    <row r="1028" spans="1:18" x14ac:dyDescent="0.3">
      <c r="A1028" s="26">
        <v>1027</v>
      </c>
      <c r="B1028" s="1">
        <v>24</v>
      </c>
      <c r="C1028" s="1">
        <f t="shared" si="131"/>
        <v>8</v>
      </c>
      <c r="D1028" s="21">
        <f t="shared" ca="1" si="130"/>
        <v>44575</v>
      </c>
      <c r="E1028" s="1" t="s">
        <v>26</v>
      </c>
      <c r="F1028" s="1" t="s">
        <v>1056</v>
      </c>
      <c r="G1028" s="1" t="s">
        <v>28</v>
      </c>
      <c r="H1028" s="1">
        <v>1126</v>
      </c>
      <c r="I1028" s="1">
        <f t="shared" si="132"/>
        <v>32</v>
      </c>
      <c r="J1028" s="1">
        <f>VLOOKUP(B1028,Cena!$A$2:$B$101,2)</f>
        <v>125</v>
      </c>
      <c r="K1028" s="1">
        <f t="shared" si="128"/>
        <v>4000</v>
      </c>
      <c r="L1028" s="1">
        <f t="shared" si="133"/>
        <v>920</v>
      </c>
      <c r="M1028" s="22">
        <f t="shared" si="129"/>
        <v>4920</v>
      </c>
      <c r="N1028" s="1">
        <f t="shared" ca="1" si="134"/>
        <v>1</v>
      </c>
      <c r="P1028" s="1">
        <v>32.052577252034098</v>
      </c>
      <c r="Q1028" s="1">
        <f t="shared" ca="1" si="135"/>
        <v>30</v>
      </c>
      <c r="R1028" s="1">
        <v>8.6506395543983672</v>
      </c>
    </row>
    <row r="1029" spans="1:18" x14ac:dyDescent="0.3">
      <c r="A1029" s="26">
        <v>1028</v>
      </c>
      <c r="B1029" s="1">
        <v>25</v>
      </c>
      <c r="C1029" s="1">
        <f t="shared" si="131"/>
        <v>12</v>
      </c>
      <c r="D1029" s="21">
        <f t="shared" ca="1" si="130"/>
        <v>44848</v>
      </c>
      <c r="E1029" s="1" t="s">
        <v>26</v>
      </c>
      <c r="F1029" s="1" t="s">
        <v>1057</v>
      </c>
      <c r="G1029" s="1" t="s">
        <v>28</v>
      </c>
      <c r="H1029" s="1">
        <v>1127</v>
      </c>
      <c r="I1029" s="1">
        <f t="shared" si="132"/>
        <v>61</v>
      </c>
      <c r="J1029" s="1">
        <f>VLOOKUP(B1029,Cena!$A$2:$B$101,2)</f>
        <v>108</v>
      </c>
      <c r="K1029" s="1">
        <f t="shared" si="128"/>
        <v>6588</v>
      </c>
      <c r="L1029" s="1">
        <f t="shared" si="133"/>
        <v>1515.24</v>
      </c>
      <c r="M1029" s="22">
        <f t="shared" si="129"/>
        <v>8103.24</v>
      </c>
      <c r="N1029" s="1">
        <f t="shared" ca="1" si="134"/>
        <v>10</v>
      </c>
      <c r="P1029" s="1">
        <v>61.621227713476401</v>
      </c>
      <c r="Q1029" s="1">
        <f t="shared" ca="1" si="135"/>
        <v>16</v>
      </c>
      <c r="R1029" s="1">
        <v>12.814073241097503</v>
      </c>
    </row>
    <row r="1030" spans="1:18" x14ac:dyDescent="0.3">
      <c r="A1030" s="26">
        <v>1029</v>
      </c>
      <c r="B1030" s="1">
        <v>30</v>
      </c>
      <c r="C1030" s="1">
        <f t="shared" si="131"/>
        <v>8</v>
      </c>
      <c r="D1030" s="21">
        <f t="shared" ca="1" si="130"/>
        <v>44883</v>
      </c>
      <c r="E1030" s="1" t="s">
        <v>26</v>
      </c>
      <c r="F1030" s="1" t="s">
        <v>1058</v>
      </c>
      <c r="G1030" s="1" t="s">
        <v>28</v>
      </c>
      <c r="H1030" s="1">
        <v>1128</v>
      </c>
      <c r="I1030" s="1">
        <f t="shared" si="132"/>
        <v>44</v>
      </c>
      <c r="J1030" s="1">
        <f>VLOOKUP(B1030,Cena!$A$2:$B$101,2)</f>
        <v>87</v>
      </c>
      <c r="K1030" s="1">
        <f t="shared" si="128"/>
        <v>3828</v>
      </c>
      <c r="L1030" s="1">
        <f t="shared" si="133"/>
        <v>880.44</v>
      </c>
      <c r="M1030" s="22">
        <f t="shared" si="129"/>
        <v>4708.4400000000005</v>
      </c>
      <c r="N1030" s="1">
        <f t="shared" ca="1" si="134"/>
        <v>11</v>
      </c>
      <c r="P1030" s="1">
        <v>44.839117789524607</v>
      </c>
      <c r="Q1030" s="1">
        <f t="shared" ca="1" si="135"/>
        <v>14</v>
      </c>
      <c r="R1030" s="1">
        <v>8.2669606879426283</v>
      </c>
    </row>
    <row r="1031" spans="1:18" x14ac:dyDescent="0.3">
      <c r="A1031" s="26">
        <v>1030</v>
      </c>
      <c r="B1031" s="1">
        <v>13</v>
      </c>
      <c r="C1031" s="1">
        <f t="shared" si="131"/>
        <v>11</v>
      </c>
      <c r="D1031" s="21">
        <f t="shared" ca="1" si="130"/>
        <v>44785</v>
      </c>
      <c r="E1031" s="1" t="s">
        <v>26</v>
      </c>
      <c r="F1031" s="1" t="s">
        <v>1059</v>
      </c>
      <c r="G1031" s="1" t="s">
        <v>28</v>
      </c>
      <c r="H1031" s="1">
        <v>1129</v>
      </c>
      <c r="I1031" s="1">
        <f t="shared" si="132"/>
        <v>62</v>
      </c>
      <c r="J1031" s="1">
        <f>VLOOKUP(B1031,Cena!$A$2:$B$101,2)</f>
        <v>94</v>
      </c>
      <c r="K1031" s="1">
        <f t="shared" si="128"/>
        <v>5828</v>
      </c>
      <c r="L1031" s="1">
        <f t="shared" si="133"/>
        <v>1340.44</v>
      </c>
      <c r="M1031" s="22">
        <f t="shared" si="129"/>
        <v>7168.4400000000005</v>
      </c>
      <c r="N1031" s="1">
        <f t="shared" ca="1" si="134"/>
        <v>8</v>
      </c>
      <c r="P1031" s="1">
        <v>62.973077900824137</v>
      </c>
      <c r="Q1031" s="1">
        <f t="shared" ca="1" si="135"/>
        <v>10</v>
      </c>
      <c r="R1031" s="1">
        <v>11.041115638145129</v>
      </c>
    </row>
    <row r="1032" spans="1:18" x14ac:dyDescent="0.3">
      <c r="A1032" s="26">
        <v>1031</v>
      </c>
      <c r="B1032" s="1">
        <v>10</v>
      </c>
      <c r="C1032" s="1">
        <f t="shared" si="131"/>
        <v>11</v>
      </c>
      <c r="D1032" s="21">
        <f t="shared" ca="1" si="130"/>
        <v>44755</v>
      </c>
      <c r="E1032" s="1" t="s">
        <v>26</v>
      </c>
      <c r="F1032" s="1" t="s">
        <v>1060</v>
      </c>
      <c r="G1032" s="1" t="s">
        <v>28</v>
      </c>
      <c r="H1032" s="1">
        <v>1130</v>
      </c>
      <c r="I1032" s="1">
        <f t="shared" si="132"/>
        <v>58</v>
      </c>
      <c r="J1032" s="1">
        <f>VLOOKUP(B1032,Cena!$A$2:$B$101,2)</f>
        <v>109</v>
      </c>
      <c r="K1032" s="1">
        <f t="shared" si="128"/>
        <v>6322</v>
      </c>
      <c r="L1032" s="1">
        <f t="shared" si="133"/>
        <v>1454.0600000000002</v>
      </c>
      <c r="M1032" s="22">
        <f t="shared" si="129"/>
        <v>7776.06</v>
      </c>
      <c r="N1032" s="1">
        <f t="shared" ca="1" si="134"/>
        <v>7</v>
      </c>
      <c r="P1032" s="1">
        <v>58.696861186763272</v>
      </c>
      <c r="Q1032" s="1">
        <f t="shared" ca="1" si="135"/>
        <v>30</v>
      </c>
      <c r="R1032" s="1">
        <v>11.854010633906</v>
      </c>
    </row>
    <row r="1033" spans="1:18" x14ac:dyDescent="0.3">
      <c r="A1033" s="26">
        <v>1032</v>
      </c>
      <c r="B1033" s="1">
        <v>30</v>
      </c>
      <c r="C1033" s="1">
        <f t="shared" si="131"/>
        <v>13</v>
      </c>
      <c r="D1033" s="21">
        <f t="shared" ca="1" si="130"/>
        <v>44688</v>
      </c>
      <c r="E1033" s="1" t="s">
        <v>26</v>
      </c>
      <c r="F1033" s="1" t="s">
        <v>1061</v>
      </c>
      <c r="G1033" s="1" t="s">
        <v>28</v>
      </c>
      <c r="H1033" s="1">
        <v>1131</v>
      </c>
      <c r="I1033" s="1">
        <f t="shared" si="132"/>
        <v>49</v>
      </c>
      <c r="J1033" s="1">
        <f>VLOOKUP(B1033,Cena!$A$2:$B$101,2)</f>
        <v>87</v>
      </c>
      <c r="K1033" s="1">
        <f t="shared" si="128"/>
        <v>4263</v>
      </c>
      <c r="L1033" s="1">
        <f t="shared" si="133"/>
        <v>980.49</v>
      </c>
      <c r="M1033" s="22">
        <f t="shared" si="129"/>
        <v>5243.49</v>
      </c>
      <c r="N1033" s="1">
        <f t="shared" ca="1" si="134"/>
        <v>5</v>
      </c>
      <c r="P1033" s="1">
        <v>49.461579136550426</v>
      </c>
      <c r="Q1033" s="1">
        <f t="shared" ca="1" si="135"/>
        <v>2</v>
      </c>
      <c r="R1033" s="1">
        <v>13.390834990568692</v>
      </c>
    </row>
    <row r="1034" spans="1:18" x14ac:dyDescent="0.3">
      <c r="A1034" s="26">
        <v>1033</v>
      </c>
      <c r="B1034" s="1">
        <v>7</v>
      </c>
      <c r="C1034" s="1">
        <f t="shared" si="131"/>
        <v>13</v>
      </c>
      <c r="D1034" s="21">
        <f t="shared" ca="1" si="130"/>
        <v>44740</v>
      </c>
      <c r="E1034" s="1" t="s">
        <v>26</v>
      </c>
      <c r="F1034" s="1" t="s">
        <v>1062</v>
      </c>
      <c r="G1034" s="1" t="s">
        <v>28</v>
      </c>
      <c r="H1034" s="1">
        <v>1132</v>
      </c>
      <c r="I1034" s="1">
        <f t="shared" si="132"/>
        <v>45</v>
      </c>
      <c r="J1034" s="1">
        <f>VLOOKUP(B1034,Cena!$A$2:$B$101,2)</f>
        <v>104</v>
      </c>
      <c r="K1034" s="1">
        <f t="shared" si="128"/>
        <v>4680</v>
      </c>
      <c r="L1034" s="1">
        <f t="shared" si="133"/>
        <v>1076.4000000000001</v>
      </c>
      <c r="M1034" s="22">
        <f t="shared" si="129"/>
        <v>5756.4</v>
      </c>
      <c r="N1034" s="1">
        <f t="shared" ca="1" si="134"/>
        <v>6</v>
      </c>
      <c r="P1034" s="1">
        <v>45.047755874111317</v>
      </c>
      <c r="Q1034" s="1">
        <f t="shared" ca="1" si="135"/>
        <v>14</v>
      </c>
      <c r="R1034" s="1">
        <v>13.440936779952608</v>
      </c>
    </row>
    <row r="1035" spans="1:18" x14ac:dyDescent="0.3">
      <c r="A1035" s="26">
        <v>1034</v>
      </c>
      <c r="B1035" s="1">
        <v>4</v>
      </c>
      <c r="C1035" s="1">
        <f t="shared" si="131"/>
        <v>10</v>
      </c>
      <c r="D1035" s="21">
        <f t="shared" ca="1" si="130"/>
        <v>44911</v>
      </c>
      <c r="E1035" s="1" t="s">
        <v>26</v>
      </c>
      <c r="F1035" s="1" t="s">
        <v>1063</v>
      </c>
      <c r="G1035" s="1" t="s">
        <v>28</v>
      </c>
      <c r="H1035" s="1">
        <v>1133</v>
      </c>
      <c r="I1035" s="1">
        <f t="shared" si="132"/>
        <v>57</v>
      </c>
      <c r="J1035" s="1">
        <f>VLOOKUP(B1035,Cena!$A$2:$B$101,2)</f>
        <v>99</v>
      </c>
      <c r="K1035" s="1">
        <f t="shared" si="128"/>
        <v>5643</v>
      </c>
      <c r="L1035" s="1">
        <f t="shared" si="133"/>
        <v>1297.8900000000001</v>
      </c>
      <c r="M1035" s="22">
        <f t="shared" si="129"/>
        <v>6940.89</v>
      </c>
      <c r="N1035" s="1">
        <f t="shared" ca="1" si="134"/>
        <v>12</v>
      </c>
      <c r="P1035" s="1">
        <v>57.675362212467007</v>
      </c>
      <c r="Q1035" s="1">
        <f t="shared" ca="1" si="135"/>
        <v>4</v>
      </c>
      <c r="R1035" s="1">
        <v>10.696138613420771</v>
      </c>
    </row>
    <row r="1036" spans="1:18" x14ac:dyDescent="0.3">
      <c r="A1036" s="26">
        <v>1035</v>
      </c>
      <c r="B1036" s="1">
        <v>11</v>
      </c>
      <c r="C1036" s="1">
        <f t="shared" si="131"/>
        <v>14</v>
      </c>
      <c r="D1036" s="21">
        <f t="shared" ca="1" si="130"/>
        <v>44614</v>
      </c>
      <c r="E1036" s="1" t="s">
        <v>26</v>
      </c>
      <c r="F1036" s="1" t="s">
        <v>1064</v>
      </c>
      <c r="G1036" s="1" t="s">
        <v>28</v>
      </c>
      <c r="H1036" s="1">
        <v>1134</v>
      </c>
      <c r="I1036" s="1">
        <f t="shared" si="132"/>
        <v>49</v>
      </c>
      <c r="J1036" s="1">
        <f>VLOOKUP(B1036,Cena!$A$2:$B$101,2)</f>
        <v>83</v>
      </c>
      <c r="K1036" s="1">
        <f t="shared" si="128"/>
        <v>4067</v>
      </c>
      <c r="L1036" s="1">
        <f t="shared" si="133"/>
        <v>935.41000000000008</v>
      </c>
      <c r="M1036" s="22">
        <f t="shared" si="129"/>
        <v>5002.41</v>
      </c>
      <c r="N1036" s="1">
        <f t="shared" ca="1" si="134"/>
        <v>2</v>
      </c>
      <c r="P1036" s="1">
        <v>49.901694991422119</v>
      </c>
      <c r="Q1036" s="1">
        <f t="shared" ca="1" si="135"/>
        <v>23</v>
      </c>
      <c r="R1036" s="1">
        <v>14.210210136079695</v>
      </c>
    </row>
    <row r="1037" spans="1:18" x14ac:dyDescent="0.3">
      <c r="A1037" s="26">
        <v>1036</v>
      </c>
      <c r="B1037" s="1">
        <v>12</v>
      </c>
      <c r="C1037" s="1">
        <f t="shared" si="131"/>
        <v>10</v>
      </c>
      <c r="D1037" s="21">
        <f t="shared" ca="1" si="130"/>
        <v>44739</v>
      </c>
      <c r="E1037" s="1" t="s">
        <v>26</v>
      </c>
      <c r="F1037" s="1" t="s">
        <v>1065</v>
      </c>
      <c r="G1037" s="1" t="s">
        <v>28</v>
      </c>
      <c r="H1037" s="1">
        <v>1135</v>
      </c>
      <c r="I1037" s="1">
        <f t="shared" si="132"/>
        <v>48</v>
      </c>
      <c r="J1037" s="1">
        <f>VLOOKUP(B1037,Cena!$A$2:$B$101,2)</f>
        <v>88</v>
      </c>
      <c r="K1037" s="1">
        <f t="shared" si="128"/>
        <v>4224</v>
      </c>
      <c r="L1037" s="1">
        <f t="shared" si="133"/>
        <v>971.5200000000001</v>
      </c>
      <c r="M1037" s="22">
        <f t="shared" si="129"/>
        <v>5195.5200000000004</v>
      </c>
      <c r="N1037" s="1">
        <f t="shared" ca="1" si="134"/>
        <v>6</v>
      </c>
      <c r="P1037" s="1">
        <v>48.3954694471322</v>
      </c>
      <c r="Q1037" s="1">
        <f t="shared" ca="1" si="135"/>
        <v>22</v>
      </c>
      <c r="R1037" s="1">
        <v>10.202078354050172</v>
      </c>
    </row>
    <row r="1038" spans="1:18" x14ac:dyDescent="0.3">
      <c r="A1038" s="26">
        <v>1037</v>
      </c>
      <c r="B1038" s="1">
        <v>7</v>
      </c>
      <c r="C1038" s="1">
        <f t="shared" si="131"/>
        <v>12</v>
      </c>
      <c r="D1038" s="21">
        <f t="shared" ca="1" si="130"/>
        <v>44686</v>
      </c>
      <c r="E1038" s="1" t="s">
        <v>26</v>
      </c>
      <c r="F1038" s="1" t="s">
        <v>1066</v>
      </c>
      <c r="G1038" s="1" t="s">
        <v>28</v>
      </c>
      <c r="H1038" s="1">
        <v>1136</v>
      </c>
      <c r="I1038" s="1">
        <f t="shared" si="132"/>
        <v>48</v>
      </c>
      <c r="J1038" s="1">
        <f>VLOOKUP(B1038,Cena!$A$2:$B$101,2)</f>
        <v>104</v>
      </c>
      <c r="K1038" s="1">
        <f t="shared" si="128"/>
        <v>4992</v>
      </c>
      <c r="L1038" s="1">
        <f t="shared" si="133"/>
        <v>1148.1600000000001</v>
      </c>
      <c r="M1038" s="22">
        <f t="shared" si="129"/>
        <v>6140.16</v>
      </c>
      <c r="N1038" s="1">
        <f t="shared" ca="1" si="134"/>
        <v>5</v>
      </c>
      <c r="P1038" s="1">
        <v>48.911198417772539</v>
      </c>
      <c r="Q1038" s="1">
        <f t="shared" ca="1" si="135"/>
        <v>28</v>
      </c>
      <c r="R1038" s="1">
        <v>12.050143166343332</v>
      </c>
    </row>
    <row r="1039" spans="1:18" x14ac:dyDescent="0.3">
      <c r="A1039" s="26">
        <v>1038</v>
      </c>
      <c r="B1039" s="1">
        <v>23</v>
      </c>
      <c r="C1039" s="1">
        <f t="shared" si="131"/>
        <v>5</v>
      </c>
      <c r="D1039" s="21">
        <f t="shared" ca="1" si="130"/>
        <v>44684</v>
      </c>
      <c r="E1039" s="1" t="s">
        <v>26</v>
      </c>
      <c r="F1039" s="1" t="s">
        <v>1067</v>
      </c>
      <c r="G1039" s="1" t="s">
        <v>28</v>
      </c>
      <c r="H1039" s="1">
        <v>1137</v>
      </c>
      <c r="I1039" s="1">
        <f t="shared" si="132"/>
        <v>28</v>
      </c>
      <c r="J1039" s="1">
        <f>VLOOKUP(B1039,Cena!$A$2:$B$101,2)</f>
        <v>132</v>
      </c>
      <c r="K1039" s="1">
        <f t="shared" si="128"/>
        <v>3696</v>
      </c>
      <c r="L1039" s="1">
        <f t="shared" si="133"/>
        <v>850.08</v>
      </c>
      <c r="M1039" s="22">
        <f t="shared" si="129"/>
        <v>4546.08</v>
      </c>
      <c r="N1039" s="1">
        <f t="shared" ca="1" si="134"/>
        <v>5</v>
      </c>
      <c r="P1039" s="1">
        <v>28.777304932009429</v>
      </c>
      <c r="Q1039" s="1">
        <f t="shared" ca="1" si="135"/>
        <v>3</v>
      </c>
      <c r="R1039" s="1">
        <v>5.3035967337200418</v>
      </c>
    </row>
    <row r="1040" spans="1:18" x14ac:dyDescent="0.3">
      <c r="A1040" s="26">
        <v>1039</v>
      </c>
      <c r="B1040" s="1">
        <v>19</v>
      </c>
      <c r="C1040" s="1">
        <f t="shared" si="131"/>
        <v>11</v>
      </c>
      <c r="D1040" s="21">
        <f t="shared" ca="1" si="130"/>
        <v>44807</v>
      </c>
      <c r="E1040" s="1" t="s">
        <v>26</v>
      </c>
      <c r="F1040" s="1" t="s">
        <v>1068</v>
      </c>
      <c r="G1040" s="1" t="s">
        <v>28</v>
      </c>
      <c r="H1040" s="1">
        <v>1138</v>
      </c>
      <c r="I1040" s="1">
        <f t="shared" si="132"/>
        <v>50</v>
      </c>
      <c r="J1040" s="1">
        <f>VLOOKUP(B1040,Cena!$A$2:$B$101,2)</f>
        <v>84</v>
      </c>
      <c r="K1040" s="1">
        <f t="shared" si="128"/>
        <v>4200</v>
      </c>
      <c r="L1040" s="1">
        <f t="shared" si="133"/>
        <v>966</v>
      </c>
      <c r="M1040" s="22">
        <f t="shared" si="129"/>
        <v>5166</v>
      </c>
      <c r="N1040" s="1">
        <f t="shared" ca="1" si="134"/>
        <v>9</v>
      </c>
      <c r="P1040" s="1">
        <v>50.996510607365053</v>
      </c>
      <c r="Q1040" s="1">
        <f t="shared" ca="1" si="135"/>
        <v>14</v>
      </c>
      <c r="R1040" s="1">
        <v>11.484789891037508</v>
      </c>
    </row>
    <row r="1041" spans="1:18" x14ac:dyDescent="0.3">
      <c r="A1041" s="26">
        <v>1040</v>
      </c>
      <c r="B1041" s="1">
        <v>26</v>
      </c>
      <c r="C1041" s="1">
        <f t="shared" si="131"/>
        <v>10</v>
      </c>
      <c r="D1041" s="21">
        <f t="shared" ca="1" si="130"/>
        <v>44921</v>
      </c>
      <c r="E1041" s="1" t="s">
        <v>26</v>
      </c>
      <c r="F1041" s="1" t="s">
        <v>1069</v>
      </c>
      <c r="G1041" s="1" t="s">
        <v>28</v>
      </c>
      <c r="H1041" s="1">
        <v>1139</v>
      </c>
      <c r="I1041" s="1">
        <f t="shared" si="132"/>
        <v>54</v>
      </c>
      <c r="J1041" s="1">
        <f>VLOOKUP(B1041,Cena!$A$2:$B$101,2)</f>
        <v>99</v>
      </c>
      <c r="K1041" s="1">
        <f t="shared" si="128"/>
        <v>5346</v>
      </c>
      <c r="L1041" s="1">
        <f t="shared" si="133"/>
        <v>1229.5800000000002</v>
      </c>
      <c r="M1041" s="22">
        <f t="shared" si="129"/>
        <v>6575.58</v>
      </c>
      <c r="N1041" s="1">
        <f t="shared" ca="1" si="134"/>
        <v>12</v>
      </c>
      <c r="P1041" s="1">
        <v>54.038815859530587</v>
      </c>
      <c r="Q1041" s="1">
        <f t="shared" ca="1" si="135"/>
        <v>8</v>
      </c>
      <c r="R1041" s="1">
        <v>10.233757191381301</v>
      </c>
    </row>
    <row r="1042" spans="1:18" x14ac:dyDescent="0.3">
      <c r="A1042" s="26">
        <v>1041</v>
      </c>
      <c r="B1042" s="1">
        <v>14</v>
      </c>
      <c r="C1042" s="1">
        <f t="shared" si="131"/>
        <v>10</v>
      </c>
      <c r="D1042" s="21">
        <f t="shared" ca="1" si="130"/>
        <v>44613</v>
      </c>
      <c r="E1042" s="1" t="s">
        <v>26</v>
      </c>
      <c r="F1042" s="1" t="s">
        <v>1070</v>
      </c>
      <c r="G1042" s="1" t="s">
        <v>28</v>
      </c>
      <c r="H1042" s="1">
        <v>1140</v>
      </c>
      <c r="I1042" s="1">
        <f t="shared" si="132"/>
        <v>60</v>
      </c>
      <c r="J1042" s="1">
        <f>VLOOKUP(B1042,Cena!$A$2:$B$101,2)</f>
        <v>129</v>
      </c>
      <c r="K1042" s="1">
        <f t="shared" si="128"/>
        <v>7740</v>
      </c>
      <c r="L1042" s="1">
        <f t="shared" si="133"/>
        <v>1780.2</v>
      </c>
      <c r="M1042" s="22">
        <f t="shared" si="129"/>
        <v>9520.2000000000007</v>
      </c>
      <c r="N1042" s="1">
        <f t="shared" ca="1" si="134"/>
        <v>2</v>
      </c>
      <c r="P1042" s="1">
        <v>60.795497473736759</v>
      </c>
      <c r="Q1042" s="1">
        <f t="shared" ca="1" si="135"/>
        <v>26</v>
      </c>
      <c r="R1042" s="1">
        <v>10.703892055753386</v>
      </c>
    </row>
    <row r="1043" spans="1:18" x14ac:dyDescent="0.3">
      <c r="A1043" s="26">
        <v>1042</v>
      </c>
      <c r="B1043" s="1">
        <v>18</v>
      </c>
      <c r="C1043" s="1">
        <f t="shared" si="131"/>
        <v>11</v>
      </c>
      <c r="D1043" s="21">
        <f t="shared" ca="1" si="130"/>
        <v>44905</v>
      </c>
      <c r="E1043" s="1" t="s">
        <v>26</v>
      </c>
      <c r="F1043" s="1" t="s">
        <v>1071</v>
      </c>
      <c r="G1043" s="1" t="s">
        <v>28</v>
      </c>
      <c r="H1043" s="1">
        <v>1141</v>
      </c>
      <c r="I1043" s="1">
        <f t="shared" si="132"/>
        <v>43</v>
      </c>
      <c r="J1043" s="1">
        <f>VLOOKUP(B1043,Cena!$A$2:$B$101,2)</f>
        <v>90</v>
      </c>
      <c r="K1043" s="1">
        <f t="shared" si="128"/>
        <v>3870</v>
      </c>
      <c r="L1043" s="1">
        <f t="shared" si="133"/>
        <v>890.1</v>
      </c>
      <c r="M1043" s="22">
        <f t="shared" si="129"/>
        <v>4760.1000000000004</v>
      </c>
      <c r="N1043" s="1">
        <f t="shared" ca="1" si="134"/>
        <v>12</v>
      </c>
      <c r="P1043" s="1">
        <v>43.417713994858786</v>
      </c>
      <c r="Q1043" s="1">
        <f t="shared" ca="1" si="135"/>
        <v>7</v>
      </c>
      <c r="R1043" s="1">
        <v>11.742046151775867</v>
      </c>
    </row>
    <row r="1044" spans="1:18" x14ac:dyDescent="0.3">
      <c r="A1044" s="26">
        <v>1043</v>
      </c>
      <c r="B1044" s="1">
        <v>3</v>
      </c>
      <c r="C1044" s="1">
        <f t="shared" si="131"/>
        <v>15</v>
      </c>
      <c r="D1044" s="21">
        <f t="shared" ca="1" si="130"/>
        <v>44872</v>
      </c>
      <c r="E1044" s="1" t="s">
        <v>26</v>
      </c>
      <c r="F1044" s="1" t="s">
        <v>1072</v>
      </c>
      <c r="G1044" s="1" t="s">
        <v>28</v>
      </c>
      <c r="H1044" s="1">
        <v>1142</v>
      </c>
      <c r="I1044" s="1">
        <f t="shared" si="132"/>
        <v>51</v>
      </c>
      <c r="J1044" s="1">
        <f>VLOOKUP(B1044,Cena!$A$2:$B$101,2)</f>
        <v>89</v>
      </c>
      <c r="K1044" s="1">
        <f t="shared" si="128"/>
        <v>4539</v>
      </c>
      <c r="L1044" s="1">
        <f t="shared" si="133"/>
        <v>1043.97</v>
      </c>
      <c r="M1044" s="22">
        <f t="shared" si="129"/>
        <v>5582.97</v>
      </c>
      <c r="N1044" s="1">
        <f t="shared" ca="1" si="134"/>
        <v>11</v>
      </c>
      <c r="P1044" s="1">
        <v>51.350849743175786</v>
      </c>
      <c r="Q1044" s="1">
        <f t="shared" ca="1" si="135"/>
        <v>29</v>
      </c>
      <c r="R1044" s="1">
        <v>15.690753823728301</v>
      </c>
    </row>
    <row r="1045" spans="1:18" x14ac:dyDescent="0.3">
      <c r="A1045" s="26">
        <v>1044</v>
      </c>
      <c r="B1045" s="1">
        <v>13</v>
      </c>
      <c r="C1045" s="1">
        <f t="shared" si="131"/>
        <v>9</v>
      </c>
      <c r="D1045" s="21">
        <f t="shared" ca="1" si="130"/>
        <v>44919</v>
      </c>
      <c r="E1045" s="1" t="s">
        <v>26</v>
      </c>
      <c r="F1045" s="1" t="s">
        <v>1073</v>
      </c>
      <c r="G1045" s="1" t="s">
        <v>28</v>
      </c>
      <c r="H1045" s="1">
        <v>1143</v>
      </c>
      <c r="I1045" s="1">
        <f t="shared" si="132"/>
        <v>41</v>
      </c>
      <c r="J1045" s="1">
        <f>VLOOKUP(B1045,Cena!$A$2:$B$101,2)</f>
        <v>94</v>
      </c>
      <c r="K1045" s="1">
        <f t="shared" si="128"/>
        <v>3854</v>
      </c>
      <c r="L1045" s="1">
        <f t="shared" si="133"/>
        <v>886.42000000000007</v>
      </c>
      <c r="M1045" s="22">
        <f t="shared" si="129"/>
        <v>4740.42</v>
      </c>
      <c r="N1045" s="1">
        <f t="shared" ca="1" si="134"/>
        <v>12</v>
      </c>
      <c r="P1045" s="1">
        <v>41.982213032315485</v>
      </c>
      <c r="Q1045" s="1">
        <f t="shared" ca="1" si="135"/>
        <v>24</v>
      </c>
      <c r="R1045" s="1">
        <v>9.8159523784124758</v>
      </c>
    </row>
    <row r="1046" spans="1:18" x14ac:dyDescent="0.3">
      <c r="A1046" s="26">
        <v>1045</v>
      </c>
      <c r="B1046" s="1">
        <v>23</v>
      </c>
      <c r="C1046" s="1">
        <f t="shared" si="131"/>
        <v>9</v>
      </c>
      <c r="D1046" s="21">
        <f t="shared" ca="1" si="130"/>
        <v>44607</v>
      </c>
      <c r="E1046" s="1" t="s">
        <v>26</v>
      </c>
      <c r="F1046" s="1" t="s">
        <v>1074</v>
      </c>
      <c r="G1046" s="1" t="s">
        <v>28</v>
      </c>
      <c r="H1046" s="1">
        <v>1144</v>
      </c>
      <c r="I1046" s="1">
        <f t="shared" si="132"/>
        <v>34</v>
      </c>
      <c r="J1046" s="1">
        <f>VLOOKUP(B1046,Cena!$A$2:$B$101,2)</f>
        <v>132</v>
      </c>
      <c r="K1046" s="1">
        <f t="shared" si="128"/>
        <v>4488</v>
      </c>
      <c r="L1046" s="1">
        <f t="shared" si="133"/>
        <v>1032.24</v>
      </c>
      <c r="M1046" s="22">
        <f t="shared" si="129"/>
        <v>5520.24</v>
      </c>
      <c r="N1046" s="1">
        <f t="shared" ca="1" si="134"/>
        <v>2</v>
      </c>
      <c r="P1046" s="1">
        <v>34.196074365172535</v>
      </c>
      <c r="Q1046" s="1">
        <f t="shared" ca="1" si="135"/>
        <v>8</v>
      </c>
      <c r="R1046" s="1">
        <v>9.5785117334889947</v>
      </c>
    </row>
    <row r="1047" spans="1:18" x14ac:dyDescent="0.3">
      <c r="A1047" s="26">
        <v>1046</v>
      </c>
      <c r="B1047" s="1">
        <v>23</v>
      </c>
      <c r="C1047" s="1">
        <f t="shared" si="131"/>
        <v>3</v>
      </c>
      <c r="D1047" s="21">
        <f t="shared" ca="1" si="130"/>
        <v>44870</v>
      </c>
      <c r="E1047" s="1" t="s">
        <v>26</v>
      </c>
      <c r="F1047" s="1" t="s">
        <v>1075</v>
      </c>
      <c r="G1047" s="1" t="s">
        <v>28</v>
      </c>
      <c r="H1047" s="1">
        <v>1145</v>
      </c>
      <c r="I1047" s="1">
        <f t="shared" si="132"/>
        <v>38</v>
      </c>
      <c r="J1047" s="1">
        <f>VLOOKUP(B1047,Cena!$A$2:$B$101,2)</f>
        <v>132</v>
      </c>
      <c r="K1047" s="1">
        <f t="shared" si="128"/>
        <v>5016</v>
      </c>
      <c r="L1047" s="1">
        <f t="shared" si="133"/>
        <v>1153.68</v>
      </c>
      <c r="M1047" s="22">
        <f t="shared" si="129"/>
        <v>6169.68</v>
      </c>
      <c r="N1047" s="1">
        <f t="shared" ca="1" si="134"/>
        <v>11</v>
      </c>
      <c r="P1047" s="1">
        <v>38.743707035609987</v>
      </c>
      <c r="Q1047" s="1">
        <f t="shared" ca="1" si="135"/>
        <v>14</v>
      </c>
      <c r="R1047" s="1">
        <v>3.1280399323441088</v>
      </c>
    </row>
    <row r="1048" spans="1:18" x14ac:dyDescent="0.3">
      <c r="A1048" s="26">
        <v>1047</v>
      </c>
      <c r="B1048" s="1">
        <v>1</v>
      </c>
      <c r="C1048" s="1">
        <f t="shared" si="131"/>
        <v>9</v>
      </c>
      <c r="D1048" s="21">
        <f t="shared" ca="1" si="130"/>
        <v>44831</v>
      </c>
      <c r="E1048" s="1" t="s">
        <v>26</v>
      </c>
      <c r="F1048" s="1" t="s">
        <v>1076</v>
      </c>
      <c r="G1048" s="1" t="s">
        <v>28</v>
      </c>
      <c r="H1048" s="1">
        <v>1146</v>
      </c>
      <c r="I1048" s="1">
        <f t="shared" si="132"/>
        <v>47</v>
      </c>
      <c r="J1048" s="1">
        <f>VLOOKUP(B1048,Cena!$A$2:$B$101,2)</f>
        <v>84</v>
      </c>
      <c r="K1048" s="1">
        <f t="shared" si="128"/>
        <v>3948</v>
      </c>
      <c r="L1048" s="1">
        <f t="shared" si="133"/>
        <v>908.04000000000008</v>
      </c>
      <c r="M1048" s="22">
        <f t="shared" si="129"/>
        <v>4856.04</v>
      </c>
      <c r="N1048" s="1">
        <f t="shared" ca="1" si="134"/>
        <v>9</v>
      </c>
      <c r="P1048" s="1">
        <v>47.010479546588613</v>
      </c>
      <c r="Q1048" s="1">
        <f t="shared" ca="1" si="135"/>
        <v>6</v>
      </c>
      <c r="R1048" s="1">
        <v>9.1869600535210338</v>
      </c>
    </row>
    <row r="1049" spans="1:18" x14ac:dyDescent="0.3">
      <c r="A1049" s="26">
        <v>1048</v>
      </c>
      <c r="B1049" s="1">
        <v>12</v>
      </c>
      <c r="C1049" s="1">
        <f t="shared" si="131"/>
        <v>7</v>
      </c>
      <c r="D1049" s="21">
        <f t="shared" ca="1" si="130"/>
        <v>44682</v>
      </c>
      <c r="E1049" s="1" t="s">
        <v>26</v>
      </c>
      <c r="F1049" s="1" t="s">
        <v>1077</v>
      </c>
      <c r="G1049" s="1" t="s">
        <v>28</v>
      </c>
      <c r="H1049" s="1">
        <v>1147</v>
      </c>
      <c r="I1049" s="1">
        <f t="shared" si="132"/>
        <v>58</v>
      </c>
      <c r="J1049" s="1">
        <f>VLOOKUP(B1049,Cena!$A$2:$B$101,2)</f>
        <v>88</v>
      </c>
      <c r="K1049" s="1">
        <f t="shared" si="128"/>
        <v>5104</v>
      </c>
      <c r="L1049" s="1">
        <f t="shared" si="133"/>
        <v>1173.92</v>
      </c>
      <c r="M1049" s="22">
        <f t="shared" si="129"/>
        <v>6277.92</v>
      </c>
      <c r="N1049" s="1">
        <f t="shared" ca="1" si="134"/>
        <v>5</v>
      </c>
      <c r="P1049" s="1">
        <v>58.544884622097015</v>
      </c>
      <c r="Q1049" s="1">
        <f t="shared" ca="1" si="135"/>
        <v>16</v>
      </c>
      <c r="R1049" s="1">
        <v>7.6530830281262752</v>
      </c>
    </row>
    <row r="1050" spans="1:18" x14ac:dyDescent="0.3">
      <c r="A1050" s="26">
        <v>1049</v>
      </c>
      <c r="B1050" s="1">
        <v>7</v>
      </c>
      <c r="C1050" s="1">
        <f t="shared" si="131"/>
        <v>6</v>
      </c>
      <c r="D1050" s="21">
        <f t="shared" ca="1" si="130"/>
        <v>44841</v>
      </c>
      <c r="E1050" s="1" t="s">
        <v>26</v>
      </c>
      <c r="F1050" s="1" t="s">
        <v>1078</v>
      </c>
      <c r="G1050" s="1" t="s">
        <v>28</v>
      </c>
      <c r="H1050" s="1">
        <v>1148</v>
      </c>
      <c r="I1050" s="1">
        <f t="shared" si="132"/>
        <v>56</v>
      </c>
      <c r="J1050" s="1">
        <f>VLOOKUP(B1050,Cena!$A$2:$B$101,2)</f>
        <v>104</v>
      </c>
      <c r="K1050" s="1">
        <f t="shared" si="128"/>
        <v>5824</v>
      </c>
      <c r="L1050" s="1">
        <f t="shared" si="133"/>
        <v>1339.52</v>
      </c>
      <c r="M1050" s="22">
        <f t="shared" si="129"/>
        <v>7163.52</v>
      </c>
      <c r="N1050" s="1">
        <f t="shared" ca="1" si="134"/>
        <v>10</v>
      </c>
      <c r="P1050" s="1">
        <v>56.021491572028026</v>
      </c>
      <c r="Q1050" s="1">
        <f t="shared" ca="1" si="135"/>
        <v>26</v>
      </c>
      <c r="R1050" s="1">
        <v>6.7393478073063307</v>
      </c>
    </row>
    <row r="1051" spans="1:18" x14ac:dyDescent="0.3">
      <c r="A1051" s="26">
        <v>1050</v>
      </c>
      <c r="B1051" s="1">
        <v>10</v>
      </c>
      <c r="C1051" s="1">
        <f t="shared" si="131"/>
        <v>11</v>
      </c>
      <c r="D1051" s="21">
        <f t="shared" ca="1" si="130"/>
        <v>44726</v>
      </c>
      <c r="E1051" s="1" t="s">
        <v>26</v>
      </c>
      <c r="F1051" s="1" t="s">
        <v>1079</v>
      </c>
      <c r="G1051" s="1" t="s">
        <v>28</v>
      </c>
      <c r="H1051" s="1">
        <v>1149</v>
      </c>
      <c r="I1051" s="1">
        <f t="shared" si="132"/>
        <v>56</v>
      </c>
      <c r="J1051" s="1">
        <f>VLOOKUP(B1051,Cena!$A$2:$B$101,2)</f>
        <v>109</v>
      </c>
      <c r="K1051" s="1">
        <f t="shared" si="128"/>
        <v>6104</v>
      </c>
      <c r="L1051" s="1">
        <f t="shared" si="133"/>
        <v>1403.92</v>
      </c>
      <c r="M1051" s="22">
        <f t="shared" si="129"/>
        <v>7507.92</v>
      </c>
      <c r="N1051" s="1">
        <f t="shared" ca="1" si="134"/>
        <v>6</v>
      </c>
      <c r="P1051" s="1">
        <v>56.392497198248748</v>
      </c>
      <c r="Q1051" s="1">
        <f t="shared" ca="1" si="135"/>
        <v>22</v>
      </c>
      <c r="R1051" s="1">
        <v>11.182584696834965</v>
      </c>
    </row>
    <row r="1052" spans="1:18" x14ac:dyDescent="0.3">
      <c r="A1052" s="26">
        <v>1051</v>
      </c>
      <c r="B1052" s="1">
        <v>29</v>
      </c>
      <c r="C1052" s="1">
        <f t="shared" si="131"/>
        <v>9</v>
      </c>
      <c r="D1052" s="21">
        <f t="shared" ca="1" si="130"/>
        <v>44652</v>
      </c>
      <c r="E1052" s="1" t="s">
        <v>26</v>
      </c>
      <c r="F1052" s="1" t="s">
        <v>1080</v>
      </c>
      <c r="G1052" s="1" t="s">
        <v>28</v>
      </c>
      <c r="H1052" s="1">
        <v>1150</v>
      </c>
      <c r="I1052" s="1">
        <f t="shared" si="132"/>
        <v>60</v>
      </c>
      <c r="J1052" s="1">
        <f>VLOOKUP(B1052,Cena!$A$2:$B$101,2)</f>
        <v>105</v>
      </c>
      <c r="K1052" s="1">
        <f t="shared" si="128"/>
        <v>6300</v>
      </c>
      <c r="L1052" s="1">
        <f t="shared" si="133"/>
        <v>1449</v>
      </c>
      <c r="M1052" s="22">
        <f t="shared" si="129"/>
        <v>7749</v>
      </c>
      <c r="N1052" s="1">
        <f t="shared" ca="1" si="134"/>
        <v>4</v>
      </c>
      <c r="P1052" s="1">
        <v>60.000826478062663</v>
      </c>
      <c r="Q1052" s="1">
        <f t="shared" ca="1" si="135"/>
        <v>17</v>
      </c>
      <c r="R1052" s="1">
        <v>9.189782329267473</v>
      </c>
    </row>
    <row r="1053" spans="1:18" x14ac:dyDescent="0.3">
      <c r="A1053" s="26">
        <v>1052</v>
      </c>
      <c r="B1053" s="1">
        <v>30</v>
      </c>
      <c r="C1053" s="1">
        <f t="shared" si="131"/>
        <v>13</v>
      </c>
      <c r="D1053" s="21">
        <f t="shared" ca="1" si="130"/>
        <v>44652</v>
      </c>
      <c r="E1053" s="1" t="s">
        <v>26</v>
      </c>
      <c r="F1053" s="1" t="s">
        <v>1081</v>
      </c>
      <c r="G1053" s="1" t="s">
        <v>28</v>
      </c>
      <c r="H1053" s="1">
        <v>1151</v>
      </c>
      <c r="I1053" s="1">
        <f t="shared" si="132"/>
        <v>40</v>
      </c>
      <c r="J1053" s="1">
        <f>VLOOKUP(B1053,Cena!$A$2:$B$101,2)</f>
        <v>87</v>
      </c>
      <c r="K1053" s="1">
        <f t="shared" si="128"/>
        <v>3480</v>
      </c>
      <c r="L1053" s="1">
        <f t="shared" si="133"/>
        <v>800.40000000000009</v>
      </c>
      <c r="M1053" s="22">
        <f t="shared" si="129"/>
        <v>4280.3999999999996</v>
      </c>
      <c r="N1053" s="1">
        <f t="shared" ca="1" si="134"/>
        <v>4</v>
      </c>
      <c r="P1053" s="1">
        <v>40.440983310691081</v>
      </c>
      <c r="Q1053" s="1">
        <f t="shared" ca="1" si="135"/>
        <v>10</v>
      </c>
      <c r="R1053" s="1">
        <v>13.852096597256605</v>
      </c>
    </row>
    <row r="1054" spans="1:18" x14ac:dyDescent="0.3">
      <c r="A1054" s="26">
        <v>1053</v>
      </c>
      <c r="B1054" s="1">
        <v>23</v>
      </c>
      <c r="C1054" s="1">
        <f t="shared" si="131"/>
        <v>12</v>
      </c>
      <c r="D1054" s="21">
        <f t="shared" ca="1" si="130"/>
        <v>44588</v>
      </c>
      <c r="E1054" s="1" t="s">
        <v>26</v>
      </c>
      <c r="F1054" s="1" t="s">
        <v>1082</v>
      </c>
      <c r="G1054" s="1" t="s">
        <v>28</v>
      </c>
      <c r="H1054" s="1">
        <v>1152</v>
      </c>
      <c r="I1054" s="1">
        <f t="shared" si="132"/>
        <v>52</v>
      </c>
      <c r="J1054" s="1">
        <f>VLOOKUP(B1054,Cena!$A$2:$B$101,2)</f>
        <v>132</v>
      </c>
      <c r="K1054" s="1">
        <f t="shared" si="128"/>
        <v>6864</v>
      </c>
      <c r="L1054" s="1">
        <f t="shared" si="133"/>
        <v>1578.72</v>
      </c>
      <c r="M1054" s="22">
        <f t="shared" si="129"/>
        <v>8442.7199999999993</v>
      </c>
      <c r="N1054" s="1">
        <f t="shared" ca="1" si="134"/>
        <v>1</v>
      </c>
      <c r="P1054" s="1">
        <v>52.885690264520235</v>
      </c>
      <c r="Q1054" s="1">
        <f t="shared" ca="1" si="135"/>
        <v>3</v>
      </c>
      <c r="R1054" s="1">
        <v>12.87545844912529</v>
      </c>
    </row>
    <row r="1055" spans="1:18" x14ac:dyDescent="0.3">
      <c r="A1055" s="26">
        <v>1054</v>
      </c>
      <c r="B1055" s="1">
        <v>13</v>
      </c>
      <c r="C1055" s="1">
        <f t="shared" si="131"/>
        <v>4</v>
      </c>
      <c r="D1055" s="21">
        <f t="shared" ca="1" si="130"/>
        <v>44661</v>
      </c>
      <c r="E1055" s="1" t="s">
        <v>26</v>
      </c>
      <c r="F1055" s="1" t="s">
        <v>1083</v>
      </c>
      <c r="G1055" s="1" t="s">
        <v>28</v>
      </c>
      <c r="H1055" s="1">
        <v>1153</v>
      </c>
      <c r="I1055" s="1">
        <f t="shared" si="132"/>
        <v>49</v>
      </c>
      <c r="J1055" s="1">
        <f>VLOOKUP(B1055,Cena!$A$2:$B$101,2)</f>
        <v>94</v>
      </c>
      <c r="K1055" s="1">
        <f t="shared" ref="K1055:K1118" si="136">I1055*J1055</f>
        <v>4606</v>
      </c>
      <c r="L1055" s="1">
        <f t="shared" si="133"/>
        <v>1059.3800000000001</v>
      </c>
      <c r="M1055" s="22">
        <f t="shared" ref="M1055:M1118" si="137">K1055+L1055</f>
        <v>5665.38</v>
      </c>
      <c r="N1055" s="1">
        <f t="shared" ca="1" si="134"/>
        <v>4</v>
      </c>
      <c r="P1055" s="1">
        <v>49.587942056678003</v>
      </c>
      <c r="Q1055" s="1">
        <f t="shared" ca="1" si="135"/>
        <v>28</v>
      </c>
      <c r="R1055" s="1">
        <v>4.9576704239007086</v>
      </c>
    </row>
    <row r="1056" spans="1:18" x14ac:dyDescent="0.3">
      <c r="A1056" s="26">
        <v>1055</v>
      </c>
      <c r="B1056" s="1">
        <v>18</v>
      </c>
      <c r="C1056" s="1">
        <f t="shared" si="131"/>
        <v>10</v>
      </c>
      <c r="D1056" s="21">
        <f t="shared" ca="1" si="130"/>
        <v>44748</v>
      </c>
      <c r="E1056" s="1" t="s">
        <v>26</v>
      </c>
      <c r="F1056" s="1" t="s">
        <v>1084</v>
      </c>
      <c r="G1056" s="1" t="s">
        <v>28</v>
      </c>
      <c r="H1056" s="1">
        <v>1154</v>
      </c>
      <c r="I1056" s="1">
        <f t="shared" si="132"/>
        <v>44</v>
      </c>
      <c r="J1056" s="1">
        <f>VLOOKUP(B1056,Cena!$A$2:$B$101,2)</f>
        <v>90</v>
      </c>
      <c r="K1056" s="1">
        <f t="shared" si="136"/>
        <v>3960</v>
      </c>
      <c r="L1056" s="1">
        <f t="shared" si="133"/>
        <v>910.80000000000007</v>
      </c>
      <c r="M1056" s="22">
        <f t="shared" si="137"/>
        <v>4870.8</v>
      </c>
      <c r="N1056" s="1">
        <f t="shared" ca="1" si="134"/>
        <v>7</v>
      </c>
      <c r="P1056" s="1">
        <v>44.876657183340285</v>
      </c>
      <c r="Q1056" s="1">
        <f t="shared" ca="1" si="135"/>
        <v>10</v>
      </c>
      <c r="R1056" s="1">
        <v>10.934005583985709</v>
      </c>
    </row>
    <row r="1057" spans="1:18" x14ac:dyDescent="0.3">
      <c r="A1057" s="26">
        <v>1056</v>
      </c>
      <c r="B1057" s="1">
        <v>30</v>
      </c>
      <c r="C1057" s="1">
        <f t="shared" si="131"/>
        <v>8</v>
      </c>
      <c r="D1057" s="21">
        <f t="shared" ca="1" si="130"/>
        <v>44656</v>
      </c>
      <c r="E1057" s="1" t="s">
        <v>26</v>
      </c>
      <c r="F1057" s="1" t="s">
        <v>1085</v>
      </c>
      <c r="G1057" s="1" t="s">
        <v>28</v>
      </c>
      <c r="H1057" s="1">
        <v>1155</v>
      </c>
      <c r="I1057" s="1">
        <f t="shared" si="132"/>
        <v>65</v>
      </c>
      <c r="J1057" s="1">
        <f>VLOOKUP(B1057,Cena!$A$2:$B$101,2)</f>
        <v>87</v>
      </c>
      <c r="K1057" s="1">
        <f t="shared" si="136"/>
        <v>5655</v>
      </c>
      <c r="L1057" s="1">
        <f t="shared" si="133"/>
        <v>1300.6500000000001</v>
      </c>
      <c r="M1057" s="22">
        <f t="shared" si="137"/>
        <v>6955.65</v>
      </c>
      <c r="N1057" s="1">
        <f t="shared" ca="1" si="134"/>
        <v>4</v>
      </c>
      <c r="P1057" s="1">
        <v>65.555497157038189</v>
      </c>
      <c r="Q1057" s="1">
        <f t="shared" ca="1" si="135"/>
        <v>29</v>
      </c>
      <c r="R1057" s="1">
        <v>8.5101879929061397</v>
      </c>
    </row>
    <row r="1058" spans="1:18" x14ac:dyDescent="0.3">
      <c r="A1058" s="26">
        <v>1057</v>
      </c>
      <c r="B1058" s="1">
        <v>13</v>
      </c>
      <c r="C1058" s="1">
        <f t="shared" si="131"/>
        <v>8</v>
      </c>
      <c r="D1058" s="21">
        <f t="shared" ca="1" si="130"/>
        <v>44595</v>
      </c>
      <c r="E1058" s="1" t="s">
        <v>26</v>
      </c>
      <c r="F1058" s="1" t="s">
        <v>1086</v>
      </c>
      <c r="G1058" s="1" t="s">
        <v>28</v>
      </c>
      <c r="H1058" s="1">
        <v>1156</v>
      </c>
      <c r="I1058" s="1">
        <f t="shared" si="132"/>
        <v>35</v>
      </c>
      <c r="J1058" s="1">
        <f>VLOOKUP(B1058,Cena!$A$2:$B$101,2)</f>
        <v>94</v>
      </c>
      <c r="K1058" s="1">
        <f t="shared" si="136"/>
        <v>3290</v>
      </c>
      <c r="L1058" s="1">
        <f t="shared" si="133"/>
        <v>756.7</v>
      </c>
      <c r="M1058" s="22">
        <f t="shared" si="137"/>
        <v>4046.7</v>
      </c>
      <c r="N1058" s="1">
        <f t="shared" ca="1" si="134"/>
        <v>2</v>
      </c>
      <c r="P1058" s="1">
        <v>35.142039804486558</v>
      </c>
      <c r="Q1058" s="1">
        <f t="shared" ca="1" si="135"/>
        <v>9</v>
      </c>
      <c r="R1058" s="1">
        <v>8.6689658726390917</v>
      </c>
    </row>
    <row r="1059" spans="1:18" x14ac:dyDescent="0.3">
      <c r="A1059" s="26">
        <v>1058</v>
      </c>
      <c r="B1059" s="1">
        <v>13</v>
      </c>
      <c r="C1059" s="1">
        <f t="shared" si="131"/>
        <v>11</v>
      </c>
      <c r="D1059" s="21">
        <f t="shared" ca="1" si="130"/>
        <v>44829</v>
      </c>
      <c r="E1059" s="1" t="s">
        <v>26</v>
      </c>
      <c r="F1059" s="1" t="s">
        <v>1087</v>
      </c>
      <c r="G1059" s="1" t="s">
        <v>28</v>
      </c>
      <c r="H1059" s="1">
        <v>1157</v>
      </c>
      <c r="I1059" s="1">
        <f t="shared" si="132"/>
        <v>36</v>
      </c>
      <c r="J1059" s="1">
        <f>VLOOKUP(B1059,Cena!$A$2:$B$101,2)</f>
        <v>94</v>
      </c>
      <c r="K1059" s="1">
        <f t="shared" si="136"/>
        <v>3384</v>
      </c>
      <c r="L1059" s="1">
        <f t="shared" si="133"/>
        <v>778.32</v>
      </c>
      <c r="M1059" s="22">
        <f t="shared" si="137"/>
        <v>4162.32</v>
      </c>
      <c r="N1059" s="1">
        <f t="shared" ca="1" si="134"/>
        <v>9</v>
      </c>
      <c r="P1059" s="1">
        <v>36.316697686561383</v>
      </c>
      <c r="Q1059" s="1">
        <f t="shared" ca="1" si="135"/>
        <v>29</v>
      </c>
      <c r="R1059" s="1">
        <v>11.695781293165055</v>
      </c>
    </row>
    <row r="1060" spans="1:18" x14ac:dyDescent="0.3">
      <c r="A1060" s="26">
        <v>1059</v>
      </c>
      <c r="B1060" s="1">
        <v>26</v>
      </c>
      <c r="C1060" s="1">
        <f t="shared" si="131"/>
        <v>10</v>
      </c>
      <c r="D1060" s="21">
        <f t="shared" ca="1" si="130"/>
        <v>44783</v>
      </c>
      <c r="E1060" s="1" t="s">
        <v>26</v>
      </c>
      <c r="F1060" s="1" t="s">
        <v>1088</v>
      </c>
      <c r="G1060" s="1" t="s">
        <v>28</v>
      </c>
      <c r="H1060" s="1">
        <v>1158</v>
      </c>
      <c r="I1060" s="1">
        <f t="shared" si="132"/>
        <v>58</v>
      </c>
      <c r="J1060" s="1">
        <f>VLOOKUP(B1060,Cena!$A$2:$B$101,2)</f>
        <v>99</v>
      </c>
      <c r="K1060" s="1">
        <f t="shared" si="136"/>
        <v>5742</v>
      </c>
      <c r="L1060" s="1">
        <f t="shared" si="133"/>
        <v>1320.66</v>
      </c>
      <c r="M1060" s="22">
        <f t="shared" si="137"/>
        <v>7062.66</v>
      </c>
      <c r="N1060" s="1">
        <f t="shared" ca="1" si="134"/>
        <v>8</v>
      </c>
      <c r="P1060" s="1">
        <v>58.169558896042872</v>
      </c>
      <c r="Q1060" s="1">
        <f t="shared" ca="1" si="135"/>
        <v>1</v>
      </c>
      <c r="R1060" s="1">
        <v>10.457418991572922</v>
      </c>
    </row>
    <row r="1061" spans="1:18" x14ac:dyDescent="0.3">
      <c r="A1061" s="26">
        <v>1060</v>
      </c>
      <c r="B1061" s="1">
        <v>11</v>
      </c>
      <c r="C1061" s="1">
        <f t="shared" si="131"/>
        <v>12</v>
      </c>
      <c r="D1061" s="21">
        <f t="shared" ca="1" si="130"/>
        <v>44737</v>
      </c>
      <c r="E1061" s="1" t="s">
        <v>26</v>
      </c>
      <c r="F1061" s="1" t="s">
        <v>1089</v>
      </c>
      <c r="G1061" s="1" t="s">
        <v>28</v>
      </c>
      <c r="H1061" s="1">
        <v>1159</v>
      </c>
      <c r="I1061" s="1">
        <f t="shared" si="132"/>
        <v>77</v>
      </c>
      <c r="J1061" s="1">
        <f>VLOOKUP(B1061,Cena!$A$2:$B$101,2)</f>
        <v>83</v>
      </c>
      <c r="K1061" s="1">
        <f t="shared" si="136"/>
        <v>6391</v>
      </c>
      <c r="L1061" s="1">
        <f t="shared" si="133"/>
        <v>1469.93</v>
      </c>
      <c r="M1061" s="22">
        <f t="shared" si="137"/>
        <v>7860.93</v>
      </c>
      <c r="N1061" s="1">
        <f t="shared" ca="1" si="134"/>
        <v>6</v>
      </c>
      <c r="P1061" s="1">
        <v>77.658825274556875</v>
      </c>
      <c r="Q1061" s="1">
        <f t="shared" ca="1" si="135"/>
        <v>2</v>
      </c>
      <c r="R1061" s="1">
        <v>12.477918314980343</v>
      </c>
    </row>
    <row r="1062" spans="1:18" x14ac:dyDescent="0.3">
      <c r="A1062" s="26">
        <v>1061</v>
      </c>
      <c r="B1062" s="1">
        <v>29</v>
      </c>
      <c r="C1062" s="1">
        <f t="shared" si="131"/>
        <v>10</v>
      </c>
      <c r="D1062" s="21">
        <f t="shared" ca="1" si="130"/>
        <v>44733</v>
      </c>
      <c r="E1062" s="1" t="s">
        <v>26</v>
      </c>
      <c r="F1062" s="1" t="s">
        <v>1090</v>
      </c>
      <c r="G1062" s="1" t="s">
        <v>28</v>
      </c>
      <c r="H1062" s="1">
        <v>1160</v>
      </c>
      <c r="I1062" s="1">
        <f t="shared" si="132"/>
        <v>37</v>
      </c>
      <c r="J1062" s="1">
        <f>VLOOKUP(B1062,Cena!$A$2:$B$101,2)</f>
        <v>105</v>
      </c>
      <c r="K1062" s="1">
        <f t="shared" si="136"/>
        <v>3885</v>
      </c>
      <c r="L1062" s="1">
        <f t="shared" si="133"/>
        <v>893.55000000000007</v>
      </c>
      <c r="M1062" s="22">
        <f t="shared" si="137"/>
        <v>4778.55</v>
      </c>
      <c r="N1062" s="1">
        <f t="shared" ca="1" si="134"/>
        <v>6</v>
      </c>
      <c r="P1062" s="1">
        <v>37.328010320197791</v>
      </c>
      <c r="Q1062" s="1">
        <f t="shared" ca="1" si="135"/>
        <v>6</v>
      </c>
      <c r="R1062" s="1">
        <v>10.03126956471533</v>
      </c>
    </row>
    <row r="1063" spans="1:18" x14ac:dyDescent="0.3">
      <c r="A1063" s="26">
        <v>1062</v>
      </c>
      <c r="B1063" s="1">
        <v>27</v>
      </c>
      <c r="C1063" s="1">
        <f t="shared" si="131"/>
        <v>10</v>
      </c>
      <c r="D1063" s="21">
        <f t="shared" ca="1" si="130"/>
        <v>44797</v>
      </c>
      <c r="E1063" s="1" t="s">
        <v>26</v>
      </c>
      <c r="F1063" s="1" t="s">
        <v>1091</v>
      </c>
      <c r="G1063" s="1" t="s">
        <v>28</v>
      </c>
      <c r="H1063" s="1">
        <v>1161</v>
      </c>
      <c r="I1063" s="1">
        <f t="shared" si="132"/>
        <v>32</v>
      </c>
      <c r="J1063" s="1">
        <f>VLOOKUP(B1063,Cena!$A$2:$B$101,2)</f>
        <v>87</v>
      </c>
      <c r="K1063" s="1">
        <f t="shared" si="136"/>
        <v>2784</v>
      </c>
      <c r="L1063" s="1">
        <f t="shared" si="133"/>
        <v>640.32000000000005</v>
      </c>
      <c r="M1063" s="22">
        <f t="shared" si="137"/>
        <v>3424.32</v>
      </c>
      <c r="N1063" s="1">
        <f t="shared" ca="1" si="134"/>
        <v>8</v>
      </c>
      <c r="P1063" s="1">
        <v>32.774170348420739</v>
      </c>
      <c r="Q1063" s="1">
        <f t="shared" ca="1" si="135"/>
        <v>30</v>
      </c>
      <c r="R1063" s="1">
        <v>10.879876438375504</v>
      </c>
    </row>
    <row r="1064" spans="1:18" x14ac:dyDescent="0.3">
      <c r="A1064" s="26">
        <v>1063</v>
      </c>
      <c r="B1064" s="1">
        <v>9</v>
      </c>
      <c r="C1064" s="1">
        <f t="shared" si="131"/>
        <v>11</v>
      </c>
      <c r="D1064" s="21">
        <f t="shared" ca="1" si="130"/>
        <v>44774</v>
      </c>
      <c r="E1064" s="1" t="s">
        <v>26</v>
      </c>
      <c r="F1064" s="1" t="s">
        <v>1092</v>
      </c>
      <c r="G1064" s="1" t="s">
        <v>28</v>
      </c>
      <c r="H1064" s="1">
        <v>1162</v>
      </c>
      <c r="I1064" s="1">
        <f t="shared" si="132"/>
        <v>55</v>
      </c>
      <c r="J1064" s="1">
        <f>VLOOKUP(B1064,Cena!$A$2:$B$101,2)</f>
        <v>96</v>
      </c>
      <c r="K1064" s="1">
        <f t="shared" si="136"/>
        <v>5280</v>
      </c>
      <c r="L1064" s="1">
        <f t="shared" si="133"/>
        <v>1214.4000000000001</v>
      </c>
      <c r="M1064" s="22">
        <f t="shared" si="137"/>
        <v>6494.4</v>
      </c>
      <c r="N1064" s="1">
        <f t="shared" ca="1" si="134"/>
        <v>8</v>
      </c>
      <c r="P1064" s="1">
        <v>55.98759015701944</v>
      </c>
      <c r="Q1064" s="1">
        <f t="shared" ca="1" si="135"/>
        <v>29</v>
      </c>
      <c r="R1064" s="1">
        <v>11.842698793552699</v>
      </c>
    </row>
    <row r="1065" spans="1:18" x14ac:dyDescent="0.3">
      <c r="A1065" s="26">
        <v>1064</v>
      </c>
      <c r="B1065" s="1">
        <v>23</v>
      </c>
      <c r="C1065" s="1">
        <f t="shared" si="131"/>
        <v>10</v>
      </c>
      <c r="D1065" s="21">
        <f t="shared" ca="1" si="130"/>
        <v>44847</v>
      </c>
      <c r="E1065" s="1" t="s">
        <v>26</v>
      </c>
      <c r="F1065" s="1" t="s">
        <v>1093</v>
      </c>
      <c r="G1065" s="1" t="s">
        <v>28</v>
      </c>
      <c r="H1065" s="1">
        <v>1163</v>
      </c>
      <c r="I1065" s="1">
        <f t="shared" si="132"/>
        <v>60</v>
      </c>
      <c r="J1065" s="1">
        <f>VLOOKUP(B1065,Cena!$A$2:$B$101,2)</f>
        <v>132</v>
      </c>
      <c r="K1065" s="1">
        <f t="shared" si="136"/>
        <v>7920</v>
      </c>
      <c r="L1065" s="1">
        <f t="shared" si="133"/>
        <v>1821.6000000000001</v>
      </c>
      <c r="M1065" s="22">
        <f t="shared" si="137"/>
        <v>9741.6</v>
      </c>
      <c r="N1065" s="1">
        <f t="shared" ca="1" si="134"/>
        <v>10</v>
      </c>
      <c r="P1065" s="1">
        <v>60.625808499753475</v>
      </c>
      <c r="Q1065" s="1">
        <f t="shared" ca="1" si="135"/>
        <v>13</v>
      </c>
      <c r="R1065" s="1">
        <v>10.166411950885959</v>
      </c>
    </row>
    <row r="1066" spans="1:18" x14ac:dyDescent="0.3">
      <c r="A1066" s="26">
        <v>1065</v>
      </c>
      <c r="B1066" s="1">
        <v>30</v>
      </c>
      <c r="C1066" s="1">
        <f t="shared" si="131"/>
        <v>6</v>
      </c>
      <c r="D1066" s="21">
        <f t="shared" ca="1" si="130"/>
        <v>44688</v>
      </c>
      <c r="E1066" s="1" t="s">
        <v>26</v>
      </c>
      <c r="F1066" s="1" t="s">
        <v>1094</v>
      </c>
      <c r="G1066" s="1" t="s">
        <v>28</v>
      </c>
      <c r="H1066" s="1">
        <v>1164</v>
      </c>
      <c r="I1066" s="1">
        <f t="shared" si="132"/>
        <v>46</v>
      </c>
      <c r="J1066" s="1">
        <f>VLOOKUP(B1066,Cena!$A$2:$B$101,2)</f>
        <v>87</v>
      </c>
      <c r="K1066" s="1">
        <f t="shared" si="136"/>
        <v>4002</v>
      </c>
      <c r="L1066" s="1">
        <f t="shared" si="133"/>
        <v>920.46</v>
      </c>
      <c r="M1066" s="22">
        <f t="shared" si="137"/>
        <v>4922.46</v>
      </c>
      <c r="N1066" s="1">
        <f t="shared" ca="1" si="134"/>
        <v>5</v>
      </c>
      <c r="P1066" s="1">
        <v>46.557710346678505</v>
      </c>
      <c r="Q1066" s="1">
        <f t="shared" ca="1" si="135"/>
        <v>3</v>
      </c>
      <c r="R1066" s="1">
        <v>6.3444565764802974</v>
      </c>
    </row>
    <row r="1067" spans="1:18" x14ac:dyDescent="0.3">
      <c r="A1067" s="26">
        <v>1066</v>
      </c>
      <c r="B1067" s="1">
        <v>4</v>
      </c>
      <c r="C1067" s="1">
        <f t="shared" si="131"/>
        <v>11</v>
      </c>
      <c r="D1067" s="21">
        <f t="shared" ca="1" si="130"/>
        <v>44922</v>
      </c>
      <c r="E1067" s="1" t="s">
        <v>26</v>
      </c>
      <c r="F1067" s="1" t="s">
        <v>1095</v>
      </c>
      <c r="G1067" s="1" t="s">
        <v>28</v>
      </c>
      <c r="H1067" s="1">
        <v>1165</v>
      </c>
      <c r="I1067" s="1">
        <f t="shared" si="132"/>
        <v>45</v>
      </c>
      <c r="J1067" s="1">
        <f>VLOOKUP(B1067,Cena!$A$2:$B$101,2)</f>
        <v>99</v>
      </c>
      <c r="K1067" s="1">
        <f t="shared" si="136"/>
        <v>4455</v>
      </c>
      <c r="L1067" s="1">
        <f t="shared" si="133"/>
        <v>1024.6500000000001</v>
      </c>
      <c r="M1067" s="22">
        <f t="shared" si="137"/>
        <v>5479.65</v>
      </c>
      <c r="N1067" s="1">
        <f t="shared" ca="1" si="134"/>
        <v>12</v>
      </c>
      <c r="P1067" s="1">
        <v>45.22169673582539</v>
      </c>
      <c r="Q1067" s="1">
        <f t="shared" ca="1" si="135"/>
        <v>4</v>
      </c>
      <c r="R1067" s="1">
        <v>11.042576514009852</v>
      </c>
    </row>
    <row r="1068" spans="1:18" x14ac:dyDescent="0.3">
      <c r="A1068" s="26">
        <v>1067</v>
      </c>
      <c r="B1068" s="1">
        <v>12</v>
      </c>
      <c r="C1068" s="1">
        <f t="shared" si="131"/>
        <v>11</v>
      </c>
      <c r="D1068" s="21">
        <f t="shared" ca="1" si="130"/>
        <v>44727</v>
      </c>
      <c r="E1068" s="1" t="s">
        <v>26</v>
      </c>
      <c r="F1068" s="1" t="s">
        <v>1096</v>
      </c>
      <c r="G1068" s="1" t="s">
        <v>28</v>
      </c>
      <c r="H1068" s="1">
        <v>1166</v>
      </c>
      <c r="I1068" s="1">
        <f t="shared" si="132"/>
        <v>69</v>
      </c>
      <c r="J1068" s="1">
        <f>VLOOKUP(B1068,Cena!$A$2:$B$101,2)</f>
        <v>88</v>
      </c>
      <c r="K1068" s="1">
        <f t="shared" si="136"/>
        <v>6072</v>
      </c>
      <c r="L1068" s="1">
        <f t="shared" si="133"/>
        <v>1396.5600000000002</v>
      </c>
      <c r="M1068" s="22">
        <f t="shared" si="137"/>
        <v>7468.56</v>
      </c>
      <c r="N1068" s="1">
        <f t="shared" ca="1" si="134"/>
        <v>6</v>
      </c>
      <c r="P1068" s="1">
        <v>69.885192159563303</v>
      </c>
      <c r="Q1068" s="1">
        <f t="shared" ca="1" si="135"/>
        <v>3</v>
      </c>
      <c r="R1068" s="1">
        <v>11.23179688671371</v>
      </c>
    </row>
    <row r="1069" spans="1:18" x14ac:dyDescent="0.3">
      <c r="A1069" s="26">
        <v>1068</v>
      </c>
      <c r="B1069" s="1">
        <v>28</v>
      </c>
      <c r="C1069" s="1">
        <f t="shared" si="131"/>
        <v>8</v>
      </c>
      <c r="D1069" s="21">
        <f t="shared" ca="1" si="130"/>
        <v>44831</v>
      </c>
      <c r="E1069" s="1" t="s">
        <v>26</v>
      </c>
      <c r="F1069" s="1" t="s">
        <v>1097</v>
      </c>
      <c r="G1069" s="1" t="s">
        <v>28</v>
      </c>
      <c r="H1069" s="1">
        <v>1167</v>
      </c>
      <c r="I1069" s="1">
        <f t="shared" si="132"/>
        <v>37</v>
      </c>
      <c r="J1069" s="1">
        <f>VLOOKUP(B1069,Cena!$A$2:$B$101,2)</f>
        <v>59</v>
      </c>
      <c r="K1069" s="1">
        <f t="shared" si="136"/>
        <v>2183</v>
      </c>
      <c r="L1069" s="1">
        <f t="shared" si="133"/>
        <v>502.09000000000003</v>
      </c>
      <c r="M1069" s="22">
        <f t="shared" si="137"/>
        <v>2685.09</v>
      </c>
      <c r="N1069" s="1">
        <f t="shared" ca="1" si="134"/>
        <v>9</v>
      </c>
      <c r="P1069" s="1">
        <v>37.389242050994653</v>
      </c>
      <c r="Q1069" s="1">
        <f t="shared" ca="1" si="135"/>
        <v>27</v>
      </c>
      <c r="R1069" s="1">
        <v>8.6517451588952099</v>
      </c>
    </row>
    <row r="1070" spans="1:18" x14ac:dyDescent="0.3">
      <c r="A1070" s="26">
        <v>1069</v>
      </c>
      <c r="B1070" s="1">
        <v>13</v>
      </c>
      <c r="C1070" s="1">
        <f t="shared" si="131"/>
        <v>11</v>
      </c>
      <c r="D1070" s="21">
        <f t="shared" ca="1" si="130"/>
        <v>44753</v>
      </c>
      <c r="E1070" s="1" t="s">
        <v>26</v>
      </c>
      <c r="F1070" s="1" t="s">
        <v>1098</v>
      </c>
      <c r="G1070" s="1" t="s">
        <v>28</v>
      </c>
      <c r="H1070" s="1">
        <v>1168</v>
      </c>
      <c r="I1070" s="1">
        <f t="shared" si="132"/>
        <v>67</v>
      </c>
      <c r="J1070" s="1">
        <f>VLOOKUP(B1070,Cena!$A$2:$B$101,2)</f>
        <v>94</v>
      </c>
      <c r="K1070" s="1">
        <f t="shared" si="136"/>
        <v>6298</v>
      </c>
      <c r="L1070" s="1">
        <f t="shared" si="133"/>
        <v>1448.54</v>
      </c>
      <c r="M1070" s="22">
        <f t="shared" si="137"/>
        <v>7746.54</v>
      </c>
      <c r="N1070" s="1">
        <f t="shared" ca="1" si="134"/>
        <v>7</v>
      </c>
      <c r="P1070" s="1">
        <v>67.030197341227904</v>
      </c>
      <c r="Q1070" s="1">
        <f t="shared" ca="1" si="135"/>
        <v>27</v>
      </c>
      <c r="R1070" s="1">
        <v>11.17852323455736</v>
      </c>
    </row>
    <row r="1071" spans="1:18" x14ac:dyDescent="0.3">
      <c r="A1071" s="26">
        <v>1070</v>
      </c>
      <c r="B1071" s="1">
        <v>25</v>
      </c>
      <c r="C1071" s="1">
        <f t="shared" si="131"/>
        <v>10</v>
      </c>
      <c r="D1071" s="21">
        <f t="shared" ca="1" si="130"/>
        <v>44749</v>
      </c>
      <c r="E1071" s="1" t="s">
        <v>26</v>
      </c>
      <c r="F1071" s="1" t="s">
        <v>1099</v>
      </c>
      <c r="G1071" s="1" t="s">
        <v>28</v>
      </c>
      <c r="H1071" s="1">
        <v>1169</v>
      </c>
      <c r="I1071" s="1">
        <f t="shared" si="132"/>
        <v>50</v>
      </c>
      <c r="J1071" s="1">
        <f>VLOOKUP(B1071,Cena!$A$2:$B$101,2)</f>
        <v>108</v>
      </c>
      <c r="K1071" s="1">
        <f t="shared" si="136"/>
        <v>5400</v>
      </c>
      <c r="L1071" s="1">
        <f t="shared" si="133"/>
        <v>1242</v>
      </c>
      <c r="M1071" s="22">
        <f t="shared" si="137"/>
        <v>6642</v>
      </c>
      <c r="N1071" s="1">
        <f t="shared" ca="1" si="134"/>
        <v>7</v>
      </c>
      <c r="P1071" s="1">
        <v>50.792965693108272</v>
      </c>
      <c r="Q1071" s="1">
        <f t="shared" ca="1" si="135"/>
        <v>18</v>
      </c>
      <c r="R1071" s="1">
        <v>10.68282588472357</v>
      </c>
    </row>
    <row r="1072" spans="1:18" x14ac:dyDescent="0.3">
      <c r="A1072" s="26">
        <v>1071</v>
      </c>
      <c r="B1072" s="1">
        <v>9</v>
      </c>
      <c r="C1072" s="1">
        <f t="shared" si="131"/>
        <v>14</v>
      </c>
      <c r="D1072" s="21">
        <f t="shared" ca="1" si="130"/>
        <v>44914</v>
      </c>
      <c r="E1072" s="1" t="s">
        <v>26</v>
      </c>
      <c r="F1072" s="1" t="s">
        <v>1100</v>
      </c>
      <c r="G1072" s="1" t="s">
        <v>28</v>
      </c>
      <c r="H1072" s="1">
        <v>1170</v>
      </c>
      <c r="I1072" s="1">
        <f t="shared" si="132"/>
        <v>47</v>
      </c>
      <c r="J1072" s="1">
        <f>VLOOKUP(B1072,Cena!$A$2:$B$101,2)</f>
        <v>96</v>
      </c>
      <c r="K1072" s="1">
        <f t="shared" si="136"/>
        <v>4512</v>
      </c>
      <c r="L1072" s="1">
        <f t="shared" si="133"/>
        <v>1037.76</v>
      </c>
      <c r="M1072" s="22">
        <f t="shared" si="137"/>
        <v>5549.76</v>
      </c>
      <c r="N1072" s="1">
        <f t="shared" ca="1" si="134"/>
        <v>12</v>
      </c>
      <c r="P1072" s="1">
        <v>47.801830886601238</v>
      </c>
      <c r="Q1072" s="1">
        <f t="shared" ca="1" si="135"/>
        <v>5</v>
      </c>
      <c r="R1072" s="1">
        <v>14.915909812552854</v>
      </c>
    </row>
    <row r="1073" spans="1:18" x14ac:dyDescent="0.3">
      <c r="A1073" s="26">
        <v>1072</v>
      </c>
      <c r="B1073" s="1">
        <v>12</v>
      </c>
      <c r="C1073" s="1">
        <f t="shared" si="131"/>
        <v>11</v>
      </c>
      <c r="D1073" s="21">
        <f t="shared" ca="1" si="130"/>
        <v>44806</v>
      </c>
      <c r="E1073" s="1" t="s">
        <v>26</v>
      </c>
      <c r="F1073" s="1" t="s">
        <v>1101</v>
      </c>
      <c r="G1073" s="1" t="s">
        <v>28</v>
      </c>
      <c r="H1073" s="1">
        <v>1171</v>
      </c>
      <c r="I1073" s="1">
        <f t="shared" si="132"/>
        <v>48</v>
      </c>
      <c r="J1073" s="1">
        <f>VLOOKUP(B1073,Cena!$A$2:$B$101,2)</f>
        <v>88</v>
      </c>
      <c r="K1073" s="1">
        <f t="shared" si="136"/>
        <v>4224</v>
      </c>
      <c r="L1073" s="1">
        <f t="shared" si="133"/>
        <v>971.5200000000001</v>
      </c>
      <c r="M1073" s="22">
        <f t="shared" si="137"/>
        <v>5195.5200000000004</v>
      </c>
      <c r="N1073" s="1">
        <f t="shared" ca="1" si="134"/>
        <v>9</v>
      </c>
      <c r="P1073" s="1">
        <v>48.120517830102472</v>
      </c>
      <c r="Q1073" s="1">
        <f t="shared" ca="1" si="135"/>
        <v>4</v>
      </c>
      <c r="R1073" s="1">
        <v>11.463172338844743</v>
      </c>
    </row>
    <row r="1074" spans="1:18" x14ac:dyDescent="0.3">
      <c r="A1074" s="26">
        <v>1073</v>
      </c>
      <c r="B1074" s="1">
        <v>16</v>
      </c>
      <c r="C1074" s="1">
        <f t="shared" si="131"/>
        <v>10</v>
      </c>
      <c r="D1074" s="21">
        <f t="shared" ca="1" si="130"/>
        <v>44733</v>
      </c>
      <c r="E1074" s="1" t="s">
        <v>26</v>
      </c>
      <c r="F1074" s="1" t="s">
        <v>1102</v>
      </c>
      <c r="G1074" s="1" t="s">
        <v>28</v>
      </c>
      <c r="H1074" s="1">
        <v>1172</v>
      </c>
      <c r="I1074" s="1">
        <f t="shared" si="132"/>
        <v>49</v>
      </c>
      <c r="J1074" s="1">
        <f>VLOOKUP(B1074,Cena!$A$2:$B$101,2)</f>
        <v>93</v>
      </c>
      <c r="K1074" s="1">
        <f t="shared" si="136"/>
        <v>4557</v>
      </c>
      <c r="L1074" s="1">
        <f t="shared" si="133"/>
        <v>1048.1100000000001</v>
      </c>
      <c r="M1074" s="22">
        <f t="shared" si="137"/>
        <v>5605.1100000000006</v>
      </c>
      <c r="N1074" s="1">
        <f t="shared" ca="1" si="134"/>
        <v>6</v>
      </c>
      <c r="P1074" s="1">
        <v>49.160979768930702</v>
      </c>
      <c r="Q1074" s="1">
        <f t="shared" ca="1" si="135"/>
        <v>10</v>
      </c>
      <c r="R1074" s="1">
        <v>10.458001636616245</v>
      </c>
    </row>
    <row r="1075" spans="1:18" x14ac:dyDescent="0.3">
      <c r="A1075" s="26">
        <v>1074</v>
      </c>
      <c r="B1075" s="1">
        <v>14</v>
      </c>
      <c r="C1075" s="1">
        <f t="shared" si="131"/>
        <v>9</v>
      </c>
      <c r="D1075" s="21">
        <f t="shared" ca="1" si="130"/>
        <v>44801</v>
      </c>
      <c r="E1075" s="1" t="s">
        <v>26</v>
      </c>
      <c r="F1075" s="1" t="s">
        <v>1103</v>
      </c>
      <c r="G1075" s="1" t="s">
        <v>28</v>
      </c>
      <c r="H1075" s="1">
        <v>1173</v>
      </c>
      <c r="I1075" s="1">
        <f t="shared" si="132"/>
        <v>49</v>
      </c>
      <c r="J1075" s="1">
        <f>VLOOKUP(B1075,Cena!$A$2:$B$101,2)</f>
        <v>129</v>
      </c>
      <c r="K1075" s="1">
        <f t="shared" si="136"/>
        <v>6321</v>
      </c>
      <c r="L1075" s="1">
        <f t="shared" si="133"/>
        <v>1453.8300000000002</v>
      </c>
      <c r="M1075" s="22">
        <f t="shared" si="137"/>
        <v>7774.83</v>
      </c>
      <c r="N1075" s="1">
        <f t="shared" ca="1" si="134"/>
        <v>8</v>
      </c>
      <c r="P1075" s="1">
        <v>49.063436462165555</v>
      </c>
      <c r="Q1075" s="1">
        <f t="shared" ca="1" si="135"/>
        <v>5</v>
      </c>
      <c r="R1075" s="1">
        <v>9.0351625456241891</v>
      </c>
    </row>
    <row r="1076" spans="1:18" x14ac:dyDescent="0.3">
      <c r="A1076" s="26">
        <v>1075</v>
      </c>
      <c r="B1076" s="1">
        <v>30</v>
      </c>
      <c r="C1076" s="1">
        <f t="shared" si="131"/>
        <v>11</v>
      </c>
      <c r="D1076" s="21">
        <f t="shared" ca="1" si="130"/>
        <v>44703</v>
      </c>
      <c r="E1076" s="1" t="s">
        <v>26</v>
      </c>
      <c r="F1076" s="1" t="s">
        <v>1104</v>
      </c>
      <c r="G1076" s="1" t="s">
        <v>28</v>
      </c>
      <c r="H1076" s="1">
        <v>1174</v>
      </c>
      <c r="I1076" s="1">
        <f t="shared" si="132"/>
        <v>51</v>
      </c>
      <c r="J1076" s="1">
        <f>VLOOKUP(B1076,Cena!$A$2:$B$101,2)</f>
        <v>87</v>
      </c>
      <c r="K1076" s="1">
        <f t="shared" si="136"/>
        <v>4437</v>
      </c>
      <c r="L1076" s="1">
        <f t="shared" si="133"/>
        <v>1020.51</v>
      </c>
      <c r="M1076" s="22">
        <f t="shared" si="137"/>
        <v>5457.51</v>
      </c>
      <c r="N1076" s="1">
        <f t="shared" ca="1" si="134"/>
        <v>5</v>
      </c>
      <c r="P1076" s="1">
        <v>51.282944595004665</v>
      </c>
      <c r="Q1076" s="1">
        <f t="shared" ca="1" si="135"/>
        <v>15</v>
      </c>
      <c r="R1076" s="1">
        <v>11.522374759588274</v>
      </c>
    </row>
    <row r="1077" spans="1:18" x14ac:dyDescent="0.3">
      <c r="A1077" s="26">
        <v>1076</v>
      </c>
      <c r="B1077" s="1">
        <v>12</v>
      </c>
      <c r="C1077" s="1">
        <f t="shared" si="131"/>
        <v>12</v>
      </c>
      <c r="D1077" s="21">
        <f t="shared" ca="1" si="130"/>
        <v>44811</v>
      </c>
      <c r="E1077" s="1" t="s">
        <v>26</v>
      </c>
      <c r="F1077" s="1" t="s">
        <v>1105</v>
      </c>
      <c r="G1077" s="1" t="s">
        <v>28</v>
      </c>
      <c r="H1077" s="1">
        <v>1175</v>
      </c>
      <c r="I1077" s="1">
        <f t="shared" si="132"/>
        <v>43</v>
      </c>
      <c r="J1077" s="1">
        <f>VLOOKUP(B1077,Cena!$A$2:$B$101,2)</f>
        <v>88</v>
      </c>
      <c r="K1077" s="1">
        <f t="shared" si="136"/>
        <v>3784</v>
      </c>
      <c r="L1077" s="1">
        <f t="shared" si="133"/>
        <v>870.32</v>
      </c>
      <c r="M1077" s="22">
        <f t="shared" si="137"/>
        <v>4654.32</v>
      </c>
      <c r="N1077" s="1">
        <f t="shared" ca="1" si="134"/>
        <v>9</v>
      </c>
      <c r="P1077" s="1">
        <v>43.277424437110312</v>
      </c>
      <c r="Q1077" s="1">
        <f t="shared" ca="1" si="135"/>
        <v>14</v>
      </c>
      <c r="R1077" s="1">
        <v>12.440992830088362</v>
      </c>
    </row>
    <row r="1078" spans="1:18" x14ac:dyDescent="0.3">
      <c r="A1078" s="26">
        <v>1077</v>
      </c>
      <c r="B1078" s="1">
        <v>3</v>
      </c>
      <c r="C1078" s="1">
        <f t="shared" si="131"/>
        <v>7</v>
      </c>
      <c r="D1078" s="21">
        <f t="shared" ca="1" si="130"/>
        <v>44724</v>
      </c>
      <c r="E1078" s="1" t="s">
        <v>26</v>
      </c>
      <c r="F1078" s="1" t="s">
        <v>1106</v>
      </c>
      <c r="G1078" s="1" t="s">
        <v>28</v>
      </c>
      <c r="H1078" s="1">
        <v>1176</v>
      </c>
      <c r="I1078" s="1">
        <f t="shared" si="132"/>
        <v>40</v>
      </c>
      <c r="J1078" s="1">
        <f>VLOOKUP(B1078,Cena!$A$2:$B$101,2)</f>
        <v>89</v>
      </c>
      <c r="K1078" s="1">
        <f t="shared" si="136"/>
        <v>3560</v>
      </c>
      <c r="L1078" s="1">
        <f t="shared" si="133"/>
        <v>818.80000000000007</v>
      </c>
      <c r="M1078" s="22">
        <f t="shared" si="137"/>
        <v>4378.8</v>
      </c>
      <c r="N1078" s="1">
        <f t="shared" ca="1" si="134"/>
        <v>6</v>
      </c>
      <c r="P1078" s="1">
        <v>40.577794051205274</v>
      </c>
      <c r="Q1078" s="1">
        <f t="shared" ca="1" si="135"/>
        <v>24</v>
      </c>
      <c r="R1078" s="1">
        <v>7.5208311298047192</v>
      </c>
    </row>
    <row r="1079" spans="1:18" x14ac:dyDescent="0.3">
      <c r="A1079" s="26">
        <v>1078</v>
      </c>
      <c r="B1079" s="1">
        <v>15</v>
      </c>
      <c r="C1079" s="1">
        <f t="shared" si="131"/>
        <v>10</v>
      </c>
      <c r="D1079" s="21">
        <f t="shared" ca="1" si="130"/>
        <v>44748</v>
      </c>
      <c r="E1079" s="1" t="s">
        <v>26</v>
      </c>
      <c r="F1079" s="1" t="s">
        <v>1107</v>
      </c>
      <c r="G1079" s="1" t="s">
        <v>28</v>
      </c>
      <c r="H1079" s="1">
        <v>1177</v>
      </c>
      <c r="I1079" s="1">
        <f t="shared" si="132"/>
        <v>36</v>
      </c>
      <c r="J1079" s="1">
        <f>VLOOKUP(B1079,Cena!$A$2:$B$101,2)</f>
        <v>85</v>
      </c>
      <c r="K1079" s="1">
        <f t="shared" si="136"/>
        <v>3060</v>
      </c>
      <c r="L1079" s="1">
        <f t="shared" si="133"/>
        <v>703.80000000000007</v>
      </c>
      <c r="M1079" s="22">
        <f t="shared" si="137"/>
        <v>3763.8</v>
      </c>
      <c r="N1079" s="1">
        <f t="shared" ca="1" si="134"/>
        <v>7</v>
      </c>
      <c r="P1079" s="1">
        <v>36.908869686885737</v>
      </c>
      <c r="Q1079" s="1">
        <f t="shared" ca="1" si="135"/>
        <v>1</v>
      </c>
      <c r="R1079" s="1">
        <v>10.756182316763443</v>
      </c>
    </row>
    <row r="1080" spans="1:18" x14ac:dyDescent="0.3">
      <c r="A1080" s="26">
        <v>1079</v>
      </c>
      <c r="B1080" s="1">
        <v>11</v>
      </c>
      <c r="C1080" s="1">
        <f t="shared" si="131"/>
        <v>8</v>
      </c>
      <c r="D1080" s="21">
        <f t="shared" ca="1" si="130"/>
        <v>44798</v>
      </c>
      <c r="E1080" s="1" t="s">
        <v>26</v>
      </c>
      <c r="F1080" s="1" t="s">
        <v>1108</v>
      </c>
      <c r="G1080" s="1" t="s">
        <v>28</v>
      </c>
      <c r="H1080" s="1">
        <v>1178</v>
      </c>
      <c r="I1080" s="1">
        <f t="shared" si="132"/>
        <v>50</v>
      </c>
      <c r="J1080" s="1">
        <f>VLOOKUP(B1080,Cena!$A$2:$B$101,2)</f>
        <v>83</v>
      </c>
      <c r="K1080" s="1">
        <f t="shared" si="136"/>
        <v>4150</v>
      </c>
      <c r="L1080" s="1">
        <f t="shared" si="133"/>
        <v>954.5</v>
      </c>
      <c r="M1080" s="22">
        <f t="shared" si="137"/>
        <v>5104.5</v>
      </c>
      <c r="N1080" s="1">
        <f t="shared" ca="1" si="134"/>
        <v>8</v>
      </c>
      <c r="P1080" s="1">
        <v>50.018735590856522</v>
      </c>
      <c r="Q1080" s="1">
        <f t="shared" ca="1" si="135"/>
        <v>14</v>
      </c>
      <c r="R1080" s="1">
        <v>8.9121903354316601</v>
      </c>
    </row>
    <row r="1081" spans="1:18" x14ac:dyDescent="0.3">
      <c r="A1081" s="26">
        <v>1080</v>
      </c>
      <c r="B1081" s="1">
        <v>2</v>
      </c>
      <c r="C1081" s="1">
        <f t="shared" si="131"/>
        <v>8</v>
      </c>
      <c r="D1081" s="21">
        <f t="shared" ca="1" si="130"/>
        <v>44886</v>
      </c>
      <c r="E1081" s="1" t="s">
        <v>26</v>
      </c>
      <c r="F1081" s="1" t="s">
        <v>1109</v>
      </c>
      <c r="G1081" s="1" t="s">
        <v>28</v>
      </c>
      <c r="H1081" s="1">
        <v>1179</v>
      </c>
      <c r="I1081" s="1">
        <f t="shared" si="132"/>
        <v>51</v>
      </c>
      <c r="J1081" s="1">
        <f>VLOOKUP(B1081,Cena!$A$2:$B$101,2)</f>
        <v>121</v>
      </c>
      <c r="K1081" s="1">
        <f t="shared" si="136"/>
        <v>6171</v>
      </c>
      <c r="L1081" s="1">
        <f t="shared" si="133"/>
        <v>1419.3300000000002</v>
      </c>
      <c r="M1081" s="22">
        <f t="shared" si="137"/>
        <v>7590.33</v>
      </c>
      <c r="N1081" s="1">
        <f t="shared" ca="1" si="134"/>
        <v>11</v>
      </c>
      <c r="P1081" s="1">
        <v>51.222815626533702</v>
      </c>
      <c r="Q1081" s="1">
        <f t="shared" ca="1" si="135"/>
        <v>17</v>
      </c>
      <c r="R1081" s="1">
        <v>8.4413250331272138</v>
      </c>
    </row>
    <row r="1082" spans="1:18" x14ac:dyDescent="0.3">
      <c r="A1082" s="26">
        <v>1081</v>
      </c>
      <c r="B1082" s="1">
        <v>4</v>
      </c>
      <c r="C1082" s="1">
        <f t="shared" si="131"/>
        <v>11</v>
      </c>
      <c r="D1082" s="21">
        <f t="shared" ca="1" si="130"/>
        <v>44622</v>
      </c>
      <c r="E1082" s="1" t="s">
        <v>26</v>
      </c>
      <c r="F1082" s="1" t="s">
        <v>1110</v>
      </c>
      <c r="G1082" s="1" t="s">
        <v>28</v>
      </c>
      <c r="H1082" s="1">
        <v>1180</v>
      </c>
      <c r="I1082" s="1">
        <f t="shared" si="132"/>
        <v>57</v>
      </c>
      <c r="J1082" s="1">
        <f>VLOOKUP(B1082,Cena!$A$2:$B$101,2)</f>
        <v>99</v>
      </c>
      <c r="K1082" s="1">
        <f t="shared" si="136"/>
        <v>5643</v>
      </c>
      <c r="L1082" s="1">
        <f t="shared" si="133"/>
        <v>1297.8900000000001</v>
      </c>
      <c r="M1082" s="22">
        <f t="shared" si="137"/>
        <v>6940.89</v>
      </c>
      <c r="N1082" s="1">
        <f t="shared" ca="1" si="134"/>
        <v>3</v>
      </c>
      <c r="P1082" s="1">
        <v>57.371795618382748</v>
      </c>
      <c r="Q1082" s="1">
        <f t="shared" ca="1" si="135"/>
        <v>14</v>
      </c>
      <c r="R1082" s="1">
        <v>11.574969132889237</v>
      </c>
    </row>
    <row r="1083" spans="1:18" x14ac:dyDescent="0.3">
      <c r="A1083" s="26">
        <v>1082</v>
      </c>
      <c r="B1083" s="1">
        <v>25</v>
      </c>
      <c r="C1083" s="1">
        <f t="shared" si="131"/>
        <v>10</v>
      </c>
      <c r="D1083" s="21">
        <f t="shared" ca="1" si="130"/>
        <v>44902</v>
      </c>
      <c r="E1083" s="1" t="s">
        <v>26</v>
      </c>
      <c r="F1083" s="1" t="s">
        <v>1111</v>
      </c>
      <c r="G1083" s="1" t="s">
        <v>28</v>
      </c>
      <c r="H1083" s="1">
        <v>1181</v>
      </c>
      <c r="I1083" s="1">
        <f t="shared" si="132"/>
        <v>32</v>
      </c>
      <c r="J1083" s="1">
        <f>VLOOKUP(B1083,Cena!$A$2:$B$101,2)</f>
        <v>108</v>
      </c>
      <c r="K1083" s="1">
        <f t="shared" si="136"/>
        <v>3456</v>
      </c>
      <c r="L1083" s="1">
        <f t="shared" si="133"/>
        <v>794.88</v>
      </c>
      <c r="M1083" s="22">
        <f t="shared" si="137"/>
        <v>4250.88</v>
      </c>
      <c r="N1083" s="1">
        <f t="shared" ca="1" si="134"/>
        <v>12</v>
      </c>
      <c r="P1083" s="1">
        <v>32.511963025899604</v>
      </c>
      <c r="Q1083" s="1">
        <f t="shared" ca="1" si="135"/>
        <v>24</v>
      </c>
      <c r="R1083" s="1">
        <v>10.170052771863993</v>
      </c>
    </row>
    <row r="1084" spans="1:18" x14ac:dyDescent="0.3">
      <c r="A1084" s="26">
        <v>1083</v>
      </c>
      <c r="B1084" s="1">
        <v>9</v>
      </c>
      <c r="C1084" s="1">
        <f t="shared" si="131"/>
        <v>17</v>
      </c>
      <c r="D1084" s="21">
        <f t="shared" ca="1" si="130"/>
        <v>44901</v>
      </c>
      <c r="E1084" s="1" t="s">
        <v>26</v>
      </c>
      <c r="F1084" s="1" t="s">
        <v>1112</v>
      </c>
      <c r="G1084" s="1" t="s">
        <v>28</v>
      </c>
      <c r="H1084" s="1">
        <v>1182</v>
      </c>
      <c r="I1084" s="1">
        <f t="shared" si="132"/>
        <v>60</v>
      </c>
      <c r="J1084" s="1">
        <f>VLOOKUP(B1084,Cena!$A$2:$B$101,2)</f>
        <v>96</v>
      </c>
      <c r="K1084" s="1">
        <f t="shared" si="136"/>
        <v>5760</v>
      </c>
      <c r="L1084" s="1">
        <f t="shared" si="133"/>
        <v>1324.8</v>
      </c>
      <c r="M1084" s="22">
        <f t="shared" si="137"/>
        <v>7084.8</v>
      </c>
      <c r="N1084" s="1">
        <f t="shared" ca="1" si="134"/>
        <v>12</v>
      </c>
      <c r="P1084" s="1">
        <v>60.283588380843867</v>
      </c>
      <c r="Q1084" s="1">
        <f t="shared" ca="1" si="135"/>
        <v>5</v>
      </c>
      <c r="R1084" s="1">
        <v>17.595372153446078</v>
      </c>
    </row>
    <row r="1085" spans="1:18" x14ac:dyDescent="0.3">
      <c r="A1085" s="26">
        <v>1084</v>
      </c>
      <c r="B1085" s="1">
        <v>2</v>
      </c>
      <c r="C1085" s="1">
        <f t="shared" si="131"/>
        <v>8</v>
      </c>
      <c r="D1085" s="21">
        <f t="shared" ca="1" si="130"/>
        <v>44684</v>
      </c>
      <c r="E1085" s="1" t="s">
        <v>26</v>
      </c>
      <c r="F1085" s="1" t="s">
        <v>1113</v>
      </c>
      <c r="G1085" s="1" t="s">
        <v>28</v>
      </c>
      <c r="H1085" s="1">
        <v>1183</v>
      </c>
      <c r="I1085" s="1">
        <f t="shared" si="132"/>
        <v>58</v>
      </c>
      <c r="J1085" s="1">
        <f>VLOOKUP(B1085,Cena!$A$2:$B$101,2)</f>
        <v>121</v>
      </c>
      <c r="K1085" s="1">
        <f t="shared" si="136"/>
        <v>7018</v>
      </c>
      <c r="L1085" s="1">
        <f t="shared" si="133"/>
        <v>1614.14</v>
      </c>
      <c r="M1085" s="22">
        <f t="shared" si="137"/>
        <v>8632.14</v>
      </c>
      <c r="N1085" s="1">
        <f t="shared" ca="1" si="134"/>
        <v>5</v>
      </c>
      <c r="P1085" s="1">
        <v>58.63894911162788</v>
      </c>
      <c r="Q1085" s="1">
        <f t="shared" ca="1" si="135"/>
        <v>4</v>
      </c>
      <c r="R1085" s="1">
        <v>8.0426764523144811</v>
      </c>
    </row>
    <row r="1086" spans="1:18" x14ac:dyDescent="0.3">
      <c r="A1086" s="26">
        <v>1085</v>
      </c>
      <c r="B1086" s="1">
        <v>10</v>
      </c>
      <c r="C1086" s="1">
        <f t="shared" si="131"/>
        <v>10</v>
      </c>
      <c r="D1086" s="21">
        <f t="shared" ca="1" si="130"/>
        <v>44901</v>
      </c>
      <c r="E1086" s="1" t="s">
        <v>26</v>
      </c>
      <c r="F1086" s="1" t="s">
        <v>1114</v>
      </c>
      <c r="G1086" s="1" t="s">
        <v>28</v>
      </c>
      <c r="H1086" s="1">
        <v>1184</v>
      </c>
      <c r="I1086" s="1">
        <f t="shared" si="132"/>
        <v>51</v>
      </c>
      <c r="J1086" s="1">
        <f>VLOOKUP(B1086,Cena!$A$2:$B$101,2)</f>
        <v>109</v>
      </c>
      <c r="K1086" s="1">
        <f t="shared" si="136"/>
        <v>5559</v>
      </c>
      <c r="L1086" s="1">
        <f t="shared" si="133"/>
        <v>1278.5700000000002</v>
      </c>
      <c r="M1086" s="22">
        <f t="shared" si="137"/>
        <v>6837.57</v>
      </c>
      <c r="N1086" s="1">
        <f t="shared" ca="1" si="134"/>
        <v>12</v>
      </c>
      <c r="P1086" s="1">
        <v>51.546436578792054</v>
      </c>
      <c r="Q1086" s="1">
        <f t="shared" ca="1" si="135"/>
        <v>23</v>
      </c>
      <c r="R1086" s="1">
        <v>10.958038981480058</v>
      </c>
    </row>
    <row r="1087" spans="1:18" x14ac:dyDescent="0.3">
      <c r="A1087" s="26">
        <v>1086</v>
      </c>
      <c r="B1087" s="1">
        <v>18</v>
      </c>
      <c r="C1087" s="1">
        <f t="shared" si="131"/>
        <v>10</v>
      </c>
      <c r="D1087" s="21">
        <f t="shared" ca="1" si="130"/>
        <v>44811</v>
      </c>
      <c r="E1087" s="1" t="s">
        <v>26</v>
      </c>
      <c r="F1087" s="1" t="s">
        <v>1115</v>
      </c>
      <c r="G1087" s="1" t="s">
        <v>28</v>
      </c>
      <c r="H1087" s="1">
        <v>1185</v>
      </c>
      <c r="I1087" s="1">
        <f t="shared" si="132"/>
        <v>52</v>
      </c>
      <c r="J1087" s="1">
        <f>VLOOKUP(B1087,Cena!$A$2:$B$101,2)</f>
        <v>90</v>
      </c>
      <c r="K1087" s="1">
        <f t="shared" si="136"/>
        <v>4680</v>
      </c>
      <c r="L1087" s="1">
        <f t="shared" si="133"/>
        <v>1076.4000000000001</v>
      </c>
      <c r="M1087" s="22">
        <f t="shared" si="137"/>
        <v>5756.4</v>
      </c>
      <c r="N1087" s="1">
        <f t="shared" ca="1" si="134"/>
        <v>9</v>
      </c>
      <c r="P1087" s="1">
        <v>52.081537786580157</v>
      </c>
      <c r="Q1087" s="1">
        <f t="shared" ca="1" si="135"/>
        <v>28</v>
      </c>
      <c r="R1087" s="1">
        <v>10.863414584273414</v>
      </c>
    </row>
    <row r="1088" spans="1:18" x14ac:dyDescent="0.3">
      <c r="A1088" s="26">
        <v>1087</v>
      </c>
      <c r="B1088" s="1">
        <v>4</v>
      </c>
      <c r="C1088" s="1">
        <f t="shared" si="131"/>
        <v>11</v>
      </c>
      <c r="D1088" s="21">
        <f t="shared" ca="1" si="130"/>
        <v>44666</v>
      </c>
      <c r="E1088" s="1" t="s">
        <v>26</v>
      </c>
      <c r="F1088" s="1" t="s">
        <v>1116</v>
      </c>
      <c r="G1088" s="1" t="s">
        <v>28</v>
      </c>
      <c r="H1088" s="1">
        <v>1186</v>
      </c>
      <c r="I1088" s="1">
        <f t="shared" si="132"/>
        <v>53</v>
      </c>
      <c r="J1088" s="1">
        <f>VLOOKUP(B1088,Cena!$A$2:$B$101,2)</f>
        <v>99</v>
      </c>
      <c r="K1088" s="1">
        <f t="shared" si="136"/>
        <v>5247</v>
      </c>
      <c r="L1088" s="1">
        <f t="shared" si="133"/>
        <v>1206.81</v>
      </c>
      <c r="M1088" s="22">
        <f t="shared" si="137"/>
        <v>6453.8099999999995</v>
      </c>
      <c r="N1088" s="1">
        <f t="shared" ca="1" si="134"/>
        <v>4</v>
      </c>
      <c r="P1088" s="1">
        <v>53.398486114747357</v>
      </c>
      <c r="Q1088" s="1">
        <f t="shared" ca="1" si="135"/>
        <v>18</v>
      </c>
      <c r="R1088" s="1">
        <v>11.318929321314499</v>
      </c>
    </row>
    <row r="1089" spans="1:18" x14ac:dyDescent="0.3">
      <c r="A1089" s="26">
        <v>1088</v>
      </c>
      <c r="B1089" s="1">
        <v>10</v>
      </c>
      <c r="C1089" s="1">
        <f t="shared" si="131"/>
        <v>8</v>
      </c>
      <c r="D1089" s="21">
        <f t="shared" ca="1" si="130"/>
        <v>44726</v>
      </c>
      <c r="E1089" s="1" t="s">
        <v>26</v>
      </c>
      <c r="F1089" s="1" t="s">
        <v>1117</v>
      </c>
      <c r="G1089" s="1" t="s">
        <v>28</v>
      </c>
      <c r="H1089" s="1">
        <v>1187</v>
      </c>
      <c r="I1089" s="1">
        <f t="shared" si="132"/>
        <v>55</v>
      </c>
      <c r="J1089" s="1">
        <f>VLOOKUP(B1089,Cena!$A$2:$B$101,2)</f>
        <v>109</v>
      </c>
      <c r="K1089" s="1">
        <f t="shared" si="136"/>
        <v>5995</v>
      </c>
      <c r="L1089" s="1">
        <f t="shared" si="133"/>
        <v>1378.8500000000001</v>
      </c>
      <c r="M1089" s="22">
        <f t="shared" si="137"/>
        <v>7373.85</v>
      </c>
      <c r="N1089" s="1">
        <f t="shared" ca="1" si="134"/>
        <v>6</v>
      </c>
      <c r="P1089" s="1">
        <v>55.775700628873892</v>
      </c>
      <c r="Q1089" s="1">
        <f t="shared" ca="1" si="135"/>
        <v>29</v>
      </c>
      <c r="R1089" s="1">
        <v>8.7916851296176901</v>
      </c>
    </row>
    <row r="1090" spans="1:18" x14ac:dyDescent="0.3">
      <c r="A1090" s="26">
        <v>1089</v>
      </c>
      <c r="B1090" s="1">
        <v>13</v>
      </c>
      <c r="C1090" s="1">
        <f t="shared" si="131"/>
        <v>13</v>
      </c>
      <c r="D1090" s="21">
        <f t="shared" ref="D1090:D1153" ca="1" si="138">DATE(2022,RANDBETWEEN(1,12),RANDBETWEEN(1,28))</f>
        <v>44631</v>
      </c>
      <c r="E1090" s="1" t="s">
        <v>26</v>
      </c>
      <c r="F1090" s="1" t="s">
        <v>1118</v>
      </c>
      <c r="G1090" s="1" t="s">
        <v>28</v>
      </c>
      <c r="H1090" s="1">
        <v>1188</v>
      </c>
      <c r="I1090" s="1">
        <f t="shared" si="132"/>
        <v>50</v>
      </c>
      <c r="J1090" s="1">
        <f>VLOOKUP(B1090,Cena!$A$2:$B$101,2)</f>
        <v>94</v>
      </c>
      <c r="K1090" s="1">
        <f t="shared" si="136"/>
        <v>4700</v>
      </c>
      <c r="L1090" s="1">
        <f t="shared" si="133"/>
        <v>1081</v>
      </c>
      <c r="M1090" s="22">
        <f t="shared" si="137"/>
        <v>5781</v>
      </c>
      <c r="N1090" s="1">
        <f t="shared" ca="1" si="134"/>
        <v>3</v>
      </c>
      <c r="P1090" s="1">
        <v>50.476381956104888</v>
      </c>
      <c r="Q1090" s="1">
        <f t="shared" ca="1" si="135"/>
        <v>21</v>
      </c>
      <c r="R1090" s="1">
        <v>13.112018021056429</v>
      </c>
    </row>
    <row r="1091" spans="1:18" x14ac:dyDescent="0.3">
      <c r="A1091" s="26">
        <v>1090</v>
      </c>
      <c r="B1091" s="1">
        <v>23</v>
      </c>
      <c r="C1091" s="1">
        <f t="shared" ref="C1091:C1154" si="139">INT(R1091)</f>
        <v>12</v>
      </c>
      <c r="D1091" s="21">
        <f t="shared" ca="1" si="138"/>
        <v>44769</v>
      </c>
      <c r="E1091" s="1" t="s">
        <v>26</v>
      </c>
      <c r="F1091" s="1" t="s">
        <v>1119</v>
      </c>
      <c r="G1091" s="1" t="s">
        <v>28</v>
      </c>
      <c r="H1091" s="1">
        <v>1189</v>
      </c>
      <c r="I1091" s="1">
        <f t="shared" ref="I1091:I1154" si="140">INT(P1091)</f>
        <v>39</v>
      </c>
      <c r="J1091" s="1">
        <f>VLOOKUP(B1091,Cena!$A$2:$B$101,2)</f>
        <v>132</v>
      </c>
      <c r="K1091" s="1">
        <f t="shared" si="136"/>
        <v>5148</v>
      </c>
      <c r="L1091" s="1">
        <f t="shared" ref="L1091:L1154" si="141">K1091*23%</f>
        <v>1184.04</v>
      </c>
      <c r="M1091" s="22">
        <f t="shared" si="137"/>
        <v>6332.04</v>
      </c>
      <c r="N1091" s="1">
        <f t="shared" ref="N1091:N1154" ca="1" si="142">MONTH(D1091)</f>
        <v>7</v>
      </c>
      <c r="P1091" s="1">
        <v>39.471916705952026</v>
      </c>
      <c r="Q1091" s="1">
        <f t="shared" ref="Q1091:Q1154" ca="1" si="143">RANDBETWEEN(1,30)</f>
        <v>18</v>
      </c>
      <c r="R1091" s="1">
        <v>12.490139650035417</v>
      </c>
    </row>
    <row r="1092" spans="1:18" x14ac:dyDescent="0.3">
      <c r="A1092" s="26">
        <v>1091</v>
      </c>
      <c r="B1092" s="1">
        <v>13</v>
      </c>
      <c r="C1092" s="1">
        <f t="shared" si="139"/>
        <v>10</v>
      </c>
      <c r="D1092" s="21">
        <f t="shared" ca="1" si="138"/>
        <v>44796</v>
      </c>
      <c r="E1092" s="1" t="s">
        <v>26</v>
      </c>
      <c r="F1092" s="1" t="s">
        <v>1120</v>
      </c>
      <c r="G1092" s="1" t="s">
        <v>28</v>
      </c>
      <c r="H1092" s="1">
        <v>1190</v>
      </c>
      <c r="I1092" s="1">
        <f t="shared" si="140"/>
        <v>35</v>
      </c>
      <c r="J1092" s="1">
        <f>VLOOKUP(B1092,Cena!$A$2:$B$101,2)</f>
        <v>94</v>
      </c>
      <c r="K1092" s="1">
        <f t="shared" si="136"/>
        <v>3290</v>
      </c>
      <c r="L1092" s="1">
        <f t="shared" si="141"/>
        <v>756.7</v>
      </c>
      <c r="M1092" s="22">
        <f t="shared" si="137"/>
        <v>4046.7</v>
      </c>
      <c r="N1092" s="1">
        <f t="shared" ca="1" si="142"/>
        <v>8</v>
      </c>
      <c r="P1092" s="1">
        <v>35.923864187498111</v>
      </c>
      <c r="Q1092" s="1">
        <f t="shared" ca="1" si="143"/>
        <v>16</v>
      </c>
      <c r="R1092" s="1">
        <v>10.798939936430543</v>
      </c>
    </row>
    <row r="1093" spans="1:18" x14ac:dyDescent="0.3">
      <c r="A1093" s="26">
        <v>1092</v>
      </c>
      <c r="B1093" s="1">
        <v>10</v>
      </c>
      <c r="C1093" s="1">
        <f t="shared" si="139"/>
        <v>12</v>
      </c>
      <c r="D1093" s="21">
        <f t="shared" ca="1" si="138"/>
        <v>44601</v>
      </c>
      <c r="E1093" s="1" t="s">
        <v>26</v>
      </c>
      <c r="F1093" s="1" t="s">
        <v>1121</v>
      </c>
      <c r="G1093" s="1" t="s">
        <v>28</v>
      </c>
      <c r="H1093" s="1">
        <v>1191</v>
      </c>
      <c r="I1093" s="1">
        <f t="shared" si="140"/>
        <v>53</v>
      </c>
      <c r="J1093" s="1">
        <f>VLOOKUP(B1093,Cena!$A$2:$B$101,2)</f>
        <v>109</v>
      </c>
      <c r="K1093" s="1">
        <f t="shared" si="136"/>
        <v>5777</v>
      </c>
      <c r="L1093" s="1">
        <f t="shared" si="141"/>
        <v>1328.71</v>
      </c>
      <c r="M1093" s="22">
        <f t="shared" si="137"/>
        <v>7105.71</v>
      </c>
      <c r="N1093" s="1">
        <f t="shared" ca="1" si="142"/>
        <v>2</v>
      </c>
      <c r="P1093" s="1">
        <v>53.125796865788288</v>
      </c>
      <c r="Q1093" s="1">
        <f t="shared" ca="1" si="143"/>
        <v>15</v>
      </c>
      <c r="R1093" s="1">
        <v>12.710891067181365</v>
      </c>
    </row>
    <row r="1094" spans="1:18" x14ac:dyDescent="0.3">
      <c r="A1094" s="26">
        <v>1093</v>
      </c>
      <c r="B1094" s="1">
        <v>1</v>
      </c>
      <c r="C1094" s="1">
        <f t="shared" si="139"/>
        <v>9</v>
      </c>
      <c r="D1094" s="21">
        <f t="shared" ca="1" si="138"/>
        <v>44586</v>
      </c>
      <c r="E1094" s="1" t="s">
        <v>26</v>
      </c>
      <c r="F1094" s="1" t="s">
        <v>1122</v>
      </c>
      <c r="G1094" s="1" t="s">
        <v>28</v>
      </c>
      <c r="H1094" s="1">
        <v>1192</v>
      </c>
      <c r="I1094" s="1">
        <f t="shared" si="140"/>
        <v>37</v>
      </c>
      <c r="J1094" s="1">
        <f>VLOOKUP(B1094,Cena!$A$2:$B$101,2)</f>
        <v>84</v>
      </c>
      <c r="K1094" s="1">
        <f t="shared" si="136"/>
        <v>3108</v>
      </c>
      <c r="L1094" s="1">
        <f t="shared" si="141"/>
        <v>714.84</v>
      </c>
      <c r="M1094" s="22">
        <f t="shared" si="137"/>
        <v>3822.84</v>
      </c>
      <c r="N1094" s="1">
        <f t="shared" ca="1" si="142"/>
        <v>1</v>
      </c>
      <c r="P1094" s="1">
        <v>37.05525285913609</v>
      </c>
      <c r="Q1094" s="1">
        <f t="shared" ca="1" si="143"/>
        <v>2</v>
      </c>
      <c r="R1094" s="1">
        <v>9.8621376562368823</v>
      </c>
    </row>
    <row r="1095" spans="1:18" x14ac:dyDescent="0.3">
      <c r="A1095" s="26">
        <v>1094</v>
      </c>
      <c r="B1095" s="1">
        <v>18</v>
      </c>
      <c r="C1095" s="1">
        <f t="shared" si="139"/>
        <v>12</v>
      </c>
      <c r="D1095" s="21">
        <f t="shared" ca="1" si="138"/>
        <v>44682</v>
      </c>
      <c r="E1095" s="1" t="s">
        <v>26</v>
      </c>
      <c r="F1095" s="1" t="s">
        <v>1123</v>
      </c>
      <c r="G1095" s="1" t="s">
        <v>28</v>
      </c>
      <c r="H1095" s="1">
        <v>1193</v>
      </c>
      <c r="I1095" s="1">
        <f t="shared" si="140"/>
        <v>48</v>
      </c>
      <c r="J1095" s="1">
        <f>VLOOKUP(B1095,Cena!$A$2:$B$101,2)</f>
        <v>90</v>
      </c>
      <c r="K1095" s="1">
        <f t="shared" si="136"/>
        <v>4320</v>
      </c>
      <c r="L1095" s="1">
        <f t="shared" si="141"/>
        <v>993.6</v>
      </c>
      <c r="M1095" s="22">
        <f t="shared" si="137"/>
        <v>5313.6</v>
      </c>
      <c r="N1095" s="1">
        <f t="shared" ca="1" si="142"/>
        <v>5</v>
      </c>
      <c r="P1095" s="1">
        <v>48.920429788995534</v>
      </c>
      <c r="Q1095" s="1">
        <f t="shared" ca="1" si="143"/>
        <v>15</v>
      </c>
      <c r="R1095" s="1">
        <v>12.813709443216794</v>
      </c>
    </row>
    <row r="1096" spans="1:18" x14ac:dyDescent="0.3">
      <c r="A1096" s="26">
        <v>1095</v>
      </c>
      <c r="B1096" s="1">
        <v>9</v>
      </c>
      <c r="C1096" s="1">
        <f t="shared" si="139"/>
        <v>12</v>
      </c>
      <c r="D1096" s="21">
        <f t="shared" ca="1" si="138"/>
        <v>44825</v>
      </c>
      <c r="E1096" s="1" t="s">
        <v>26</v>
      </c>
      <c r="F1096" s="1" t="s">
        <v>1124</v>
      </c>
      <c r="G1096" s="1" t="s">
        <v>28</v>
      </c>
      <c r="H1096" s="1">
        <v>1194</v>
      </c>
      <c r="I1096" s="1">
        <f t="shared" si="140"/>
        <v>42</v>
      </c>
      <c r="J1096" s="1">
        <f>VLOOKUP(B1096,Cena!$A$2:$B$101,2)</f>
        <v>96</v>
      </c>
      <c r="K1096" s="1">
        <f t="shared" si="136"/>
        <v>4032</v>
      </c>
      <c r="L1096" s="1">
        <f t="shared" si="141"/>
        <v>927.36</v>
      </c>
      <c r="M1096" s="22">
        <f t="shared" si="137"/>
        <v>4959.3599999999997</v>
      </c>
      <c r="N1096" s="1">
        <f t="shared" ca="1" si="142"/>
        <v>9</v>
      </c>
      <c r="P1096" s="1">
        <v>42.760058376006782</v>
      </c>
      <c r="Q1096" s="1">
        <f t="shared" ca="1" si="143"/>
        <v>12</v>
      </c>
      <c r="R1096" s="1">
        <v>12.307103841303615</v>
      </c>
    </row>
    <row r="1097" spans="1:18" x14ac:dyDescent="0.3">
      <c r="A1097" s="26">
        <v>1096</v>
      </c>
      <c r="B1097" s="1">
        <v>12</v>
      </c>
      <c r="C1097" s="1">
        <f t="shared" si="139"/>
        <v>10</v>
      </c>
      <c r="D1097" s="21">
        <f t="shared" ca="1" si="138"/>
        <v>44718</v>
      </c>
      <c r="E1097" s="1" t="s">
        <v>26</v>
      </c>
      <c r="F1097" s="1" t="s">
        <v>1125</v>
      </c>
      <c r="G1097" s="1" t="s">
        <v>28</v>
      </c>
      <c r="H1097" s="1">
        <v>1195</v>
      </c>
      <c r="I1097" s="1">
        <f t="shared" si="140"/>
        <v>41</v>
      </c>
      <c r="J1097" s="1">
        <f>VLOOKUP(B1097,Cena!$A$2:$B$101,2)</f>
        <v>88</v>
      </c>
      <c r="K1097" s="1">
        <f t="shared" si="136"/>
        <v>3608</v>
      </c>
      <c r="L1097" s="1">
        <f t="shared" si="141"/>
        <v>829.84</v>
      </c>
      <c r="M1097" s="22">
        <f t="shared" si="137"/>
        <v>4437.84</v>
      </c>
      <c r="N1097" s="1">
        <f t="shared" ca="1" si="142"/>
        <v>6</v>
      </c>
      <c r="P1097" s="1">
        <v>41.952654454507865</v>
      </c>
      <c r="Q1097" s="1">
        <f t="shared" ca="1" si="143"/>
        <v>5</v>
      </c>
      <c r="R1097" s="1">
        <v>10.076795458880952</v>
      </c>
    </row>
    <row r="1098" spans="1:18" x14ac:dyDescent="0.3">
      <c r="A1098" s="26">
        <v>1097</v>
      </c>
      <c r="B1098" s="1">
        <v>10</v>
      </c>
      <c r="C1098" s="1">
        <f t="shared" si="139"/>
        <v>10</v>
      </c>
      <c r="D1098" s="21">
        <f t="shared" ca="1" si="138"/>
        <v>44844</v>
      </c>
      <c r="E1098" s="1" t="s">
        <v>26</v>
      </c>
      <c r="F1098" s="1" t="s">
        <v>1126</v>
      </c>
      <c r="G1098" s="1" t="s">
        <v>28</v>
      </c>
      <c r="H1098" s="1">
        <v>1196</v>
      </c>
      <c r="I1098" s="1">
        <f t="shared" si="140"/>
        <v>42</v>
      </c>
      <c r="J1098" s="1">
        <f>VLOOKUP(B1098,Cena!$A$2:$B$101,2)</f>
        <v>109</v>
      </c>
      <c r="K1098" s="1">
        <f t="shared" si="136"/>
        <v>4578</v>
      </c>
      <c r="L1098" s="1">
        <f t="shared" si="141"/>
        <v>1052.94</v>
      </c>
      <c r="M1098" s="22">
        <f t="shared" si="137"/>
        <v>5630.9400000000005</v>
      </c>
      <c r="N1098" s="1">
        <f t="shared" ca="1" si="142"/>
        <v>10</v>
      </c>
      <c r="P1098" s="1">
        <v>42.727225617272779</v>
      </c>
      <c r="Q1098" s="1">
        <f t="shared" ca="1" si="143"/>
        <v>21</v>
      </c>
      <c r="R1098" s="1">
        <v>10.083878148871008</v>
      </c>
    </row>
    <row r="1099" spans="1:18" x14ac:dyDescent="0.3">
      <c r="A1099" s="26">
        <v>1098</v>
      </c>
      <c r="B1099" s="1">
        <v>6</v>
      </c>
      <c r="C1099" s="1">
        <f t="shared" si="139"/>
        <v>11</v>
      </c>
      <c r="D1099" s="21">
        <f t="shared" ca="1" si="138"/>
        <v>44841</v>
      </c>
      <c r="E1099" s="1" t="s">
        <v>26</v>
      </c>
      <c r="F1099" s="1" t="s">
        <v>1127</v>
      </c>
      <c r="G1099" s="1" t="s">
        <v>28</v>
      </c>
      <c r="H1099" s="1">
        <v>1197</v>
      </c>
      <c r="I1099" s="1">
        <f t="shared" si="140"/>
        <v>40</v>
      </c>
      <c r="J1099" s="1">
        <f>VLOOKUP(B1099,Cena!$A$2:$B$101,2)</f>
        <v>86</v>
      </c>
      <c r="K1099" s="1">
        <f t="shared" si="136"/>
        <v>3440</v>
      </c>
      <c r="L1099" s="1">
        <f t="shared" si="141"/>
        <v>791.2</v>
      </c>
      <c r="M1099" s="22">
        <f t="shared" si="137"/>
        <v>4231.2</v>
      </c>
      <c r="N1099" s="1">
        <f t="shared" ca="1" si="142"/>
        <v>10</v>
      </c>
      <c r="P1099" s="1">
        <v>40.94009126565652</v>
      </c>
      <c r="Q1099" s="1">
        <f t="shared" ca="1" si="143"/>
        <v>26</v>
      </c>
      <c r="R1099" s="1">
        <v>11.00824877335981</v>
      </c>
    </row>
    <row r="1100" spans="1:18" x14ac:dyDescent="0.3">
      <c r="A1100" s="26">
        <v>1099</v>
      </c>
      <c r="B1100" s="1">
        <v>6</v>
      </c>
      <c r="C1100" s="1">
        <f t="shared" si="139"/>
        <v>7</v>
      </c>
      <c r="D1100" s="21">
        <f t="shared" ca="1" si="138"/>
        <v>44743</v>
      </c>
      <c r="E1100" s="1" t="s">
        <v>26</v>
      </c>
      <c r="F1100" s="1" t="s">
        <v>1128</v>
      </c>
      <c r="G1100" s="1" t="s">
        <v>28</v>
      </c>
      <c r="H1100" s="1">
        <v>1198</v>
      </c>
      <c r="I1100" s="1">
        <f t="shared" si="140"/>
        <v>40</v>
      </c>
      <c r="J1100" s="1">
        <f>VLOOKUP(B1100,Cena!$A$2:$B$101,2)</f>
        <v>86</v>
      </c>
      <c r="K1100" s="1">
        <f t="shared" si="136"/>
        <v>3440</v>
      </c>
      <c r="L1100" s="1">
        <f t="shared" si="141"/>
        <v>791.2</v>
      </c>
      <c r="M1100" s="22">
        <f t="shared" si="137"/>
        <v>4231.2</v>
      </c>
      <c r="N1100" s="1">
        <f t="shared" ca="1" si="142"/>
        <v>7</v>
      </c>
      <c r="P1100" s="1">
        <v>40.439778230211232</v>
      </c>
      <c r="Q1100" s="1">
        <f t="shared" ca="1" si="143"/>
        <v>28</v>
      </c>
      <c r="R1100" s="1">
        <v>7.8830032887344714</v>
      </c>
    </row>
    <row r="1101" spans="1:18" x14ac:dyDescent="0.3">
      <c r="A1101" s="26">
        <v>1100</v>
      </c>
      <c r="B1101" s="1">
        <v>14</v>
      </c>
      <c r="C1101" s="1">
        <f t="shared" si="139"/>
        <v>13</v>
      </c>
      <c r="D1101" s="21">
        <f t="shared" ca="1" si="138"/>
        <v>44794</v>
      </c>
      <c r="E1101" s="1" t="s">
        <v>26</v>
      </c>
      <c r="F1101" s="1" t="s">
        <v>1129</v>
      </c>
      <c r="G1101" s="1" t="s">
        <v>28</v>
      </c>
      <c r="H1101" s="1">
        <v>1199</v>
      </c>
      <c r="I1101" s="1">
        <f t="shared" si="140"/>
        <v>51</v>
      </c>
      <c r="J1101" s="1">
        <f>VLOOKUP(B1101,Cena!$A$2:$B$101,2)</f>
        <v>129</v>
      </c>
      <c r="K1101" s="1">
        <f t="shared" si="136"/>
        <v>6579</v>
      </c>
      <c r="L1101" s="1">
        <f t="shared" si="141"/>
        <v>1513.17</v>
      </c>
      <c r="M1101" s="22">
        <f t="shared" si="137"/>
        <v>8092.17</v>
      </c>
      <c r="N1101" s="1">
        <f t="shared" ca="1" si="142"/>
        <v>8</v>
      </c>
      <c r="P1101" s="1">
        <v>51.055718712450471</v>
      </c>
      <c r="Q1101" s="1">
        <f t="shared" ca="1" si="143"/>
        <v>27</v>
      </c>
      <c r="R1101" s="1">
        <v>13.5617802041088</v>
      </c>
    </row>
    <row r="1102" spans="1:18" x14ac:dyDescent="0.3">
      <c r="A1102" s="26">
        <v>1101</v>
      </c>
      <c r="B1102" s="1">
        <v>10</v>
      </c>
      <c r="C1102" s="1">
        <f t="shared" si="139"/>
        <v>9</v>
      </c>
      <c r="D1102" s="21">
        <f t="shared" ca="1" si="138"/>
        <v>44884</v>
      </c>
      <c r="E1102" s="1" t="s">
        <v>26</v>
      </c>
      <c r="F1102" s="1" t="s">
        <v>1130</v>
      </c>
      <c r="G1102" s="1" t="s">
        <v>28</v>
      </c>
      <c r="H1102" s="1">
        <v>1200</v>
      </c>
      <c r="I1102" s="1">
        <f t="shared" si="140"/>
        <v>47</v>
      </c>
      <c r="J1102" s="1">
        <f>VLOOKUP(B1102,Cena!$A$2:$B$101,2)</f>
        <v>109</v>
      </c>
      <c r="K1102" s="1">
        <f t="shared" si="136"/>
        <v>5123</v>
      </c>
      <c r="L1102" s="1">
        <f t="shared" si="141"/>
        <v>1178.29</v>
      </c>
      <c r="M1102" s="22">
        <f t="shared" si="137"/>
        <v>6301.29</v>
      </c>
      <c r="N1102" s="1">
        <f t="shared" ca="1" si="142"/>
        <v>11</v>
      </c>
      <c r="P1102" s="1">
        <v>47.909071680624038</v>
      </c>
      <c r="Q1102" s="1">
        <f t="shared" ca="1" si="143"/>
        <v>11</v>
      </c>
      <c r="R1102" s="1">
        <v>9.3938871512000333</v>
      </c>
    </row>
    <row r="1103" spans="1:18" x14ac:dyDescent="0.3">
      <c r="A1103" s="26">
        <v>1102</v>
      </c>
      <c r="B1103" s="1">
        <v>6</v>
      </c>
      <c r="C1103" s="1">
        <f t="shared" si="139"/>
        <v>9</v>
      </c>
      <c r="D1103" s="21">
        <f t="shared" ca="1" si="138"/>
        <v>44593</v>
      </c>
      <c r="E1103" s="1" t="s">
        <v>26</v>
      </c>
      <c r="F1103" s="1" t="s">
        <v>1131</v>
      </c>
      <c r="G1103" s="1" t="s">
        <v>28</v>
      </c>
      <c r="H1103" s="1">
        <v>1201</v>
      </c>
      <c r="I1103" s="1">
        <f t="shared" si="140"/>
        <v>45</v>
      </c>
      <c r="J1103" s="1">
        <f>VLOOKUP(B1103,Cena!$A$2:$B$101,2)</f>
        <v>86</v>
      </c>
      <c r="K1103" s="1">
        <f t="shared" si="136"/>
        <v>3870</v>
      </c>
      <c r="L1103" s="1">
        <f t="shared" si="141"/>
        <v>890.1</v>
      </c>
      <c r="M1103" s="22">
        <f t="shared" si="137"/>
        <v>4760.1000000000004</v>
      </c>
      <c r="N1103" s="1">
        <f t="shared" ca="1" si="142"/>
        <v>2</v>
      </c>
      <c r="P1103" s="1">
        <v>45.679854691843502</v>
      </c>
      <c r="Q1103" s="1">
        <f t="shared" ca="1" si="143"/>
        <v>24</v>
      </c>
      <c r="R1103" s="1">
        <v>9.2602170095779002</v>
      </c>
    </row>
    <row r="1104" spans="1:18" x14ac:dyDescent="0.3">
      <c r="A1104" s="26">
        <v>1103</v>
      </c>
      <c r="B1104" s="1">
        <v>24</v>
      </c>
      <c r="C1104" s="1">
        <f t="shared" si="139"/>
        <v>10</v>
      </c>
      <c r="D1104" s="21">
        <f t="shared" ca="1" si="138"/>
        <v>44695</v>
      </c>
      <c r="E1104" s="1" t="s">
        <v>26</v>
      </c>
      <c r="F1104" s="1" t="s">
        <v>1132</v>
      </c>
      <c r="G1104" s="1" t="s">
        <v>28</v>
      </c>
      <c r="H1104" s="1">
        <v>1202</v>
      </c>
      <c r="I1104" s="1">
        <f t="shared" si="140"/>
        <v>63</v>
      </c>
      <c r="J1104" s="1">
        <f>VLOOKUP(B1104,Cena!$A$2:$B$101,2)</f>
        <v>125</v>
      </c>
      <c r="K1104" s="1">
        <f t="shared" si="136"/>
        <v>7875</v>
      </c>
      <c r="L1104" s="1">
        <f t="shared" si="141"/>
        <v>1811.25</v>
      </c>
      <c r="M1104" s="22">
        <f t="shared" si="137"/>
        <v>9686.25</v>
      </c>
      <c r="N1104" s="1">
        <f t="shared" ca="1" si="142"/>
        <v>5</v>
      </c>
      <c r="P1104" s="1">
        <v>63.112776287016459</v>
      </c>
      <c r="Q1104" s="1">
        <f t="shared" ca="1" si="143"/>
        <v>14</v>
      </c>
      <c r="R1104" s="1">
        <v>10.100527586255339</v>
      </c>
    </row>
    <row r="1105" spans="1:18" x14ac:dyDescent="0.3">
      <c r="A1105" s="26">
        <v>1104</v>
      </c>
      <c r="B1105" s="1">
        <v>29</v>
      </c>
      <c r="C1105" s="1">
        <f t="shared" si="139"/>
        <v>9</v>
      </c>
      <c r="D1105" s="21">
        <f t="shared" ca="1" si="138"/>
        <v>44722</v>
      </c>
      <c r="E1105" s="1" t="s">
        <v>26</v>
      </c>
      <c r="F1105" s="1" t="s">
        <v>1133</v>
      </c>
      <c r="G1105" s="1" t="s">
        <v>28</v>
      </c>
      <c r="H1105" s="1">
        <v>1203</v>
      </c>
      <c r="I1105" s="1">
        <f t="shared" si="140"/>
        <v>62</v>
      </c>
      <c r="J1105" s="1">
        <f>VLOOKUP(B1105,Cena!$A$2:$B$101,2)</f>
        <v>105</v>
      </c>
      <c r="K1105" s="1">
        <f t="shared" si="136"/>
        <v>6510</v>
      </c>
      <c r="L1105" s="1">
        <f t="shared" si="141"/>
        <v>1497.3</v>
      </c>
      <c r="M1105" s="22">
        <f t="shared" si="137"/>
        <v>8007.3</v>
      </c>
      <c r="N1105" s="1">
        <f t="shared" ca="1" si="142"/>
        <v>6</v>
      </c>
      <c r="P1105" s="1">
        <v>62.937675819557626</v>
      </c>
      <c r="Q1105" s="1">
        <f t="shared" ca="1" si="143"/>
        <v>18</v>
      </c>
      <c r="R1105" s="1">
        <v>9.2562209172319854</v>
      </c>
    </row>
    <row r="1106" spans="1:18" x14ac:dyDescent="0.3">
      <c r="A1106" s="26">
        <v>1105</v>
      </c>
      <c r="B1106" s="1">
        <v>8</v>
      </c>
      <c r="C1106" s="1">
        <f t="shared" si="139"/>
        <v>6</v>
      </c>
      <c r="D1106" s="21">
        <f t="shared" ca="1" si="138"/>
        <v>44747</v>
      </c>
      <c r="E1106" s="1" t="s">
        <v>26</v>
      </c>
      <c r="F1106" s="1" t="s">
        <v>1134</v>
      </c>
      <c r="G1106" s="1" t="s">
        <v>28</v>
      </c>
      <c r="H1106" s="1">
        <v>1204</v>
      </c>
      <c r="I1106" s="1">
        <f t="shared" si="140"/>
        <v>43</v>
      </c>
      <c r="J1106" s="1">
        <f>VLOOKUP(B1106,Cena!$A$2:$B$101,2)</f>
        <v>88</v>
      </c>
      <c r="K1106" s="1">
        <f t="shared" si="136"/>
        <v>3784</v>
      </c>
      <c r="L1106" s="1">
        <f t="shared" si="141"/>
        <v>870.32</v>
      </c>
      <c r="M1106" s="22">
        <f t="shared" si="137"/>
        <v>4654.32</v>
      </c>
      <c r="N1106" s="1">
        <f t="shared" ca="1" si="142"/>
        <v>7</v>
      </c>
      <c r="P1106" s="1">
        <v>43.438609635632019</v>
      </c>
      <c r="Q1106" s="1">
        <f t="shared" ca="1" si="143"/>
        <v>15</v>
      </c>
      <c r="R1106" s="1">
        <v>6.1397293191112112</v>
      </c>
    </row>
    <row r="1107" spans="1:18" x14ac:dyDescent="0.3">
      <c r="A1107" s="26">
        <v>1106</v>
      </c>
      <c r="B1107" s="1">
        <v>17</v>
      </c>
      <c r="C1107" s="1">
        <f t="shared" si="139"/>
        <v>9</v>
      </c>
      <c r="D1107" s="21">
        <f t="shared" ca="1" si="138"/>
        <v>44656</v>
      </c>
      <c r="E1107" s="1" t="s">
        <v>26</v>
      </c>
      <c r="F1107" s="1" t="s">
        <v>1135</v>
      </c>
      <c r="G1107" s="1" t="s">
        <v>28</v>
      </c>
      <c r="H1107" s="1">
        <v>1205</v>
      </c>
      <c r="I1107" s="1">
        <f t="shared" si="140"/>
        <v>41</v>
      </c>
      <c r="J1107" s="1">
        <f>VLOOKUP(B1107,Cena!$A$2:$B$101,2)</f>
        <v>84</v>
      </c>
      <c r="K1107" s="1">
        <f t="shared" si="136"/>
        <v>3444</v>
      </c>
      <c r="L1107" s="1">
        <f t="shared" si="141"/>
        <v>792.12</v>
      </c>
      <c r="M1107" s="22">
        <f t="shared" si="137"/>
        <v>4236.12</v>
      </c>
      <c r="N1107" s="1">
        <f t="shared" ca="1" si="142"/>
        <v>4</v>
      </c>
      <c r="P1107" s="1">
        <v>41.676736499357503</v>
      </c>
      <c r="Q1107" s="1">
        <f t="shared" ca="1" si="143"/>
        <v>21</v>
      </c>
      <c r="R1107" s="1">
        <v>9.8335880491140415</v>
      </c>
    </row>
    <row r="1108" spans="1:18" x14ac:dyDescent="0.3">
      <c r="A1108" s="26">
        <v>1107</v>
      </c>
      <c r="B1108" s="1">
        <v>27</v>
      </c>
      <c r="C1108" s="1">
        <f t="shared" si="139"/>
        <v>10</v>
      </c>
      <c r="D1108" s="21">
        <f t="shared" ca="1" si="138"/>
        <v>44756</v>
      </c>
      <c r="E1108" s="1" t="s">
        <v>26</v>
      </c>
      <c r="F1108" s="1" t="s">
        <v>1136</v>
      </c>
      <c r="G1108" s="1" t="s">
        <v>28</v>
      </c>
      <c r="H1108" s="1">
        <v>1206</v>
      </c>
      <c r="I1108" s="1">
        <f t="shared" si="140"/>
        <v>55</v>
      </c>
      <c r="J1108" s="1">
        <f>VLOOKUP(B1108,Cena!$A$2:$B$101,2)</f>
        <v>87</v>
      </c>
      <c r="K1108" s="1">
        <f t="shared" si="136"/>
        <v>4785</v>
      </c>
      <c r="L1108" s="1">
        <f t="shared" si="141"/>
        <v>1100.55</v>
      </c>
      <c r="M1108" s="22">
        <f t="shared" si="137"/>
        <v>5885.55</v>
      </c>
      <c r="N1108" s="1">
        <f t="shared" ca="1" si="142"/>
        <v>7</v>
      </c>
      <c r="P1108" s="1">
        <v>55.556535143114161</v>
      </c>
      <c r="Q1108" s="1">
        <f t="shared" ca="1" si="143"/>
        <v>21</v>
      </c>
      <c r="R1108" s="1">
        <v>10.264893174062308</v>
      </c>
    </row>
    <row r="1109" spans="1:18" x14ac:dyDescent="0.3">
      <c r="A1109" s="26">
        <v>1108</v>
      </c>
      <c r="B1109" s="1">
        <v>9</v>
      </c>
      <c r="C1109" s="1">
        <f t="shared" si="139"/>
        <v>15</v>
      </c>
      <c r="D1109" s="21">
        <f t="shared" ca="1" si="138"/>
        <v>44827</v>
      </c>
      <c r="E1109" s="1" t="s">
        <v>26</v>
      </c>
      <c r="F1109" s="1" t="s">
        <v>1137</v>
      </c>
      <c r="G1109" s="1" t="s">
        <v>28</v>
      </c>
      <c r="H1109" s="1">
        <v>1207</v>
      </c>
      <c r="I1109" s="1">
        <f t="shared" si="140"/>
        <v>50</v>
      </c>
      <c r="J1109" s="1">
        <f>VLOOKUP(B1109,Cena!$A$2:$B$101,2)</f>
        <v>96</v>
      </c>
      <c r="K1109" s="1">
        <f t="shared" si="136"/>
        <v>4800</v>
      </c>
      <c r="L1109" s="1">
        <f t="shared" si="141"/>
        <v>1104</v>
      </c>
      <c r="M1109" s="22">
        <f t="shared" si="137"/>
        <v>5904</v>
      </c>
      <c r="N1109" s="1">
        <f t="shared" ca="1" si="142"/>
        <v>9</v>
      </c>
      <c r="P1109" s="1">
        <v>50.590534909861162</v>
      </c>
      <c r="Q1109" s="1">
        <f t="shared" ca="1" si="143"/>
        <v>6</v>
      </c>
      <c r="R1109" s="1">
        <v>15.264610081212595</v>
      </c>
    </row>
    <row r="1110" spans="1:18" x14ac:dyDescent="0.3">
      <c r="A1110" s="26">
        <v>1109</v>
      </c>
      <c r="B1110" s="1">
        <v>6</v>
      </c>
      <c r="C1110" s="1">
        <f t="shared" si="139"/>
        <v>10</v>
      </c>
      <c r="D1110" s="21">
        <f t="shared" ca="1" si="138"/>
        <v>44667</v>
      </c>
      <c r="E1110" s="1" t="s">
        <v>26</v>
      </c>
      <c r="F1110" s="1" t="s">
        <v>1138</v>
      </c>
      <c r="G1110" s="1" t="s">
        <v>28</v>
      </c>
      <c r="H1110" s="1">
        <v>1208</v>
      </c>
      <c r="I1110" s="1">
        <f t="shared" si="140"/>
        <v>48</v>
      </c>
      <c r="J1110" s="1">
        <f>VLOOKUP(B1110,Cena!$A$2:$B$101,2)</f>
        <v>86</v>
      </c>
      <c r="K1110" s="1">
        <f t="shared" si="136"/>
        <v>4128</v>
      </c>
      <c r="L1110" s="1">
        <f t="shared" si="141"/>
        <v>949.44</v>
      </c>
      <c r="M1110" s="22">
        <f t="shared" si="137"/>
        <v>5077.4400000000005</v>
      </c>
      <c r="N1110" s="1">
        <f t="shared" ca="1" si="142"/>
        <v>4</v>
      </c>
      <c r="P1110" s="1">
        <v>48.150087776593864</v>
      </c>
      <c r="Q1110" s="1">
        <f t="shared" ca="1" si="143"/>
        <v>25</v>
      </c>
      <c r="R1110" s="1">
        <v>10.22991457626631</v>
      </c>
    </row>
    <row r="1111" spans="1:18" x14ac:dyDescent="0.3">
      <c r="A1111" s="26">
        <v>1110</v>
      </c>
      <c r="B1111" s="1">
        <v>19</v>
      </c>
      <c r="C1111" s="1">
        <f t="shared" si="139"/>
        <v>8</v>
      </c>
      <c r="D1111" s="21">
        <f t="shared" ca="1" si="138"/>
        <v>44614</v>
      </c>
      <c r="E1111" s="1" t="s">
        <v>26</v>
      </c>
      <c r="F1111" s="1" t="s">
        <v>1139</v>
      </c>
      <c r="G1111" s="1" t="s">
        <v>28</v>
      </c>
      <c r="H1111" s="1">
        <v>1209</v>
      </c>
      <c r="I1111" s="1">
        <f t="shared" si="140"/>
        <v>38</v>
      </c>
      <c r="J1111" s="1">
        <f>VLOOKUP(B1111,Cena!$A$2:$B$101,2)</f>
        <v>84</v>
      </c>
      <c r="K1111" s="1">
        <f t="shared" si="136"/>
        <v>3192</v>
      </c>
      <c r="L1111" s="1">
        <f t="shared" si="141"/>
        <v>734.16000000000008</v>
      </c>
      <c r="M1111" s="22">
        <f t="shared" si="137"/>
        <v>3926.16</v>
      </c>
      <c r="N1111" s="1">
        <f t="shared" ca="1" si="142"/>
        <v>2</v>
      </c>
      <c r="P1111" s="1">
        <v>38.927743288513739</v>
      </c>
      <c r="Q1111" s="1">
        <f t="shared" ca="1" si="143"/>
        <v>7</v>
      </c>
      <c r="R1111" s="1">
        <v>8.7415719715500018</v>
      </c>
    </row>
    <row r="1112" spans="1:18" x14ac:dyDescent="0.3">
      <c r="A1112" s="26">
        <v>1111</v>
      </c>
      <c r="B1112" s="1">
        <v>6</v>
      </c>
      <c r="C1112" s="1">
        <f t="shared" si="139"/>
        <v>4</v>
      </c>
      <c r="D1112" s="21">
        <f t="shared" ca="1" si="138"/>
        <v>44572</v>
      </c>
      <c r="E1112" s="1" t="s">
        <v>26</v>
      </c>
      <c r="F1112" s="1" t="s">
        <v>1140</v>
      </c>
      <c r="G1112" s="1" t="s">
        <v>28</v>
      </c>
      <c r="H1112" s="1">
        <v>1210</v>
      </c>
      <c r="I1112" s="1">
        <f t="shared" si="140"/>
        <v>65</v>
      </c>
      <c r="J1112" s="1">
        <f>VLOOKUP(B1112,Cena!$A$2:$B$101,2)</f>
        <v>86</v>
      </c>
      <c r="K1112" s="1">
        <f t="shared" si="136"/>
        <v>5590</v>
      </c>
      <c r="L1112" s="1">
        <f t="shared" si="141"/>
        <v>1285.7</v>
      </c>
      <c r="M1112" s="22">
        <f t="shared" si="137"/>
        <v>6875.7</v>
      </c>
      <c r="N1112" s="1">
        <f t="shared" ca="1" si="142"/>
        <v>1</v>
      </c>
      <c r="P1112" s="1">
        <v>65.451178114744835</v>
      </c>
      <c r="Q1112" s="1">
        <f t="shared" ca="1" si="143"/>
        <v>3</v>
      </c>
      <c r="R1112" s="1">
        <v>4.8776348901446909</v>
      </c>
    </row>
    <row r="1113" spans="1:18" x14ac:dyDescent="0.3">
      <c r="A1113" s="26">
        <v>1112</v>
      </c>
      <c r="B1113" s="1">
        <v>12</v>
      </c>
      <c r="C1113" s="1">
        <f t="shared" si="139"/>
        <v>8</v>
      </c>
      <c r="D1113" s="21">
        <f t="shared" ca="1" si="138"/>
        <v>44899</v>
      </c>
      <c r="E1113" s="1" t="s">
        <v>26</v>
      </c>
      <c r="F1113" s="1" t="s">
        <v>1141</v>
      </c>
      <c r="G1113" s="1" t="s">
        <v>28</v>
      </c>
      <c r="H1113" s="1">
        <v>1211</v>
      </c>
      <c r="I1113" s="1">
        <f t="shared" si="140"/>
        <v>55</v>
      </c>
      <c r="J1113" s="1">
        <f>VLOOKUP(B1113,Cena!$A$2:$B$101,2)</f>
        <v>88</v>
      </c>
      <c r="K1113" s="1">
        <f t="shared" si="136"/>
        <v>4840</v>
      </c>
      <c r="L1113" s="1">
        <f t="shared" si="141"/>
        <v>1113.2</v>
      </c>
      <c r="M1113" s="22">
        <f t="shared" si="137"/>
        <v>5953.2</v>
      </c>
      <c r="N1113" s="1">
        <f t="shared" ca="1" si="142"/>
        <v>12</v>
      </c>
      <c r="P1113" s="1">
        <v>55.573497219302226</v>
      </c>
      <c r="Q1113" s="1">
        <f t="shared" ca="1" si="143"/>
        <v>20</v>
      </c>
      <c r="R1113" s="1">
        <v>8.8968227171426406</v>
      </c>
    </row>
    <row r="1114" spans="1:18" x14ac:dyDescent="0.3">
      <c r="A1114" s="26">
        <v>1113</v>
      </c>
      <c r="B1114" s="1">
        <v>8</v>
      </c>
      <c r="C1114" s="1">
        <f t="shared" si="139"/>
        <v>15</v>
      </c>
      <c r="D1114" s="21">
        <f t="shared" ca="1" si="138"/>
        <v>44595</v>
      </c>
      <c r="E1114" s="1" t="s">
        <v>26</v>
      </c>
      <c r="F1114" s="1" t="s">
        <v>1142</v>
      </c>
      <c r="G1114" s="1" t="s">
        <v>28</v>
      </c>
      <c r="H1114" s="1">
        <v>1212</v>
      </c>
      <c r="I1114" s="1">
        <f t="shared" si="140"/>
        <v>48</v>
      </c>
      <c r="J1114" s="1">
        <f>VLOOKUP(B1114,Cena!$A$2:$B$101,2)</f>
        <v>88</v>
      </c>
      <c r="K1114" s="1">
        <f t="shared" si="136"/>
        <v>4224</v>
      </c>
      <c r="L1114" s="1">
        <f t="shared" si="141"/>
        <v>971.5200000000001</v>
      </c>
      <c r="M1114" s="22">
        <f t="shared" si="137"/>
        <v>5195.5200000000004</v>
      </c>
      <c r="N1114" s="1">
        <f t="shared" ca="1" si="142"/>
        <v>2</v>
      </c>
      <c r="P1114" s="1">
        <v>48.209978002705611</v>
      </c>
      <c r="Q1114" s="1">
        <f t="shared" ca="1" si="143"/>
        <v>22</v>
      </c>
      <c r="R1114" s="1">
        <v>15.745687303715385</v>
      </c>
    </row>
    <row r="1115" spans="1:18" x14ac:dyDescent="0.3">
      <c r="A1115" s="26">
        <v>1114</v>
      </c>
      <c r="B1115" s="1">
        <v>18</v>
      </c>
      <c r="C1115" s="1">
        <f t="shared" si="139"/>
        <v>14</v>
      </c>
      <c r="D1115" s="21">
        <f t="shared" ca="1" si="138"/>
        <v>44754</v>
      </c>
      <c r="E1115" s="1" t="s">
        <v>26</v>
      </c>
      <c r="F1115" s="1" t="s">
        <v>1143</v>
      </c>
      <c r="G1115" s="1" t="s">
        <v>28</v>
      </c>
      <c r="H1115" s="1">
        <v>1213</v>
      </c>
      <c r="I1115" s="1">
        <f t="shared" si="140"/>
        <v>62</v>
      </c>
      <c r="J1115" s="1">
        <f>VLOOKUP(B1115,Cena!$A$2:$B$101,2)</f>
        <v>90</v>
      </c>
      <c r="K1115" s="1">
        <f t="shared" si="136"/>
        <v>5580</v>
      </c>
      <c r="L1115" s="1">
        <f t="shared" si="141"/>
        <v>1283.4000000000001</v>
      </c>
      <c r="M1115" s="22">
        <f t="shared" si="137"/>
        <v>6863.4</v>
      </c>
      <c r="N1115" s="1">
        <f t="shared" ca="1" si="142"/>
        <v>7</v>
      </c>
      <c r="P1115" s="1">
        <v>62.000782589893788</v>
      </c>
      <c r="Q1115" s="1">
        <f t="shared" ca="1" si="143"/>
        <v>2</v>
      </c>
      <c r="R1115" s="1">
        <v>14.214155069348635</v>
      </c>
    </row>
    <row r="1116" spans="1:18" x14ac:dyDescent="0.3">
      <c r="A1116" s="26">
        <v>1115</v>
      </c>
      <c r="B1116" s="1">
        <v>23</v>
      </c>
      <c r="C1116" s="1">
        <f t="shared" si="139"/>
        <v>10</v>
      </c>
      <c r="D1116" s="21">
        <f t="shared" ca="1" si="138"/>
        <v>44886</v>
      </c>
      <c r="E1116" s="1" t="s">
        <v>26</v>
      </c>
      <c r="F1116" s="1" t="s">
        <v>1144</v>
      </c>
      <c r="G1116" s="1" t="s">
        <v>28</v>
      </c>
      <c r="H1116" s="1">
        <v>1214</v>
      </c>
      <c r="I1116" s="1">
        <f t="shared" si="140"/>
        <v>33</v>
      </c>
      <c r="J1116" s="1">
        <f>VLOOKUP(B1116,Cena!$A$2:$B$101,2)</f>
        <v>132</v>
      </c>
      <c r="K1116" s="1">
        <f t="shared" si="136"/>
        <v>4356</v>
      </c>
      <c r="L1116" s="1">
        <f t="shared" si="141"/>
        <v>1001.88</v>
      </c>
      <c r="M1116" s="22">
        <f t="shared" si="137"/>
        <v>5357.88</v>
      </c>
      <c r="N1116" s="1">
        <f t="shared" ca="1" si="142"/>
        <v>11</v>
      </c>
      <c r="P1116" s="1">
        <v>33.287307259161025</v>
      </c>
      <c r="Q1116" s="1">
        <f t="shared" ca="1" si="143"/>
        <v>10</v>
      </c>
      <c r="R1116" s="1">
        <v>10.685008672007825</v>
      </c>
    </row>
    <row r="1117" spans="1:18" x14ac:dyDescent="0.3">
      <c r="A1117" s="26">
        <v>1116</v>
      </c>
      <c r="B1117" s="1">
        <v>9</v>
      </c>
      <c r="C1117" s="1">
        <f t="shared" si="139"/>
        <v>9</v>
      </c>
      <c r="D1117" s="21">
        <f t="shared" ca="1" si="138"/>
        <v>44570</v>
      </c>
      <c r="E1117" s="1" t="s">
        <v>26</v>
      </c>
      <c r="F1117" s="1" t="s">
        <v>1145</v>
      </c>
      <c r="G1117" s="1" t="s">
        <v>28</v>
      </c>
      <c r="H1117" s="1">
        <v>1215</v>
      </c>
      <c r="I1117" s="1">
        <f t="shared" si="140"/>
        <v>47</v>
      </c>
      <c r="J1117" s="1">
        <f>VLOOKUP(B1117,Cena!$A$2:$B$101,2)</f>
        <v>96</v>
      </c>
      <c r="K1117" s="1">
        <f t="shared" si="136"/>
        <v>4512</v>
      </c>
      <c r="L1117" s="1">
        <f t="shared" si="141"/>
        <v>1037.76</v>
      </c>
      <c r="M1117" s="22">
        <f t="shared" si="137"/>
        <v>5549.76</v>
      </c>
      <c r="N1117" s="1">
        <f t="shared" ca="1" si="142"/>
        <v>1</v>
      </c>
      <c r="P1117" s="1">
        <v>47.425584297161549</v>
      </c>
      <c r="Q1117" s="1">
        <f t="shared" ca="1" si="143"/>
        <v>15</v>
      </c>
      <c r="R1117" s="1">
        <v>9.1032154866843484</v>
      </c>
    </row>
    <row r="1118" spans="1:18" x14ac:dyDescent="0.3">
      <c r="A1118" s="26">
        <v>1117</v>
      </c>
      <c r="B1118" s="1">
        <v>12</v>
      </c>
      <c r="C1118" s="1">
        <f t="shared" si="139"/>
        <v>9</v>
      </c>
      <c r="D1118" s="21">
        <f t="shared" ca="1" si="138"/>
        <v>44735</v>
      </c>
      <c r="E1118" s="1" t="s">
        <v>26</v>
      </c>
      <c r="F1118" s="1" t="s">
        <v>1146</v>
      </c>
      <c r="G1118" s="1" t="s">
        <v>28</v>
      </c>
      <c r="H1118" s="1">
        <v>1216</v>
      </c>
      <c r="I1118" s="1">
        <f t="shared" si="140"/>
        <v>32</v>
      </c>
      <c r="J1118" s="1">
        <f>VLOOKUP(B1118,Cena!$A$2:$B$101,2)</f>
        <v>88</v>
      </c>
      <c r="K1118" s="1">
        <f t="shared" si="136"/>
        <v>2816</v>
      </c>
      <c r="L1118" s="1">
        <f t="shared" si="141"/>
        <v>647.68000000000006</v>
      </c>
      <c r="M1118" s="22">
        <f t="shared" si="137"/>
        <v>3463.6800000000003</v>
      </c>
      <c r="N1118" s="1">
        <f t="shared" ca="1" si="142"/>
        <v>6</v>
      </c>
      <c r="P1118" s="1">
        <v>32.794361130800098</v>
      </c>
      <c r="Q1118" s="1">
        <f t="shared" ca="1" si="143"/>
        <v>4</v>
      </c>
      <c r="R1118" s="1">
        <v>9.2789781799729099</v>
      </c>
    </row>
    <row r="1119" spans="1:18" x14ac:dyDescent="0.3">
      <c r="A1119" s="26">
        <v>1118</v>
      </c>
      <c r="B1119" s="1">
        <v>11</v>
      </c>
      <c r="C1119" s="1">
        <f t="shared" si="139"/>
        <v>11</v>
      </c>
      <c r="D1119" s="21">
        <f t="shared" ca="1" si="138"/>
        <v>44765</v>
      </c>
      <c r="E1119" s="1" t="s">
        <v>26</v>
      </c>
      <c r="F1119" s="1" t="s">
        <v>1147</v>
      </c>
      <c r="G1119" s="1" t="s">
        <v>28</v>
      </c>
      <c r="H1119" s="1">
        <v>1217</v>
      </c>
      <c r="I1119" s="1">
        <f t="shared" si="140"/>
        <v>61</v>
      </c>
      <c r="J1119" s="1">
        <f>VLOOKUP(B1119,Cena!$A$2:$B$101,2)</f>
        <v>83</v>
      </c>
      <c r="K1119" s="1">
        <f t="shared" ref="K1119:K1182" si="144">I1119*J1119</f>
        <v>5063</v>
      </c>
      <c r="L1119" s="1">
        <f t="shared" si="141"/>
        <v>1164.49</v>
      </c>
      <c r="M1119" s="22">
        <f t="shared" ref="M1119:M1182" si="145">K1119+L1119</f>
        <v>6227.49</v>
      </c>
      <c r="N1119" s="1">
        <f t="shared" ca="1" si="142"/>
        <v>7</v>
      </c>
      <c r="P1119" s="1">
        <v>61.756037565646693</v>
      </c>
      <c r="Q1119" s="1">
        <f t="shared" ca="1" si="143"/>
        <v>17</v>
      </c>
      <c r="R1119" s="1">
        <v>11.234172941622091</v>
      </c>
    </row>
    <row r="1120" spans="1:18" x14ac:dyDescent="0.3">
      <c r="A1120" s="26">
        <v>1119</v>
      </c>
      <c r="B1120" s="1">
        <v>2</v>
      </c>
      <c r="C1120" s="1">
        <f t="shared" si="139"/>
        <v>9</v>
      </c>
      <c r="D1120" s="21">
        <f t="shared" ca="1" si="138"/>
        <v>44781</v>
      </c>
      <c r="E1120" s="1" t="s">
        <v>26</v>
      </c>
      <c r="F1120" s="1" t="s">
        <v>1148</v>
      </c>
      <c r="G1120" s="1" t="s">
        <v>28</v>
      </c>
      <c r="H1120" s="1">
        <v>1218</v>
      </c>
      <c r="I1120" s="1">
        <f t="shared" si="140"/>
        <v>68</v>
      </c>
      <c r="J1120" s="1">
        <f>VLOOKUP(B1120,Cena!$A$2:$B$101,2)</f>
        <v>121</v>
      </c>
      <c r="K1120" s="1">
        <f t="shared" si="144"/>
        <v>8228</v>
      </c>
      <c r="L1120" s="1">
        <f t="shared" si="141"/>
        <v>1892.44</v>
      </c>
      <c r="M1120" s="22">
        <f t="shared" si="145"/>
        <v>10120.44</v>
      </c>
      <c r="N1120" s="1">
        <f t="shared" ca="1" si="142"/>
        <v>8</v>
      </c>
      <c r="P1120" s="1">
        <v>68.653281586011872</v>
      </c>
      <c r="Q1120" s="1">
        <f t="shared" ca="1" si="143"/>
        <v>16</v>
      </c>
      <c r="R1120" s="1">
        <v>9.6452942241376149</v>
      </c>
    </row>
    <row r="1121" spans="1:18" x14ac:dyDescent="0.3">
      <c r="A1121" s="26">
        <v>1120</v>
      </c>
      <c r="B1121" s="1">
        <v>5</v>
      </c>
      <c r="C1121" s="1">
        <f t="shared" si="139"/>
        <v>8</v>
      </c>
      <c r="D1121" s="21">
        <f t="shared" ca="1" si="138"/>
        <v>44623</v>
      </c>
      <c r="E1121" s="1" t="s">
        <v>26</v>
      </c>
      <c r="F1121" s="1" t="s">
        <v>1149</v>
      </c>
      <c r="G1121" s="1" t="s">
        <v>28</v>
      </c>
      <c r="H1121" s="1">
        <v>1219</v>
      </c>
      <c r="I1121" s="1">
        <f t="shared" si="140"/>
        <v>54</v>
      </c>
      <c r="J1121" s="1">
        <f>VLOOKUP(B1121,Cena!$A$2:$B$101,2)</f>
        <v>91</v>
      </c>
      <c r="K1121" s="1">
        <f t="shared" si="144"/>
        <v>4914</v>
      </c>
      <c r="L1121" s="1">
        <f t="shared" si="141"/>
        <v>1130.22</v>
      </c>
      <c r="M1121" s="22">
        <f t="shared" si="145"/>
        <v>6044.22</v>
      </c>
      <c r="N1121" s="1">
        <f t="shared" ca="1" si="142"/>
        <v>3</v>
      </c>
      <c r="P1121" s="1">
        <v>54.246362550475169</v>
      </c>
      <c r="Q1121" s="1">
        <f t="shared" ca="1" si="143"/>
        <v>19</v>
      </c>
      <c r="R1121" s="1">
        <v>8.4128862706711516</v>
      </c>
    </row>
    <row r="1122" spans="1:18" x14ac:dyDescent="0.3">
      <c r="A1122" s="26">
        <v>1121</v>
      </c>
      <c r="B1122" s="1">
        <v>5</v>
      </c>
      <c r="C1122" s="1">
        <f t="shared" si="139"/>
        <v>12</v>
      </c>
      <c r="D1122" s="21">
        <f t="shared" ca="1" si="138"/>
        <v>44617</v>
      </c>
      <c r="E1122" s="1" t="s">
        <v>26</v>
      </c>
      <c r="F1122" s="1" t="s">
        <v>1150</v>
      </c>
      <c r="G1122" s="1" t="s">
        <v>28</v>
      </c>
      <c r="H1122" s="1">
        <v>1220</v>
      </c>
      <c r="I1122" s="1">
        <f t="shared" si="140"/>
        <v>62</v>
      </c>
      <c r="J1122" s="1">
        <f>VLOOKUP(B1122,Cena!$A$2:$B$101,2)</f>
        <v>91</v>
      </c>
      <c r="K1122" s="1">
        <f t="shared" si="144"/>
        <v>5642</v>
      </c>
      <c r="L1122" s="1">
        <f t="shared" si="141"/>
        <v>1297.6600000000001</v>
      </c>
      <c r="M1122" s="22">
        <f t="shared" si="145"/>
        <v>6939.66</v>
      </c>
      <c r="N1122" s="1">
        <f t="shared" ca="1" si="142"/>
        <v>2</v>
      </c>
      <c r="P1122" s="1">
        <v>62.626014722627588</v>
      </c>
      <c r="Q1122" s="1">
        <f t="shared" ca="1" si="143"/>
        <v>23</v>
      </c>
      <c r="R1122" s="1">
        <v>12.580651425887481</v>
      </c>
    </row>
    <row r="1123" spans="1:18" x14ac:dyDescent="0.3">
      <c r="A1123" s="26">
        <v>1122</v>
      </c>
      <c r="B1123" s="1">
        <v>24</v>
      </c>
      <c r="C1123" s="1">
        <f t="shared" si="139"/>
        <v>10</v>
      </c>
      <c r="D1123" s="21">
        <f t="shared" ca="1" si="138"/>
        <v>44625</v>
      </c>
      <c r="E1123" s="1" t="s">
        <v>26</v>
      </c>
      <c r="F1123" s="1" t="s">
        <v>1151</v>
      </c>
      <c r="G1123" s="1" t="s">
        <v>28</v>
      </c>
      <c r="H1123" s="1">
        <v>1221</v>
      </c>
      <c r="I1123" s="1">
        <f t="shared" si="140"/>
        <v>38</v>
      </c>
      <c r="J1123" s="1">
        <f>VLOOKUP(B1123,Cena!$A$2:$B$101,2)</f>
        <v>125</v>
      </c>
      <c r="K1123" s="1">
        <f t="shared" si="144"/>
        <v>4750</v>
      </c>
      <c r="L1123" s="1">
        <f t="shared" si="141"/>
        <v>1092.5</v>
      </c>
      <c r="M1123" s="22">
        <f t="shared" si="145"/>
        <v>5842.5</v>
      </c>
      <c r="N1123" s="1">
        <f t="shared" ca="1" si="142"/>
        <v>3</v>
      </c>
      <c r="P1123" s="1">
        <v>38.735066835943144</v>
      </c>
      <c r="Q1123" s="1">
        <f t="shared" ca="1" si="143"/>
        <v>12</v>
      </c>
      <c r="R1123" s="1">
        <v>10.552677192899864</v>
      </c>
    </row>
    <row r="1124" spans="1:18" x14ac:dyDescent="0.3">
      <c r="A1124" s="26">
        <v>1123</v>
      </c>
      <c r="B1124" s="1">
        <v>17</v>
      </c>
      <c r="C1124" s="1">
        <f t="shared" si="139"/>
        <v>9</v>
      </c>
      <c r="D1124" s="21">
        <f t="shared" ca="1" si="138"/>
        <v>44878</v>
      </c>
      <c r="E1124" s="1" t="s">
        <v>26</v>
      </c>
      <c r="F1124" s="1" t="s">
        <v>1152</v>
      </c>
      <c r="G1124" s="1" t="s">
        <v>28</v>
      </c>
      <c r="H1124" s="1">
        <v>1222</v>
      </c>
      <c r="I1124" s="1">
        <f t="shared" si="140"/>
        <v>49</v>
      </c>
      <c r="J1124" s="1">
        <f>VLOOKUP(B1124,Cena!$A$2:$B$101,2)</f>
        <v>84</v>
      </c>
      <c r="K1124" s="1">
        <f t="shared" si="144"/>
        <v>4116</v>
      </c>
      <c r="L1124" s="1">
        <f t="shared" si="141"/>
        <v>946.68000000000006</v>
      </c>
      <c r="M1124" s="22">
        <f t="shared" si="145"/>
        <v>5062.68</v>
      </c>
      <c r="N1124" s="1">
        <f t="shared" ca="1" si="142"/>
        <v>11</v>
      </c>
      <c r="P1124" s="1">
        <v>49.534338712692261</v>
      </c>
      <c r="Q1124" s="1">
        <f t="shared" ca="1" si="143"/>
        <v>14</v>
      </c>
      <c r="R1124" s="1">
        <v>9.9700690977988415</v>
      </c>
    </row>
    <row r="1125" spans="1:18" x14ac:dyDescent="0.3">
      <c r="A1125" s="26">
        <v>1124</v>
      </c>
      <c r="B1125" s="1">
        <v>2</v>
      </c>
      <c r="C1125" s="1">
        <f t="shared" si="139"/>
        <v>6</v>
      </c>
      <c r="D1125" s="21">
        <f t="shared" ca="1" si="138"/>
        <v>44799</v>
      </c>
      <c r="E1125" s="1" t="s">
        <v>26</v>
      </c>
      <c r="F1125" s="1" t="s">
        <v>1153</v>
      </c>
      <c r="G1125" s="1" t="s">
        <v>28</v>
      </c>
      <c r="H1125" s="1">
        <v>1223</v>
      </c>
      <c r="I1125" s="1">
        <f t="shared" si="140"/>
        <v>43</v>
      </c>
      <c r="J1125" s="1">
        <f>VLOOKUP(B1125,Cena!$A$2:$B$101,2)</f>
        <v>121</v>
      </c>
      <c r="K1125" s="1">
        <f t="shared" si="144"/>
        <v>5203</v>
      </c>
      <c r="L1125" s="1">
        <f t="shared" si="141"/>
        <v>1196.69</v>
      </c>
      <c r="M1125" s="22">
        <f t="shared" si="145"/>
        <v>6399.6900000000005</v>
      </c>
      <c r="N1125" s="1">
        <f t="shared" ca="1" si="142"/>
        <v>8</v>
      </c>
      <c r="P1125" s="1">
        <v>43.205324244627263</v>
      </c>
      <c r="Q1125" s="1">
        <f t="shared" ca="1" si="143"/>
        <v>27</v>
      </c>
      <c r="R1125" s="1">
        <v>6.0748141347721685</v>
      </c>
    </row>
    <row r="1126" spans="1:18" x14ac:dyDescent="0.3">
      <c r="A1126" s="26">
        <v>1125</v>
      </c>
      <c r="B1126" s="1">
        <v>14</v>
      </c>
      <c r="C1126" s="1">
        <f t="shared" si="139"/>
        <v>5</v>
      </c>
      <c r="D1126" s="21">
        <f t="shared" ca="1" si="138"/>
        <v>44701</v>
      </c>
      <c r="E1126" s="1" t="s">
        <v>26</v>
      </c>
      <c r="F1126" s="1" t="s">
        <v>1154</v>
      </c>
      <c r="G1126" s="1" t="s">
        <v>28</v>
      </c>
      <c r="H1126" s="1">
        <v>1224</v>
      </c>
      <c r="I1126" s="1">
        <f t="shared" si="140"/>
        <v>34</v>
      </c>
      <c r="J1126" s="1">
        <f>VLOOKUP(B1126,Cena!$A$2:$B$101,2)</f>
        <v>129</v>
      </c>
      <c r="K1126" s="1">
        <f t="shared" si="144"/>
        <v>4386</v>
      </c>
      <c r="L1126" s="1">
        <f t="shared" si="141"/>
        <v>1008.7800000000001</v>
      </c>
      <c r="M1126" s="22">
        <f t="shared" si="145"/>
        <v>5394.78</v>
      </c>
      <c r="N1126" s="1">
        <f t="shared" ca="1" si="142"/>
        <v>5</v>
      </c>
      <c r="P1126" s="1">
        <v>34.044916345737875</v>
      </c>
      <c r="Q1126" s="1">
        <f t="shared" ca="1" si="143"/>
        <v>7</v>
      </c>
      <c r="R1126" s="1">
        <v>5.7161207930766977</v>
      </c>
    </row>
    <row r="1127" spans="1:18" x14ac:dyDescent="0.3">
      <c r="A1127" s="26">
        <v>1126</v>
      </c>
      <c r="B1127" s="1">
        <v>9</v>
      </c>
      <c r="C1127" s="1">
        <f t="shared" si="139"/>
        <v>14</v>
      </c>
      <c r="D1127" s="21">
        <f t="shared" ca="1" si="138"/>
        <v>44674</v>
      </c>
      <c r="E1127" s="1" t="s">
        <v>26</v>
      </c>
      <c r="F1127" s="1" t="s">
        <v>1155</v>
      </c>
      <c r="G1127" s="1" t="s">
        <v>28</v>
      </c>
      <c r="H1127" s="1">
        <v>1225</v>
      </c>
      <c r="I1127" s="1">
        <f t="shared" si="140"/>
        <v>36</v>
      </c>
      <c r="J1127" s="1">
        <f>VLOOKUP(B1127,Cena!$A$2:$B$101,2)</f>
        <v>96</v>
      </c>
      <c r="K1127" s="1">
        <f t="shared" si="144"/>
        <v>3456</v>
      </c>
      <c r="L1127" s="1">
        <f t="shared" si="141"/>
        <v>794.88</v>
      </c>
      <c r="M1127" s="22">
        <f t="shared" si="145"/>
        <v>4250.88</v>
      </c>
      <c r="N1127" s="1">
        <f t="shared" ca="1" si="142"/>
        <v>4</v>
      </c>
      <c r="P1127" s="1">
        <v>36.941247698268853</v>
      </c>
      <c r="Q1127" s="1">
        <f t="shared" ca="1" si="143"/>
        <v>19</v>
      </c>
      <c r="R1127" s="1">
        <v>14.623598215403035</v>
      </c>
    </row>
    <row r="1128" spans="1:18" x14ac:dyDescent="0.3">
      <c r="A1128" s="26">
        <v>1127</v>
      </c>
      <c r="B1128" s="1">
        <v>9</v>
      </c>
      <c r="C1128" s="1">
        <f t="shared" si="139"/>
        <v>9</v>
      </c>
      <c r="D1128" s="21">
        <f t="shared" ca="1" si="138"/>
        <v>44674</v>
      </c>
      <c r="E1128" s="1" t="s">
        <v>26</v>
      </c>
      <c r="F1128" s="1" t="s">
        <v>1156</v>
      </c>
      <c r="G1128" s="1" t="s">
        <v>28</v>
      </c>
      <c r="H1128" s="1">
        <v>1226</v>
      </c>
      <c r="I1128" s="1">
        <f t="shared" si="140"/>
        <v>56</v>
      </c>
      <c r="J1128" s="1">
        <f>VLOOKUP(B1128,Cena!$A$2:$B$101,2)</f>
        <v>96</v>
      </c>
      <c r="K1128" s="1">
        <f t="shared" si="144"/>
        <v>5376</v>
      </c>
      <c r="L1128" s="1">
        <f t="shared" si="141"/>
        <v>1236.48</v>
      </c>
      <c r="M1128" s="22">
        <f t="shared" si="145"/>
        <v>6612.48</v>
      </c>
      <c r="N1128" s="1">
        <f t="shared" ca="1" si="142"/>
        <v>4</v>
      </c>
      <c r="P1128" s="1">
        <v>56.342838787531946</v>
      </c>
      <c r="Q1128" s="1">
        <f t="shared" ca="1" si="143"/>
        <v>10</v>
      </c>
      <c r="R1128" s="1">
        <v>9.032485220595845</v>
      </c>
    </row>
    <row r="1129" spans="1:18" x14ac:dyDescent="0.3">
      <c r="A1129" s="26">
        <v>1128</v>
      </c>
      <c r="B1129" s="1">
        <v>7</v>
      </c>
      <c r="C1129" s="1">
        <f t="shared" si="139"/>
        <v>12</v>
      </c>
      <c r="D1129" s="21">
        <f t="shared" ca="1" si="138"/>
        <v>44762</v>
      </c>
      <c r="E1129" s="1" t="s">
        <v>26</v>
      </c>
      <c r="F1129" s="1" t="s">
        <v>1157</v>
      </c>
      <c r="G1129" s="1" t="s">
        <v>28</v>
      </c>
      <c r="H1129" s="1">
        <v>1227</v>
      </c>
      <c r="I1129" s="1">
        <f t="shared" si="140"/>
        <v>52</v>
      </c>
      <c r="J1129" s="1">
        <f>VLOOKUP(B1129,Cena!$A$2:$B$101,2)</f>
        <v>104</v>
      </c>
      <c r="K1129" s="1">
        <f t="shared" si="144"/>
        <v>5408</v>
      </c>
      <c r="L1129" s="1">
        <f t="shared" si="141"/>
        <v>1243.8400000000001</v>
      </c>
      <c r="M1129" s="22">
        <f t="shared" si="145"/>
        <v>6651.84</v>
      </c>
      <c r="N1129" s="1">
        <f t="shared" ca="1" si="142"/>
        <v>7</v>
      </c>
      <c r="P1129" s="1">
        <v>52.202091309300158</v>
      </c>
      <c r="Q1129" s="1">
        <f t="shared" ca="1" si="143"/>
        <v>21</v>
      </c>
      <c r="R1129" s="1">
        <v>12.659140818650485</v>
      </c>
    </row>
    <row r="1130" spans="1:18" x14ac:dyDescent="0.3">
      <c r="A1130" s="26">
        <v>1129</v>
      </c>
      <c r="B1130" s="1">
        <v>11</v>
      </c>
      <c r="C1130" s="1">
        <f t="shared" si="139"/>
        <v>10</v>
      </c>
      <c r="D1130" s="21">
        <f t="shared" ca="1" si="138"/>
        <v>44645</v>
      </c>
      <c r="E1130" s="1" t="s">
        <v>26</v>
      </c>
      <c r="F1130" s="1" t="s">
        <v>1158</v>
      </c>
      <c r="G1130" s="1" t="s">
        <v>28</v>
      </c>
      <c r="H1130" s="1">
        <v>1228</v>
      </c>
      <c r="I1130" s="1">
        <f t="shared" si="140"/>
        <v>31</v>
      </c>
      <c r="J1130" s="1">
        <f>VLOOKUP(B1130,Cena!$A$2:$B$101,2)</f>
        <v>83</v>
      </c>
      <c r="K1130" s="1">
        <f t="shared" si="144"/>
        <v>2573</v>
      </c>
      <c r="L1130" s="1">
        <f t="shared" si="141"/>
        <v>591.79000000000008</v>
      </c>
      <c r="M1130" s="22">
        <f t="shared" si="145"/>
        <v>3164.79</v>
      </c>
      <c r="N1130" s="1">
        <f t="shared" ca="1" si="142"/>
        <v>3</v>
      </c>
      <c r="P1130" s="1">
        <v>31.087876221863553</v>
      </c>
      <c r="Q1130" s="1">
        <f t="shared" ca="1" si="143"/>
        <v>9</v>
      </c>
      <c r="R1130" s="1">
        <v>10.191337790056423</v>
      </c>
    </row>
    <row r="1131" spans="1:18" x14ac:dyDescent="0.3">
      <c r="A1131" s="26">
        <v>1130</v>
      </c>
      <c r="B1131" s="1">
        <v>5</v>
      </c>
      <c r="C1131" s="1">
        <f t="shared" si="139"/>
        <v>14</v>
      </c>
      <c r="D1131" s="21">
        <f t="shared" ca="1" si="138"/>
        <v>44633</v>
      </c>
      <c r="E1131" s="1" t="s">
        <v>26</v>
      </c>
      <c r="F1131" s="1" t="s">
        <v>1159</v>
      </c>
      <c r="G1131" s="1" t="s">
        <v>28</v>
      </c>
      <c r="H1131" s="1">
        <v>1229</v>
      </c>
      <c r="I1131" s="1">
        <f t="shared" si="140"/>
        <v>44</v>
      </c>
      <c r="J1131" s="1">
        <f>VLOOKUP(B1131,Cena!$A$2:$B$101,2)</f>
        <v>91</v>
      </c>
      <c r="K1131" s="1">
        <f t="shared" si="144"/>
        <v>4004</v>
      </c>
      <c r="L1131" s="1">
        <f t="shared" si="141"/>
        <v>920.92000000000007</v>
      </c>
      <c r="M1131" s="22">
        <f t="shared" si="145"/>
        <v>4924.92</v>
      </c>
      <c r="N1131" s="1">
        <f t="shared" ca="1" si="142"/>
        <v>3</v>
      </c>
      <c r="P1131" s="1">
        <v>44.270342540403362</v>
      </c>
      <c r="Q1131" s="1">
        <f t="shared" ca="1" si="143"/>
        <v>24</v>
      </c>
      <c r="R1131" s="1">
        <v>14.843946044275071</v>
      </c>
    </row>
    <row r="1132" spans="1:18" x14ac:dyDescent="0.3">
      <c r="A1132" s="26">
        <v>1131</v>
      </c>
      <c r="B1132" s="1">
        <v>16</v>
      </c>
      <c r="C1132" s="1">
        <f t="shared" si="139"/>
        <v>10</v>
      </c>
      <c r="D1132" s="21">
        <f t="shared" ca="1" si="138"/>
        <v>44830</v>
      </c>
      <c r="E1132" s="1" t="s">
        <v>26</v>
      </c>
      <c r="F1132" s="1" t="s">
        <v>1160</v>
      </c>
      <c r="G1132" s="1" t="s">
        <v>28</v>
      </c>
      <c r="H1132" s="1">
        <v>1230</v>
      </c>
      <c r="I1132" s="1">
        <f t="shared" si="140"/>
        <v>52</v>
      </c>
      <c r="J1132" s="1">
        <f>VLOOKUP(B1132,Cena!$A$2:$B$101,2)</f>
        <v>93</v>
      </c>
      <c r="K1132" s="1">
        <f t="shared" si="144"/>
        <v>4836</v>
      </c>
      <c r="L1132" s="1">
        <f t="shared" si="141"/>
        <v>1112.28</v>
      </c>
      <c r="M1132" s="22">
        <f t="shared" si="145"/>
        <v>5948.28</v>
      </c>
      <c r="N1132" s="1">
        <f t="shared" ca="1" si="142"/>
        <v>9</v>
      </c>
      <c r="P1132" s="1">
        <v>52.67339146375889</v>
      </c>
      <c r="Q1132" s="1">
        <f t="shared" ca="1" si="143"/>
        <v>29</v>
      </c>
      <c r="R1132" s="1">
        <v>10.604342176302453</v>
      </c>
    </row>
    <row r="1133" spans="1:18" x14ac:dyDescent="0.3">
      <c r="A1133" s="26">
        <v>1132</v>
      </c>
      <c r="B1133" s="1">
        <v>28</v>
      </c>
      <c r="C1133" s="1">
        <f t="shared" si="139"/>
        <v>8</v>
      </c>
      <c r="D1133" s="21">
        <f t="shared" ca="1" si="138"/>
        <v>44921</v>
      </c>
      <c r="E1133" s="1" t="s">
        <v>26</v>
      </c>
      <c r="F1133" s="1" t="s">
        <v>1161</v>
      </c>
      <c r="G1133" s="1" t="s">
        <v>28</v>
      </c>
      <c r="H1133" s="1">
        <v>1231</v>
      </c>
      <c r="I1133" s="1">
        <f t="shared" si="140"/>
        <v>47</v>
      </c>
      <c r="J1133" s="1">
        <f>VLOOKUP(B1133,Cena!$A$2:$B$101,2)</f>
        <v>59</v>
      </c>
      <c r="K1133" s="1">
        <f t="shared" si="144"/>
        <v>2773</v>
      </c>
      <c r="L1133" s="1">
        <f t="shared" si="141"/>
        <v>637.79000000000008</v>
      </c>
      <c r="M1133" s="22">
        <f t="shared" si="145"/>
        <v>3410.79</v>
      </c>
      <c r="N1133" s="1">
        <f t="shared" ca="1" si="142"/>
        <v>12</v>
      </c>
      <c r="P1133" s="1">
        <v>47.720260580535978</v>
      </c>
      <c r="Q1133" s="1">
        <f t="shared" ca="1" si="143"/>
        <v>2</v>
      </c>
      <c r="R1133" s="1">
        <v>8.8904960446234327</v>
      </c>
    </row>
    <row r="1134" spans="1:18" x14ac:dyDescent="0.3">
      <c r="A1134" s="26">
        <v>1133</v>
      </c>
      <c r="B1134" s="1">
        <v>2</v>
      </c>
      <c r="C1134" s="1">
        <f t="shared" si="139"/>
        <v>9</v>
      </c>
      <c r="D1134" s="21">
        <f t="shared" ca="1" si="138"/>
        <v>44728</v>
      </c>
      <c r="E1134" s="1" t="s">
        <v>26</v>
      </c>
      <c r="F1134" s="1" t="s">
        <v>1162</v>
      </c>
      <c r="G1134" s="1" t="s">
        <v>28</v>
      </c>
      <c r="H1134" s="1">
        <v>1232</v>
      </c>
      <c r="I1134" s="1">
        <f t="shared" si="140"/>
        <v>38</v>
      </c>
      <c r="J1134" s="1">
        <f>VLOOKUP(B1134,Cena!$A$2:$B$101,2)</f>
        <v>121</v>
      </c>
      <c r="K1134" s="1">
        <f t="shared" si="144"/>
        <v>4598</v>
      </c>
      <c r="L1134" s="1">
        <f t="shared" si="141"/>
        <v>1057.54</v>
      </c>
      <c r="M1134" s="22">
        <f t="shared" si="145"/>
        <v>5655.54</v>
      </c>
      <c r="N1134" s="1">
        <f t="shared" ca="1" si="142"/>
        <v>6</v>
      </c>
      <c r="P1134" s="1">
        <v>38.035301612399053</v>
      </c>
      <c r="Q1134" s="1">
        <f t="shared" ca="1" si="143"/>
        <v>5</v>
      </c>
      <c r="R1134" s="1">
        <v>9.8468126705120085</v>
      </c>
    </row>
    <row r="1135" spans="1:18" x14ac:dyDescent="0.3">
      <c r="A1135" s="26">
        <v>1134</v>
      </c>
      <c r="B1135" s="1">
        <v>19</v>
      </c>
      <c r="C1135" s="1">
        <f t="shared" si="139"/>
        <v>6</v>
      </c>
      <c r="D1135" s="21">
        <f t="shared" ca="1" si="138"/>
        <v>44866</v>
      </c>
      <c r="E1135" s="1" t="s">
        <v>26</v>
      </c>
      <c r="F1135" s="1" t="s">
        <v>1163</v>
      </c>
      <c r="G1135" s="1" t="s">
        <v>28</v>
      </c>
      <c r="H1135" s="1">
        <v>1233</v>
      </c>
      <c r="I1135" s="1">
        <f t="shared" si="140"/>
        <v>60</v>
      </c>
      <c r="J1135" s="1">
        <f>VLOOKUP(B1135,Cena!$A$2:$B$101,2)</f>
        <v>84</v>
      </c>
      <c r="K1135" s="1">
        <f t="shared" si="144"/>
        <v>5040</v>
      </c>
      <c r="L1135" s="1">
        <f t="shared" si="141"/>
        <v>1159.2</v>
      </c>
      <c r="M1135" s="22">
        <f t="shared" si="145"/>
        <v>6199.2</v>
      </c>
      <c r="N1135" s="1">
        <f t="shared" ca="1" si="142"/>
        <v>11</v>
      </c>
      <c r="P1135" s="1">
        <v>60.225357982562855</v>
      </c>
      <c r="Q1135" s="1">
        <f t="shared" ca="1" si="143"/>
        <v>30</v>
      </c>
      <c r="R1135" s="1">
        <v>6.2998685987258796</v>
      </c>
    </row>
    <row r="1136" spans="1:18" x14ac:dyDescent="0.3">
      <c r="A1136" s="26">
        <v>1135</v>
      </c>
      <c r="B1136" s="1">
        <v>12</v>
      </c>
      <c r="C1136" s="1">
        <f t="shared" si="139"/>
        <v>9</v>
      </c>
      <c r="D1136" s="21">
        <f t="shared" ca="1" si="138"/>
        <v>44637</v>
      </c>
      <c r="E1136" s="1" t="s">
        <v>26</v>
      </c>
      <c r="F1136" s="1" t="s">
        <v>1164</v>
      </c>
      <c r="G1136" s="1" t="s">
        <v>28</v>
      </c>
      <c r="H1136" s="1">
        <v>1234</v>
      </c>
      <c r="I1136" s="1">
        <f t="shared" si="140"/>
        <v>72</v>
      </c>
      <c r="J1136" s="1">
        <f>VLOOKUP(B1136,Cena!$A$2:$B$101,2)</f>
        <v>88</v>
      </c>
      <c r="K1136" s="1">
        <f t="shared" si="144"/>
        <v>6336</v>
      </c>
      <c r="L1136" s="1">
        <f t="shared" si="141"/>
        <v>1457.28</v>
      </c>
      <c r="M1136" s="22">
        <f t="shared" si="145"/>
        <v>7793.28</v>
      </c>
      <c r="N1136" s="1">
        <f t="shared" ca="1" si="142"/>
        <v>3</v>
      </c>
      <c r="P1136" s="1">
        <v>72.553831513505429</v>
      </c>
      <c r="Q1136" s="1">
        <f t="shared" ca="1" si="143"/>
        <v>10</v>
      </c>
      <c r="R1136" s="1">
        <v>9.7625934611278353</v>
      </c>
    </row>
    <row r="1137" spans="1:18" x14ac:dyDescent="0.3">
      <c r="A1137" s="26">
        <v>1136</v>
      </c>
      <c r="B1137" s="1">
        <v>3</v>
      </c>
      <c r="C1137" s="1">
        <f t="shared" si="139"/>
        <v>9</v>
      </c>
      <c r="D1137" s="21">
        <f t="shared" ca="1" si="138"/>
        <v>44613</v>
      </c>
      <c r="E1137" s="1" t="s">
        <v>26</v>
      </c>
      <c r="F1137" s="1" t="s">
        <v>1165</v>
      </c>
      <c r="G1137" s="1" t="s">
        <v>28</v>
      </c>
      <c r="H1137" s="1">
        <v>1235</v>
      </c>
      <c r="I1137" s="1">
        <f t="shared" si="140"/>
        <v>48</v>
      </c>
      <c r="J1137" s="1">
        <f>VLOOKUP(B1137,Cena!$A$2:$B$101,2)</f>
        <v>89</v>
      </c>
      <c r="K1137" s="1">
        <f t="shared" si="144"/>
        <v>4272</v>
      </c>
      <c r="L1137" s="1">
        <f t="shared" si="141"/>
        <v>982.56000000000006</v>
      </c>
      <c r="M1137" s="22">
        <f t="shared" si="145"/>
        <v>5254.56</v>
      </c>
      <c r="N1137" s="1">
        <f t="shared" ca="1" si="142"/>
        <v>2</v>
      </c>
      <c r="P1137" s="1">
        <v>48.006705936859362</v>
      </c>
      <c r="Q1137" s="1">
        <f t="shared" ca="1" si="143"/>
        <v>22</v>
      </c>
      <c r="R1137" s="1">
        <v>9.5246781736568664</v>
      </c>
    </row>
    <row r="1138" spans="1:18" x14ac:dyDescent="0.3">
      <c r="A1138" s="26">
        <v>1137</v>
      </c>
      <c r="B1138" s="1">
        <v>30</v>
      </c>
      <c r="C1138" s="1">
        <f t="shared" si="139"/>
        <v>10</v>
      </c>
      <c r="D1138" s="21">
        <f t="shared" ca="1" si="138"/>
        <v>44637</v>
      </c>
      <c r="E1138" s="1" t="s">
        <v>26</v>
      </c>
      <c r="F1138" s="1" t="s">
        <v>1166</v>
      </c>
      <c r="G1138" s="1" t="s">
        <v>28</v>
      </c>
      <c r="H1138" s="1">
        <v>1236</v>
      </c>
      <c r="I1138" s="1">
        <f t="shared" si="140"/>
        <v>49</v>
      </c>
      <c r="J1138" s="1">
        <f>VLOOKUP(B1138,Cena!$A$2:$B$101,2)</f>
        <v>87</v>
      </c>
      <c r="K1138" s="1">
        <f t="shared" si="144"/>
        <v>4263</v>
      </c>
      <c r="L1138" s="1">
        <f t="shared" si="141"/>
        <v>980.49</v>
      </c>
      <c r="M1138" s="22">
        <f t="shared" si="145"/>
        <v>5243.49</v>
      </c>
      <c r="N1138" s="1">
        <f t="shared" ca="1" si="142"/>
        <v>3</v>
      </c>
      <c r="P1138" s="1">
        <v>49.374222170445137</v>
      </c>
      <c r="Q1138" s="1">
        <f t="shared" ca="1" si="143"/>
        <v>3</v>
      </c>
      <c r="R1138" s="1">
        <v>10.795517962615122</v>
      </c>
    </row>
    <row r="1139" spans="1:18" x14ac:dyDescent="0.3">
      <c r="A1139" s="26">
        <v>1138</v>
      </c>
      <c r="B1139" s="1">
        <v>1</v>
      </c>
      <c r="C1139" s="1">
        <f t="shared" si="139"/>
        <v>11</v>
      </c>
      <c r="D1139" s="21">
        <f t="shared" ca="1" si="138"/>
        <v>44660</v>
      </c>
      <c r="E1139" s="1" t="s">
        <v>26</v>
      </c>
      <c r="F1139" s="1" t="s">
        <v>1167</v>
      </c>
      <c r="G1139" s="1" t="s">
        <v>28</v>
      </c>
      <c r="H1139" s="1">
        <v>1237</v>
      </c>
      <c r="I1139" s="1">
        <f t="shared" si="140"/>
        <v>71</v>
      </c>
      <c r="J1139" s="1">
        <f>VLOOKUP(B1139,Cena!$A$2:$B$101,2)</f>
        <v>84</v>
      </c>
      <c r="K1139" s="1">
        <f t="shared" si="144"/>
        <v>5964</v>
      </c>
      <c r="L1139" s="1">
        <f t="shared" si="141"/>
        <v>1371.72</v>
      </c>
      <c r="M1139" s="22">
        <f t="shared" si="145"/>
        <v>7335.72</v>
      </c>
      <c r="N1139" s="1">
        <f t="shared" ca="1" si="142"/>
        <v>4</v>
      </c>
      <c r="P1139" s="1">
        <v>71.222695067990571</v>
      </c>
      <c r="Q1139" s="1">
        <f t="shared" ca="1" si="143"/>
        <v>30</v>
      </c>
      <c r="R1139" s="1">
        <v>11.560300688652205</v>
      </c>
    </row>
    <row r="1140" spans="1:18" x14ac:dyDescent="0.3">
      <c r="A1140" s="26">
        <v>1139</v>
      </c>
      <c r="B1140" s="1">
        <v>20</v>
      </c>
      <c r="C1140" s="1">
        <f t="shared" si="139"/>
        <v>12</v>
      </c>
      <c r="D1140" s="21">
        <f t="shared" ca="1" si="138"/>
        <v>44921</v>
      </c>
      <c r="E1140" s="1" t="s">
        <v>26</v>
      </c>
      <c r="F1140" s="1" t="s">
        <v>1168</v>
      </c>
      <c r="G1140" s="1" t="s">
        <v>28</v>
      </c>
      <c r="H1140" s="1">
        <v>1238</v>
      </c>
      <c r="I1140" s="1">
        <f t="shared" si="140"/>
        <v>57</v>
      </c>
      <c r="J1140" s="1">
        <f>VLOOKUP(B1140,Cena!$A$2:$B$101,2)</f>
        <v>111</v>
      </c>
      <c r="K1140" s="1">
        <f t="shared" si="144"/>
        <v>6327</v>
      </c>
      <c r="L1140" s="1">
        <f t="shared" si="141"/>
        <v>1455.21</v>
      </c>
      <c r="M1140" s="22">
        <f t="shared" si="145"/>
        <v>7782.21</v>
      </c>
      <c r="N1140" s="1">
        <f t="shared" ca="1" si="142"/>
        <v>12</v>
      </c>
      <c r="P1140" s="1">
        <v>57.022913450782653</v>
      </c>
      <c r="Q1140" s="1">
        <f t="shared" ca="1" si="143"/>
        <v>4</v>
      </c>
      <c r="R1140" s="1">
        <v>12.72193574346602</v>
      </c>
    </row>
    <row r="1141" spans="1:18" x14ac:dyDescent="0.3">
      <c r="A1141" s="26">
        <v>1140</v>
      </c>
      <c r="B1141" s="1">
        <v>11</v>
      </c>
      <c r="C1141" s="1">
        <f t="shared" si="139"/>
        <v>12</v>
      </c>
      <c r="D1141" s="21">
        <f t="shared" ca="1" si="138"/>
        <v>44898</v>
      </c>
      <c r="E1141" s="1" t="s">
        <v>26</v>
      </c>
      <c r="F1141" s="1" t="s">
        <v>1169</v>
      </c>
      <c r="G1141" s="1" t="s">
        <v>28</v>
      </c>
      <c r="H1141" s="1">
        <v>1239</v>
      </c>
      <c r="I1141" s="1">
        <f t="shared" si="140"/>
        <v>37</v>
      </c>
      <c r="J1141" s="1">
        <f>VLOOKUP(B1141,Cena!$A$2:$B$101,2)</f>
        <v>83</v>
      </c>
      <c r="K1141" s="1">
        <f t="shared" si="144"/>
        <v>3071</v>
      </c>
      <c r="L1141" s="1">
        <f t="shared" si="141"/>
        <v>706.33</v>
      </c>
      <c r="M1141" s="22">
        <f t="shared" si="145"/>
        <v>3777.33</v>
      </c>
      <c r="N1141" s="1">
        <f t="shared" ca="1" si="142"/>
        <v>12</v>
      </c>
      <c r="P1141" s="1">
        <v>37.316050464869477</v>
      </c>
      <c r="Q1141" s="1">
        <f t="shared" ca="1" si="143"/>
        <v>6</v>
      </c>
      <c r="R1141" s="1">
        <v>12.729905190790305</v>
      </c>
    </row>
    <row r="1142" spans="1:18" x14ac:dyDescent="0.3">
      <c r="A1142" s="26">
        <v>1141</v>
      </c>
      <c r="B1142" s="1">
        <v>1</v>
      </c>
      <c r="C1142" s="1">
        <f t="shared" si="139"/>
        <v>14</v>
      </c>
      <c r="D1142" s="21">
        <f t="shared" ca="1" si="138"/>
        <v>44890</v>
      </c>
      <c r="E1142" s="1" t="s">
        <v>26</v>
      </c>
      <c r="F1142" s="1" t="s">
        <v>1170</v>
      </c>
      <c r="G1142" s="1" t="s">
        <v>28</v>
      </c>
      <c r="H1142" s="1">
        <v>1240</v>
      </c>
      <c r="I1142" s="1">
        <f t="shared" si="140"/>
        <v>60</v>
      </c>
      <c r="J1142" s="1">
        <f>VLOOKUP(B1142,Cena!$A$2:$B$101,2)</f>
        <v>84</v>
      </c>
      <c r="K1142" s="1">
        <f t="shared" si="144"/>
        <v>5040</v>
      </c>
      <c r="L1142" s="1">
        <f t="shared" si="141"/>
        <v>1159.2</v>
      </c>
      <c r="M1142" s="22">
        <f t="shared" si="145"/>
        <v>6199.2</v>
      </c>
      <c r="N1142" s="1">
        <f t="shared" ca="1" si="142"/>
        <v>11</v>
      </c>
      <c r="P1142" s="1">
        <v>60.372264114266727</v>
      </c>
      <c r="Q1142" s="1">
        <f t="shared" ca="1" si="143"/>
        <v>22</v>
      </c>
      <c r="R1142" s="1">
        <v>14.283037924324162</v>
      </c>
    </row>
    <row r="1143" spans="1:18" x14ac:dyDescent="0.3">
      <c r="A1143" s="26">
        <v>1142</v>
      </c>
      <c r="B1143" s="1">
        <v>25</v>
      </c>
      <c r="C1143" s="1">
        <f t="shared" si="139"/>
        <v>7</v>
      </c>
      <c r="D1143" s="21">
        <f t="shared" ca="1" si="138"/>
        <v>44828</v>
      </c>
      <c r="E1143" s="1" t="s">
        <v>26</v>
      </c>
      <c r="F1143" s="1" t="s">
        <v>1171</v>
      </c>
      <c r="G1143" s="1" t="s">
        <v>28</v>
      </c>
      <c r="H1143" s="1">
        <v>1241</v>
      </c>
      <c r="I1143" s="1">
        <f t="shared" si="140"/>
        <v>47</v>
      </c>
      <c r="J1143" s="1">
        <f>VLOOKUP(B1143,Cena!$A$2:$B$101,2)</f>
        <v>108</v>
      </c>
      <c r="K1143" s="1">
        <f t="shared" si="144"/>
        <v>5076</v>
      </c>
      <c r="L1143" s="1">
        <f t="shared" si="141"/>
        <v>1167.48</v>
      </c>
      <c r="M1143" s="22">
        <f t="shared" si="145"/>
        <v>6243.48</v>
      </c>
      <c r="N1143" s="1">
        <f t="shared" ca="1" si="142"/>
        <v>9</v>
      </c>
      <c r="P1143" s="1">
        <v>47.447719124465948</v>
      </c>
      <c r="Q1143" s="1">
        <f t="shared" ca="1" si="143"/>
        <v>14</v>
      </c>
      <c r="R1143" s="1">
        <v>7.1992224345740397</v>
      </c>
    </row>
    <row r="1144" spans="1:18" x14ac:dyDescent="0.3">
      <c r="A1144" s="26">
        <v>1143</v>
      </c>
      <c r="B1144" s="1">
        <v>26</v>
      </c>
      <c r="C1144" s="1">
        <f t="shared" si="139"/>
        <v>9</v>
      </c>
      <c r="D1144" s="21">
        <f t="shared" ca="1" si="138"/>
        <v>44842</v>
      </c>
      <c r="E1144" s="1" t="s">
        <v>26</v>
      </c>
      <c r="F1144" s="1" t="s">
        <v>1172</v>
      </c>
      <c r="G1144" s="1" t="s">
        <v>28</v>
      </c>
      <c r="H1144" s="1">
        <v>1242</v>
      </c>
      <c r="I1144" s="1">
        <f t="shared" si="140"/>
        <v>49</v>
      </c>
      <c r="J1144" s="1">
        <f>VLOOKUP(B1144,Cena!$A$2:$B$101,2)</f>
        <v>99</v>
      </c>
      <c r="K1144" s="1">
        <f t="shared" si="144"/>
        <v>4851</v>
      </c>
      <c r="L1144" s="1">
        <f t="shared" si="141"/>
        <v>1115.73</v>
      </c>
      <c r="M1144" s="22">
        <f t="shared" si="145"/>
        <v>5966.73</v>
      </c>
      <c r="N1144" s="1">
        <f t="shared" ca="1" si="142"/>
        <v>10</v>
      </c>
      <c r="P1144" s="1">
        <v>49.722660959378118</v>
      </c>
      <c r="Q1144" s="1">
        <f t="shared" ca="1" si="143"/>
        <v>29</v>
      </c>
      <c r="R1144" s="1">
        <v>9.9983742782205809</v>
      </c>
    </row>
    <row r="1145" spans="1:18" x14ac:dyDescent="0.3">
      <c r="A1145" s="26">
        <v>1144</v>
      </c>
      <c r="B1145" s="1">
        <v>10</v>
      </c>
      <c r="C1145" s="1">
        <f t="shared" si="139"/>
        <v>9</v>
      </c>
      <c r="D1145" s="21">
        <f t="shared" ca="1" si="138"/>
        <v>44749</v>
      </c>
      <c r="E1145" s="1" t="s">
        <v>26</v>
      </c>
      <c r="F1145" s="1" t="s">
        <v>1173</v>
      </c>
      <c r="G1145" s="1" t="s">
        <v>28</v>
      </c>
      <c r="H1145" s="1">
        <v>1243</v>
      </c>
      <c r="I1145" s="1">
        <f t="shared" si="140"/>
        <v>40</v>
      </c>
      <c r="J1145" s="1">
        <f>VLOOKUP(B1145,Cena!$A$2:$B$101,2)</f>
        <v>109</v>
      </c>
      <c r="K1145" s="1">
        <f t="shared" si="144"/>
        <v>4360</v>
      </c>
      <c r="L1145" s="1">
        <f t="shared" si="141"/>
        <v>1002.8000000000001</v>
      </c>
      <c r="M1145" s="22">
        <f t="shared" si="145"/>
        <v>5362.8</v>
      </c>
      <c r="N1145" s="1">
        <f t="shared" ca="1" si="142"/>
        <v>7</v>
      </c>
      <c r="P1145" s="1">
        <v>40.253263604245149</v>
      </c>
      <c r="Q1145" s="1">
        <f t="shared" ca="1" si="143"/>
        <v>30</v>
      </c>
      <c r="R1145" s="1">
        <v>9.5443317857279908</v>
      </c>
    </row>
    <row r="1146" spans="1:18" x14ac:dyDescent="0.3">
      <c r="A1146" s="26">
        <v>1145</v>
      </c>
      <c r="B1146" s="1">
        <v>8</v>
      </c>
      <c r="C1146" s="1">
        <f t="shared" si="139"/>
        <v>13</v>
      </c>
      <c r="D1146" s="21">
        <f t="shared" ca="1" si="138"/>
        <v>44779</v>
      </c>
      <c r="E1146" s="1" t="s">
        <v>26</v>
      </c>
      <c r="F1146" s="1" t="s">
        <v>1174</v>
      </c>
      <c r="G1146" s="1" t="s">
        <v>28</v>
      </c>
      <c r="H1146" s="1">
        <v>1244</v>
      </c>
      <c r="I1146" s="1">
        <f t="shared" si="140"/>
        <v>45</v>
      </c>
      <c r="J1146" s="1">
        <f>VLOOKUP(B1146,Cena!$A$2:$B$101,2)</f>
        <v>88</v>
      </c>
      <c r="K1146" s="1">
        <f t="shared" si="144"/>
        <v>3960</v>
      </c>
      <c r="L1146" s="1">
        <f t="shared" si="141"/>
        <v>910.80000000000007</v>
      </c>
      <c r="M1146" s="22">
        <f t="shared" si="145"/>
        <v>4870.8</v>
      </c>
      <c r="N1146" s="1">
        <f t="shared" ca="1" si="142"/>
        <v>8</v>
      </c>
      <c r="P1146" s="1">
        <v>45.738562574842945</v>
      </c>
      <c r="Q1146" s="1">
        <f t="shared" ca="1" si="143"/>
        <v>24</v>
      </c>
      <c r="R1146" s="1">
        <v>13.394677605683682</v>
      </c>
    </row>
    <row r="1147" spans="1:18" x14ac:dyDescent="0.3">
      <c r="A1147" s="26">
        <v>1146</v>
      </c>
      <c r="B1147" s="1">
        <v>25</v>
      </c>
      <c r="C1147" s="1">
        <f t="shared" si="139"/>
        <v>5</v>
      </c>
      <c r="D1147" s="21">
        <f t="shared" ca="1" si="138"/>
        <v>44860</v>
      </c>
      <c r="E1147" s="1" t="s">
        <v>26</v>
      </c>
      <c r="F1147" s="1" t="s">
        <v>1175</v>
      </c>
      <c r="G1147" s="1" t="s">
        <v>28</v>
      </c>
      <c r="H1147" s="1">
        <v>1245</v>
      </c>
      <c r="I1147" s="1">
        <f t="shared" si="140"/>
        <v>53</v>
      </c>
      <c r="J1147" s="1">
        <f>VLOOKUP(B1147,Cena!$A$2:$B$101,2)</f>
        <v>108</v>
      </c>
      <c r="K1147" s="1">
        <f t="shared" si="144"/>
        <v>5724</v>
      </c>
      <c r="L1147" s="1">
        <f t="shared" si="141"/>
        <v>1316.52</v>
      </c>
      <c r="M1147" s="22">
        <f t="shared" si="145"/>
        <v>7040.52</v>
      </c>
      <c r="N1147" s="1">
        <f t="shared" ca="1" si="142"/>
        <v>10</v>
      </c>
      <c r="P1147" s="1">
        <v>53.387151537026512</v>
      </c>
      <c r="Q1147" s="1">
        <f t="shared" ca="1" si="143"/>
        <v>19</v>
      </c>
      <c r="R1147" s="1">
        <v>5.7618911139434204</v>
      </c>
    </row>
    <row r="1148" spans="1:18" x14ac:dyDescent="0.3">
      <c r="A1148" s="26">
        <v>1147</v>
      </c>
      <c r="B1148" s="1">
        <v>10</v>
      </c>
      <c r="C1148" s="1">
        <f t="shared" si="139"/>
        <v>7</v>
      </c>
      <c r="D1148" s="21">
        <f t="shared" ca="1" si="138"/>
        <v>44749</v>
      </c>
      <c r="E1148" s="1" t="s">
        <v>26</v>
      </c>
      <c r="F1148" s="1" t="s">
        <v>1176</v>
      </c>
      <c r="G1148" s="1" t="s">
        <v>28</v>
      </c>
      <c r="H1148" s="1">
        <v>1246</v>
      </c>
      <c r="I1148" s="1">
        <f t="shared" si="140"/>
        <v>52</v>
      </c>
      <c r="J1148" s="1">
        <f>VLOOKUP(B1148,Cena!$A$2:$B$101,2)</f>
        <v>109</v>
      </c>
      <c r="K1148" s="1">
        <f t="shared" si="144"/>
        <v>5668</v>
      </c>
      <c r="L1148" s="1">
        <f t="shared" si="141"/>
        <v>1303.6400000000001</v>
      </c>
      <c r="M1148" s="22">
        <f t="shared" si="145"/>
        <v>6971.64</v>
      </c>
      <c r="N1148" s="1">
        <f t="shared" ca="1" si="142"/>
        <v>7</v>
      </c>
      <c r="P1148" s="1">
        <v>52.799652065732516</v>
      </c>
      <c r="Q1148" s="1">
        <f t="shared" ca="1" si="143"/>
        <v>19</v>
      </c>
      <c r="R1148" s="1">
        <v>7.9278243245062185</v>
      </c>
    </row>
    <row r="1149" spans="1:18" x14ac:dyDescent="0.3">
      <c r="A1149" s="26">
        <v>1148</v>
      </c>
      <c r="B1149" s="1">
        <v>6</v>
      </c>
      <c r="C1149" s="1">
        <f t="shared" si="139"/>
        <v>10</v>
      </c>
      <c r="D1149" s="21">
        <f t="shared" ca="1" si="138"/>
        <v>44815</v>
      </c>
      <c r="E1149" s="1" t="s">
        <v>26</v>
      </c>
      <c r="F1149" s="1" t="s">
        <v>1177</v>
      </c>
      <c r="G1149" s="1" t="s">
        <v>28</v>
      </c>
      <c r="H1149" s="1">
        <v>1247</v>
      </c>
      <c r="I1149" s="1">
        <f t="shared" si="140"/>
        <v>54</v>
      </c>
      <c r="J1149" s="1">
        <f>VLOOKUP(B1149,Cena!$A$2:$B$101,2)</f>
        <v>86</v>
      </c>
      <c r="K1149" s="1">
        <f t="shared" si="144"/>
        <v>4644</v>
      </c>
      <c r="L1149" s="1">
        <f t="shared" si="141"/>
        <v>1068.1200000000001</v>
      </c>
      <c r="M1149" s="22">
        <f t="shared" si="145"/>
        <v>5712.12</v>
      </c>
      <c r="N1149" s="1">
        <f t="shared" ca="1" si="142"/>
        <v>9</v>
      </c>
      <c r="P1149" s="1">
        <v>54.760306637763279</v>
      </c>
      <c r="Q1149" s="1">
        <f t="shared" ca="1" si="143"/>
        <v>9</v>
      </c>
      <c r="R1149" s="1">
        <v>10.685207623973838</v>
      </c>
    </row>
    <row r="1150" spans="1:18" x14ac:dyDescent="0.3">
      <c r="A1150" s="26">
        <v>1149</v>
      </c>
      <c r="B1150" s="1">
        <v>30</v>
      </c>
      <c r="C1150" s="1">
        <f t="shared" si="139"/>
        <v>10</v>
      </c>
      <c r="D1150" s="21">
        <f t="shared" ca="1" si="138"/>
        <v>44665</v>
      </c>
      <c r="E1150" s="1" t="s">
        <v>26</v>
      </c>
      <c r="F1150" s="1" t="s">
        <v>1178</v>
      </c>
      <c r="G1150" s="1" t="s">
        <v>28</v>
      </c>
      <c r="H1150" s="1">
        <v>1248</v>
      </c>
      <c r="I1150" s="1">
        <f t="shared" si="140"/>
        <v>37</v>
      </c>
      <c r="J1150" s="1">
        <f>VLOOKUP(B1150,Cena!$A$2:$B$101,2)</f>
        <v>87</v>
      </c>
      <c r="K1150" s="1">
        <f t="shared" si="144"/>
        <v>3219</v>
      </c>
      <c r="L1150" s="1">
        <f t="shared" si="141"/>
        <v>740.37</v>
      </c>
      <c r="M1150" s="22">
        <f t="shared" si="145"/>
        <v>3959.37</v>
      </c>
      <c r="N1150" s="1">
        <f t="shared" ca="1" si="142"/>
        <v>4</v>
      </c>
      <c r="P1150" s="1">
        <v>37.042860993824434</v>
      </c>
      <c r="Q1150" s="1">
        <f t="shared" ca="1" si="143"/>
        <v>27</v>
      </c>
      <c r="R1150" s="1">
        <v>10.733791694074171</v>
      </c>
    </row>
    <row r="1151" spans="1:18" x14ac:dyDescent="0.3">
      <c r="A1151" s="26">
        <v>1150</v>
      </c>
      <c r="B1151" s="1">
        <v>8</v>
      </c>
      <c r="C1151" s="1">
        <f t="shared" si="139"/>
        <v>12</v>
      </c>
      <c r="D1151" s="21">
        <f t="shared" ca="1" si="138"/>
        <v>44837</v>
      </c>
      <c r="E1151" s="1" t="s">
        <v>26</v>
      </c>
      <c r="F1151" s="1" t="s">
        <v>1179</v>
      </c>
      <c r="G1151" s="1" t="s">
        <v>28</v>
      </c>
      <c r="H1151" s="1">
        <v>1249</v>
      </c>
      <c r="I1151" s="1">
        <f t="shared" si="140"/>
        <v>50</v>
      </c>
      <c r="J1151" s="1">
        <f>VLOOKUP(B1151,Cena!$A$2:$B$101,2)</f>
        <v>88</v>
      </c>
      <c r="K1151" s="1">
        <f t="shared" si="144"/>
        <v>4400</v>
      </c>
      <c r="L1151" s="1">
        <f t="shared" si="141"/>
        <v>1012</v>
      </c>
      <c r="M1151" s="22">
        <f t="shared" si="145"/>
        <v>5412</v>
      </c>
      <c r="N1151" s="1">
        <f t="shared" ca="1" si="142"/>
        <v>10</v>
      </c>
      <c r="P1151" s="1">
        <v>50.143438683153363</v>
      </c>
      <c r="Q1151" s="1">
        <f t="shared" ca="1" si="143"/>
        <v>9</v>
      </c>
      <c r="R1151" s="1">
        <v>12.575768576207338</v>
      </c>
    </row>
    <row r="1152" spans="1:18" x14ac:dyDescent="0.3">
      <c r="A1152" s="26">
        <v>1151</v>
      </c>
      <c r="B1152" s="1">
        <v>18</v>
      </c>
      <c r="C1152" s="1">
        <f t="shared" si="139"/>
        <v>7</v>
      </c>
      <c r="D1152" s="21">
        <f t="shared" ca="1" si="138"/>
        <v>44735</v>
      </c>
      <c r="E1152" s="1" t="s">
        <v>26</v>
      </c>
      <c r="F1152" s="1" t="s">
        <v>1180</v>
      </c>
      <c r="G1152" s="1" t="s">
        <v>28</v>
      </c>
      <c r="H1152" s="1">
        <v>1250</v>
      </c>
      <c r="I1152" s="1">
        <f t="shared" si="140"/>
        <v>40</v>
      </c>
      <c r="J1152" s="1">
        <f>VLOOKUP(B1152,Cena!$A$2:$B$101,2)</f>
        <v>90</v>
      </c>
      <c r="K1152" s="1">
        <f t="shared" si="144"/>
        <v>3600</v>
      </c>
      <c r="L1152" s="1">
        <f t="shared" si="141"/>
        <v>828</v>
      </c>
      <c r="M1152" s="22">
        <f t="shared" si="145"/>
        <v>4428</v>
      </c>
      <c r="N1152" s="1">
        <f t="shared" ca="1" si="142"/>
        <v>6</v>
      </c>
      <c r="P1152" s="1">
        <v>40.633705237996764</v>
      </c>
      <c r="Q1152" s="1">
        <f t="shared" ca="1" si="143"/>
        <v>18</v>
      </c>
      <c r="R1152" s="1">
        <v>7.1870124682027381</v>
      </c>
    </row>
    <row r="1153" spans="1:18" x14ac:dyDescent="0.3">
      <c r="A1153" s="26">
        <v>1152</v>
      </c>
      <c r="B1153" s="1">
        <v>1</v>
      </c>
      <c r="C1153" s="1">
        <f t="shared" si="139"/>
        <v>10</v>
      </c>
      <c r="D1153" s="21">
        <f t="shared" ca="1" si="138"/>
        <v>44672</v>
      </c>
      <c r="E1153" s="1" t="s">
        <v>26</v>
      </c>
      <c r="F1153" s="1" t="s">
        <v>1181</v>
      </c>
      <c r="G1153" s="1" t="s">
        <v>28</v>
      </c>
      <c r="H1153" s="1">
        <v>1251</v>
      </c>
      <c r="I1153" s="1">
        <f t="shared" si="140"/>
        <v>48</v>
      </c>
      <c r="J1153" s="1">
        <f>VLOOKUP(B1153,Cena!$A$2:$B$101,2)</f>
        <v>84</v>
      </c>
      <c r="K1153" s="1">
        <f t="shared" si="144"/>
        <v>4032</v>
      </c>
      <c r="L1153" s="1">
        <f t="shared" si="141"/>
        <v>927.36</v>
      </c>
      <c r="M1153" s="22">
        <f t="shared" si="145"/>
        <v>4959.3599999999997</v>
      </c>
      <c r="N1153" s="1">
        <f t="shared" ca="1" si="142"/>
        <v>4</v>
      </c>
      <c r="P1153" s="1">
        <v>48.519331256829901</v>
      </c>
      <c r="Q1153" s="1">
        <f t="shared" ca="1" si="143"/>
        <v>18</v>
      </c>
      <c r="R1153" s="1">
        <v>10.628983798378613</v>
      </c>
    </row>
    <row r="1154" spans="1:18" x14ac:dyDescent="0.3">
      <c r="A1154" s="26">
        <v>1153</v>
      </c>
      <c r="B1154" s="1">
        <v>6</v>
      </c>
      <c r="C1154" s="1">
        <f t="shared" si="139"/>
        <v>15</v>
      </c>
      <c r="D1154" s="21">
        <f t="shared" ref="D1154:D1217" ca="1" si="146">DATE(2022,RANDBETWEEN(1,12),RANDBETWEEN(1,28))</f>
        <v>44594</v>
      </c>
      <c r="E1154" s="1" t="s">
        <v>26</v>
      </c>
      <c r="F1154" s="1" t="s">
        <v>1182</v>
      </c>
      <c r="G1154" s="1" t="s">
        <v>28</v>
      </c>
      <c r="H1154" s="1">
        <v>1252</v>
      </c>
      <c r="I1154" s="1">
        <f t="shared" si="140"/>
        <v>49</v>
      </c>
      <c r="J1154" s="1">
        <f>VLOOKUP(B1154,Cena!$A$2:$B$101,2)</f>
        <v>86</v>
      </c>
      <c r="K1154" s="1">
        <f t="shared" si="144"/>
        <v>4214</v>
      </c>
      <c r="L1154" s="1">
        <f t="shared" si="141"/>
        <v>969.22</v>
      </c>
      <c r="M1154" s="22">
        <f t="shared" si="145"/>
        <v>5183.22</v>
      </c>
      <c r="N1154" s="1">
        <f t="shared" ca="1" si="142"/>
        <v>2</v>
      </c>
      <c r="P1154" s="1">
        <v>49.107990333868656</v>
      </c>
      <c r="Q1154" s="1">
        <f t="shared" ca="1" si="143"/>
        <v>5</v>
      </c>
      <c r="R1154" s="1">
        <v>15.026345206715632</v>
      </c>
    </row>
    <row r="1155" spans="1:18" x14ac:dyDescent="0.3">
      <c r="A1155" s="26">
        <v>1154</v>
      </c>
      <c r="B1155" s="1">
        <v>10</v>
      </c>
      <c r="C1155" s="1">
        <f t="shared" ref="C1155:C1218" si="147">INT(R1155)</f>
        <v>12</v>
      </c>
      <c r="D1155" s="21">
        <f t="shared" ca="1" si="146"/>
        <v>44622</v>
      </c>
      <c r="E1155" s="1" t="s">
        <v>26</v>
      </c>
      <c r="F1155" s="1" t="s">
        <v>1183</v>
      </c>
      <c r="G1155" s="1" t="s">
        <v>28</v>
      </c>
      <c r="H1155" s="1">
        <v>1253</v>
      </c>
      <c r="I1155" s="1">
        <f t="shared" ref="I1155:I1218" si="148">INT(P1155)</f>
        <v>49</v>
      </c>
      <c r="J1155" s="1">
        <f>VLOOKUP(B1155,Cena!$A$2:$B$101,2)</f>
        <v>109</v>
      </c>
      <c r="K1155" s="1">
        <f t="shared" si="144"/>
        <v>5341</v>
      </c>
      <c r="L1155" s="1">
        <f t="shared" ref="L1155:L1218" si="149">K1155*23%</f>
        <v>1228.43</v>
      </c>
      <c r="M1155" s="22">
        <f t="shared" si="145"/>
        <v>6569.43</v>
      </c>
      <c r="N1155" s="1">
        <f t="shared" ref="N1155:N1218" ca="1" si="150">MONTH(D1155)</f>
        <v>3</v>
      </c>
      <c r="P1155" s="1">
        <v>49.954479790176265</v>
      </c>
      <c r="Q1155" s="1">
        <f t="shared" ref="Q1155:Q1218" ca="1" si="151">RANDBETWEEN(1,30)</f>
        <v>2</v>
      </c>
      <c r="R1155" s="1">
        <v>12.116723862854997</v>
      </c>
    </row>
    <row r="1156" spans="1:18" x14ac:dyDescent="0.3">
      <c r="A1156" s="26">
        <v>1155</v>
      </c>
      <c r="B1156" s="1">
        <v>19</v>
      </c>
      <c r="C1156" s="1">
        <f t="shared" si="147"/>
        <v>3</v>
      </c>
      <c r="D1156" s="21">
        <f t="shared" ca="1" si="146"/>
        <v>44891</v>
      </c>
      <c r="E1156" s="1" t="s">
        <v>26</v>
      </c>
      <c r="F1156" s="1" t="s">
        <v>1184</v>
      </c>
      <c r="G1156" s="1" t="s">
        <v>28</v>
      </c>
      <c r="H1156" s="1">
        <v>1254</v>
      </c>
      <c r="I1156" s="1">
        <f t="shared" si="148"/>
        <v>61</v>
      </c>
      <c r="J1156" s="1">
        <f>VLOOKUP(B1156,Cena!$A$2:$B$101,2)</f>
        <v>84</v>
      </c>
      <c r="K1156" s="1">
        <f t="shared" si="144"/>
        <v>5124</v>
      </c>
      <c r="L1156" s="1">
        <f t="shared" si="149"/>
        <v>1178.52</v>
      </c>
      <c r="M1156" s="22">
        <f t="shared" si="145"/>
        <v>6302.52</v>
      </c>
      <c r="N1156" s="1">
        <f t="shared" ca="1" si="150"/>
        <v>11</v>
      </c>
      <c r="P1156" s="1">
        <v>61.02575879485812</v>
      </c>
      <c r="Q1156" s="1">
        <f t="shared" ca="1" si="151"/>
        <v>6</v>
      </c>
      <c r="R1156" s="1">
        <v>3.6755557428114116</v>
      </c>
    </row>
    <row r="1157" spans="1:18" x14ac:dyDescent="0.3">
      <c r="A1157" s="26">
        <v>1156</v>
      </c>
      <c r="B1157" s="1">
        <v>30</v>
      </c>
      <c r="C1157" s="1">
        <f t="shared" si="147"/>
        <v>7</v>
      </c>
      <c r="D1157" s="21">
        <f t="shared" ca="1" si="146"/>
        <v>44596</v>
      </c>
      <c r="E1157" s="1" t="s">
        <v>26</v>
      </c>
      <c r="F1157" s="1" t="s">
        <v>1185</v>
      </c>
      <c r="G1157" s="1" t="s">
        <v>28</v>
      </c>
      <c r="H1157" s="1">
        <v>1255</v>
      </c>
      <c r="I1157" s="1">
        <f t="shared" si="148"/>
        <v>50</v>
      </c>
      <c r="J1157" s="1">
        <f>VLOOKUP(B1157,Cena!$A$2:$B$101,2)</f>
        <v>87</v>
      </c>
      <c r="K1157" s="1">
        <f t="shared" si="144"/>
        <v>4350</v>
      </c>
      <c r="L1157" s="1">
        <f t="shared" si="149"/>
        <v>1000.5</v>
      </c>
      <c r="M1157" s="22">
        <f t="shared" si="145"/>
        <v>5350.5</v>
      </c>
      <c r="N1157" s="1">
        <f t="shared" ca="1" si="150"/>
        <v>2</v>
      </c>
      <c r="P1157" s="1">
        <v>50.62655090005137</v>
      </c>
      <c r="Q1157" s="1">
        <f t="shared" ca="1" si="151"/>
        <v>18</v>
      </c>
      <c r="R1157" s="1">
        <v>7.9897495450131828</v>
      </c>
    </row>
    <row r="1158" spans="1:18" x14ac:dyDescent="0.3">
      <c r="A1158" s="26">
        <v>1157</v>
      </c>
      <c r="B1158" s="1">
        <v>16</v>
      </c>
      <c r="C1158" s="1">
        <f t="shared" si="147"/>
        <v>6</v>
      </c>
      <c r="D1158" s="21">
        <f t="shared" ca="1" si="146"/>
        <v>44731</v>
      </c>
      <c r="E1158" s="1" t="s">
        <v>26</v>
      </c>
      <c r="F1158" s="1" t="s">
        <v>1186</v>
      </c>
      <c r="G1158" s="1" t="s">
        <v>28</v>
      </c>
      <c r="H1158" s="1">
        <v>1256</v>
      </c>
      <c r="I1158" s="1">
        <f t="shared" si="148"/>
        <v>43</v>
      </c>
      <c r="J1158" s="1">
        <f>VLOOKUP(B1158,Cena!$A$2:$B$101,2)</f>
        <v>93</v>
      </c>
      <c r="K1158" s="1">
        <f t="shared" si="144"/>
        <v>3999</v>
      </c>
      <c r="L1158" s="1">
        <f t="shared" si="149"/>
        <v>919.7700000000001</v>
      </c>
      <c r="M1158" s="22">
        <f t="shared" si="145"/>
        <v>4918.7700000000004</v>
      </c>
      <c r="N1158" s="1">
        <f t="shared" ca="1" si="150"/>
        <v>6</v>
      </c>
      <c r="P1158" s="1">
        <v>43.971164258255158</v>
      </c>
      <c r="Q1158" s="1">
        <f t="shared" ca="1" si="151"/>
        <v>13</v>
      </c>
      <c r="R1158" s="1">
        <v>6.9633392993273446</v>
      </c>
    </row>
    <row r="1159" spans="1:18" x14ac:dyDescent="0.3">
      <c r="A1159" s="26">
        <v>1158</v>
      </c>
      <c r="B1159" s="1">
        <v>16</v>
      </c>
      <c r="C1159" s="1">
        <f t="shared" si="147"/>
        <v>9</v>
      </c>
      <c r="D1159" s="21">
        <f t="shared" ca="1" si="146"/>
        <v>44596</v>
      </c>
      <c r="E1159" s="1" t="s">
        <v>26</v>
      </c>
      <c r="F1159" s="1" t="s">
        <v>1187</v>
      </c>
      <c r="G1159" s="1" t="s">
        <v>28</v>
      </c>
      <c r="H1159" s="1">
        <v>1257</v>
      </c>
      <c r="I1159" s="1">
        <f t="shared" si="148"/>
        <v>45</v>
      </c>
      <c r="J1159" s="1">
        <f>VLOOKUP(B1159,Cena!$A$2:$B$101,2)</f>
        <v>93</v>
      </c>
      <c r="K1159" s="1">
        <f t="shared" si="144"/>
        <v>4185</v>
      </c>
      <c r="L1159" s="1">
        <f t="shared" si="149"/>
        <v>962.55000000000007</v>
      </c>
      <c r="M1159" s="22">
        <f t="shared" si="145"/>
        <v>5147.55</v>
      </c>
      <c r="N1159" s="1">
        <f t="shared" ca="1" si="150"/>
        <v>2</v>
      </c>
      <c r="P1159" s="1">
        <v>45.170173860969953</v>
      </c>
      <c r="Q1159" s="1">
        <f t="shared" ca="1" si="151"/>
        <v>30</v>
      </c>
      <c r="R1159" s="1">
        <v>9.669427097614971</v>
      </c>
    </row>
    <row r="1160" spans="1:18" x14ac:dyDescent="0.3">
      <c r="A1160" s="26">
        <v>1159</v>
      </c>
      <c r="B1160" s="1">
        <v>11</v>
      </c>
      <c r="C1160" s="1">
        <f t="shared" si="147"/>
        <v>5</v>
      </c>
      <c r="D1160" s="21">
        <f t="shared" ca="1" si="146"/>
        <v>44876</v>
      </c>
      <c r="E1160" s="1" t="s">
        <v>26</v>
      </c>
      <c r="F1160" s="1" t="s">
        <v>1188</v>
      </c>
      <c r="G1160" s="1" t="s">
        <v>28</v>
      </c>
      <c r="H1160" s="1">
        <v>1258</v>
      </c>
      <c r="I1160" s="1">
        <f t="shared" si="148"/>
        <v>47</v>
      </c>
      <c r="J1160" s="1">
        <f>VLOOKUP(B1160,Cena!$A$2:$B$101,2)</f>
        <v>83</v>
      </c>
      <c r="K1160" s="1">
        <f t="shared" si="144"/>
        <v>3901</v>
      </c>
      <c r="L1160" s="1">
        <f t="shared" si="149"/>
        <v>897.23</v>
      </c>
      <c r="M1160" s="22">
        <f t="shared" si="145"/>
        <v>4798.2299999999996</v>
      </c>
      <c r="N1160" s="1">
        <f t="shared" ca="1" si="150"/>
        <v>11</v>
      </c>
      <c r="P1160" s="1">
        <v>47.869178969267523</v>
      </c>
      <c r="Q1160" s="1">
        <f t="shared" ca="1" si="151"/>
        <v>4</v>
      </c>
      <c r="R1160" s="1">
        <v>5.9864567244949285</v>
      </c>
    </row>
    <row r="1161" spans="1:18" x14ac:dyDescent="0.3">
      <c r="A1161" s="26">
        <v>1160</v>
      </c>
      <c r="B1161" s="1">
        <v>20</v>
      </c>
      <c r="C1161" s="1">
        <f t="shared" si="147"/>
        <v>11</v>
      </c>
      <c r="D1161" s="21">
        <f t="shared" ca="1" si="146"/>
        <v>44574</v>
      </c>
      <c r="E1161" s="1" t="s">
        <v>26</v>
      </c>
      <c r="F1161" s="1" t="s">
        <v>1189</v>
      </c>
      <c r="G1161" s="1" t="s">
        <v>28</v>
      </c>
      <c r="H1161" s="1">
        <v>1259</v>
      </c>
      <c r="I1161" s="1">
        <f t="shared" si="148"/>
        <v>54</v>
      </c>
      <c r="J1161" s="1">
        <f>VLOOKUP(B1161,Cena!$A$2:$B$101,2)</f>
        <v>111</v>
      </c>
      <c r="K1161" s="1">
        <f t="shared" si="144"/>
        <v>5994</v>
      </c>
      <c r="L1161" s="1">
        <f t="shared" si="149"/>
        <v>1378.6200000000001</v>
      </c>
      <c r="M1161" s="22">
        <f t="shared" si="145"/>
        <v>7372.62</v>
      </c>
      <c r="N1161" s="1">
        <f t="shared" ca="1" si="150"/>
        <v>1</v>
      </c>
      <c r="P1161" s="1">
        <v>54.885771431872854</v>
      </c>
      <c r="Q1161" s="1">
        <f t="shared" ca="1" si="151"/>
        <v>22</v>
      </c>
      <c r="R1161" s="1">
        <v>11.320688625128241</v>
      </c>
    </row>
    <row r="1162" spans="1:18" x14ac:dyDescent="0.3">
      <c r="A1162" s="26">
        <v>1161</v>
      </c>
      <c r="B1162" s="1">
        <v>24</v>
      </c>
      <c r="C1162" s="1">
        <f t="shared" si="147"/>
        <v>13</v>
      </c>
      <c r="D1162" s="21">
        <f t="shared" ca="1" si="146"/>
        <v>44684</v>
      </c>
      <c r="E1162" s="1" t="s">
        <v>26</v>
      </c>
      <c r="F1162" s="1" t="s">
        <v>1190</v>
      </c>
      <c r="G1162" s="1" t="s">
        <v>28</v>
      </c>
      <c r="H1162" s="1">
        <v>1260</v>
      </c>
      <c r="I1162" s="1">
        <f t="shared" si="148"/>
        <v>62</v>
      </c>
      <c r="J1162" s="1">
        <f>VLOOKUP(B1162,Cena!$A$2:$B$101,2)</f>
        <v>125</v>
      </c>
      <c r="K1162" s="1">
        <f t="shared" si="144"/>
        <v>7750</v>
      </c>
      <c r="L1162" s="1">
        <f t="shared" si="149"/>
        <v>1782.5</v>
      </c>
      <c r="M1162" s="22">
        <f t="shared" si="145"/>
        <v>9532.5</v>
      </c>
      <c r="N1162" s="1">
        <f t="shared" ca="1" si="150"/>
        <v>5</v>
      </c>
      <c r="P1162" s="1">
        <v>62.728537512884941</v>
      </c>
      <c r="Q1162" s="1">
        <f t="shared" ca="1" si="151"/>
        <v>7</v>
      </c>
      <c r="R1162" s="1">
        <v>13.989453034591861</v>
      </c>
    </row>
    <row r="1163" spans="1:18" x14ac:dyDescent="0.3">
      <c r="A1163" s="26">
        <v>1162</v>
      </c>
      <c r="B1163" s="1">
        <v>12</v>
      </c>
      <c r="C1163" s="1">
        <f t="shared" si="147"/>
        <v>9</v>
      </c>
      <c r="D1163" s="21">
        <f t="shared" ca="1" si="146"/>
        <v>44812</v>
      </c>
      <c r="E1163" s="1" t="s">
        <v>26</v>
      </c>
      <c r="F1163" s="1" t="s">
        <v>1191</v>
      </c>
      <c r="G1163" s="1" t="s">
        <v>28</v>
      </c>
      <c r="H1163" s="1">
        <v>1261</v>
      </c>
      <c r="I1163" s="1">
        <f t="shared" si="148"/>
        <v>48</v>
      </c>
      <c r="J1163" s="1">
        <f>VLOOKUP(B1163,Cena!$A$2:$B$101,2)</f>
        <v>88</v>
      </c>
      <c r="K1163" s="1">
        <f t="shared" si="144"/>
        <v>4224</v>
      </c>
      <c r="L1163" s="1">
        <f t="shared" si="149"/>
        <v>971.5200000000001</v>
      </c>
      <c r="M1163" s="22">
        <f t="shared" si="145"/>
        <v>5195.5200000000004</v>
      </c>
      <c r="N1163" s="1">
        <f t="shared" ca="1" si="150"/>
        <v>9</v>
      </c>
      <c r="P1163" s="1">
        <v>48.279895407904405</v>
      </c>
      <c r="Q1163" s="1">
        <f t="shared" ca="1" si="151"/>
        <v>20</v>
      </c>
      <c r="R1163" s="1">
        <v>9.3550147792120697</v>
      </c>
    </row>
    <row r="1164" spans="1:18" x14ac:dyDescent="0.3">
      <c r="A1164" s="26">
        <v>1163</v>
      </c>
      <c r="B1164" s="1">
        <v>3</v>
      </c>
      <c r="C1164" s="1">
        <f t="shared" si="147"/>
        <v>11</v>
      </c>
      <c r="D1164" s="21">
        <f t="shared" ca="1" si="146"/>
        <v>44738</v>
      </c>
      <c r="E1164" s="1" t="s">
        <v>26</v>
      </c>
      <c r="F1164" s="1" t="s">
        <v>1192</v>
      </c>
      <c r="G1164" s="1" t="s">
        <v>28</v>
      </c>
      <c r="H1164" s="1">
        <v>1262</v>
      </c>
      <c r="I1164" s="1">
        <f t="shared" si="148"/>
        <v>36</v>
      </c>
      <c r="J1164" s="1">
        <f>VLOOKUP(B1164,Cena!$A$2:$B$101,2)</f>
        <v>89</v>
      </c>
      <c r="K1164" s="1">
        <f t="shared" si="144"/>
        <v>3204</v>
      </c>
      <c r="L1164" s="1">
        <f t="shared" si="149"/>
        <v>736.92000000000007</v>
      </c>
      <c r="M1164" s="22">
        <f t="shared" si="145"/>
        <v>3940.92</v>
      </c>
      <c r="N1164" s="1">
        <f t="shared" ca="1" si="150"/>
        <v>6</v>
      </c>
      <c r="P1164" s="1">
        <v>36.948432706412859</v>
      </c>
      <c r="Q1164" s="1">
        <f t="shared" ca="1" si="151"/>
        <v>12</v>
      </c>
      <c r="R1164" s="1">
        <v>11.875736188594601</v>
      </c>
    </row>
    <row r="1165" spans="1:18" x14ac:dyDescent="0.3">
      <c r="A1165" s="26">
        <v>1164</v>
      </c>
      <c r="B1165" s="1">
        <v>5</v>
      </c>
      <c r="C1165" s="1">
        <f t="shared" si="147"/>
        <v>6</v>
      </c>
      <c r="D1165" s="21">
        <f t="shared" ca="1" si="146"/>
        <v>44674</v>
      </c>
      <c r="E1165" s="1" t="s">
        <v>26</v>
      </c>
      <c r="F1165" s="1" t="s">
        <v>1193</v>
      </c>
      <c r="G1165" s="1" t="s">
        <v>28</v>
      </c>
      <c r="H1165" s="1">
        <v>1263</v>
      </c>
      <c r="I1165" s="1">
        <f t="shared" si="148"/>
        <v>50</v>
      </c>
      <c r="J1165" s="1">
        <f>VLOOKUP(B1165,Cena!$A$2:$B$101,2)</f>
        <v>91</v>
      </c>
      <c r="K1165" s="1">
        <f t="shared" si="144"/>
        <v>4550</v>
      </c>
      <c r="L1165" s="1">
        <f t="shared" si="149"/>
        <v>1046.5</v>
      </c>
      <c r="M1165" s="22">
        <f t="shared" si="145"/>
        <v>5596.5</v>
      </c>
      <c r="N1165" s="1">
        <f t="shared" ca="1" si="150"/>
        <v>4</v>
      </c>
      <c r="P1165" s="1">
        <v>50.546856426808517</v>
      </c>
      <c r="Q1165" s="1">
        <f t="shared" ca="1" si="151"/>
        <v>15</v>
      </c>
      <c r="R1165" s="1">
        <v>6.4983885547553655</v>
      </c>
    </row>
    <row r="1166" spans="1:18" x14ac:dyDescent="0.3">
      <c r="A1166" s="26">
        <v>1165</v>
      </c>
      <c r="B1166" s="1">
        <v>13</v>
      </c>
      <c r="C1166" s="1">
        <f t="shared" si="147"/>
        <v>9</v>
      </c>
      <c r="D1166" s="21">
        <f t="shared" ca="1" si="146"/>
        <v>44595</v>
      </c>
      <c r="E1166" s="1" t="s">
        <v>26</v>
      </c>
      <c r="F1166" s="1" t="s">
        <v>1194</v>
      </c>
      <c r="G1166" s="1" t="s">
        <v>28</v>
      </c>
      <c r="H1166" s="1">
        <v>1264</v>
      </c>
      <c r="I1166" s="1">
        <f t="shared" si="148"/>
        <v>60</v>
      </c>
      <c r="J1166" s="1">
        <f>VLOOKUP(B1166,Cena!$A$2:$B$101,2)</f>
        <v>94</v>
      </c>
      <c r="K1166" s="1">
        <f t="shared" si="144"/>
        <v>5640</v>
      </c>
      <c r="L1166" s="1">
        <f t="shared" si="149"/>
        <v>1297.2</v>
      </c>
      <c r="M1166" s="22">
        <f t="shared" si="145"/>
        <v>6937.2</v>
      </c>
      <c r="N1166" s="1">
        <f t="shared" ca="1" si="150"/>
        <v>2</v>
      </c>
      <c r="P1166" s="1">
        <v>60.685175766411703</v>
      </c>
      <c r="Q1166" s="1">
        <f t="shared" ca="1" si="151"/>
        <v>6</v>
      </c>
      <c r="R1166" s="1">
        <v>9.6197743712400552</v>
      </c>
    </row>
    <row r="1167" spans="1:18" x14ac:dyDescent="0.3">
      <c r="A1167" s="26">
        <v>1166</v>
      </c>
      <c r="B1167" s="1">
        <v>13</v>
      </c>
      <c r="C1167" s="1">
        <f t="shared" si="147"/>
        <v>8</v>
      </c>
      <c r="D1167" s="21">
        <f t="shared" ca="1" si="146"/>
        <v>44717</v>
      </c>
      <c r="E1167" s="1" t="s">
        <v>26</v>
      </c>
      <c r="F1167" s="1" t="s">
        <v>1195</v>
      </c>
      <c r="G1167" s="1" t="s">
        <v>28</v>
      </c>
      <c r="H1167" s="1">
        <v>1265</v>
      </c>
      <c r="I1167" s="1">
        <f t="shared" si="148"/>
        <v>63</v>
      </c>
      <c r="J1167" s="1">
        <f>VLOOKUP(B1167,Cena!$A$2:$B$101,2)</f>
        <v>94</v>
      </c>
      <c r="K1167" s="1">
        <f t="shared" si="144"/>
        <v>5922</v>
      </c>
      <c r="L1167" s="1">
        <f t="shared" si="149"/>
        <v>1362.06</v>
      </c>
      <c r="M1167" s="22">
        <f t="shared" si="145"/>
        <v>7284.0599999999995</v>
      </c>
      <c r="N1167" s="1">
        <f t="shared" ca="1" si="150"/>
        <v>6</v>
      </c>
      <c r="P1167" s="1">
        <v>63.134490473021287</v>
      </c>
      <c r="Q1167" s="1">
        <f t="shared" ca="1" si="151"/>
        <v>3</v>
      </c>
      <c r="R1167" s="1">
        <v>8.5610429575899616</v>
      </c>
    </row>
    <row r="1168" spans="1:18" x14ac:dyDescent="0.3">
      <c r="A1168" s="26">
        <v>1167</v>
      </c>
      <c r="B1168" s="1">
        <v>25</v>
      </c>
      <c r="C1168" s="1">
        <f t="shared" si="147"/>
        <v>7</v>
      </c>
      <c r="D1168" s="21">
        <f t="shared" ca="1" si="146"/>
        <v>44853</v>
      </c>
      <c r="E1168" s="1" t="s">
        <v>26</v>
      </c>
      <c r="F1168" s="1" t="s">
        <v>1196</v>
      </c>
      <c r="G1168" s="1" t="s">
        <v>28</v>
      </c>
      <c r="H1168" s="1">
        <v>1266</v>
      </c>
      <c r="I1168" s="1">
        <f t="shared" si="148"/>
        <v>47</v>
      </c>
      <c r="J1168" s="1">
        <f>VLOOKUP(B1168,Cena!$A$2:$B$101,2)</f>
        <v>108</v>
      </c>
      <c r="K1168" s="1">
        <f t="shared" si="144"/>
        <v>5076</v>
      </c>
      <c r="L1168" s="1">
        <f t="shared" si="149"/>
        <v>1167.48</v>
      </c>
      <c r="M1168" s="22">
        <f t="shared" si="145"/>
        <v>6243.48</v>
      </c>
      <c r="N1168" s="1">
        <f t="shared" ca="1" si="150"/>
        <v>10</v>
      </c>
      <c r="P1168" s="1">
        <v>47.844133758917451</v>
      </c>
      <c r="Q1168" s="1">
        <f t="shared" ca="1" si="151"/>
        <v>11</v>
      </c>
      <c r="R1168" s="1">
        <v>7.9966105456696823</v>
      </c>
    </row>
    <row r="1169" spans="1:18" x14ac:dyDescent="0.3">
      <c r="A1169" s="26">
        <v>1168</v>
      </c>
      <c r="B1169" s="1">
        <v>15</v>
      </c>
      <c r="C1169" s="1">
        <f t="shared" si="147"/>
        <v>13</v>
      </c>
      <c r="D1169" s="21">
        <f t="shared" ca="1" si="146"/>
        <v>44903</v>
      </c>
      <c r="E1169" s="1" t="s">
        <v>26</v>
      </c>
      <c r="F1169" s="1" t="s">
        <v>1197</v>
      </c>
      <c r="G1169" s="1" t="s">
        <v>28</v>
      </c>
      <c r="H1169" s="1">
        <v>1267</v>
      </c>
      <c r="I1169" s="1">
        <f t="shared" si="148"/>
        <v>69</v>
      </c>
      <c r="J1169" s="1">
        <f>VLOOKUP(B1169,Cena!$A$2:$B$101,2)</f>
        <v>85</v>
      </c>
      <c r="K1169" s="1">
        <f t="shared" si="144"/>
        <v>5865</v>
      </c>
      <c r="L1169" s="1">
        <f t="shared" si="149"/>
        <v>1348.95</v>
      </c>
      <c r="M1169" s="22">
        <f t="shared" si="145"/>
        <v>7213.95</v>
      </c>
      <c r="N1169" s="1">
        <f t="shared" ca="1" si="150"/>
        <v>12</v>
      </c>
      <c r="P1169" s="1">
        <v>69.218168745283037</v>
      </c>
      <c r="Q1169" s="1">
        <f t="shared" ca="1" si="151"/>
        <v>25</v>
      </c>
      <c r="R1169" s="1">
        <v>13.238397994209663</v>
      </c>
    </row>
    <row r="1170" spans="1:18" x14ac:dyDescent="0.3">
      <c r="A1170" s="26">
        <v>1169</v>
      </c>
      <c r="B1170" s="1">
        <v>1</v>
      </c>
      <c r="C1170" s="1">
        <f t="shared" si="147"/>
        <v>8</v>
      </c>
      <c r="D1170" s="21">
        <f t="shared" ca="1" si="146"/>
        <v>44849</v>
      </c>
      <c r="E1170" s="1" t="s">
        <v>26</v>
      </c>
      <c r="F1170" s="1" t="s">
        <v>1198</v>
      </c>
      <c r="G1170" s="1" t="s">
        <v>28</v>
      </c>
      <c r="H1170" s="1">
        <v>1268</v>
      </c>
      <c r="I1170" s="1">
        <f t="shared" si="148"/>
        <v>47</v>
      </c>
      <c r="J1170" s="1">
        <f>VLOOKUP(B1170,Cena!$A$2:$B$101,2)</f>
        <v>84</v>
      </c>
      <c r="K1170" s="1">
        <f t="shared" si="144"/>
        <v>3948</v>
      </c>
      <c r="L1170" s="1">
        <f t="shared" si="149"/>
        <v>908.04000000000008</v>
      </c>
      <c r="M1170" s="22">
        <f t="shared" si="145"/>
        <v>4856.04</v>
      </c>
      <c r="N1170" s="1">
        <f t="shared" ca="1" si="150"/>
        <v>10</v>
      </c>
      <c r="P1170" s="1">
        <v>47.53456449980149</v>
      </c>
      <c r="Q1170" s="1">
        <f t="shared" ca="1" si="151"/>
        <v>2</v>
      </c>
      <c r="R1170" s="1">
        <v>8.9865614224981982</v>
      </c>
    </row>
    <row r="1171" spans="1:18" x14ac:dyDescent="0.3">
      <c r="A1171" s="26">
        <v>1170</v>
      </c>
      <c r="B1171" s="1">
        <v>26</v>
      </c>
      <c r="C1171" s="1">
        <f t="shared" si="147"/>
        <v>7</v>
      </c>
      <c r="D1171" s="21">
        <f t="shared" ca="1" si="146"/>
        <v>44700</v>
      </c>
      <c r="E1171" s="1" t="s">
        <v>26</v>
      </c>
      <c r="F1171" s="1" t="s">
        <v>1199</v>
      </c>
      <c r="G1171" s="1" t="s">
        <v>28</v>
      </c>
      <c r="H1171" s="1">
        <v>1269</v>
      </c>
      <c r="I1171" s="1">
        <f t="shared" si="148"/>
        <v>42</v>
      </c>
      <c r="J1171" s="1">
        <f>VLOOKUP(B1171,Cena!$A$2:$B$101,2)</f>
        <v>99</v>
      </c>
      <c r="K1171" s="1">
        <f t="shared" si="144"/>
        <v>4158</v>
      </c>
      <c r="L1171" s="1">
        <f t="shared" si="149"/>
        <v>956.34</v>
      </c>
      <c r="M1171" s="22">
        <f t="shared" si="145"/>
        <v>5114.34</v>
      </c>
      <c r="N1171" s="1">
        <f t="shared" ca="1" si="150"/>
        <v>5</v>
      </c>
      <c r="P1171" s="1">
        <v>42.220500644179992</v>
      </c>
      <c r="Q1171" s="1">
        <f t="shared" ca="1" si="151"/>
        <v>21</v>
      </c>
      <c r="R1171" s="1">
        <v>7.3276885611994658</v>
      </c>
    </row>
    <row r="1172" spans="1:18" x14ac:dyDescent="0.3">
      <c r="A1172" s="26">
        <v>1171</v>
      </c>
      <c r="B1172" s="1">
        <v>9</v>
      </c>
      <c r="C1172" s="1">
        <f t="shared" si="147"/>
        <v>13</v>
      </c>
      <c r="D1172" s="21">
        <f t="shared" ca="1" si="146"/>
        <v>44743</v>
      </c>
      <c r="E1172" s="1" t="s">
        <v>26</v>
      </c>
      <c r="F1172" s="1" t="s">
        <v>1200</v>
      </c>
      <c r="G1172" s="1" t="s">
        <v>28</v>
      </c>
      <c r="H1172" s="1">
        <v>1270</v>
      </c>
      <c r="I1172" s="1">
        <f t="shared" si="148"/>
        <v>55</v>
      </c>
      <c r="J1172" s="1">
        <f>VLOOKUP(B1172,Cena!$A$2:$B$101,2)</f>
        <v>96</v>
      </c>
      <c r="K1172" s="1">
        <f t="shared" si="144"/>
        <v>5280</v>
      </c>
      <c r="L1172" s="1">
        <f t="shared" si="149"/>
        <v>1214.4000000000001</v>
      </c>
      <c r="M1172" s="22">
        <f t="shared" si="145"/>
        <v>6494.4</v>
      </c>
      <c r="N1172" s="1">
        <f t="shared" ca="1" si="150"/>
        <v>7</v>
      </c>
      <c r="P1172" s="1">
        <v>55.302990757627413</v>
      </c>
      <c r="Q1172" s="1">
        <f t="shared" ca="1" si="151"/>
        <v>25</v>
      </c>
      <c r="R1172" s="1">
        <v>13.230007905585808</v>
      </c>
    </row>
    <row r="1173" spans="1:18" x14ac:dyDescent="0.3">
      <c r="A1173" s="26">
        <v>1172</v>
      </c>
      <c r="B1173" s="1">
        <v>26</v>
      </c>
      <c r="C1173" s="1">
        <f t="shared" si="147"/>
        <v>6</v>
      </c>
      <c r="D1173" s="21">
        <f t="shared" ca="1" si="146"/>
        <v>44874</v>
      </c>
      <c r="E1173" s="1" t="s">
        <v>26</v>
      </c>
      <c r="F1173" s="1" t="s">
        <v>1201</v>
      </c>
      <c r="G1173" s="1" t="s">
        <v>28</v>
      </c>
      <c r="H1173" s="1">
        <v>1271</v>
      </c>
      <c r="I1173" s="1">
        <f t="shared" si="148"/>
        <v>42</v>
      </c>
      <c r="J1173" s="1">
        <f>VLOOKUP(B1173,Cena!$A$2:$B$101,2)</f>
        <v>99</v>
      </c>
      <c r="K1173" s="1">
        <f t="shared" si="144"/>
        <v>4158</v>
      </c>
      <c r="L1173" s="1">
        <f t="shared" si="149"/>
        <v>956.34</v>
      </c>
      <c r="M1173" s="22">
        <f t="shared" si="145"/>
        <v>5114.34</v>
      </c>
      <c r="N1173" s="1">
        <f t="shared" ca="1" si="150"/>
        <v>11</v>
      </c>
      <c r="P1173" s="1">
        <v>42.137395565805491</v>
      </c>
      <c r="Q1173" s="1">
        <f t="shared" ca="1" si="151"/>
        <v>14</v>
      </c>
      <c r="R1173" s="1">
        <v>6.5496726872515865</v>
      </c>
    </row>
    <row r="1174" spans="1:18" x14ac:dyDescent="0.3">
      <c r="A1174" s="26">
        <v>1173</v>
      </c>
      <c r="B1174" s="1">
        <v>15</v>
      </c>
      <c r="C1174" s="1">
        <f t="shared" si="147"/>
        <v>12</v>
      </c>
      <c r="D1174" s="21">
        <f t="shared" ca="1" si="146"/>
        <v>44673</v>
      </c>
      <c r="E1174" s="1" t="s">
        <v>26</v>
      </c>
      <c r="F1174" s="1" t="s">
        <v>1202</v>
      </c>
      <c r="G1174" s="1" t="s">
        <v>28</v>
      </c>
      <c r="H1174" s="1">
        <v>1272</v>
      </c>
      <c r="I1174" s="1">
        <f t="shared" si="148"/>
        <v>25</v>
      </c>
      <c r="J1174" s="1">
        <f>VLOOKUP(B1174,Cena!$A$2:$B$101,2)</f>
        <v>85</v>
      </c>
      <c r="K1174" s="1">
        <f t="shared" si="144"/>
        <v>2125</v>
      </c>
      <c r="L1174" s="1">
        <f t="shared" si="149"/>
        <v>488.75</v>
      </c>
      <c r="M1174" s="22">
        <f t="shared" si="145"/>
        <v>2613.75</v>
      </c>
      <c r="N1174" s="1">
        <f t="shared" ca="1" si="150"/>
        <v>4</v>
      </c>
      <c r="P1174" s="1">
        <v>25.650280248373747</v>
      </c>
      <c r="Q1174" s="1">
        <f t="shared" ca="1" si="151"/>
        <v>8</v>
      </c>
      <c r="R1174" s="1">
        <v>12.566679313531495</v>
      </c>
    </row>
    <row r="1175" spans="1:18" x14ac:dyDescent="0.3">
      <c r="A1175" s="26">
        <v>1174</v>
      </c>
      <c r="B1175" s="1">
        <v>29</v>
      </c>
      <c r="C1175" s="1">
        <f t="shared" si="147"/>
        <v>6</v>
      </c>
      <c r="D1175" s="21">
        <f t="shared" ca="1" si="146"/>
        <v>44906</v>
      </c>
      <c r="E1175" s="1" t="s">
        <v>26</v>
      </c>
      <c r="F1175" s="1" t="s">
        <v>1203</v>
      </c>
      <c r="G1175" s="1" t="s">
        <v>28</v>
      </c>
      <c r="H1175" s="1">
        <v>1273</v>
      </c>
      <c r="I1175" s="1">
        <f t="shared" si="148"/>
        <v>48</v>
      </c>
      <c r="J1175" s="1">
        <f>VLOOKUP(B1175,Cena!$A$2:$B$101,2)</f>
        <v>105</v>
      </c>
      <c r="K1175" s="1">
        <f t="shared" si="144"/>
        <v>5040</v>
      </c>
      <c r="L1175" s="1">
        <f t="shared" si="149"/>
        <v>1159.2</v>
      </c>
      <c r="M1175" s="22">
        <f t="shared" si="145"/>
        <v>6199.2</v>
      </c>
      <c r="N1175" s="1">
        <f t="shared" ca="1" si="150"/>
        <v>12</v>
      </c>
      <c r="P1175" s="1">
        <v>48.733244410686893</v>
      </c>
      <c r="Q1175" s="1">
        <f t="shared" ca="1" si="151"/>
        <v>21</v>
      </c>
      <c r="R1175" s="1">
        <v>6.1053504193841945</v>
      </c>
    </row>
    <row r="1176" spans="1:18" x14ac:dyDescent="0.3">
      <c r="A1176" s="26">
        <v>1175</v>
      </c>
      <c r="B1176" s="1">
        <v>25</v>
      </c>
      <c r="C1176" s="1">
        <f t="shared" si="147"/>
        <v>6</v>
      </c>
      <c r="D1176" s="21">
        <f t="shared" ca="1" si="146"/>
        <v>44579</v>
      </c>
      <c r="E1176" s="1" t="s">
        <v>26</v>
      </c>
      <c r="F1176" s="1" t="s">
        <v>1204</v>
      </c>
      <c r="G1176" s="1" t="s">
        <v>28</v>
      </c>
      <c r="H1176" s="1">
        <v>1274</v>
      </c>
      <c r="I1176" s="1">
        <f t="shared" si="148"/>
        <v>55</v>
      </c>
      <c r="J1176" s="1">
        <f>VLOOKUP(B1176,Cena!$A$2:$B$101,2)</f>
        <v>108</v>
      </c>
      <c r="K1176" s="1">
        <f t="shared" si="144"/>
        <v>5940</v>
      </c>
      <c r="L1176" s="1">
        <f t="shared" si="149"/>
        <v>1366.2</v>
      </c>
      <c r="M1176" s="22">
        <f t="shared" si="145"/>
        <v>7306.2</v>
      </c>
      <c r="N1176" s="1">
        <f t="shared" ca="1" si="150"/>
        <v>1</v>
      </c>
      <c r="P1176" s="1">
        <v>55.964739102637395</v>
      </c>
      <c r="Q1176" s="1">
        <f t="shared" ca="1" si="151"/>
        <v>26</v>
      </c>
      <c r="R1176" s="1">
        <v>6.9768907703837613</v>
      </c>
    </row>
    <row r="1177" spans="1:18" x14ac:dyDescent="0.3">
      <c r="A1177" s="26">
        <v>1176</v>
      </c>
      <c r="B1177" s="1">
        <v>11</v>
      </c>
      <c r="C1177" s="1">
        <f t="shared" si="147"/>
        <v>11</v>
      </c>
      <c r="D1177" s="21">
        <f t="shared" ca="1" si="146"/>
        <v>44643</v>
      </c>
      <c r="E1177" s="1" t="s">
        <v>26</v>
      </c>
      <c r="F1177" s="1" t="s">
        <v>1205</v>
      </c>
      <c r="G1177" s="1" t="s">
        <v>28</v>
      </c>
      <c r="H1177" s="1">
        <v>1275</v>
      </c>
      <c r="I1177" s="1">
        <f t="shared" si="148"/>
        <v>48</v>
      </c>
      <c r="J1177" s="1">
        <f>VLOOKUP(B1177,Cena!$A$2:$B$101,2)</f>
        <v>83</v>
      </c>
      <c r="K1177" s="1">
        <f t="shared" si="144"/>
        <v>3984</v>
      </c>
      <c r="L1177" s="1">
        <f t="shared" si="149"/>
        <v>916.32</v>
      </c>
      <c r="M1177" s="22">
        <f t="shared" si="145"/>
        <v>4900.32</v>
      </c>
      <c r="N1177" s="1">
        <f t="shared" ca="1" si="150"/>
        <v>3</v>
      </c>
      <c r="P1177" s="1">
        <v>48.459747985180002</v>
      </c>
      <c r="Q1177" s="1">
        <f t="shared" ca="1" si="151"/>
        <v>16</v>
      </c>
      <c r="R1177" s="1">
        <v>11.946949623743421</v>
      </c>
    </row>
    <row r="1178" spans="1:18" x14ac:dyDescent="0.3">
      <c r="A1178" s="26">
        <v>1177</v>
      </c>
      <c r="B1178" s="1">
        <v>15</v>
      </c>
      <c r="C1178" s="1">
        <f t="shared" si="147"/>
        <v>6</v>
      </c>
      <c r="D1178" s="21">
        <f t="shared" ca="1" si="146"/>
        <v>44646</v>
      </c>
      <c r="E1178" s="1" t="s">
        <v>26</v>
      </c>
      <c r="F1178" s="1" t="s">
        <v>1206</v>
      </c>
      <c r="G1178" s="1" t="s">
        <v>28</v>
      </c>
      <c r="H1178" s="1">
        <v>1276</v>
      </c>
      <c r="I1178" s="1">
        <f t="shared" si="148"/>
        <v>39</v>
      </c>
      <c r="J1178" s="1">
        <f>VLOOKUP(B1178,Cena!$A$2:$B$101,2)</f>
        <v>85</v>
      </c>
      <c r="K1178" s="1">
        <f t="shared" si="144"/>
        <v>3315</v>
      </c>
      <c r="L1178" s="1">
        <f t="shared" si="149"/>
        <v>762.45</v>
      </c>
      <c r="M1178" s="22">
        <f t="shared" si="145"/>
        <v>4077.45</v>
      </c>
      <c r="N1178" s="1">
        <f t="shared" ca="1" si="150"/>
        <v>3</v>
      </c>
      <c r="P1178" s="1">
        <v>39.592311067099217</v>
      </c>
      <c r="Q1178" s="1">
        <f t="shared" ca="1" si="151"/>
        <v>28</v>
      </c>
      <c r="R1178" s="1">
        <v>6.6990799293853343</v>
      </c>
    </row>
    <row r="1179" spans="1:18" x14ac:dyDescent="0.3">
      <c r="A1179" s="26">
        <v>1178</v>
      </c>
      <c r="B1179" s="1">
        <v>12</v>
      </c>
      <c r="C1179" s="1">
        <f t="shared" si="147"/>
        <v>8</v>
      </c>
      <c r="D1179" s="21">
        <f t="shared" ca="1" si="146"/>
        <v>44758</v>
      </c>
      <c r="E1179" s="1" t="s">
        <v>26</v>
      </c>
      <c r="F1179" s="1" t="s">
        <v>1207</v>
      </c>
      <c r="G1179" s="1" t="s">
        <v>28</v>
      </c>
      <c r="H1179" s="1">
        <v>1277</v>
      </c>
      <c r="I1179" s="1">
        <f t="shared" si="148"/>
        <v>51</v>
      </c>
      <c r="J1179" s="1">
        <f>VLOOKUP(B1179,Cena!$A$2:$B$101,2)</f>
        <v>88</v>
      </c>
      <c r="K1179" s="1">
        <f t="shared" si="144"/>
        <v>4488</v>
      </c>
      <c r="L1179" s="1">
        <f t="shared" si="149"/>
        <v>1032.24</v>
      </c>
      <c r="M1179" s="22">
        <f t="shared" si="145"/>
        <v>5520.24</v>
      </c>
      <c r="N1179" s="1">
        <f t="shared" ca="1" si="150"/>
        <v>7</v>
      </c>
      <c r="P1179" s="1">
        <v>51.230523594131228</v>
      </c>
      <c r="Q1179" s="1">
        <f t="shared" ca="1" si="151"/>
        <v>13</v>
      </c>
      <c r="R1179" s="1">
        <v>8.6057304113273858</v>
      </c>
    </row>
    <row r="1180" spans="1:18" x14ac:dyDescent="0.3">
      <c r="A1180" s="26">
        <v>1179</v>
      </c>
      <c r="B1180" s="1">
        <v>3</v>
      </c>
      <c r="C1180" s="1">
        <f t="shared" si="147"/>
        <v>10</v>
      </c>
      <c r="D1180" s="21">
        <f t="shared" ca="1" si="146"/>
        <v>44900</v>
      </c>
      <c r="E1180" s="1" t="s">
        <v>26</v>
      </c>
      <c r="F1180" s="1" t="s">
        <v>1208</v>
      </c>
      <c r="G1180" s="1" t="s">
        <v>28</v>
      </c>
      <c r="H1180" s="1">
        <v>1278</v>
      </c>
      <c r="I1180" s="1">
        <f t="shared" si="148"/>
        <v>72</v>
      </c>
      <c r="J1180" s="1">
        <f>VLOOKUP(B1180,Cena!$A$2:$B$101,2)</f>
        <v>89</v>
      </c>
      <c r="K1180" s="1">
        <f t="shared" si="144"/>
        <v>6408</v>
      </c>
      <c r="L1180" s="1">
        <f t="shared" si="149"/>
        <v>1473.8400000000001</v>
      </c>
      <c r="M1180" s="22">
        <f t="shared" si="145"/>
        <v>7881.84</v>
      </c>
      <c r="N1180" s="1">
        <f t="shared" ca="1" si="150"/>
        <v>12</v>
      </c>
      <c r="P1180" s="1">
        <v>72.972017177380621</v>
      </c>
      <c r="Q1180" s="1">
        <f t="shared" ca="1" si="151"/>
        <v>12</v>
      </c>
      <c r="R1180" s="1">
        <v>10.441869474343548</v>
      </c>
    </row>
    <row r="1181" spans="1:18" x14ac:dyDescent="0.3">
      <c r="A1181" s="26">
        <v>1180</v>
      </c>
      <c r="B1181" s="1">
        <v>11</v>
      </c>
      <c r="C1181" s="1">
        <f t="shared" si="147"/>
        <v>12</v>
      </c>
      <c r="D1181" s="21">
        <f t="shared" ca="1" si="146"/>
        <v>44860</v>
      </c>
      <c r="E1181" s="1" t="s">
        <v>26</v>
      </c>
      <c r="F1181" s="1" t="s">
        <v>1209</v>
      </c>
      <c r="G1181" s="1" t="s">
        <v>28</v>
      </c>
      <c r="H1181" s="1">
        <v>1279</v>
      </c>
      <c r="I1181" s="1">
        <f t="shared" si="148"/>
        <v>51</v>
      </c>
      <c r="J1181" s="1">
        <f>VLOOKUP(B1181,Cena!$A$2:$B$101,2)</f>
        <v>83</v>
      </c>
      <c r="K1181" s="1">
        <f t="shared" si="144"/>
        <v>4233</v>
      </c>
      <c r="L1181" s="1">
        <f t="shared" si="149"/>
        <v>973.59</v>
      </c>
      <c r="M1181" s="22">
        <f t="shared" si="145"/>
        <v>5206.59</v>
      </c>
      <c r="N1181" s="1">
        <f t="shared" ca="1" si="150"/>
        <v>10</v>
      </c>
      <c r="P1181" s="1">
        <v>51.321518539043609</v>
      </c>
      <c r="Q1181" s="1">
        <f t="shared" ca="1" si="151"/>
        <v>5</v>
      </c>
      <c r="R1181" s="1">
        <v>12.676375743249082</v>
      </c>
    </row>
    <row r="1182" spans="1:18" x14ac:dyDescent="0.3">
      <c r="A1182" s="26">
        <v>1181</v>
      </c>
      <c r="B1182" s="1">
        <v>11</v>
      </c>
      <c r="C1182" s="1">
        <f t="shared" si="147"/>
        <v>13</v>
      </c>
      <c r="D1182" s="21">
        <f t="shared" ca="1" si="146"/>
        <v>44578</v>
      </c>
      <c r="E1182" s="1" t="s">
        <v>26</v>
      </c>
      <c r="F1182" s="1" t="s">
        <v>1210</v>
      </c>
      <c r="G1182" s="1" t="s">
        <v>28</v>
      </c>
      <c r="H1182" s="1">
        <v>1280</v>
      </c>
      <c r="I1182" s="1">
        <f t="shared" si="148"/>
        <v>44</v>
      </c>
      <c r="J1182" s="1">
        <f>VLOOKUP(B1182,Cena!$A$2:$B$101,2)</f>
        <v>83</v>
      </c>
      <c r="K1182" s="1">
        <f t="shared" si="144"/>
        <v>3652</v>
      </c>
      <c r="L1182" s="1">
        <f t="shared" si="149"/>
        <v>839.96</v>
      </c>
      <c r="M1182" s="22">
        <f t="shared" si="145"/>
        <v>4491.96</v>
      </c>
      <c r="N1182" s="1">
        <f t="shared" ca="1" si="150"/>
        <v>1</v>
      </c>
      <c r="P1182" s="1">
        <v>44.686436366464477</v>
      </c>
      <c r="Q1182" s="1">
        <f t="shared" ca="1" si="151"/>
        <v>18</v>
      </c>
      <c r="R1182" s="1">
        <v>13.145498794765444</v>
      </c>
    </row>
    <row r="1183" spans="1:18" x14ac:dyDescent="0.3">
      <c r="A1183" s="26">
        <v>1182</v>
      </c>
      <c r="B1183" s="1">
        <v>6</v>
      </c>
      <c r="C1183" s="1">
        <f t="shared" si="147"/>
        <v>11</v>
      </c>
      <c r="D1183" s="21">
        <f t="shared" ca="1" si="146"/>
        <v>44754</v>
      </c>
      <c r="E1183" s="1" t="s">
        <v>26</v>
      </c>
      <c r="F1183" s="1" t="s">
        <v>1211</v>
      </c>
      <c r="G1183" s="1" t="s">
        <v>28</v>
      </c>
      <c r="H1183" s="1">
        <v>1281</v>
      </c>
      <c r="I1183" s="1">
        <f t="shared" si="148"/>
        <v>75</v>
      </c>
      <c r="J1183" s="1">
        <f>VLOOKUP(B1183,Cena!$A$2:$B$101,2)</f>
        <v>86</v>
      </c>
      <c r="K1183" s="1">
        <f t="shared" ref="K1183:K1246" si="152">I1183*J1183</f>
        <v>6450</v>
      </c>
      <c r="L1183" s="1">
        <f t="shared" si="149"/>
        <v>1483.5</v>
      </c>
      <c r="M1183" s="22">
        <f t="shared" ref="M1183:M1246" si="153">K1183+L1183</f>
        <v>7933.5</v>
      </c>
      <c r="N1183" s="1">
        <f t="shared" ca="1" si="150"/>
        <v>7</v>
      </c>
      <c r="P1183" s="1">
        <v>75.569534045644104</v>
      </c>
      <c r="Q1183" s="1">
        <f t="shared" ca="1" si="151"/>
        <v>7</v>
      </c>
      <c r="R1183" s="1">
        <v>11.195004983856052</v>
      </c>
    </row>
    <row r="1184" spans="1:18" x14ac:dyDescent="0.3">
      <c r="A1184" s="26">
        <v>1183</v>
      </c>
      <c r="B1184" s="1">
        <v>13</v>
      </c>
      <c r="C1184" s="1">
        <f t="shared" si="147"/>
        <v>8</v>
      </c>
      <c r="D1184" s="21">
        <f t="shared" ca="1" si="146"/>
        <v>44609</v>
      </c>
      <c r="E1184" s="1" t="s">
        <v>26</v>
      </c>
      <c r="F1184" s="1" t="s">
        <v>1212</v>
      </c>
      <c r="G1184" s="1" t="s">
        <v>28</v>
      </c>
      <c r="H1184" s="1">
        <v>1282</v>
      </c>
      <c r="I1184" s="1">
        <f t="shared" si="148"/>
        <v>62</v>
      </c>
      <c r="J1184" s="1">
        <f>VLOOKUP(B1184,Cena!$A$2:$B$101,2)</f>
        <v>94</v>
      </c>
      <c r="K1184" s="1">
        <f t="shared" si="152"/>
        <v>5828</v>
      </c>
      <c r="L1184" s="1">
        <f t="shared" si="149"/>
        <v>1340.44</v>
      </c>
      <c r="M1184" s="22">
        <f t="shared" si="153"/>
        <v>7168.4400000000005</v>
      </c>
      <c r="N1184" s="1">
        <f t="shared" ca="1" si="150"/>
        <v>2</v>
      </c>
      <c r="P1184" s="1">
        <v>62.454711395548657</v>
      </c>
      <c r="Q1184" s="1">
        <f t="shared" ca="1" si="151"/>
        <v>10</v>
      </c>
      <c r="R1184" s="1">
        <v>8.6848052913046558</v>
      </c>
    </row>
    <row r="1185" spans="1:18" x14ac:dyDescent="0.3">
      <c r="A1185" s="26">
        <v>1184</v>
      </c>
      <c r="B1185" s="1">
        <v>11</v>
      </c>
      <c r="C1185" s="1">
        <f t="shared" si="147"/>
        <v>14</v>
      </c>
      <c r="D1185" s="21">
        <f t="shared" ca="1" si="146"/>
        <v>44832</v>
      </c>
      <c r="E1185" s="1" t="s">
        <v>26</v>
      </c>
      <c r="F1185" s="1" t="s">
        <v>1213</v>
      </c>
      <c r="G1185" s="1" t="s">
        <v>28</v>
      </c>
      <c r="H1185" s="1">
        <v>1283</v>
      </c>
      <c r="I1185" s="1">
        <f t="shared" si="148"/>
        <v>46</v>
      </c>
      <c r="J1185" s="1">
        <f>VLOOKUP(B1185,Cena!$A$2:$B$101,2)</f>
        <v>83</v>
      </c>
      <c r="K1185" s="1">
        <f t="shared" si="152"/>
        <v>3818</v>
      </c>
      <c r="L1185" s="1">
        <f t="shared" si="149"/>
        <v>878.14</v>
      </c>
      <c r="M1185" s="22">
        <f t="shared" si="153"/>
        <v>4696.1400000000003</v>
      </c>
      <c r="N1185" s="1">
        <f t="shared" ca="1" si="150"/>
        <v>9</v>
      </c>
      <c r="P1185" s="1">
        <v>46.599888163473224</v>
      </c>
      <c r="Q1185" s="1">
        <f t="shared" ca="1" si="151"/>
        <v>17</v>
      </c>
      <c r="R1185" s="1">
        <v>14.351863935880829</v>
      </c>
    </row>
    <row r="1186" spans="1:18" x14ac:dyDescent="0.3">
      <c r="A1186" s="26">
        <v>1185</v>
      </c>
      <c r="B1186" s="1">
        <v>28</v>
      </c>
      <c r="C1186" s="1">
        <f t="shared" si="147"/>
        <v>10</v>
      </c>
      <c r="D1186" s="21">
        <f t="shared" ca="1" si="146"/>
        <v>44857</v>
      </c>
      <c r="E1186" s="1" t="s">
        <v>26</v>
      </c>
      <c r="F1186" s="1" t="s">
        <v>1214</v>
      </c>
      <c r="G1186" s="1" t="s">
        <v>28</v>
      </c>
      <c r="H1186" s="1">
        <v>1284</v>
      </c>
      <c r="I1186" s="1">
        <f t="shared" si="148"/>
        <v>50</v>
      </c>
      <c r="J1186" s="1">
        <f>VLOOKUP(B1186,Cena!$A$2:$B$101,2)</f>
        <v>59</v>
      </c>
      <c r="K1186" s="1">
        <f t="shared" si="152"/>
        <v>2950</v>
      </c>
      <c r="L1186" s="1">
        <f t="shared" si="149"/>
        <v>678.5</v>
      </c>
      <c r="M1186" s="22">
        <f t="shared" si="153"/>
        <v>3628.5</v>
      </c>
      <c r="N1186" s="1">
        <f t="shared" ca="1" si="150"/>
        <v>10</v>
      </c>
      <c r="P1186" s="1">
        <v>50.419709067500662</v>
      </c>
      <c r="Q1186" s="1">
        <f t="shared" ca="1" si="151"/>
        <v>7</v>
      </c>
      <c r="R1186" s="1">
        <v>10.794915422375198</v>
      </c>
    </row>
    <row r="1187" spans="1:18" x14ac:dyDescent="0.3">
      <c r="A1187" s="26">
        <v>1186</v>
      </c>
      <c r="B1187" s="1">
        <v>23</v>
      </c>
      <c r="C1187" s="1">
        <f t="shared" si="147"/>
        <v>11</v>
      </c>
      <c r="D1187" s="21">
        <f t="shared" ca="1" si="146"/>
        <v>44871</v>
      </c>
      <c r="E1187" s="1" t="s">
        <v>26</v>
      </c>
      <c r="F1187" s="1" t="s">
        <v>1215</v>
      </c>
      <c r="G1187" s="1" t="s">
        <v>28</v>
      </c>
      <c r="H1187" s="1">
        <v>1285</v>
      </c>
      <c r="I1187" s="1">
        <f t="shared" si="148"/>
        <v>53</v>
      </c>
      <c r="J1187" s="1">
        <f>VLOOKUP(B1187,Cena!$A$2:$B$101,2)</f>
        <v>132</v>
      </c>
      <c r="K1187" s="1">
        <f t="shared" si="152"/>
        <v>6996</v>
      </c>
      <c r="L1187" s="1">
        <f t="shared" si="149"/>
        <v>1609.0800000000002</v>
      </c>
      <c r="M1187" s="22">
        <f t="shared" si="153"/>
        <v>8605.08</v>
      </c>
      <c r="N1187" s="1">
        <f t="shared" ca="1" si="150"/>
        <v>11</v>
      </c>
      <c r="P1187" s="1">
        <v>53.006323368026642</v>
      </c>
      <c r="Q1187" s="1">
        <f t="shared" ca="1" si="151"/>
        <v>3</v>
      </c>
      <c r="R1187" s="1">
        <v>11.291095941269305</v>
      </c>
    </row>
    <row r="1188" spans="1:18" x14ac:dyDescent="0.3">
      <c r="A1188" s="26">
        <v>1187</v>
      </c>
      <c r="B1188" s="1">
        <v>11</v>
      </c>
      <c r="C1188" s="1">
        <f t="shared" si="147"/>
        <v>11</v>
      </c>
      <c r="D1188" s="21">
        <f t="shared" ca="1" si="146"/>
        <v>44631</v>
      </c>
      <c r="E1188" s="1" t="s">
        <v>26</v>
      </c>
      <c r="F1188" s="1" t="s">
        <v>1216</v>
      </c>
      <c r="G1188" s="1" t="s">
        <v>28</v>
      </c>
      <c r="H1188" s="1">
        <v>1286</v>
      </c>
      <c r="I1188" s="1">
        <f t="shared" si="148"/>
        <v>46</v>
      </c>
      <c r="J1188" s="1">
        <f>VLOOKUP(B1188,Cena!$A$2:$B$101,2)</f>
        <v>83</v>
      </c>
      <c r="K1188" s="1">
        <f t="shared" si="152"/>
        <v>3818</v>
      </c>
      <c r="L1188" s="1">
        <f t="shared" si="149"/>
        <v>878.14</v>
      </c>
      <c r="M1188" s="22">
        <f t="shared" si="153"/>
        <v>4696.1400000000003</v>
      </c>
      <c r="N1188" s="1">
        <f t="shared" ca="1" si="150"/>
        <v>3</v>
      </c>
      <c r="P1188" s="1">
        <v>46.883047970186453</v>
      </c>
      <c r="Q1188" s="1">
        <f t="shared" ca="1" si="151"/>
        <v>22</v>
      </c>
      <c r="R1188" s="1">
        <v>11.778067826307961</v>
      </c>
    </row>
    <row r="1189" spans="1:18" x14ac:dyDescent="0.3">
      <c r="A1189" s="26">
        <v>1188</v>
      </c>
      <c r="B1189" s="1">
        <v>11</v>
      </c>
      <c r="C1189" s="1">
        <f t="shared" si="147"/>
        <v>11</v>
      </c>
      <c r="D1189" s="21">
        <f t="shared" ca="1" si="146"/>
        <v>44911</v>
      </c>
      <c r="E1189" s="1" t="s">
        <v>26</v>
      </c>
      <c r="F1189" s="1" t="s">
        <v>1217</v>
      </c>
      <c r="G1189" s="1" t="s">
        <v>28</v>
      </c>
      <c r="H1189" s="1">
        <v>1287</v>
      </c>
      <c r="I1189" s="1">
        <f t="shared" si="148"/>
        <v>43</v>
      </c>
      <c r="J1189" s="1">
        <f>VLOOKUP(B1189,Cena!$A$2:$B$101,2)</f>
        <v>83</v>
      </c>
      <c r="K1189" s="1">
        <f t="shared" si="152"/>
        <v>3569</v>
      </c>
      <c r="L1189" s="1">
        <f t="shared" si="149"/>
        <v>820.87</v>
      </c>
      <c r="M1189" s="22">
        <f t="shared" si="153"/>
        <v>4389.87</v>
      </c>
      <c r="N1189" s="1">
        <f t="shared" ca="1" si="150"/>
        <v>12</v>
      </c>
      <c r="P1189" s="1">
        <v>43.541678122710437</v>
      </c>
      <c r="Q1189" s="1">
        <f t="shared" ca="1" si="151"/>
        <v>17</v>
      </c>
      <c r="R1189" s="1">
        <v>11.718717612675391</v>
      </c>
    </row>
    <row r="1190" spans="1:18" x14ac:dyDescent="0.3">
      <c r="A1190" s="26">
        <v>1189</v>
      </c>
      <c r="B1190" s="1">
        <v>15</v>
      </c>
      <c r="C1190" s="1">
        <f t="shared" si="147"/>
        <v>10</v>
      </c>
      <c r="D1190" s="21">
        <f t="shared" ca="1" si="146"/>
        <v>44846</v>
      </c>
      <c r="E1190" s="1" t="s">
        <v>26</v>
      </c>
      <c r="F1190" s="1" t="s">
        <v>1218</v>
      </c>
      <c r="G1190" s="1" t="s">
        <v>28</v>
      </c>
      <c r="H1190" s="1">
        <v>1288</v>
      </c>
      <c r="I1190" s="1">
        <f t="shared" si="148"/>
        <v>52</v>
      </c>
      <c r="J1190" s="1">
        <f>VLOOKUP(B1190,Cena!$A$2:$B$101,2)</f>
        <v>85</v>
      </c>
      <c r="K1190" s="1">
        <f t="shared" si="152"/>
        <v>4420</v>
      </c>
      <c r="L1190" s="1">
        <f t="shared" si="149"/>
        <v>1016.6</v>
      </c>
      <c r="M1190" s="22">
        <f t="shared" si="153"/>
        <v>5436.6</v>
      </c>
      <c r="N1190" s="1">
        <f t="shared" ca="1" si="150"/>
        <v>10</v>
      </c>
      <c r="P1190" s="1">
        <v>52.04715888685314</v>
      </c>
      <c r="Q1190" s="1">
        <f t="shared" ca="1" si="151"/>
        <v>11</v>
      </c>
      <c r="R1190" s="1">
        <v>10.813039946478966</v>
      </c>
    </row>
    <row r="1191" spans="1:18" x14ac:dyDescent="0.3">
      <c r="A1191" s="26">
        <v>1190</v>
      </c>
      <c r="B1191" s="1">
        <v>7</v>
      </c>
      <c r="C1191" s="1">
        <f t="shared" si="147"/>
        <v>11</v>
      </c>
      <c r="D1191" s="21">
        <f t="shared" ca="1" si="146"/>
        <v>44888</v>
      </c>
      <c r="E1191" s="1" t="s">
        <v>26</v>
      </c>
      <c r="F1191" s="1" t="s">
        <v>1219</v>
      </c>
      <c r="G1191" s="1" t="s">
        <v>28</v>
      </c>
      <c r="H1191" s="1">
        <v>1289</v>
      </c>
      <c r="I1191" s="1">
        <f t="shared" si="148"/>
        <v>61</v>
      </c>
      <c r="J1191" s="1">
        <f>VLOOKUP(B1191,Cena!$A$2:$B$101,2)</f>
        <v>104</v>
      </c>
      <c r="K1191" s="1">
        <f t="shared" si="152"/>
        <v>6344</v>
      </c>
      <c r="L1191" s="1">
        <f t="shared" si="149"/>
        <v>1459.1200000000001</v>
      </c>
      <c r="M1191" s="22">
        <f t="shared" si="153"/>
        <v>7803.12</v>
      </c>
      <c r="N1191" s="1">
        <f t="shared" ca="1" si="150"/>
        <v>11</v>
      </c>
      <c r="P1191" s="1">
        <v>61.515180631249677</v>
      </c>
      <c r="Q1191" s="1">
        <f t="shared" ca="1" si="151"/>
        <v>7</v>
      </c>
      <c r="R1191" s="1">
        <v>11.537824800834642</v>
      </c>
    </row>
    <row r="1192" spans="1:18" x14ac:dyDescent="0.3">
      <c r="A1192" s="26">
        <v>1191</v>
      </c>
      <c r="B1192" s="1">
        <v>7</v>
      </c>
      <c r="C1192" s="1">
        <f t="shared" si="147"/>
        <v>13</v>
      </c>
      <c r="D1192" s="21">
        <f t="shared" ca="1" si="146"/>
        <v>44862</v>
      </c>
      <c r="E1192" s="1" t="s">
        <v>26</v>
      </c>
      <c r="F1192" s="1" t="s">
        <v>1220</v>
      </c>
      <c r="G1192" s="1" t="s">
        <v>28</v>
      </c>
      <c r="H1192" s="1">
        <v>1290</v>
      </c>
      <c r="I1192" s="1">
        <f t="shared" si="148"/>
        <v>42</v>
      </c>
      <c r="J1192" s="1">
        <f>VLOOKUP(B1192,Cena!$A$2:$B$101,2)</f>
        <v>104</v>
      </c>
      <c r="K1192" s="1">
        <f t="shared" si="152"/>
        <v>4368</v>
      </c>
      <c r="L1192" s="1">
        <f t="shared" si="149"/>
        <v>1004.6400000000001</v>
      </c>
      <c r="M1192" s="22">
        <f t="shared" si="153"/>
        <v>5372.64</v>
      </c>
      <c r="N1192" s="1">
        <f t="shared" ca="1" si="150"/>
        <v>10</v>
      </c>
      <c r="P1192" s="1">
        <v>42.757079780858476</v>
      </c>
      <c r="Q1192" s="1">
        <f t="shared" ca="1" si="151"/>
        <v>10</v>
      </c>
      <c r="R1192" s="1">
        <v>13.513889623718569</v>
      </c>
    </row>
    <row r="1193" spans="1:18" x14ac:dyDescent="0.3">
      <c r="A1193" s="26">
        <v>1192</v>
      </c>
      <c r="B1193" s="1">
        <v>20</v>
      </c>
      <c r="C1193" s="1">
        <f t="shared" si="147"/>
        <v>9</v>
      </c>
      <c r="D1193" s="21">
        <f t="shared" ca="1" si="146"/>
        <v>44672</v>
      </c>
      <c r="E1193" s="1" t="s">
        <v>26</v>
      </c>
      <c r="F1193" s="1" t="s">
        <v>1221</v>
      </c>
      <c r="G1193" s="1" t="s">
        <v>28</v>
      </c>
      <c r="H1193" s="1">
        <v>1291</v>
      </c>
      <c r="I1193" s="1">
        <f t="shared" si="148"/>
        <v>61</v>
      </c>
      <c r="J1193" s="1">
        <f>VLOOKUP(B1193,Cena!$A$2:$B$101,2)</f>
        <v>111</v>
      </c>
      <c r="K1193" s="1">
        <f t="shared" si="152"/>
        <v>6771</v>
      </c>
      <c r="L1193" s="1">
        <f t="shared" si="149"/>
        <v>1557.3300000000002</v>
      </c>
      <c r="M1193" s="22">
        <f t="shared" si="153"/>
        <v>8328.33</v>
      </c>
      <c r="N1193" s="1">
        <f t="shared" ca="1" si="150"/>
        <v>4</v>
      </c>
      <c r="P1193" s="1">
        <v>61.21456989494618</v>
      </c>
      <c r="Q1193" s="1">
        <f t="shared" ca="1" si="151"/>
        <v>7</v>
      </c>
      <c r="R1193" s="1">
        <v>9.0134938343544491</v>
      </c>
    </row>
    <row r="1194" spans="1:18" x14ac:dyDescent="0.3">
      <c r="A1194" s="26">
        <v>1193</v>
      </c>
      <c r="B1194" s="1">
        <v>19</v>
      </c>
      <c r="C1194" s="1">
        <f t="shared" si="147"/>
        <v>6</v>
      </c>
      <c r="D1194" s="21">
        <f t="shared" ca="1" si="146"/>
        <v>44622</v>
      </c>
      <c r="E1194" s="1" t="s">
        <v>26</v>
      </c>
      <c r="F1194" s="1" t="s">
        <v>1222</v>
      </c>
      <c r="G1194" s="1" t="s">
        <v>28</v>
      </c>
      <c r="H1194" s="1">
        <v>1292</v>
      </c>
      <c r="I1194" s="1">
        <f t="shared" si="148"/>
        <v>29</v>
      </c>
      <c r="J1194" s="1">
        <f>VLOOKUP(B1194,Cena!$A$2:$B$101,2)</f>
        <v>84</v>
      </c>
      <c r="K1194" s="1">
        <f t="shared" si="152"/>
        <v>2436</v>
      </c>
      <c r="L1194" s="1">
        <f t="shared" si="149"/>
        <v>560.28</v>
      </c>
      <c r="M1194" s="22">
        <f t="shared" si="153"/>
        <v>2996.2799999999997</v>
      </c>
      <c r="N1194" s="1">
        <f t="shared" ca="1" si="150"/>
        <v>3</v>
      </c>
      <c r="P1194" s="1">
        <v>29.018321027979255</v>
      </c>
      <c r="Q1194" s="1">
        <f t="shared" ca="1" si="151"/>
        <v>16</v>
      </c>
      <c r="R1194" s="1">
        <v>6.9180521475209389</v>
      </c>
    </row>
    <row r="1195" spans="1:18" x14ac:dyDescent="0.3">
      <c r="A1195" s="26">
        <v>1194</v>
      </c>
      <c r="B1195" s="1">
        <v>12</v>
      </c>
      <c r="C1195" s="1">
        <f t="shared" si="147"/>
        <v>7</v>
      </c>
      <c r="D1195" s="21">
        <f t="shared" ca="1" si="146"/>
        <v>44780</v>
      </c>
      <c r="E1195" s="1" t="s">
        <v>26</v>
      </c>
      <c r="F1195" s="1" t="s">
        <v>1223</v>
      </c>
      <c r="G1195" s="1" t="s">
        <v>28</v>
      </c>
      <c r="H1195" s="1">
        <v>1293</v>
      </c>
      <c r="I1195" s="1">
        <f t="shared" si="148"/>
        <v>46</v>
      </c>
      <c r="J1195" s="1">
        <f>VLOOKUP(B1195,Cena!$A$2:$B$101,2)</f>
        <v>88</v>
      </c>
      <c r="K1195" s="1">
        <f t="shared" si="152"/>
        <v>4048</v>
      </c>
      <c r="L1195" s="1">
        <f t="shared" si="149"/>
        <v>931.04000000000008</v>
      </c>
      <c r="M1195" s="22">
        <f t="shared" si="153"/>
        <v>4979.04</v>
      </c>
      <c r="N1195" s="1">
        <f t="shared" ca="1" si="150"/>
        <v>8</v>
      </c>
      <c r="P1195" s="1">
        <v>46.054805251333164</v>
      </c>
      <c r="Q1195" s="1">
        <f t="shared" ca="1" si="151"/>
        <v>24</v>
      </c>
      <c r="R1195" s="1">
        <v>7.0856549680320313</v>
      </c>
    </row>
    <row r="1196" spans="1:18" x14ac:dyDescent="0.3">
      <c r="A1196" s="26">
        <v>1195</v>
      </c>
      <c r="B1196" s="1">
        <v>2</v>
      </c>
      <c r="C1196" s="1">
        <f t="shared" si="147"/>
        <v>9</v>
      </c>
      <c r="D1196" s="21">
        <f t="shared" ca="1" si="146"/>
        <v>44688</v>
      </c>
      <c r="E1196" s="1" t="s">
        <v>26</v>
      </c>
      <c r="F1196" s="1" t="s">
        <v>1224</v>
      </c>
      <c r="G1196" s="1" t="s">
        <v>28</v>
      </c>
      <c r="H1196" s="1">
        <v>1294</v>
      </c>
      <c r="I1196" s="1">
        <f t="shared" si="148"/>
        <v>56</v>
      </c>
      <c r="J1196" s="1">
        <f>VLOOKUP(B1196,Cena!$A$2:$B$101,2)</f>
        <v>121</v>
      </c>
      <c r="K1196" s="1">
        <f t="shared" si="152"/>
        <v>6776</v>
      </c>
      <c r="L1196" s="1">
        <f t="shared" si="149"/>
        <v>1558.48</v>
      </c>
      <c r="M1196" s="22">
        <f t="shared" si="153"/>
        <v>8334.48</v>
      </c>
      <c r="N1196" s="1">
        <f t="shared" ca="1" si="150"/>
        <v>5</v>
      </c>
      <c r="P1196" s="1">
        <v>56.255163498281036</v>
      </c>
      <c r="Q1196" s="1">
        <f t="shared" ca="1" si="151"/>
        <v>19</v>
      </c>
      <c r="R1196" s="1">
        <v>9.4149391113751335</v>
      </c>
    </row>
    <row r="1197" spans="1:18" x14ac:dyDescent="0.3">
      <c r="A1197" s="26">
        <v>1196</v>
      </c>
      <c r="B1197" s="1">
        <v>25</v>
      </c>
      <c r="C1197" s="1">
        <f t="shared" si="147"/>
        <v>9</v>
      </c>
      <c r="D1197" s="21">
        <f t="shared" ca="1" si="146"/>
        <v>44769</v>
      </c>
      <c r="E1197" s="1" t="s">
        <v>26</v>
      </c>
      <c r="F1197" s="1" t="s">
        <v>1225</v>
      </c>
      <c r="G1197" s="1" t="s">
        <v>28</v>
      </c>
      <c r="H1197" s="1">
        <v>1295</v>
      </c>
      <c r="I1197" s="1">
        <f t="shared" si="148"/>
        <v>60</v>
      </c>
      <c r="J1197" s="1">
        <f>VLOOKUP(B1197,Cena!$A$2:$B$101,2)</f>
        <v>108</v>
      </c>
      <c r="K1197" s="1">
        <f t="shared" si="152"/>
        <v>6480</v>
      </c>
      <c r="L1197" s="1">
        <f t="shared" si="149"/>
        <v>1490.4</v>
      </c>
      <c r="M1197" s="22">
        <f t="shared" si="153"/>
        <v>7970.4</v>
      </c>
      <c r="N1197" s="1">
        <f t="shared" ca="1" si="150"/>
        <v>7</v>
      </c>
      <c r="P1197" s="1">
        <v>60.314784049114678</v>
      </c>
      <c r="Q1197" s="1">
        <f t="shared" ca="1" si="151"/>
        <v>3</v>
      </c>
      <c r="R1197" s="1">
        <v>9.392113636531576</v>
      </c>
    </row>
    <row r="1198" spans="1:18" x14ac:dyDescent="0.3">
      <c r="A1198" s="26">
        <v>1197</v>
      </c>
      <c r="B1198" s="1">
        <v>2</v>
      </c>
      <c r="C1198" s="1">
        <f t="shared" si="147"/>
        <v>12</v>
      </c>
      <c r="D1198" s="21">
        <f t="shared" ca="1" si="146"/>
        <v>44878</v>
      </c>
      <c r="E1198" s="1" t="s">
        <v>26</v>
      </c>
      <c r="F1198" s="1" t="s">
        <v>1226</v>
      </c>
      <c r="G1198" s="1" t="s">
        <v>28</v>
      </c>
      <c r="H1198" s="1">
        <v>1296</v>
      </c>
      <c r="I1198" s="1">
        <f t="shared" si="148"/>
        <v>70</v>
      </c>
      <c r="J1198" s="1">
        <f>VLOOKUP(B1198,Cena!$A$2:$B$101,2)</f>
        <v>121</v>
      </c>
      <c r="K1198" s="1">
        <f t="shared" si="152"/>
        <v>8470</v>
      </c>
      <c r="L1198" s="1">
        <f t="shared" si="149"/>
        <v>1948.1000000000001</v>
      </c>
      <c r="M1198" s="22">
        <f t="shared" si="153"/>
        <v>10418.1</v>
      </c>
      <c r="N1198" s="1">
        <f t="shared" ca="1" si="150"/>
        <v>11</v>
      </c>
      <c r="P1198" s="1">
        <v>70.347943063825369</v>
      </c>
      <c r="Q1198" s="1">
        <f t="shared" ca="1" si="151"/>
        <v>27</v>
      </c>
      <c r="R1198" s="1">
        <v>12.835071200024686</v>
      </c>
    </row>
    <row r="1199" spans="1:18" x14ac:dyDescent="0.3">
      <c r="A1199" s="26">
        <v>1198</v>
      </c>
      <c r="B1199" s="1">
        <v>24</v>
      </c>
      <c r="C1199" s="1">
        <f t="shared" si="147"/>
        <v>10</v>
      </c>
      <c r="D1199" s="21">
        <f t="shared" ca="1" si="146"/>
        <v>44729</v>
      </c>
      <c r="E1199" s="1" t="s">
        <v>26</v>
      </c>
      <c r="F1199" s="1" t="s">
        <v>1227</v>
      </c>
      <c r="G1199" s="1" t="s">
        <v>28</v>
      </c>
      <c r="H1199" s="1">
        <v>1297</v>
      </c>
      <c r="I1199" s="1">
        <f t="shared" si="148"/>
        <v>56</v>
      </c>
      <c r="J1199" s="1">
        <f>VLOOKUP(B1199,Cena!$A$2:$B$101,2)</f>
        <v>125</v>
      </c>
      <c r="K1199" s="1">
        <f t="shared" si="152"/>
        <v>7000</v>
      </c>
      <c r="L1199" s="1">
        <f t="shared" si="149"/>
        <v>1610</v>
      </c>
      <c r="M1199" s="22">
        <f t="shared" si="153"/>
        <v>8610</v>
      </c>
      <c r="N1199" s="1">
        <f t="shared" ca="1" si="150"/>
        <v>6</v>
      </c>
      <c r="P1199" s="1">
        <v>56.668983587587718</v>
      </c>
      <c r="Q1199" s="1">
        <f t="shared" ca="1" si="151"/>
        <v>20</v>
      </c>
      <c r="R1199" s="1">
        <v>10.291254309559008</v>
      </c>
    </row>
    <row r="1200" spans="1:18" x14ac:dyDescent="0.3">
      <c r="A1200" s="26">
        <v>1199</v>
      </c>
      <c r="B1200" s="1">
        <v>13</v>
      </c>
      <c r="C1200" s="1">
        <f t="shared" si="147"/>
        <v>9</v>
      </c>
      <c r="D1200" s="21">
        <f t="shared" ca="1" si="146"/>
        <v>44632</v>
      </c>
      <c r="E1200" s="1" t="s">
        <v>26</v>
      </c>
      <c r="F1200" s="1" t="s">
        <v>1228</v>
      </c>
      <c r="G1200" s="1" t="s">
        <v>28</v>
      </c>
      <c r="H1200" s="1">
        <v>1298</v>
      </c>
      <c r="I1200" s="1">
        <f t="shared" si="148"/>
        <v>55</v>
      </c>
      <c r="J1200" s="1">
        <f>VLOOKUP(B1200,Cena!$A$2:$B$101,2)</f>
        <v>94</v>
      </c>
      <c r="K1200" s="1">
        <f t="shared" si="152"/>
        <v>5170</v>
      </c>
      <c r="L1200" s="1">
        <f t="shared" si="149"/>
        <v>1189.1000000000001</v>
      </c>
      <c r="M1200" s="22">
        <f t="shared" si="153"/>
        <v>6359.1</v>
      </c>
      <c r="N1200" s="1">
        <f t="shared" ca="1" si="150"/>
        <v>3</v>
      </c>
      <c r="P1200" s="1">
        <v>55.820947990287095</v>
      </c>
      <c r="Q1200" s="1">
        <f t="shared" ca="1" si="151"/>
        <v>6</v>
      </c>
      <c r="R1200" s="1">
        <v>9.6408519109536428</v>
      </c>
    </row>
    <row r="1201" spans="1:18" x14ac:dyDescent="0.3">
      <c r="A1201" s="26">
        <v>1200</v>
      </c>
      <c r="B1201" s="1">
        <v>7</v>
      </c>
      <c r="C1201" s="1">
        <f t="shared" si="147"/>
        <v>5</v>
      </c>
      <c r="D1201" s="21">
        <f t="shared" ca="1" si="146"/>
        <v>44572</v>
      </c>
      <c r="E1201" s="1" t="s">
        <v>26</v>
      </c>
      <c r="F1201" s="1" t="s">
        <v>1229</v>
      </c>
      <c r="G1201" s="1" t="s">
        <v>28</v>
      </c>
      <c r="H1201" s="1">
        <v>1299</v>
      </c>
      <c r="I1201" s="1">
        <f t="shared" si="148"/>
        <v>41</v>
      </c>
      <c r="J1201" s="1">
        <f>VLOOKUP(B1201,Cena!$A$2:$B$101,2)</f>
        <v>104</v>
      </c>
      <c r="K1201" s="1">
        <f t="shared" si="152"/>
        <v>4264</v>
      </c>
      <c r="L1201" s="1">
        <f t="shared" si="149"/>
        <v>980.72</v>
      </c>
      <c r="M1201" s="22">
        <f t="shared" si="153"/>
        <v>5244.72</v>
      </c>
      <c r="N1201" s="1">
        <f t="shared" ca="1" si="150"/>
        <v>1</v>
      </c>
      <c r="P1201" s="1">
        <v>41.717777447775006</v>
      </c>
      <c r="Q1201" s="1">
        <f t="shared" ca="1" si="151"/>
        <v>5</v>
      </c>
      <c r="R1201" s="1">
        <v>5.2799498714739457</v>
      </c>
    </row>
    <row r="1202" spans="1:18" x14ac:dyDescent="0.3">
      <c r="A1202" s="26">
        <v>1201</v>
      </c>
      <c r="B1202" s="1">
        <v>4</v>
      </c>
      <c r="C1202" s="1">
        <f t="shared" si="147"/>
        <v>12</v>
      </c>
      <c r="D1202" s="21">
        <f t="shared" ca="1" si="146"/>
        <v>44851</v>
      </c>
      <c r="E1202" s="1" t="s">
        <v>26</v>
      </c>
      <c r="F1202" s="1" t="s">
        <v>1230</v>
      </c>
      <c r="G1202" s="1" t="s">
        <v>28</v>
      </c>
      <c r="H1202" s="1">
        <v>1300</v>
      </c>
      <c r="I1202" s="1">
        <f t="shared" si="148"/>
        <v>46</v>
      </c>
      <c r="J1202" s="1">
        <f>VLOOKUP(B1202,Cena!$A$2:$B$101,2)</f>
        <v>99</v>
      </c>
      <c r="K1202" s="1">
        <f t="shared" si="152"/>
        <v>4554</v>
      </c>
      <c r="L1202" s="1">
        <f t="shared" si="149"/>
        <v>1047.42</v>
      </c>
      <c r="M1202" s="22">
        <f t="shared" si="153"/>
        <v>5601.42</v>
      </c>
      <c r="N1202" s="1">
        <f t="shared" ca="1" si="150"/>
        <v>10</v>
      </c>
      <c r="P1202" s="1">
        <v>46.105191257811384</v>
      </c>
      <c r="Q1202" s="1">
        <f t="shared" ca="1" si="151"/>
        <v>22</v>
      </c>
      <c r="R1202" s="1">
        <v>12.339203319934313</v>
      </c>
    </row>
    <row r="1203" spans="1:18" x14ac:dyDescent="0.3">
      <c r="A1203" s="26">
        <v>1202</v>
      </c>
      <c r="B1203" s="1">
        <v>23</v>
      </c>
      <c r="C1203" s="1">
        <f t="shared" si="147"/>
        <v>7</v>
      </c>
      <c r="D1203" s="21">
        <f t="shared" ca="1" si="146"/>
        <v>44920</v>
      </c>
      <c r="E1203" s="1" t="s">
        <v>26</v>
      </c>
      <c r="F1203" s="1" t="s">
        <v>1231</v>
      </c>
      <c r="G1203" s="1" t="s">
        <v>28</v>
      </c>
      <c r="H1203" s="1">
        <v>1301</v>
      </c>
      <c r="I1203" s="1">
        <f t="shared" si="148"/>
        <v>42</v>
      </c>
      <c r="J1203" s="1">
        <f>VLOOKUP(B1203,Cena!$A$2:$B$101,2)</f>
        <v>132</v>
      </c>
      <c r="K1203" s="1">
        <f t="shared" si="152"/>
        <v>5544</v>
      </c>
      <c r="L1203" s="1">
        <f t="shared" si="149"/>
        <v>1275.1200000000001</v>
      </c>
      <c r="M1203" s="22">
        <f t="shared" si="153"/>
        <v>6819.12</v>
      </c>
      <c r="N1203" s="1">
        <f t="shared" ca="1" si="150"/>
        <v>12</v>
      </c>
      <c r="P1203" s="1">
        <v>42.575897067581536</v>
      </c>
      <c r="Q1203" s="1">
        <f t="shared" ca="1" si="151"/>
        <v>15</v>
      </c>
      <c r="R1203" s="1">
        <v>7.0395094806008274</v>
      </c>
    </row>
    <row r="1204" spans="1:18" x14ac:dyDescent="0.3">
      <c r="A1204" s="26">
        <v>1203</v>
      </c>
      <c r="B1204" s="1">
        <v>7</v>
      </c>
      <c r="C1204" s="1">
        <f t="shared" si="147"/>
        <v>11</v>
      </c>
      <c r="D1204" s="21">
        <f t="shared" ca="1" si="146"/>
        <v>44862</v>
      </c>
      <c r="E1204" s="1" t="s">
        <v>26</v>
      </c>
      <c r="F1204" s="1" t="s">
        <v>1232</v>
      </c>
      <c r="G1204" s="1" t="s">
        <v>28</v>
      </c>
      <c r="H1204" s="1">
        <v>1302</v>
      </c>
      <c r="I1204" s="1">
        <f t="shared" si="148"/>
        <v>59</v>
      </c>
      <c r="J1204" s="1">
        <f>VLOOKUP(B1204,Cena!$A$2:$B$101,2)</f>
        <v>104</v>
      </c>
      <c r="K1204" s="1">
        <f t="shared" si="152"/>
        <v>6136</v>
      </c>
      <c r="L1204" s="1">
        <f t="shared" si="149"/>
        <v>1411.28</v>
      </c>
      <c r="M1204" s="22">
        <f t="shared" si="153"/>
        <v>7547.28</v>
      </c>
      <c r="N1204" s="1">
        <f t="shared" ca="1" si="150"/>
        <v>10</v>
      </c>
      <c r="P1204" s="1">
        <v>59.503605724603403</v>
      </c>
      <c r="Q1204" s="1">
        <f t="shared" ca="1" si="151"/>
        <v>20</v>
      </c>
      <c r="R1204" s="1">
        <v>11.013853534459486</v>
      </c>
    </row>
    <row r="1205" spans="1:18" x14ac:dyDescent="0.3">
      <c r="A1205" s="26">
        <v>1204</v>
      </c>
      <c r="B1205" s="1">
        <v>17</v>
      </c>
      <c r="C1205" s="1">
        <f t="shared" si="147"/>
        <v>13</v>
      </c>
      <c r="D1205" s="21">
        <f t="shared" ca="1" si="146"/>
        <v>44646</v>
      </c>
      <c r="E1205" s="1" t="s">
        <v>26</v>
      </c>
      <c r="F1205" s="1" t="s">
        <v>1233</v>
      </c>
      <c r="G1205" s="1" t="s">
        <v>28</v>
      </c>
      <c r="H1205" s="1">
        <v>1303</v>
      </c>
      <c r="I1205" s="1">
        <f t="shared" si="148"/>
        <v>43</v>
      </c>
      <c r="J1205" s="1">
        <f>VLOOKUP(B1205,Cena!$A$2:$B$101,2)</f>
        <v>84</v>
      </c>
      <c r="K1205" s="1">
        <f t="shared" si="152"/>
        <v>3612</v>
      </c>
      <c r="L1205" s="1">
        <f t="shared" si="149"/>
        <v>830.76</v>
      </c>
      <c r="M1205" s="22">
        <f t="shared" si="153"/>
        <v>4442.76</v>
      </c>
      <c r="N1205" s="1">
        <f t="shared" ca="1" si="150"/>
        <v>3</v>
      </c>
      <c r="P1205" s="1">
        <v>43.2265041024948</v>
      </c>
      <c r="Q1205" s="1">
        <f t="shared" ca="1" si="151"/>
        <v>25</v>
      </c>
      <c r="R1205" s="1">
        <v>13.350965016579721</v>
      </c>
    </row>
    <row r="1206" spans="1:18" x14ac:dyDescent="0.3">
      <c r="A1206" s="26">
        <v>1205</v>
      </c>
      <c r="B1206" s="1">
        <v>11</v>
      </c>
      <c r="C1206" s="1">
        <f t="shared" si="147"/>
        <v>11</v>
      </c>
      <c r="D1206" s="21">
        <f t="shared" ca="1" si="146"/>
        <v>44812</v>
      </c>
      <c r="E1206" s="1" t="s">
        <v>26</v>
      </c>
      <c r="F1206" s="1" t="s">
        <v>1234</v>
      </c>
      <c r="G1206" s="1" t="s">
        <v>28</v>
      </c>
      <c r="H1206" s="1">
        <v>1304</v>
      </c>
      <c r="I1206" s="1">
        <f t="shared" si="148"/>
        <v>74</v>
      </c>
      <c r="J1206" s="1">
        <f>VLOOKUP(B1206,Cena!$A$2:$B$101,2)</f>
        <v>83</v>
      </c>
      <c r="K1206" s="1">
        <f t="shared" si="152"/>
        <v>6142</v>
      </c>
      <c r="L1206" s="1">
        <f t="shared" si="149"/>
        <v>1412.66</v>
      </c>
      <c r="M1206" s="22">
        <f t="shared" si="153"/>
        <v>7554.66</v>
      </c>
      <c r="N1206" s="1">
        <f t="shared" ca="1" si="150"/>
        <v>9</v>
      </c>
      <c r="P1206" s="1">
        <v>74.804103304632008</v>
      </c>
      <c r="Q1206" s="1">
        <f t="shared" ca="1" si="151"/>
        <v>4</v>
      </c>
      <c r="R1206" s="1">
        <v>11.086550582840573</v>
      </c>
    </row>
    <row r="1207" spans="1:18" x14ac:dyDescent="0.3">
      <c r="A1207" s="26">
        <v>1206</v>
      </c>
      <c r="B1207" s="1">
        <v>12</v>
      </c>
      <c r="C1207" s="1">
        <f t="shared" si="147"/>
        <v>14</v>
      </c>
      <c r="D1207" s="21">
        <f t="shared" ca="1" si="146"/>
        <v>44814</v>
      </c>
      <c r="E1207" s="1" t="s">
        <v>26</v>
      </c>
      <c r="F1207" s="1" t="s">
        <v>1235</v>
      </c>
      <c r="G1207" s="1" t="s">
        <v>28</v>
      </c>
      <c r="H1207" s="1">
        <v>1305</v>
      </c>
      <c r="I1207" s="1">
        <f t="shared" si="148"/>
        <v>43</v>
      </c>
      <c r="J1207" s="1">
        <f>VLOOKUP(B1207,Cena!$A$2:$B$101,2)</f>
        <v>88</v>
      </c>
      <c r="K1207" s="1">
        <f t="shared" si="152"/>
        <v>3784</v>
      </c>
      <c r="L1207" s="1">
        <f t="shared" si="149"/>
        <v>870.32</v>
      </c>
      <c r="M1207" s="22">
        <f t="shared" si="153"/>
        <v>4654.32</v>
      </c>
      <c r="N1207" s="1">
        <f t="shared" ca="1" si="150"/>
        <v>9</v>
      </c>
      <c r="P1207" s="1">
        <v>43.260144037776627</v>
      </c>
      <c r="Q1207" s="1">
        <f t="shared" ca="1" si="151"/>
        <v>14</v>
      </c>
      <c r="R1207" s="1">
        <v>14.618323146132752</v>
      </c>
    </row>
    <row r="1208" spans="1:18" x14ac:dyDescent="0.3">
      <c r="A1208" s="26">
        <v>1207</v>
      </c>
      <c r="B1208" s="1">
        <v>11</v>
      </c>
      <c r="C1208" s="1">
        <f t="shared" si="147"/>
        <v>9</v>
      </c>
      <c r="D1208" s="21">
        <f t="shared" ca="1" si="146"/>
        <v>44597</v>
      </c>
      <c r="E1208" s="1" t="s">
        <v>26</v>
      </c>
      <c r="F1208" s="1" t="s">
        <v>1236</v>
      </c>
      <c r="G1208" s="1" t="s">
        <v>28</v>
      </c>
      <c r="H1208" s="1">
        <v>1306</v>
      </c>
      <c r="I1208" s="1">
        <f t="shared" si="148"/>
        <v>16</v>
      </c>
      <c r="J1208" s="1">
        <f>VLOOKUP(B1208,Cena!$A$2:$B$101,2)</f>
        <v>83</v>
      </c>
      <c r="K1208" s="1">
        <f t="shared" si="152"/>
        <v>1328</v>
      </c>
      <c r="L1208" s="1">
        <f t="shared" si="149"/>
        <v>305.44</v>
      </c>
      <c r="M1208" s="22">
        <f t="shared" si="153"/>
        <v>1633.44</v>
      </c>
      <c r="N1208" s="1">
        <f t="shared" ca="1" si="150"/>
        <v>2</v>
      </c>
      <c r="P1208" s="1">
        <v>16.652831062674522</v>
      </c>
      <c r="Q1208" s="1">
        <f t="shared" ca="1" si="151"/>
        <v>23</v>
      </c>
      <c r="R1208" s="1">
        <v>9.9067455291879014</v>
      </c>
    </row>
    <row r="1209" spans="1:18" x14ac:dyDescent="0.3">
      <c r="A1209" s="26">
        <v>1208</v>
      </c>
      <c r="B1209" s="1">
        <v>6</v>
      </c>
      <c r="C1209" s="1">
        <f t="shared" si="147"/>
        <v>11</v>
      </c>
      <c r="D1209" s="21">
        <f t="shared" ca="1" si="146"/>
        <v>44881</v>
      </c>
      <c r="E1209" s="1" t="s">
        <v>26</v>
      </c>
      <c r="F1209" s="1" t="s">
        <v>1237</v>
      </c>
      <c r="G1209" s="1" t="s">
        <v>28</v>
      </c>
      <c r="H1209" s="1">
        <v>1307</v>
      </c>
      <c r="I1209" s="1">
        <f t="shared" si="148"/>
        <v>55</v>
      </c>
      <c r="J1209" s="1">
        <f>VLOOKUP(B1209,Cena!$A$2:$B$101,2)</f>
        <v>86</v>
      </c>
      <c r="K1209" s="1">
        <f t="shared" si="152"/>
        <v>4730</v>
      </c>
      <c r="L1209" s="1">
        <f t="shared" si="149"/>
        <v>1087.9000000000001</v>
      </c>
      <c r="M1209" s="22">
        <f t="shared" si="153"/>
        <v>5817.9</v>
      </c>
      <c r="N1209" s="1">
        <f t="shared" ca="1" si="150"/>
        <v>11</v>
      </c>
      <c r="P1209" s="1">
        <v>55.795595825475175</v>
      </c>
      <c r="Q1209" s="1">
        <f t="shared" ca="1" si="151"/>
        <v>14</v>
      </c>
      <c r="R1209" s="1">
        <v>11.843201857809618</v>
      </c>
    </row>
    <row r="1210" spans="1:18" x14ac:dyDescent="0.3">
      <c r="A1210" s="26">
        <v>1209</v>
      </c>
      <c r="B1210" s="1">
        <v>9</v>
      </c>
      <c r="C1210" s="1">
        <f t="shared" si="147"/>
        <v>10</v>
      </c>
      <c r="D1210" s="21">
        <f t="shared" ca="1" si="146"/>
        <v>44850</v>
      </c>
      <c r="E1210" s="1" t="s">
        <v>26</v>
      </c>
      <c r="F1210" s="1" t="s">
        <v>1238</v>
      </c>
      <c r="G1210" s="1" t="s">
        <v>28</v>
      </c>
      <c r="H1210" s="1">
        <v>1308</v>
      </c>
      <c r="I1210" s="1">
        <f t="shared" si="148"/>
        <v>51</v>
      </c>
      <c r="J1210" s="1">
        <f>VLOOKUP(B1210,Cena!$A$2:$B$101,2)</f>
        <v>96</v>
      </c>
      <c r="K1210" s="1">
        <f t="shared" si="152"/>
        <v>4896</v>
      </c>
      <c r="L1210" s="1">
        <f t="shared" si="149"/>
        <v>1126.0800000000002</v>
      </c>
      <c r="M1210" s="22">
        <f t="shared" si="153"/>
        <v>6022.08</v>
      </c>
      <c r="N1210" s="1">
        <f t="shared" ca="1" si="150"/>
        <v>10</v>
      </c>
      <c r="P1210" s="1">
        <v>51.600653831701493</v>
      </c>
      <c r="Q1210" s="1">
        <f t="shared" ca="1" si="151"/>
        <v>24</v>
      </c>
      <c r="R1210" s="1">
        <v>10.959892076934921</v>
      </c>
    </row>
    <row r="1211" spans="1:18" x14ac:dyDescent="0.3">
      <c r="A1211" s="26">
        <v>1210</v>
      </c>
      <c r="B1211" s="1">
        <v>3</v>
      </c>
      <c r="C1211" s="1">
        <f t="shared" si="147"/>
        <v>10</v>
      </c>
      <c r="D1211" s="21">
        <f t="shared" ca="1" si="146"/>
        <v>44838</v>
      </c>
      <c r="E1211" s="1" t="s">
        <v>26</v>
      </c>
      <c r="F1211" s="1" t="s">
        <v>1239</v>
      </c>
      <c r="G1211" s="1" t="s">
        <v>28</v>
      </c>
      <c r="H1211" s="1">
        <v>1309</v>
      </c>
      <c r="I1211" s="1">
        <f t="shared" si="148"/>
        <v>58</v>
      </c>
      <c r="J1211" s="1">
        <f>VLOOKUP(B1211,Cena!$A$2:$B$101,2)</f>
        <v>89</v>
      </c>
      <c r="K1211" s="1">
        <f t="shared" si="152"/>
        <v>5162</v>
      </c>
      <c r="L1211" s="1">
        <f t="shared" si="149"/>
        <v>1187.26</v>
      </c>
      <c r="M1211" s="22">
        <f t="shared" si="153"/>
        <v>6349.26</v>
      </c>
      <c r="N1211" s="1">
        <f t="shared" ca="1" si="150"/>
        <v>10</v>
      </c>
      <c r="P1211" s="1">
        <v>58.640040505270008</v>
      </c>
      <c r="Q1211" s="1">
        <f t="shared" ca="1" si="151"/>
        <v>3</v>
      </c>
      <c r="R1211" s="1">
        <v>10.500662622471282</v>
      </c>
    </row>
    <row r="1212" spans="1:18" x14ac:dyDescent="0.3">
      <c r="A1212" s="26">
        <v>1211</v>
      </c>
      <c r="B1212" s="1">
        <v>15</v>
      </c>
      <c r="C1212" s="1">
        <f t="shared" si="147"/>
        <v>8</v>
      </c>
      <c r="D1212" s="21">
        <f t="shared" ca="1" si="146"/>
        <v>44885</v>
      </c>
      <c r="E1212" s="1" t="s">
        <v>26</v>
      </c>
      <c r="F1212" s="1" t="s">
        <v>1240</v>
      </c>
      <c r="G1212" s="1" t="s">
        <v>28</v>
      </c>
      <c r="H1212" s="1">
        <v>1310</v>
      </c>
      <c r="I1212" s="1">
        <f t="shared" si="148"/>
        <v>63</v>
      </c>
      <c r="J1212" s="1">
        <f>VLOOKUP(B1212,Cena!$A$2:$B$101,2)</f>
        <v>85</v>
      </c>
      <c r="K1212" s="1">
        <f t="shared" si="152"/>
        <v>5355</v>
      </c>
      <c r="L1212" s="1">
        <f t="shared" si="149"/>
        <v>1231.6500000000001</v>
      </c>
      <c r="M1212" s="22">
        <f t="shared" si="153"/>
        <v>6586.65</v>
      </c>
      <c r="N1212" s="1">
        <f t="shared" ca="1" si="150"/>
        <v>11</v>
      </c>
      <c r="P1212" s="1">
        <v>63.905150808568578</v>
      </c>
      <c r="Q1212" s="1">
        <f t="shared" ca="1" si="151"/>
        <v>10</v>
      </c>
      <c r="R1212" s="1">
        <v>8.4925636908883462</v>
      </c>
    </row>
    <row r="1213" spans="1:18" x14ac:dyDescent="0.3">
      <c r="A1213" s="26">
        <v>1212</v>
      </c>
      <c r="B1213" s="1">
        <v>13</v>
      </c>
      <c r="C1213" s="1">
        <f t="shared" si="147"/>
        <v>11</v>
      </c>
      <c r="D1213" s="21">
        <f t="shared" ca="1" si="146"/>
        <v>44813</v>
      </c>
      <c r="E1213" s="1" t="s">
        <v>26</v>
      </c>
      <c r="F1213" s="1" t="s">
        <v>1241</v>
      </c>
      <c r="G1213" s="1" t="s">
        <v>28</v>
      </c>
      <c r="H1213" s="1">
        <v>1311</v>
      </c>
      <c r="I1213" s="1">
        <f t="shared" si="148"/>
        <v>34</v>
      </c>
      <c r="J1213" s="1">
        <f>VLOOKUP(B1213,Cena!$A$2:$B$101,2)</f>
        <v>94</v>
      </c>
      <c r="K1213" s="1">
        <f t="shared" si="152"/>
        <v>3196</v>
      </c>
      <c r="L1213" s="1">
        <f t="shared" si="149"/>
        <v>735.08</v>
      </c>
      <c r="M1213" s="22">
        <f t="shared" si="153"/>
        <v>3931.08</v>
      </c>
      <c r="N1213" s="1">
        <f t="shared" ca="1" si="150"/>
        <v>9</v>
      </c>
      <c r="P1213" s="1">
        <v>34.134456099127419</v>
      </c>
      <c r="Q1213" s="1">
        <f t="shared" ca="1" si="151"/>
        <v>2</v>
      </c>
      <c r="R1213" s="1">
        <v>11.04695914160402</v>
      </c>
    </row>
    <row r="1214" spans="1:18" x14ac:dyDescent="0.3">
      <c r="A1214" s="26">
        <v>1213</v>
      </c>
      <c r="B1214" s="1">
        <v>3</v>
      </c>
      <c r="C1214" s="1">
        <f t="shared" si="147"/>
        <v>12</v>
      </c>
      <c r="D1214" s="21">
        <f t="shared" ca="1" si="146"/>
        <v>44748</v>
      </c>
      <c r="E1214" s="1" t="s">
        <v>26</v>
      </c>
      <c r="F1214" s="1" t="s">
        <v>1242</v>
      </c>
      <c r="G1214" s="1" t="s">
        <v>28</v>
      </c>
      <c r="H1214" s="1">
        <v>1312</v>
      </c>
      <c r="I1214" s="1">
        <f t="shared" si="148"/>
        <v>56</v>
      </c>
      <c r="J1214" s="1">
        <f>VLOOKUP(B1214,Cena!$A$2:$B$101,2)</f>
        <v>89</v>
      </c>
      <c r="K1214" s="1">
        <f t="shared" si="152"/>
        <v>4984</v>
      </c>
      <c r="L1214" s="1">
        <f t="shared" si="149"/>
        <v>1146.32</v>
      </c>
      <c r="M1214" s="22">
        <f t="shared" si="153"/>
        <v>6130.32</v>
      </c>
      <c r="N1214" s="1">
        <f t="shared" ca="1" si="150"/>
        <v>7</v>
      </c>
      <c r="P1214" s="1">
        <v>56.606046554225031</v>
      </c>
      <c r="Q1214" s="1">
        <f t="shared" ca="1" si="151"/>
        <v>10</v>
      </c>
      <c r="R1214" s="1">
        <v>12.276243549204082</v>
      </c>
    </row>
    <row r="1215" spans="1:18" x14ac:dyDescent="0.3">
      <c r="A1215" s="26">
        <v>1214</v>
      </c>
      <c r="B1215" s="1">
        <v>14</v>
      </c>
      <c r="C1215" s="1">
        <f t="shared" si="147"/>
        <v>11</v>
      </c>
      <c r="D1215" s="21">
        <f t="shared" ca="1" si="146"/>
        <v>44618</v>
      </c>
      <c r="E1215" s="1" t="s">
        <v>26</v>
      </c>
      <c r="F1215" s="1" t="s">
        <v>1243</v>
      </c>
      <c r="G1215" s="1" t="s">
        <v>28</v>
      </c>
      <c r="H1215" s="1">
        <v>1313</v>
      </c>
      <c r="I1215" s="1">
        <f t="shared" si="148"/>
        <v>44</v>
      </c>
      <c r="J1215" s="1">
        <f>VLOOKUP(B1215,Cena!$A$2:$B$101,2)</f>
        <v>129</v>
      </c>
      <c r="K1215" s="1">
        <f t="shared" si="152"/>
        <v>5676</v>
      </c>
      <c r="L1215" s="1">
        <f t="shared" si="149"/>
        <v>1305.48</v>
      </c>
      <c r="M1215" s="22">
        <f t="shared" si="153"/>
        <v>6981.48</v>
      </c>
      <c r="N1215" s="1">
        <f t="shared" ca="1" si="150"/>
        <v>2</v>
      </c>
      <c r="P1215" s="1">
        <v>44.427389538032003</v>
      </c>
      <c r="Q1215" s="1">
        <f t="shared" ca="1" si="151"/>
        <v>27</v>
      </c>
      <c r="R1215" s="1">
        <v>11.109083314076997</v>
      </c>
    </row>
    <row r="1216" spans="1:18" x14ac:dyDescent="0.3">
      <c r="A1216" s="26">
        <v>1215</v>
      </c>
      <c r="B1216" s="1">
        <v>27</v>
      </c>
      <c r="C1216" s="1">
        <f t="shared" si="147"/>
        <v>11</v>
      </c>
      <c r="D1216" s="21">
        <f t="shared" ca="1" si="146"/>
        <v>44793</v>
      </c>
      <c r="E1216" s="1" t="s">
        <v>26</v>
      </c>
      <c r="F1216" s="1" t="s">
        <v>1244</v>
      </c>
      <c r="G1216" s="1" t="s">
        <v>28</v>
      </c>
      <c r="H1216" s="1">
        <v>1314</v>
      </c>
      <c r="I1216" s="1">
        <f t="shared" si="148"/>
        <v>51</v>
      </c>
      <c r="J1216" s="1">
        <f>VLOOKUP(B1216,Cena!$A$2:$B$101,2)</f>
        <v>87</v>
      </c>
      <c r="K1216" s="1">
        <f t="shared" si="152"/>
        <v>4437</v>
      </c>
      <c r="L1216" s="1">
        <f t="shared" si="149"/>
        <v>1020.51</v>
      </c>
      <c r="M1216" s="22">
        <f t="shared" si="153"/>
        <v>5457.51</v>
      </c>
      <c r="N1216" s="1">
        <f t="shared" ca="1" si="150"/>
        <v>8</v>
      </c>
      <c r="P1216" s="1">
        <v>51.28218289319193</v>
      </c>
      <c r="Q1216" s="1">
        <f t="shared" ca="1" si="151"/>
        <v>8</v>
      </c>
      <c r="R1216" s="1">
        <v>11.852498598964303</v>
      </c>
    </row>
    <row r="1217" spans="1:18" x14ac:dyDescent="0.3">
      <c r="A1217" s="26">
        <v>1216</v>
      </c>
      <c r="B1217" s="1">
        <v>11</v>
      </c>
      <c r="C1217" s="1">
        <f t="shared" si="147"/>
        <v>7</v>
      </c>
      <c r="D1217" s="21">
        <f t="shared" ca="1" si="146"/>
        <v>44816</v>
      </c>
      <c r="E1217" s="1" t="s">
        <v>26</v>
      </c>
      <c r="F1217" s="1" t="s">
        <v>1245</v>
      </c>
      <c r="G1217" s="1" t="s">
        <v>28</v>
      </c>
      <c r="H1217" s="1">
        <v>1315</v>
      </c>
      <c r="I1217" s="1">
        <f t="shared" si="148"/>
        <v>47</v>
      </c>
      <c r="J1217" s="1">
        <f>VLOOKUP(B1217,Cena!$A$2:$B$101,2)</f>
        <v>83</v>
      </c>
      <c r="K1217" s="1">
        <f t="shared" si="152"/>
        <v>3901</v>
      </c>
      <c r="L1217" s="1">
        <f t="shared" si="149"/>
        <v>897.23</v>
      </c>
      <c r="M1217" s="22">
        <f t="shared" si="153"/>
        <v>4798.2299999999996</v>
      </c>
      <c r="N1217" s="1">
        <f t="shared" ca="1" si="150"/>
        <v>9</v>
      </c>
      <c r="P1217" s="1">
        <v>47.894997250114102</v>
      </c>
      <c r="Q1217" s="1">
        <f t="shared" ca="1" si="151"/>
        <v>22</v>
      </c>
      <c r="R1217" s="1">
        <v>7.223801528889453</v>
      </c>
    </row>
    <row r="1218" spans="1:18" x14ac:dyDescent="0.3">
      <c r="A1218" s="26">
        <v>1217</v>
      </c>
      <c r="B1218" s="1">
        <v>7</v>
      </c>
      <c r="C1218" s="1">
        <f t="shared" si="147"/>
        <v>11</v>
      </c>
      <c r="D1218" s="21">
        <f t="shared" ref="D1218:D1281" ca="1" si="154">DATE(2022,RANDBETWEEN(1,12),RANDBETWEEN(1,28))</f>
        <v>44606</v>
      </c>
      <c r="E1218" s="1" t="s">
        <v>26</v>
      </c>
      <c r="F1218" s="1" t="s">
        <v>1246</v>
      </c>
      <c r="G1218" s="1" t="s">
        <v>28</v>
      </c>
      <c r="H1218" s="1">
        <v>1316</v>
      </c>
      <c r="I1218" s="1">
        <f t="shared" si="148"/>
        <v>46</v>
      </c>
      <c r="J1218" s="1">
        <f>VLOOKUP(B1218,Cena!$A$2:$B$101,2)</f>
        <v>104</v>
      </c>
      <c r="K1218" s="1">
        <f t="shared" si="152"/>
        <v>4784</v>
      </c>
      <c r="L1218" s="1">
        <f t="shared" si="149"/>
        <v>1100.32</v>
      </c>
      <c r="M1218" s="22">
        <f t="shared" si="153"/>
        <v>5884.32</v>
      </c>
      <c r="N1218" s="1">
        <f t="shared" ca="1" si="150"/>
        <v>2</v>
      </c>
      <c r="P1218" s="1">
        <v>46.915948941023089</v>
      </c>
      <c r="Q1218" s="1">
        <f t="shared" ca="1" si="151"/>
        <v>30</v>
      </c>
      <c r="R1218" s="1">
        <v>11.072481836672523</v>
      </c>
    </row>
    <row r="1219" spans="1:18" x14ac:dyDescent="0.3">
      <c r="A1219" s="26">
        <v>1218</v>
      </c>
      <c r="B1219" s="1">
        <v>14</v>
      </c>
      <c r="C1219" s="1">
        <f t="shared" ref="C1219:C1282" si="155">INT(R1219)</f>
        <v>13</v>
      </c>
      <c r="D1219" s="21">
        <f t="shared" ca="1" si="154"/>
        <v>44916</v>
      </c>
      <c r="E1219" s="1" t="s">
        <v>26</v>
      </c>
      <c r="F1219" s="1" t="s">
        <v>1247</v>
      </c>
      <c r="G1219" s="1" t="s">
        <v>28</v>
      </c>
      <c r="H1219" s="1">
        <v>1317</v>
      </c>
      <c r="I1219" s="1">
        <f t="shared" ref="I1219:I1282" si="156">INT(P1219)</f>
        <v>57</v>
      </c>
      <c r="J1219" s="1">
        <f>VLOOKUP(B1219,Cena!$A$2:$B$101,2)</f>
        <v>129</v>
      </c>
      <c r="K1219" s="1">
        <f t="shared" si="152"/>
        <v>7353</v>
      </c>
      <c r="L1219" s="1">
        <f t="shared" ref="L1219:L1282" si="157">K1219*23%</f>
        <v>1691.19</v>
      </c>
      <c r="M1219" s="22">
        <f t="shared" si="153"/>
        <v>9044.19</v>
      </c>
      <c r="N1219" s="1">
        <f t="shared" ref="N1219:N1282" ca="1" si="158">MONTH(D1219)</f>
        <v>12</v>
      </c>
      <c r="P1219" s="1">
        <v>57.18041519576218</v>
      </c>
      <c r="Q1219" s="1">
        <f t="shared" ref="Q1219:Q1282" ca="1" si="159">RANDBETWEEN(1,30)</f>
        <v>18</v>
      </c>
      <c r="R1219" s="1">
        <v>13.151421879010741</v>
      </c>
    </row>
    <row r="1220" spans="1:18" x14ac:dyDescent="0.3">
      <c r="A1220" s="26">
        <v>1219</v>
      </c>
      <c r="B1220" s="1">
        <v>11</v>
      </c>
      <c r="C1220" s="1">
        <f t="shared" si="155"/>
        <v>7</v>
      </c>
      <c r="D1220" s="21">
        <f t="shared" ca="1" si="154"/>
        <v>44621</v>
      </c>
      <c r="E1220" s="1" t="s">
        <v>26</v>
      </c>
      <c r="F1220" s="1" t="s">
        <v>1248</v>
      </c>
      <c r="G1220" s="1" t="s">
        <v>28</v>
      </c>
      <c r="H1220" s="1">
        <v>1318</v>
      </c>
      <c r="I1220" s="1">
        <f t="shared" si="156"/>
        <v>48</v>
      </c>
      <c r="J1220" s="1">
        <f>VLOOKUP(B1220,Cena!$A$2:$B$101,2)</f>
        <v>83</v>
      </c>
      <c r="K1220" s="1">
        <f t="shared" si="152"/>
        <v>3984</v>
      </c>
      <c r="L1220" s="1">
        <f t="shared" si="157"/>
        <v>916.32</v>
      </c>
      <c r="M1220" s="22">
        <f t="shared" si="153"/>
        <v>4900.32</v>
      </c>
      <c r="N1220" s="1">
        <f t="shared" ca="1" si="158"/>
        <v>3</v>
      </c>
      <c r="P1220" s="1">
        <v>48.710109139210545</v>
      </c>
      <c r="Q1220" s="1">
        <f t="shared" ca="1" si="159"/>
        <v>22</v>
      </c>
      <c r="R1220" s="1">
        <v>7.3944568409933709</v>
      </c>
    </row>
    <row r="1221" spans="1:18" x14ac:dyDescent="0.3">
      <c r="A1221" s="26">
        <v>1220</v>
      </c>
      <c r="B1221" s="1">
        <v>6</v>
      </c>
      <c r="C1221" s="1">
        <f t="shared" si="155"/>
        <v>11</v>
      </c>
      <c r="D1221" s="21">
        <f t="shared" ca="1" si="154"/>
        <v>44798</v>
      </c>
      <c r="E1221" s="1" t="s">
        <v>26</v>
      </c>
      <c r="F1221" s="1" t="s">
        <v>1249</v>
      </c>
      <c r="G1221" s="1" t="s">
        <v>28</v>
      </c>
      <c r="H1221" s="1">
        <v>1319</v>
      </c>
      <c r="I1221" s="1">
        <f t="shared" si="156"/>
        <v>47</v>
      </c>
      <c r="J1221" s="1">
        <f>VLOOKUP(B1221,Cena!$A$2:$B$101,2)</f>
        <v>86</v>
      </c>
      <c r="K1221" s="1">
        <f t="shared" si="152"/>
        <v>4042</v>
      </c>
      <c r="L1221" s="1">
        <f t="shared" si="157"/>
        <v>929.66000000000008</v>
      </c>
      <c r="M1221" s="22">
        <f t="shared" si="153"/>
        <v>4971.66</v>
      </c>
      <c r="N1221" s="1">
        <f t="shared" ca="1" si="158"/>
        <v>8</v>
      </c>
      <c r="P1221" s="1">
        <v>47.834743226121645</v>
      </c>
      <c r="Q1221" s="1">
        <f t="shared" ca="1" si="159"/>
        <v>25</v>
      </c>
      <c r="R1221" s="1">
        <v>11.93505798051774</v>
      </c>
    </row>
    <row r="1222" spans="1:18" x14ac:dyDescent="0.3">
      <c r="A1222" s="26">
        <v>1221</v>
      </c>
      <c r="B1222" s="1">
        <v>3</v>
      </c>
      <c r="C1222" s="1">
        <f t="shared" si="155"/>
        <v>10</v>
      </c>
      <c r="D1222" s="21">
        <f t="shared" ca="1" si="154"/>
        <v>44841</v>
      </c>
      <c r="E1222" s="1" t="s">
        <v>26</v>
      </c>
      <c r="F1222" s="1" t="s">
        <v>1250</v>
      </c>
      <c r="G1222" s="1" t="s">
        <v>28</v>
      </c>
      <c r="H1222" s="1">
        <v>1320</v>
      </c>
      <c r="I1222" s="1">
        <f t="shared" si="156"/>
        <v>45</v>
      </c>
      <c r="J1222" s="1">
        <f>VLOOKUP(B1222,Cena!$A$2:$B$101,2)</f>
        <v>89</v>
      </c>
      <c r="K1222" s="1">
        <f t="shared" si="152"/>
        <v>4005</v>
      </c>
      <c r="L1222" s="1">
        <f t="shared" si="157"/>
        <v>921.15000000000009</v>
      </c>
      <c r="M1222" s="22">
        <f t="shared" si="153"/>
        <v>4926.1499999999996</v>
      </c>
      <c r="N1222" s="1">
        <f t="shared" ca="1" si="158"/>
        <v>10</v>
      </c>
      <c r="P1222" s="1">
        <v>45.856387613457628</v>
      </c>
      <c r="Q1222" s="1">
        <f t="shared" ca="1" si="159"/>
        <v>11</v>
      </c>
      <c r="R1222" s="1">
        <v>10.395709776057629</v>
      </c>
    </row>
    <row r="1223" spans="1:18" x14ac:dyDescent="0.3">
      <c r="A1223" s="26">
        <v>1222</v>
      </c>
      <c r="B1223" s="1">
        <v>17</v>
      </c>
      <c r="C1223" s="1">
        <f t="shared" si="155"/>
        <v>7</v>
      </c>
      <c r="D1223" s="21">
        <f t="shared" ca="1" si="154"/>
        <v>44647</v>
      </c>
      <c r="E1223" s="1" t="s">
        <v>26</v>
      </c>
      <c r="F1223" s="1" t="s">
        <v>1251</v>
      </c>
      <c r="G1223" s="1" t="s">
        <v>28</v>
      </c>
      <c r="H1223" s="1">
        <v>1321</v>
      </c>
      <c r="I1223" s="1">
        <f t="shared" si="156"/>
        <v>66</v>
      </c>
      <c r="J1223" s="1">
        <f>VLOOKUP(B1223,Cena!$A$2:$B$101,2)</f>
        <v>84</v>
      </c>
      <c r="K1223" s="1">
        <f t="shared" si="152"/>
        <v>5544</v>
      </c>
      <c r="L1223" s="1">
        <f t="shared" si="157"/>
        <v>1275.1200000000001</v>
      </c>
      <c r="M1223" s="22">
        <f t="shared" si="153"/>
        <v>6819.12</v>
      </c>
      <c r="N1223" s="1">
        <f t="shared" ca="1" si="158"/>
        <v>3</v>
      </c>
      <c r="P1223" s="1">
        <v>66.07922968105413</v>
      </c>
      <c r="Q1223" s="1">
        <f t="shared" ca="1" si="159"/>
        <v>24</v>
      </c>
      <c r="R1223" s="1">
        <v>7.3683088683173992</v>
      </c>
    </row>
    <row r="1224" spans="1:18" x14ac:dyDescent="0.3">
      <c r="A1224" s="26">
        <v>1223</v>
      </c>
      <c r="B1224" s="1">
        <v>2</v>
      </c>
      <c r="C1224" s="1">
        <f t="shared" si="155"/>
        <v>7</v>
      </c>
      <c r="D1224" s="21">
        <f t="shared" ca="1" si="154"/>
        <v>44638</v>
      </c>
      <c r="E1224" s="1" t="s">
        <v>26</v>
      </c>
      <c r="F1224" s="1" t="s">
        <v>1252</v>
      </c>
      <c r="G1224" s="1" t="s">
        <v>28</v>
      </c>
      <c r="H1224" s="1">
        <v>1322</v>
      </c>
      <c r="I1224" s="1">
        <f t="shared" si="156"/>
        <v>65</v>
      </c>
      <c r="J1224" s="1">
        <f>VLOOKUP(B1224,Cena!$A$2:$B$101,2)</f>
        <v>121</v>
      </c>
      <c r="K1224" s="1">
        <f t="shared" si="152"/>
        <v>7865</v>
      </c>
      <c r="L1224" s="1">
        <f t="shared" si="157"/>
        <v>1808.95</v>
      </c>
      <c r="M1224" s="22">
        <f t="shared" si="153"/>
        <v>9673.9500000000007</v>
      </c>
      <c r="N1224" s="1">
        <f t="shared" ca="1" si="158"/>
        <v>3</v>
      </c>
      <c r="P1224" s="1">
        <v>65.456225810339674</v>
      </c>
      <c r="Q1224" s="1">
        <f t="shared" ca="1" si="159"/>
        <v>27</v>
      </c>
      <c r="R1224" s="1">
        <v>7.9992480803048238</v>
      </c>
    </row>
    <row r="1225" spans="1:18" x14ac:dyDescent="0.3">
      <c r="A1225" s="26">
        <v>1224</v>
      </c>
      <c r="B1225" s="1">
        <v>20</v>
      </c>
      <c r="C1225" s="1">
        <f t="shared" si="155"/>
        <v>8</v>
      </c>
      <c r="D1225" s="21">
        <f t="shared" ca="1" si="154"/>
        <v>44890</v>
      </c>
      <c r="E1225" s="1" t="s">
        <v>26</v>
      </c>
      <c r="F1225" s="1" t="s">
        <v>1253</v>
      </c>
      <c r="G1225" s="1" t="s">
        <v>28</v>
      </c>
      <c r="H1225" s="1">
        <v>1323</v>
      </c>
      <c r="I1225" s="1">
        <f t="shared" si="156"/>
        <v>39</v>
      </c>
      <c r="J1225" s="1">
        <f>VLOOKUP(B1225,Cena!$A$2:$B$101,2)</f>
        <v>111</v>
      </c>
      <c r="K1225" s="1">
        <f t="shared" si="152"/>
        <v>4329</v>
      </c>
      <c r="L1225" s="1">
        <f t="shared" si="157"/>
        <v>995.67000000000007</v>
      </c>
      <c r="M1225" s="22">
        <f t="shared" si="153"/>
        <v>5324.67</v>
      </c>
      <c r="N1225" s="1">
        <f t="shared" ca="1" si="158"/>
        <v>11</v>
      </c>
      <c r="P1225" s="1">
        <v>39.446564541140106</v>
      </c>
      <c r="Q1225" s="1">
        <f t="shared" ca="1" si="159"/>
        <v>5</v>
      </c>
      <c r="R1225" s="1">
        <v>8.2926453867548844</v>
      </c>
    </row>
    <row r="1226" spans="1:18" x14ac:dyDescent="0.3">
      <c r="A1226" s="26">
        <v>1225</v>
      </c>
      <c r="B1226" s="1">
        <v>18</v>
      </c>
      <c r="C1226" s="1">
        <f t="shared" si="155"/>
        <v>13</v>
      </c>
      <c r="D1226" s="21">
        <f t="shared" ca="1" si="154"/>
        <v>44844</v>
      </c>
      <c r="E1226" s="1" t="s">
        <v>26</v>
      </c>
      <c r="F1226" s="1" t="s">
        <v>1254</v>
      </c>
      <c r="G1226" s="1" t="s">
        <v>28</v>
      </c>
      <c r="H1226" s="1">
        <v>1324</v>
      </c>
      <c r="I1226" s="1">
        <f t="shared" si="156"/>
        <v>52</v>
      </c>
      <c r="J1226" s="1">
        <f>VLOOKUP(B1226,Cena!$A$2:$B$101,2)</f>
        <v>90</v>
      </c>
      <c r="K1226" s="1">
        <f t="shared" si="152"/>
        <v>4680</v>
      </c>
      <c r="L1226" s="1">
        <f t="shared" si="157"/>
        <v>1076.4000000000001</v>
      </c>
      <c r="M1226" s="22">
        <f t="shared" si="153"/>
        <v>5756.4</v>
      </c>
      <c r="N1226" s="1">
        <f t="shared" ca="1" si="158"/>
        <v>10</v>
      </c>
      <c r="P1226" s="1">
        <v>52.431545453873696</v>
      </c>
      <c r="Q1226" s="1">
        <f t="shared" ca="1" si="159"/>
        <v>3</v>
      </c>
      <c r="R1226" s="1">
        <v>13.304580786789302</v>
      </c>
    </row>
    <row r="1227" spans="1:18" x14ac:dyDescent="0.3">
      <c r="A1227" s="26">
        <v>1226</v>
      </c>
      <c r="B1227" s="1">
        <v>5</v>
      </c>
      <c r="C1227" s="1">
        <f t="shared" si="155"/>
        <v>11</v>
      </c>
      <c r="D1227" s="21">
        <f t="shared" ca="1" si="154"/>
        <v>44684</v>
      </c>
      <c r="E1227" s="1" t="s">
        <v>26</v>
      </c>
      <c r="F1227" s="1" t="s">
        <v>1255</v>
      </c>
      <c r="G1227" s="1" t="s">
        <v>28</v>
      </c>
      <c r="H1227" s="1">
        <v>1325</v>
      </c>
      <c r="I1227" s="1">
        <f t="shared" si="156"/>
        <v>53</v>
      </c>
      <c r="J1227" s="1">
        <f>VLOOKUP(B1227,Cena!$A$2:$B$101,2)</f>
        <v>91</v>
      </c>
      <c r="K1227" s="1">
        <f t="shared" si="152"/>
        <v>4823</v>
      </c>
      <c r="L1227" s="1">
        <f t="shared" si="157"/>
        <v>1109.29</v>
      </c>
      <c r="M1227" s="22">
        <f t="shared" si="153"/>
        <v>5932.29</v>
      </c>
      <c r="N1227" s="1">
        <f t="shared" ca="1" si="158"/>
        <v>5</v>
      </c>
      <c r="P1227" s="1">
        <v>53.941886461689137</v>
      </c>
      <c r="Q1227" s="1">
        <f t="shared" ca="1" si="159"/>
        <v>13</v>
      </c>
      <c r="R1227" s="1">
        <v>11.628507106943289</v>
      </c>
    </row>
    <row r="1228" spans="1:18" x14ac:dyDescent="0.3">
      <c r="A1228" s="26">
        <v>1227</v>
      </c>
      <c r="B1228" s="1">
        <v>19</v>
      </c>
      <c r="C1228" s="1">
        <f t="shared" si="155"/>
        <v>14</v>
      </c>
      <c r="D1228" s="21">
        <f t="shared" ca="1" si="154"/>
        <v>44645</v>
      </c>
      <c r="E1228" s="1" t="s">
        <v>26</v>
      </c>
      <c r="F1228" s="1" t="s">
        <v>1256</v>
      </c>
      <c r="G1228" s="1" t="s">
        <v>28</v>
      </c>
      <c r="H1228" s="1">
        <v>1326</v>
      </c>
      <c r="I1228" s="1">
        <f t="shared" si="156"/>
        <v>62</v>
      </c>
      <c r="J1228" s="1">
        <f>VLOOKUP(B1228,Cena!$A$2:$B$101,2)</f>
        <v>84</v>
      </c>
      <c r="K1228" s="1">
        <f t="shared" si="152"/>
        <v>5208</v>
      </c>
      <c r="L1228" s="1">
        <f t="shared" si="157"/>
        <v>1197.8400000000001</v>
      </c>
      <c r="M1228" s="22">
        <f t="shared" si="153"/>
        <v>6405.84</v>
      </c>
      <c r="N1228" s="1">
        <f t="shared" ca="1" si="158"/>
        <v>3</v>
      </c>
      <c r="P1228" s="1">
        <v>62.504733604146168</v>
      </c>
      <c r="Q1228" s="1">
        <f t="shared" ca="1" si="159"/>
        <v>15</v>
      </c>
      <c r="R1228" s="1">
        <v>14.210994575259974</v>
      </c>
    </row>
    <row r="1229" spans="1:18" x14ac:dyDescent="0.3">
      <c r="A1229" s="26">
        <v>1228</v>
      </c>
      <c r="B1229" s="1">
        <v>9</v>
      </c>
      <c r="C1229" s="1">
        <f t="shared" si="155"/>
        <v>7</v>
      </c>
      <c r="D1229" s="21">
        <f t="shared" ca="1" si="154"/>
        <v>44855</v>
      </c>
      <c r="E1229" s="1" t="s">
        <v>26</v>
      </c>
      <c r="F1229" s="1" t="s">
        <v>1257</v>
      </c>
      <c r="G1229" s="1" t="s">
        <v>28</v>
      </c>
      <c r="H1229" s="1">
        <v>1327</v>
      </c>
      <c r="I1229" s="1">
        <f t="shared" si="156"/>
        <v>50</v>
      </c>
      <c r="J1229" s="1">
        <f>VLOOKUP(B1229,Cena!$A$2:$B$101,2)</f>
        <v>96</v>
      </c>
      <c r="K1229" s="1">
        <f t="shared" si="152"/>
        <v>4800</v>
      </c>
      <c r="L1229" s="1">
        <f t="shared" si="157"/>
        <v>1104</v>
      </c>
      <c r="M1229" s="22">
        <f t="shared" si="153"/>
        <v>5904</v>
      </c>
      <c r="N1229" s="1">
        <f t="shared" ca="1" si="158"/>
        <v>10</v>
      </c>
      <c r="P1229" s="1">
        <v>50.454940618510591</v>
      </c>
      <c r="Q1229" s="1">
        <f t="shared" ca="1" si="159"/>
        <v>20</v>
      </c>
      <c r="R1229" s="1">
        <v>7.7069137457874604</v>
      </c>
    </row>
    <row r="1230" spans="1:18" x14ac:dyDescent="0.3">
      <c r="A1230" s="26">
        <v>1229</v>
      </c>
      <c r="B1230" s="1">
        <v>24</v>
      </c>
      <c r="C1230" s="1">
        <f t="shared" si="155"/>
        <v>9</v>
      </c>
      <c r="D1230" s="21">
        <f t="shared" ca="1" si="154"/>
        <v>44768</v>
      </c>
      <c r="E1230" s="1" t="s">
        <v>26</v>
      </c>
      <c r="F1230" s="1" t="s">
        <v>1258</v>
      </c>
      <c r="G1230" s="1" t="s">
        <v>28</v>
      </c>
      <c r="H1230" s="1">
        <v>1328</v>
      </c>
      <c r="I1230" s="1">
        <f t="shared" si="156"/>
        <v>46</v>
      </c>
      <c r="J1230" s="1">
        <f>VLOOKUP(B1230,Cena!$A$2:$B$101,2)</f>
        <v>125</v>
      </c>
      <c r="K1230" s="1">
        <f t="shared" si="152"/>
        <v>5750</v>
      </c>
      <c r="L1230" s="1">
        <f t="shared" si="157"/>
        <v>1322.5</v>
      </c>
      <c r="M1230" s="22">
        <f t="shared" si="153"/>
        <v>7072.5</v>
      </c>
      <c r="N1230" s="1">
        <f t="shared" ca="1" si="158"/>
        <v>7</v>
      </c>
      <c r="P1230" s="1">
        <v>46.127462509321049</v>
      </c>
      <c r="Q1230" s="1">
        <f t="shared" ca="1" si="159"/>
        <v>18</v>
      </c>
      <c r="R1230" s="1">
        <v>9.2257784242610796</v>
      </c>
    </row>
    <row r="1231" spans="1:18" x14ac:dyDescent="0.3">
      <c r="A1231" s="26">
        <v>1230</v>
      </c>
      <c r="B1231" s="1">
        <v>18</v>
      </c>
      <c r="C1231" s="1">
        <f t="shared" si="155"/>
        <v>8</v>
      </c>
      <c r="D1231" s="21">
        <f t="shared" ca="1" si="154"/>
        <v>44907</v>
      </c>
      <c r="E1231" s="1" t="s">
        <v>26</v>
      </c>
      <c r="F1231" s="1" t="s">
        <v>1259</v>
      </c>
      <c r="G1231" s="1" t="s">
        <v>28</v>
      </c>
      <c r="H1231" s="1">
        <v>1329</v>
      </c>
      <c r="I1231" s="1">
        <f t="shared" si="156"/>
        <v>28</v>
      </c>
      <c r="J1231" s="1">
        <f>VLOOKUP(B1231,Cena!$A$2:$B$101,2)</f>
        <v>90</v>
      </c>
      <c r="K1231" s="1">
        <f t="shared" si="152"/>
        <v>2520</v>
      </c>
      <c r="L1231" s="1">
        <f t="shared" si="157"/>
        <v>579.6</v>
      </c>
      <c r="M1231" s="22">
        <f t="shared" si="153"/>
        <v>3099.6</v>
      </c>
      <c r="N1231" s="1">
        <f t="shared" ca="1" si="158"/>
        <v>12</v>
      </c>
      <c r="P1231" s="1">
        <v>28.997493599308655</v>
      </c>
      <c r="Q1231" s="1">
        <f t="shared" ca="1" si="159"/>
        <v>4</v>
      </c>
      <c r="R1231" s="1">
        <v>8.6242357863375219</v>
      </c>
    </row>
    <row r="1232" spans="1:18" x14ac:dyDescent="0.3">
      <c r="A1232" s="26">
        <v>1231</v>
      </c>
      <c r="B1232" s="1">
        <v>11</v>
      </c>
      <c r="C1232" s="1">
        <f t="shared" si="155"/>
        <v>7</v>
      </c>
      <c r="D1232" s="21">
        <f t="shared" ca="1" si="154"/>
        <v>44751</v>
      </c>
      <c r="E1232" s="1" t="s">
        <v>26</v>
      </c>
      <c r="F1232" s="1" t="s">
        <v>1260</v>
      </c>
      <c r="G1232" s="1" t="s">
        <v>28</v>
      </c>
      <c r="H1232" s="1">
        <v>1330</v>
      </c>
      <c r="I1232" s="1">
        <f t="shared" si="156"/>
        <v>42</v>
      </c>
      <c r="J1232" s="1">
        <f>VLOOKUP(B1232,Cena!$A$2:$B$101,2)</f>
        <v>83</v>
      </c>
      <c r="K1232" s="1">
        <f t="shared" si="152"/>
        <v>3486</v>
      </c>
      <c r="L1232" s="1">
        <f t="shared" si="157"/>
        <v>801.78000000000009</v>
      </c>
      <c r="M1232" s="22">
        <f t="shared" si="153"/>
        <v>4287.78</v>
      </c>
      <c r="N1232" s="1">
        <f t="shared" ca="1" si="158"/>
        <v>7</v>
      </c>
      <c r="P1232" s="1">
        <v>42.23705344775226</v>
      </c>
      <c r="Q1232" s="1">
        <f t="shared" ca="1" si="159"/>
        <v>28</v>
      </c>
      <c r="R1232" s="1">
        <v>7.0197507082048105</v>
      </c>
    </row>
    <row r="1233" spans="1:18" x14ac:dyDescent="0.3">
      <c r="A1233" s="26">
        <v>1232</v>
      </c>
      <c r="B1233" s="1">
        <v>8</v>
      </c>
      <c r="C1233" s="1">
        <f t="shared" si="155"/>
        <v>7</v>
      </c>
      <c r="D1233" s="21">
        <f t="shared" ca="1" si="154"/>
        <v>44730</v>
      </c>
      <c r="E1233" s="1" t="s">
        <v>26</v>
      </c>
      <c r="F1233" s="1" t="s">
        <v>1261</v>
      </c>
      <c r="G1233" s="1" t="s">
        <v>28</v>
      </c>
      <c r="H1233" s="1">
        <v>1331</v>
      </c>
      <c r="I1233" s="1">
        <f t="shared" si="156"/>
        <v>47</v>
      </c>
      <c r="J1233" s="1">
        <f>VLOOKUP(B1233,Cena!$A$2:$B$101,2)</f>
        <v>88</v>
      </c>
      <c r="K1233" s="1">
        <f t="shared" si="152"/>
        <v>4136</v>
      </c>
      <c r="L1233" s="1">
        <f t="shared" si="157"/>
        <v>951.28000000000009</v>
      </c>
      <c r="M1233" s="22">
        <f t="shared" si="153"/>
        <v>5087.28</v>
      </c>
      <c r="N1233" s="1">
        <f t="shared" ca="1" si="158"/>
        <v>6</v>
      </c>
      <c r="P1233" s="1">
        <v>47.912982507841662</v>
      </c>
      <c r="Q1233" s="1">
        <f t="shared" ca="1" si="159"/>
        <v>8</v>
      </c>
      <c r="R1233" s="1">
        <v>7.6670096657471731</v>
      </c>
    </row>
    <row r="1234" spans="1:18" x14ac:dyDescent="0.3">
      <c r="A1234" s="26">
        <v>1233</v>
      </c>
      <c r="B1234" s="1">
        <v>7</v>
      </c>
      <c r="C1234" s="1">
        <f t="shared" si="155"/>
        <v>8</v>
      </c>
      <c r="D1234" s="21">
        <f t="shared" ca="1" si="154"/>
        <v>44758</v>
      </c>
      <c r="E1234" s="1" t="s">
        <v>26</v>
      </c>
      <c r="F1234" s="1" t="s">
        <v>1262</v>
      </c>
      <c r="G1234" s="1" t="s">
        <v>28</v>
      </c>
      <c r="H1234" s="1">
        <v>1332</v>
      </c>
      <c r="I1234" s="1">
        <f t="shared" si="156"/>
        <v>53</v>
      </c>
      <c r="J1234" s="1">
        <f>VLOOKUP(B1234,Cena!$A$2:$B$101,2)</f>
        <v>104</v>
      </c>
      <c r="K1234" s="1">
        <f t="shared" si="152"/>
        <v>5512</v>
      </c>
      <c r="L1234" s="1">
        <f t="shared" si="157"/>
        <v>1267.76</v>
      </c>
      <c r="M1234" s="22">
        <f t="shared" si="153"/>
        <v>6779.76</v>
      </c>
      <c r="N1234" s="1">
        <f t="shared" ca="1" si="158"/>
        <v>7</v>
      </c>
      <c r="P1234" s="1">
        <v>53.950162863475271</v>
      </c>
      <c r="Q1234" s="1">
        <f t="shared" ca="1" si="159"/>
        <v>15</v>
      </c>
      <c r="R1234" s="1">
        <v>8.023389480295009</v>
      </c>
    </row>
    <row r="1235" spans="1:18" x14ac:dyDescent="0.3">
      <c r="A1235" s="26">
        <v>1234</v>
      </c>
      <c r="B1235" s="1">
        <v>15</v>
      </c>
      <c r="C1235" s="1">
        <f t="shared" si="155"/>
        <v>9</v>
      </c>
      <c r="D1235" s="21">
        <f t="shared" ca="1" si="154"/>
        <v>44862</v>
      </c>
      <c r="E1235" s="1" t="s">
        <v>26</v>
      </c>
      <c r="F1235" s="1" t="s">
        <v>1263</v>
      </c>
      <c r="G1235" s="1" t="s">
        <v>28</v>
      </c>
      <c r="H1235" s="1">
        <v>1333</v>
      </c>
      <c r="I1235" s="1">
        <f t="shared" si="156"/>
        <v>42</v>
      </c>
      <c r="J1235" s="1">
        <f>VLOOKUP(B1235,Cena!$A$2:$B$101,2)</f>
        <v>85</v>
      </c>
      <c r="K1235" s="1">
        <f t="shared" si="152"/>
        <v>3570</v>
      </c>
      <c r="L1235" s="1">
        <f t="shared" si="157"/>
        <v>821.1</v>
      </c>
      <c r="M1235" s="22">
        <f t="shared" si="153"/>
        <v>4391.1000000000004</v>
      </c>
      <c r="N1235" s="1">
        <f t="shared" ca="1" si="158"/>
        <v>10</v>
      </c>
      <c r="P1235" s="1">
        <v>42.992752595455386</v>
      </c>
      <c r="Q1235" s="1">
        <f t="shared" ca="1" si="159"/>
        <v>1</v>
      </c>
      <c r="R1235" s="1">
        <v>9.906361836110591</v>
      </c>
    </row>
    <row r="1236" spans="1:18" x14ac:dyDescent="0.3">
      <c r="A1236" s="26">
        <v>1235</v>
      </c>
      <c r="B1236" s="1">
        <v>20</v>
      </c>
      <c r="C1236" s="1">
        <f t="shared" si="155"/>
        <v>13</v>
      </c>
      <c r="D1236" s="21">
        <f t="shared" ca="1" si="154"/>
        <v>44821</v>
      </c>
      <c r="E1236" s="1" t="s">
        <v>26</v>
      </c>
      <c r="F1236" s="1" t="s">
        <v>1264</v>
      </c>
      <c r="G1236" s="1" t="s">
        <v>28</v>
      </c>
      <c r="H1236" s="1">
        <v>1334</v>
      </c>
      <c r="I1236" s="1">
        <f t="shared" si="156"/>
        <v>55</v>
      </c>
      <c r="J1236" s="1">
        <f>VLOOKUP(B1236,Cena!$A$2:$B$101,2)</f>
        <v>111</v>
      </c>
      <c r="K1236" s="1">
        <f t="shared" si="152"/>
        <v>6105</v>
      </c>
      <c r="L1236" s="1">
        <f t="shared" si="157"/>
        <v>1404.15</v>
      </c>
      <c r="M1236" s="22">
        <f t="shared" si="153"/>
        <v>7509.15</v>
      </c>
      <c r="N1236" s="1">
        <f t="shared" ca="1" si="158"/>
        <v>9</v>
      </c>
      <c r="P1236" s="1">
        <v>55.511060408025514</v>
      </c>
      <c r="Q1236" s="1">
        <f t="shared" ca="1" si="159"/>
        <v>9</v>
      </c>
      <c r="R1236" s="1">
        <v>13.282264060544549</v>
      </c>
    </row>
    <row r="1237" spans="1:18" x14ac:dyDescent="0.3">
      <c r="A1237" s="26">
        <v>1236</v>
      </c>
      <c r="B1237" s="1">
        <v>13</v>
      </c>
      <c r="C1237" s="1">
        <f t="shared" si="155"/>
        <v>8</v>
      </c>
      <c r="D1237" s="21">
        <f t="shared" ca="1" si="154"/>
        <v>44785</v>
      </c>
      <c r="E1237" s="1" t="s">
        <v>26</v>
      </c>
      <c r="F1237" s="1" t="s">
        <v>1265</v>
      </c>
      <c r="G1237" s="1" t="s">
        <v>28</v>
      </c>
      <c r="H1237" s="1">
        <v>1335</v>
      </c>
      <c r="I1237" s="1">
        <f t="shared" si="156"/>
        <v>56</v>
      </c>
      <c r="J1237" s="1">
        <f>VLOOKUP(B1237,Cena!$A$2:$B$101,2)</f>
        <v>94</v>
      </c>
      <c r="K1237" s="1">
        <f t="shared" si="152"/>
        <v>5264</v>
      </c>
      <c r="L1237" s="1">
        <f t="shared" si="157"/>
        <v>1210.72</v>
      </c>
      <c r="M1237" s="22">
        <f t="shared" si="153"/>
        <v>6474.72</v>
      </c>
      <c r="N1237" s="1">
        <f t="shared" ca="1" si="158"/>
        <v>8</v>
      </c>
      <c r="P1237" s="1">
        <v>56.536743057949934</v>
      </c>
      <c r="Q1237" s="1">
        <f t="shared" ca="1" si="159"/>
        <v>20</v>
      </c>
      <c r="R1237" s="1">
        <v>8.4009377840266097</v>
      </c>
    </row>
    <row r="1238" spans="1:18" x14ac:dyDescent="0.3">
      <c r="A1238" s="26">
        <v>1237</v>
      </c>
      <c r="B1238" s="1">
        <v>26</v>
      </c>
      <c r="C1238" s="1">
        <f t="shared" si="155"/>
        <v>13</v>
      </c>
      <c r="D1238" s="21">
        <f t="shared" ca="1" si="154"/>
        <v>44653</v>
      </c>
      <c r="E1238" s="1" t="s">
        <v>26</v>
      </c>
      <c r="F1238" s="1" t="s">
        <v>1266</v>
      </c>
      <c r="G1238" s="1" t="s">
        <v>28</v>
      </c>
      <c r="H1238" s="1">
        <v>1336</v>
      </c>
      <c r="I1238" s="1">
        <f t="shared" si="156"/>
        <v>48</v>
      </c>
      <c r="J1238" s="1">
        <f>VLOOKUP(B1238,Cena!$A$2:$B$101,2)</f>
        <v>99</v>
      </c>
      <c r="K1238" s="1">
        <f t="shared" si="152"/>
        <v>4752</v>
      </c>
      <c r="L1238" s="1">
        <f t="shared" si="157"/>
        <v>1092.96</v>
      </c>
      <c r="M1238" s="22">
        <f t="shared" si="153"/>
        <v>5844.96</v>
      </c>
      <c r="N1238" s="1">
        <f t="shared" ca="1" si="158"/>
        <v>4</v>
      </c>
      <c r="P1238" s="1">
        <v>48.345856511150487</v>
      </c>
      <c r="Q1238" s="1">
        <f t="shared" ca="1" si="159"/>
        <v>11</v>
      </c>
      <c r="R1238" s="1">
        <v>13.310088914076914</v>
      </c>
    </row>
    <row r="1239" spans="1:18" x14ac:dyDescent="0.3">
      <c r="A1239" s="26">
        <v>1238</v>
      </c>
      <c r="B1239" s="1">
        <v>26</v>
      </c>
      <c r="C1239" s="1">
        <f t="shared" si="155"/>
        <v>10</v>
      </c>
      <c r="D1239" s="21">
        <f t="shared" ca="1" si="154"/>
        <v>44661</v>
      </c>
      <c r="E1239" s="1" t="s">
        <v>26</v>
      </c>
      <c r="F1239" s="1" t="s">
        <v>1267</v>
      </c>
      <c r="G1239" s="1" t="s">
        <v>28</v>
      </c>
      <c r="H1239" s="1">
        <v>1337</v>
      </c>
      <c r="I1239" s="1">
        <f t="shared" si="156"/>
        <v>40</v>
      </c>
      <c r="J1239" s="1">
        <f>VLOOKUP(B1239,Cena!$A$2:$B$101,2)</f>
        <v>99</v>
      </c>
      <c r="K1239" s="1">
        <f t="shared" si="152"/>
        <v>3960</v>
      </c>
      <c r="L1239" s="1">
        <f t="shared" si="157"/>
        <v>910.80000000000007</v>
      </c>
      <c r="M1239" s="22">
        <f t="shared" si="153"/>
        <v>4870.8</v>
      </c>
      <c r="N1239" s="1">
        <f t="shared" ca="1" si="158"/>
        <v>4</v>
      </c>
      <c r="P1239" s="1">
        <v>40.550327311211731</v>
      </c>
      <c r="Q1239" s="1">
        <f t="shared" ca="1" si="159"/>
        <v>7</v>
      </c>
      <c r="R1239" s="1">
        <v>10.874791794558405</v>
      </c>
    </row>
    <row r="1240" spans="1:18" x14ac:dyDescent="0.3">
      <c r="A1240" s="26">
        <v>1239</v>
      </c>
      <c r="B1240" s="1">
        <v>14</v>
      </c>
      <c r="C1240" s="1">
        <f t="shared" si="155"/>
        <v>10</v>
      </c>
      <c r="D1240" s="21">
        <f t="shared" ca="1" si="154"/>
        <v>44626</v>
      </c>
      <c r="E1240" s="1" t="s">
        <v>26</v>
      </c>
      <c r="F1240" s="1" t="s">
        <v>1268</v>
      </c>
      <c r="G1240" s="1" t="s">
        <v>28</v>
      </c>
      <c r="H1240" s="1">
        <v>1338</v>
      </c>
      <c r="I1240" s="1">
        <f t="shared" si="156"/>
        <v>48</v>
      </c>
      <c r="J1240" s="1">
        <f>VLOOKUP(B1240,Cena!$A$2:$B$101,2)</f>
        <v>129</v>
      </c>
      <c r="K1240" s="1">
        <f t="shared" si="152"/>
        <v>6192</v>
      </c>
      <c r="L1240" s="1">
        <f t="shared" si="157"/>
        <v>1424.16</v>
      </c>
      <c r="M1240" s="22">
        <f t="shared" si="153"/>
        <v>7616.16</v>
      </c>
      <c r="N1240" s="1">
        <f t="shared" ca="1" si="158"/>
        <v>3</v>
      </c>
      <c r="P1240" s="1">
        <v>48.8080162438564</v>
      </c>
      <c r="Q1240" s="1">
        <f t="shared" ca="1" si="159"/>
        <v>22</v>
      </c>
      <c r="R1240" s="1">
        <v>10.130393118524808</v>
      </c>
    </row>
    <row r="1241" spans="1:18" x14ac:dyDescent="0.3">
      <c r="A1241" s="26">
        <v>1240</v>
      </c>
      <c r="B1241" s="1">
        <v>12</v>
      </c>
      <c r="C1241" s="1">
        <f t="shared" si="155"/>
        <v>13</v>
      </c>
      <c r="D1241" s="21">
        <f t="shared" ca="1" si="154"/>
        <v>44900</v>
      </c>
      <c r="E1241" s="1" t="s">
        <v>26</v>
      </c>
      <c r="F1241" s="1" t="s">
        <v>1269</v>
      </c>
      <c r="G1241" s="1" t="s">
        <v>28</v>
      </c>
      <c r="H1241" s="1">
        <v>1339</v>
      </c>
      <c r="I1241" s="1">
        <f t="shared" si="156"/>
        <v>60</v>
      </c>
      <c r="J1241" s="1">
        <f>VLOOKUP(B1241,Cena!$A$2:$B$101,2)</f>
        <v>88</v>
      </c>
      <c r="K1241" s="1">
        <f t="shared" si="152"/>
        <v>5280</v>
      </c>
      <c r="L1241" s="1">
        <f t="shared" si="157"/>
        <v>1214.4000000000001</v>
      </c>
      <c r="M1241" s="22">
        <f t="shared" si="153"/>
        <v>6494.4</v>
      </c>
      <c r="N1241" s="1">
        <f t="shared" ca="1" si="158"/>
        <v>12</v>
      </c>
      <c r="P1241" s="1">
        <v>60.247299542243127</v>
      </c>
      <c r="Q1241" s="1">
        <f t="shared" ca="1" si="159"/>
        <v>19</v>
      </c>
      <c r="R1241" s="1">
        <v>13.578213636501459</v>
      </c>
    </row>
    <row r="1242" spans="1:18" x14ac:dyDescent="0.3">
      <c r="A1242" s="26">
        <v>1241</v>
      </c>
      <c r="B1242" s="1">
        <v>6</v>
      </c>
      <c r="C1242" s="1">
        <f t="shared" si="155"/>
        <v>8</v>
      </c>
      <c r="D1242" s="21">
        <f t="shared" ca="1" si="154"/>
        <v>44918</v>
      </c>
      <c r="E1242" s="1" t="s">
        <v>26</v>
      </c>
      <c r="F1242" s="1" t="s">
        <v>1270</v>
      </c>
      <c r="G1242" s="1" t="s">
        <v>28</v>
      </c>
      <c r="H1242" s="1">
        <v>1340</v>
      </c>
      <c r="I1242" s="1">
        <f t="shared" si="156"/>
        <v>44</v>
      </c>
      <c r="J1242" s="1">
        <f>VLOOKUP(B1242,Cena!$A$2:$B$101,2)</f>
        <v>86</v>
      </c>
      <c r="K1242" s="1">
        <f t="shared" si="152"/>
        <v>3784</v>
      </c>
      <c r="L1242" s="1">
        <f t="shared" si="157"/>
        <v>870.32</v>
      </c>
      <c r="M1242" s="22">
        <f t="shared" si="153"/>
        <v>4654.32</v>
      </c>
      <c r="N1242" s="1">
        <f t="shared" ca="1" si="158"/>
        <v>12</v>
      </c>
      <c r="P1242" s="1">
        <v>44.830363903020043</v>
      </c>
      <c r="Q1242" s="1">
        <f t="shared" ca="1" si="159"/>
        <v>10</v>
      </c>
      <c r="R1242" s="1">
        <v>8.1590576680900995</v>
      </c>
    </row>
    <row r="1243" spans="1:18" x14ac:dyDescent="0.3">
      <c r="A1243" s="26">
        <v>1242</v>
      </c>
      <c r="B1243" s="1">
        <v>24</v>
      </c>
      <c r="C1243" s="1">
        <f t="shared" si="155"/>
        <v>8</v>
      </c>
      <c r="D1243" s="21">
        <f t="shared" ca="1" si="154"/>
        <v>44655</v>
      </c>
      <c r="E1243" s="1" t="s">
        <v>26</v>
      </c>
      <c r="F1243" s="1" t="s">
        <v>1271</v>
      </c>
      <c r="G1243" s="1" t="s">
        <v>28</v>
      </c>
      <c r="H1243" s="1">
        <v>1341</v>
      </c>
      <c r="I1243" s="1">
        <f t="shared" si="156"/>
        <v>49</v>
      </c>
      <c r="J1243" s="1">
        <f>VLOOKUP(B1243,Cena!$A$2:$B$101,2)</f>
        <v>125</v>
      </c>
      <c r="K1243" s="1">
        <f t="shared" si="152"/>
        <v>6125</v>
      </c>
      <c r="L1243" s="1">
        <f t="shared" si="157"/>
        <v>1408.75</v>
      </c>
      <c r="M1243" s="22">
        <f t="shared" si="153"/>
        <v>7533.75</v>
      </c>
      <c r="N1243" s="1">
        <f t="shared" ca="1" si="158"/>
        <v>4</v>
      </c>
      <c r="P1243" s="1">
        <v>49.564965946774464</v>
      </c>
      <c r="Q1243" s="1">
        <f t="shared" ca="1" si="159"/>
        <v>15</v>
      </c>
      <c r="R1243" s="1">
        <v>8.0569327817647718</v>
      </c>
    </row>
    <row r="1244" spans="1:18" x14ac:dyDescent="0.3">
      <c r="A1244" s="26">
        <v>1243</v>
      </c>
      <c r="B1244" s="1">
        <v>12</v>
      </c>
      <c r="C1244" s="1">
        <f t="shared" si="155"/>
        <v>11</v>
      </c>
      <c r="D1244" s="21">
        <f t="shared" ca="1" si="154"/>
        <v>44919</v>
      </c>
      <c r="E1244" s="1" t="s">
        <v>26</v>
      </c>
      <c r="F1244" s="1" t="s">
        <v>1272</v>
      </c>
      <c r="G1244" s="1" t="s">
        <v>28</v>
      </c>
      <c r="H1244" s="1">
        <v>1342</v>
      </c>
      <c r="I1244" s="1">
        <f t="shared" si="156"/>
        <v>47</v>
      </c>
      <c r="J1244" s="1">
        <f>VLOOKUP(B1244,Cena!$A$2:$B$101,2)</f>
        <v>88</v>
      </c>
      <c r="K1244" s="1">
        <f t="shared" si="152"/>
        <v>4136</v>
      </c>
      <c r="L1244" s="1">
        <f t="shared" si="157"/>
        <v>951.28000000000009</v>
      </c>
      <c r="M1244" s="22">
        <f t="shared" si="153"/>
        <v>5087.28</v>
      </c>
      <c r="N1244" s="1">
        <f t="shared" ca="1" si="158"/>
        <v>12</v>
      </c>
      <c r="P1244" s="1">
        <v>47.750080638070358</v>
      </c>
      <c r="Q1244" s="1">
        <f t="shared" ca="1" si="159"/>
        <v>13</v>
      </c>
      <c r="R1244" s="1">
        <v>11.030485918818158</v>
      </c>
    </row>
    <row r="1245" spans="1:18" x14ac:dyDescent="0.3">
      <c r="A1245" s="26">
        <v>1244</v>
      </c>
      <c r="B1245" s="1">
        <v>30</v>
      </c>
      <c r="C1245" s="1">
        <f t="shared" si="155"/>
        <v>8</v>
      </c>
      <c r="D1245" s="21">
        <f t="shared" ca="1" si="154"/>
        <v>44916</v>
      </c>
      <c r="E1245" s="1" t="s">
        <v>26</v>
      </c>
      <c r="F1245" s="1" t="s">
        <v>1273</v>
      </c>
      <c r="G1245" s="1" t="s">
        <v>28</v>
      </c>
      <c r="H1245" s="1">
        <v>1343</v>
      </c>
      <c r="I1245" s="1">
        <f t="shared" si="156"/>
        <v>47</v>
      </c>
      <c r="J1245" s="1">
        <f>VLOOKUP(B1245,Cena!$A$2:$B$101,2)</f>
        <v>87</v>
      </c>
      <c r="K1245" s="1">
        <f t="shared" si="152"/>
        <v>4089</v>
      </c>
      <c r="L1245" s="1">
        <f t="shared" si="157"/>
        <v>940.47</v>
      </c>
      <c r="M1245" s="22">
        <f t="shared" si="153"/>
        <v>5029.47</v>
      </c>
      <c r="N1245" s="1">
        <f t="shared" ca="1" si="158"/>
        <v>12</v>
      </c>
      <c r="P1245" s="1">
        <v>47.454835920507321</v>
      </c>
      <c r="Q1245" s="1">
        <f t="shared" ca="1" si="159"/>
        <v>6</v>
      </c>
      <c r="R1245" s="1">
        <v>8.159307779133087</v>
      </c>
    </row>
    <row r="1246" spans="1:18" x14ac:dyDescent="0.3">
      <c r="A1246" s="26">
        <v>1245</v>
      </c>
      <c r="B1246" s="1">
        <v>1</v>
      </c>
      <c r="C1246" s="1">
        <f t="shared" si="155"/>
        <v>3</v>
      </c>
      <c r="D1246" s="21">
        <f t="shared" ca="1" si="154"/>
        <v>44755</v>
      </c>
      <c r="E1246" s="1" t="s">
        <v>26</v>
      </c>
      <c r="F1246" s="1" t="s">
        <v>1274</v>
      </c>
      <c r="G1246" s="1" t="s">
        <v>28</v>
      </c>
      <c r="H1246" s="1">
        <v>1344</v>
      </c>
      <c r="I1246" s="1">
        <f t="shared" si="156"/>
        <v>35</v>
      </c>
      <c r="J1246" s="1">
        <f>VLOOKUP(B1246,Cena!$A$2:$B$101,2)</f>
        <v>84</v>
      </c>
      <c r="K1246" s="1">
        <f t="shared" si="152"/>
        <v>2940</v>
      </c>
      <c r="L1246" s="1">
        <f t="shared" si="157"/>
        <v>676.2</v>
      </c>
      <c r="M1246" s="22">
        <f t="shared" si="153"/>
        <v>3616.2</v>
      </c>
      <c r="N1246" s="1">
        <f t="shared" ca="1" si="158"/>
        <v>7</v>
      </c>
      <c r="P1246" s="1">
        <v>35.640124577912502</v>
      </c>
      <c r="Q1246" s="1">
        <f t="shared" ca="1" si="159"/>
        <v>24</v>
      </c>
      <c r="R1246" s="1">
        <v>3.7737811706028879</v>
      </c>
    </row>
    <row r="1247" spans="1:18" x14ac:dyDescent="0.3">
      <c r="A1247" s="26">
        <v>1246</v>
      </c>
      <c r="B1247" s="1">
        <v>10</v>
      </c>
      <c r="C1247" s="1">
        <f t="shared" si="155"/>
        <v>7</v>
      </c>
      <c r="D1247" s="21">
        <f t="shared" ca="1" si="154"/>
        <v>44840</v>
      </c>
      <c r="E1247" s="1" t="s">
        <v>26</v>
      </c>
      <c r="F1247" s="1" t="s">
        <v>1275</v>
      </c>
      <c r="G1247" s="1" t="s">
        <v>28</v>
      </c>
      <c r="H1247" s="1">
        <v>1345</v>
      </c>
      <c r="I1247" s="1">
        <f t="shared" si="156"/>
        <v>56</v>
      </c>
      <c r="J1247" s="1">
        <f>VLOOKUP(B1247,Cena!$A$2:$B$101,2)</f>
        <v>109</v>
      </c>
      <c r="K1247" s="1">
        <f t="shared" ref="K1247:K1310" si="160">I1247*J1247</f>
        <v>6104</v>
      </c>
      <c r="L1247" s="1">
        <f t="shared" si="157"/>
        <v>1403.92</v>
      </c>
      <c r="M1247" s="22">
        <f t="shared" ref="M1247:M1310" si="161">K1247+L1247</f>
        <v>7507.92</v>
      </c>
      <c r="N1247" s="1">
        <f t="shared" ca="1" si="158"/>
        <v>10</v>
      </c>
      <c r="P1247" s="1">
        <v>56.297068466665223</v>
      </c>
      <c r="Q1247" s="1">
        <f t="shared" ca="1" si="159"/>
        <v>16</v>
      </c>
      <c r="R1247" s="1">
        <v>7.8474761519464664</v>
      </c>
    </row>
    <row r="1248" spans="1:18" x14ac:dyDescent="0.3">
      <c r="A1248" s="26">
        <v>1247</v>
      </c>
      <c r="B1248" s="1">
        <v>5</v>
      </c>
      <c r="C1248" s="1">
        <f t="shared" si="155"/>
        <v>10</v>
      </c>
      <c r="D1248" s="21">
        <f t="shared" ca="1" si="154"/>
        <v>44823</v>
      </c>
      <c r="E1248" s="1" t="s">
        <v>26</v>
      </c>
      <c r="F1248" s="1" t="s">
        <v>1276</v>
      </c>
      <c r="G1248" s="1" t="s">
        <v>28</v>
      </c>
      <c r="H1248" s="1">
        <v>1346</v>
      </c>
      <c r="I1248" s="1">
        <f t="shared" si="156"/>
        <v>46</v>
      </c>
      <c r="J1248" s="1">
        <f>VLOOKUP(B1248,Cena!$A$2:$B$101,2)</f>
        <v>91</v>
      </c>
      <c r="K1248" s="1">
        <f t="shared" si="160"/>
        <v>4186</v>
      </c>
      <c r="L1248" s="1">
        <f t="shared" si="157"/>
        <v>962.78000000000009</v>
      </c>
      <c r="M1248" s="22">
        <f t="shared" si="161"/>
        <v>5148.78</v>
      </c>
      <c r="N1248" s="1">
        <f t="shared" ca="1" si="158"/>
        <v>9</v>
      </c>
      <c r="P1248" s="1">
        <v>46.236897459311876</v>
      </c>
      <c r="Q1248" s="1">
        <f t="shared" ca="1" si="159"/>
        <v>11</v>
      </c>
      <c r="R1248" s="1">
        <v>10.928059762372868</v>
      </c>
    </row>
    <row r="1249" spans="1:18" x14ac:dyDescent="0.3">
      <c r="A1249" s="26">
        <v>1248</v>
      </c>
      <c r="B1249" s="1">
        <v>15</v>
      </c>
      <c r="C1249" s="1">
        <f t="shared" si="155"/>
        <v>6</v>
      </c>
      <c r="D1249" s="21">
        <f t="shared" ca="1" si="154"/>
        <v>44815</v>
      </c>
      <c r="E1249" s="1" t="s">
        <v>26</v>
      </c>
      <c r="F1249" s="1" t="s">
        <v>1277</v>
      </c>
      <c r="G1249" s="1" t="s">
        <v>28</v>
      </c>
      <c r="H1249" s="1">
        <v>1347</v>
      </c>
      <c r="I1249" s="1">
        <f t="shared" si="156"/>
        <v>42</v>
      </c>
      <c r="J1249" s="1">
        <f>VLOOKUP(B1249,Cena!$A$2:$B$101,2)</f>
        <v>85</v>
      </c>
      <c r="K1249" s="1">
        <f t="shared" si="160"/>
        <v>3570</v>
      </c>
      <c r="L1249" s="1">
        <f t="shared" si="157"/>
        <v>821.1</v>
      </c>
      <c r="M1249" s="22">
        <f t="shared" si="161"/>
        <v>4391.1000000000004</v>
      </c>
      <c r="N1249" s="1">
        <f t="shared" ca="1" si="158"/>
        <v>9</v>
      </c>
      <c r="P1249" s="1">
        <v>42.323614605993498</v>
      </c>
      <c r="Q1249" s="1">
        <f t="shared" ca="1" si="159"/>
        <v>19</v>
      </c>
      <c r="R1249" s="1">
        <v>6.3055756779795047</v>
      </c>
    </row>
    <row r="1250" spans="1:18" x14ac:dyDescent="0.3">
      <c r="A1250" s="26">
        <v>1249</v>
      </c>
      <c r="B1250" s="1">
        <v>28</v>
      </c>
      <c r="C1250" s="1">
        <f t="shared" si="155"/>
        <v>10</v>
      </c>
      <c r="D1250" s="21">
        <f t="shared" ca="1" si="154"/>
        <v>44852</v>
      </c>
      <c r="E1250" s="1" t="s">
        <v>26</v>
      </c>
      <c r="F1250" s="1" t="s">
        <v>1278</v>
      </c>
      <c r="G1250" s="1" t="s">
        <v>28</v>
      </c>
      <c r="H1250" s="1">
        <v>1348</v>
      </c>
      <c r="I1250" s="1">
        <f t="shared" si="156"/>
        <v>47</v>
      </c>
      <c r="J1250" s="1">
        <f>VLOOKUP(B1250,Cena!$A$2:$B$101,2)</f>
        <v>59</v>
      </c>
      <c r="K1250" s="1">
        <f t="shared" si="160"/>
        <v>2773</v>
      </c>
      <c r="L1250" s="1">
        <f t="shared" si="157"/>
        <v>637.79000000000008</v>
      </c>
      <c r="M1250" s="22">
        <f t="shared" si="161"/>
        <v>3410.79</v>
      </c>
      <c r="N1250" s="1">
        <f t="shared" ca="1" si="158"/>
        <v>10</v>
      </c>
      <c r="P1250" s="1">
        <v>47.662121131725144</v>
      </c>
      <c r="Q1250" s="1">
        <f t="shared" ca="1" si="159"/>
        <v>26</v>
      </c>
      <c r="R1250" s="1">
        <v>10.057474380810163</v>
      </c>
    </row>
    <row r="1251" spans="1:18" x14ac:dyDescent="0.3">
      <c r="A1251" s="26">
        <v>1250</v>
      </c>
      <c r="B1251" s="1">
        <v>1</v>
      </c>
      <c r="C1251" s="1">
        <f t="shared" si="155"/>
        <v>9</v>
      </c>
      <c r="D1251" s="21">
        <f t="shared" ca="1" si="154"/>
        <v>44752</v>
      </c>
      <c r="E1251" s="1" t="s">
        <v>26</v>
      </c>
      <c r="F1251" s="1" t="s">
        <v>1279</v>
      </c>
      <c r="G1251" s="1" t="s">
        <v>28</v>
      </c>
      <c r="H1251" s="1">
        <v>1349</v>
      </c>
      <c r="I1251" s="1">
        <f t="shared" si="156"/>
        <v>37</v>
      </c>
      <c r="J1251" s="1">
        <f>VLOOKUP(B1251,Cena!$A$2:$B$101,2)</f>
        <v>84</v>
      </c>
      <c r="K1251" s="1">
        <f t="shared" si="160"/>
        <v>3108</v>
      </c>
      <c r="L1251" s="1">
        <f t="shared" si="157"/>
        <v>714.84</v>
      </c>
      <c r="M1251" s="22">
        <f t="shared" si="161"/>
        <v>3822.84</v>
      </c>
      <c r="N1251" s="1">
        <f t="shared" ca="1" si="158"/>
        <v>7</v>
      </c>
      <c r="P1251" s="1">
        <v>37.970886650145985</v>
      </c>
      <c r="Q1251" s="1">
        <f t="shared" ca="1" si="159"/>
        <v>12</v>
      </c>
      <c r="R1251" s="1">
        <v>9.5344097669658368</v>
      </c>
    </row>
    <row r="1252" spans="1:18" x14ac:dyDescent="0.3">
      <c r="A1252" s="26">
        <v>1251</v>
      </c>
      <c r="B1252" s="1">
        <v>13</v>
      </c>
      <c r="C1252" s="1">
        <f t="shared" si="155"/>
        <v>8</v>
      </c>
      <c r="D1252" s="21">
        <f t="shared" ca="1" si="154"/>
        <v>44583</v>
      </c>
      <c r="E1252" s="1" t="s">
        <v>26</v>
      </c>
      <c r="F1252" s="1" t="s">
        <v>1280</v>
      </c>
      <c r="G1252" s="1" t="s">
        <v>28</v>
      </c>
      <c r="H1252" s="1">
        <v>1350</v>
      </c>
      <c r="I1252" s="1">
        <f t="shared" si="156"/>
        <v>58</v>
      </c>
      <c r="J1252" s="1">
        <f>VLOOKUP(B1252,Cena!$A$2:$B$101,2)</f>
        <v>94</v>
      </c>
      <c r="K1252" s="1">
        <f t="shared" si="160"/>
        <v>5452</v>
      </c>
      <c r="L1252" s="1">
        <f t="shared" si="157"/>
        <v>1253.96</v>
      </c>
      <c r="M1252" s="22">
        <f t="shared" si="161"/>
        <v>6705.96</v>
      </c>
      <c r="N1252" s="1">
        <f t="shared" ca="1" si="158"/>
        <v>1</v>
      </c>
      <c r="P1252" s="1">
        <v>58.004076335055288</v>
      </c>
      <c r="Q1252" s="1">
        <f t="shared" ca="1" si="159"/>
        <v>26</v>
      </c>
      <c r="R1252" s="1">
        <v>8.9300306424411247</v>
      </c>
    </row>
    <row r="1253" spans="1:18" x14ac:dyDescent="0.3">
      <c r="A1253" s="26">
        <v>1252</v>
      </c>
      <c r="B1253" s="1">
        <v>4</v>
      </c>
      <c r="C1253" s="1">
        <f t="shared" si="155"/>
        <v>5</v>
      </c>
      <c r="D1253" s="21">
        <f t="shared" ca="1" si="154"/>
        <v>44694</v>
      </c>
      <c r="E1253" s="1" t="s">
        <v>26</v>
      </c>
      <c r="F1253" s="1" t="s">
        <v>1281</v>
      </c>
      <c r="G1253" s="1" t="s">
        <v>28</v>
      </c>
      <c r="H1253" s="1">
        <v>1351</v>
      </c>
      <c r="I1253" s="1">
        <f t="shared" si="156"/>
        <v>37</v>
      </c>
      <c r="J1253" s="1">
        <f>VLOOKUP(B1253,Cena!$A$2:$B$101,2)</f>
        <v>99</v>
      </c>
      <c r="K1253" s="1">
        <f t="shared" si="160"/>
        <v>3663</v>
      </c>
      <c r="L1253" s="1">
        <f t="shared" si="157"/>
        <v>842.49</v>
      </c>
      <c r="M1253" s="22">
        <f t="shared" si="161"/>
        <v>4505.49</v>
      </c>
      <c r="N1253" s="1">
        <f t="shared" ca="1" si="158"/>
        <v>5</v>
      </c>
      <c r="P1253" s="1">
        <v>37.71136233699508</v>
      </c>
      <c r="Q1253" s="1">
        <f t="shared" ca="1" si="159"/>
        <v>29</v>
      </c>
      <c r="R1253" s="1">
        <v>5.5712837618193589</v>
      </c>
    </row>
    <row r="1254" spans="1:18" x14ac:dyDescent="0.3">
      <c r="A1254" s="26">
        <v>1253</v>
      </c>
      <c r="B1254" s="1">
        <v>30</v>
      </c>
      <c r="C1254" s="1">
        <f t="shared" si="155"/>
        <v>13</v>
      </c>
      <c r="D1254" s="21">
        <f t="shared" ca="1" si="154"/>
        <v>44726</v>
      </c>
      <c r="E1254" s="1" t="s">
        <v>26</v>
      </c>
      <c r="F1254" s="1" t="s">
        <v>1282</v>
      </c>
      <c r="G1254" s="1" t="s">
        <v>28</v>
      </c>
      <c r="H1254" s="1">
        <v>1352</v>
      </c>
      <c r="I1254" s="1">
        <f t="shared" si="156"/>
        <v>48</v>
      </c>
      <c r="J1254" s="1">
        <f>VLOOKUP(B1254,Cena!$A$2:$B$101,2)</f>
        <v>87</v>
      </c>
      <c r="K1254" s="1">
        <f t="shared" si="160"/>
        <v>4176</v>
      </c>
      <c r="L1254" s="1">
        <f t="shared" si="157"/>
        <v>960.48</v>
      </c>
      <c r="M1254" s="22">
        <f t="shared" si="161"/>
        <v>5136.4799999999996</v>
      </c>
      <c r="N1254" s="1">
        <f t="shared" ca="1" si="158"/>
        <v>6</v>
      </c>
      <c r="P1254" s="1">
        <v>48.483747276623035</v>
      </c>
      <c r="Q1254" s="1">
        <f t="shared" ca="1" si="159"/>
        <v>30</v>
      </c>
      <c r="R1254" s="1">
        <v>13.573427420633379</v>
      </c>
    </row>
    <row r="1255" spans="1:18" x14ac:dyDescent="0.3">
      <c r="A1255" s="26">
        <v>1254</v>
      </c>
      <c r="B1255" s="1">
        <v>25</v>
      </c>
      <c r="C1255" s="1">
        <f t="shared" si="155"/>
        <v>13</v>
      </c>
      <c r="D1255" s="21">
        <f t="shared" ca="1" si="154"/>
        <v>44736</v>
      </c>
      <c r="E1255" s="1" t="s">
        <v>26</v>
      </c>
      <c r="F1255" s="1" t="s">
        <v>1283</v>
      </c>
      <c r="G1255" s="1" t="s">
        <v>28</v>
      </c>
      <c r="H1255" s="1">
        <v>1353</v>
      </c>
      <c r="I1255" s="1">
        <f t="shared" si="156"/>
        <v>37</v>
      </c>
      <c r="J1255" s="1">
        <f>VLOOKUP(B1255,Cena!$A$2:$B$101,2)</f>
        <v>108</v>
      </c>
      <c r="K1255" s="1">
        <f t="shared" si="160"/>
        <v>3996</v>
      </c>
      <c r="L1255" s="1">
        <f t="shared" si="157"/>
        <v>919.08</v>
      </c>
      <c r="M1255" s="22">
        <f t="shared" si="161"/>
        <v>4915.08</v>
      </c>
      <c r="N1255" s="1">
        <f t="shared" ca="1" si="158"/>
        <v>6</v>
      </c>
      <c r="P1255" s="1">
        <v>37.268029144615866</v>
      </c>
      <c r="Q1255" s="1">
        <f t="shared" ca="1" si="159"/>
        <v>16</v>
      </c>
      <c r="R1255" s="1">
        <v>13.662250946945278</v>
      </c>
    </row>
    <row r="1256" spans="1:18" x14ac:dyDescent="0.3">
      <c r="A1256" s="26">
        <v>1255</v>
      </c>
      <c r="B1256" s="1">
        <v>19</v>
      </c>
      <c r="C1256" s="1">
        <f t="shared" si="155"/>
        <v>9</v>
      </c>
      <c r="D1256" s="21">
        <f t="shared" ca="1" si="154"/>
        <v>44600</v>
      </c>
      <c r="E1256" s="1" t="s">
        <v>26</v>
      </c>
      <c r="F1256" s="1" t="s">
        <v>1284</v>
      </c>
      <c r="G1256" s="1" t="s">
        <v>28</v>
      </c>
      <c r="H1256" s="1">
        <v>1354</v>
      </c>
      <c r="I1256" s="1">
        <f t="shared" si="156"/>
        <v>34</v>
      </c>
      <c r="J1256" s="1">
        <f>VLOOKUP(B1256,Cena!$A$2:$B$101,2)</f>
        <v>84</v>
      </c>
      <c r="K1256" s="1">
        <f t="shared" si="160"/>
        <v>2856</v>
      </c>
      <c r="L1256" s="1">
        <f t="shared" si="157"/>
        <v>656.88</v>
      </c>
      <c r="M1256" s="22">
        <f t="shared" si="161"/>
        <v>3512.88</v>
      </c>
      <c r="N1256" s="1">
        <f t="shared" ca="1" si="158"/>
        <v>2</v>
      </c>
      <c r="P1256" s="1">
        <v>34.061287250369787</v>
      </c>
      <c r="Q1256" s="1">
        <f t="shared" ca="1" si="159"/>
        <v>4</v>
      </c>
      <c r="R1256" s="1">
        <v>9.8468126705120085</v>
      </c>
    </row>
    <row r="1257" spans="1:18" x14ac:dyDescent="0.3">
      <c r="A1257" s="26">
        <v>1256</v>
      </c>
      <c r="B1257" s="1">
        <v>13</v>
      </c>
      <c r="C1257" s="1">
        <f t="shared" si="155"/>
        <v>4</v>
      </c>
      <c r="D1257" s="21">
        <f t="shared" ca="1" si="154"/>
        <v>44904</v>
      </c>
      <c r="E1257" s="1" t="s">
        <v>26</v>
      </c>
      <c r="F1257" s="1" t="s">
        <v>1285</v>
      </c>
      <c r="G1257" s="1" t="s">
        <v>28</v>
      </c>
      <c r="H1257" s="1">
        <v>1355</v>
      </c>
      <c r="I1257" s="1">
        <f t="shared" si="156"/>
        <v>41</v>
      </c>
      <c r="J1257" s="1">
        <f>VLOOKUP(B1257,Cena!$A$2:$B$101,2)</f>
        <v>94</v>
      </c>
      <c r="K1257" s="1">
        <f t="shared" si="160"/>
        <v>3854</v>
      </c>
      <c r="L1257" s="1">
        <f t="shared" si="157"/>
        <v>886.42000000000007</v>
      </c>
      <c r="M1257" s="22">
        <f t="shared" si="161"/>
        <v>4740.42</v>
      </c>
      <c r="N1257" s="1">
        <f t="shared" ca="1" si="158"/>
        <v>12</v>
      </c>
      <c r="P1257" s="1">
        <v>41.135541677067522</v>
      </c>
      <c r="Q1257" s="1">
        <f t="shared" ca="1" si="159"/>
        <v>10</v>
      </c>
      <c r="R1257" s="1">
        <v>4.5817990010255016</v>
      </c>
    </row>
    <row r="1258" spans="1:18" x14ac:dyDescent="0.3">
      <c r="A1258" s="26">
        <v>1257</v>
      </c>
      <c r="B1258" s="1">
        <v>7</v>
      </c>
      <c r="C1258" s="1">
        <f t="shared" si="155"/>
        <v>11</v>
      </c>
      <c r="D1258" s="21">
        <f t="shared" ca="1" si="154"/>
        <v>44614</v>
      </c>
      <c r="E1258" s="1" t="s">
        <v>26</v>
      </c>
      <c r="F1258" s="1" t="s">
        <v>1286</v>
      </c>
      <c r="G1258" s="1" t="s">
        <v>28</v>
      </c>
      <c r="H1258" s="1">
        <v>1356</v>
      </c>
      <c r="I1258" s="1">
        <f t="shared" si="156"/>
        <v>61</v>
      </c>
      <c r="J1258" s="1">
        <f>VLOOKUP(B1258,Cena!$A$2:$B$101,2)</f>
        <v>104</v>
      </c>
      <c r="K1258" s="1">
        <f t="shared" si="160"/>
        <v>6344</v>
      </c>
      <c r="L1258" s="1">
        <f t="shared" si="157"/>
        <v>1459.1200000000001</v>
      </c>
      <c r="M1258" s="22">
        <f t="shared" si="161"/>
        <v>7803.12</v>
      </c>
      <c r="N1258" s="1">
        <f t="shared" ca="1" si="158"/>
        <v>2</v>
      </c>
      <c r="P1258" s="1">
        <v>61.372367225703783</v>
      </c>
      <c r="Q1258" s="1">
        <f t="shared" ca="1" si="159"/>
        <v>7</v>
      </c>
      <c r="R1258" s="1">
        <v>11.718962039376493</v>
      </c>
    </row>
    <row r="1259" spans="1:18" x14ac:dyDescent="0.3">
      <c r="A1259" s="26">
        <v>1258</v>
      </c>
      <c r="B1259" s="1">
        <v>11</v>
      </c>
      <c r="C1259" s="1">
        <f t="shared" si="155"/>
        <v>8</v>
      </c>
      <c r="D1259" s="21">
        <f t="shared" ca="1" si="154"/>
        <v>44593</v>
      </c>
      <c r="E1259" s="1" t="s">
        <v>26</v>
      </c>
      <c r="F1259" s="1" t="s">
        <v>1287</v>
      </c>
      <c r="G1259" s="1" t="s">
        <v>28</v>
      </c>
      <c r="H1259" s="1">
        <v>1357</v>
      </c>
      <c r="I1259" s="1">
        <f t="shared" si="156"/>
        <v>61</v>
      </c>
      <c r="J1259" s="1">
        <f>VLOOKUP(B1259,Cena!$A$2:$B$101,2)</f>
        <v>83</v>
      </c>
      <c r="K1259" s="1">
        <f t="shared" si="160"/>
        <v>5063</v>
      </c>
      <c r="L1259" s="1">
        <f t="shared" si="157"/>
        <v>1164.49</v>
      </c>
      <c r="M1259" s="22">
        <f t="shared" si="161"/>
        <v>6227.49</v>
      </c>
      <c r="N1259" s="1">
        <f t="shared" ca="1" si="158"/>
        <v>2</v>
      </c>
      <c r="P1259" s="1">
        <v>61.911652109120041</v>
      </c>
      <c r="Q1259" s="1">
        <f t="shared" ca="1" si="159"/>
        <v>19</v>
      </c>
      <c r="R1259" s="1">
        <v>8.4261989993683528</v>
      </c>
    </row>
    <row r="1260" spans="1:18" x14ac:dyDescent="0.3">
      <c r="A1260" s="26">
        <v>1259</v>
      </c>
      <c r="B1260" s="1">
        <v>5</v>
      </c>
      <c r="C1260" s="1">
        <f t="shared" si="155"/>
        <v>10</v>
      </c>
      <c r="D1260" s="21">
        <f t="shared" ca="1" si="154"/>
        <v>44733</v>
      </c>
      <c r="E1260" s="1" t="s">
        <v>26</v>
      </c>
      <c r="F1260" s="1" t="s">
        <v>1288</v>
      </c>
      <c r="G1260" s="1" t="s">
        <v>28</v>
      </c>
      <c r="H1260" s="1">
        <v>1358</v>
      </c>
      <c r="I1260" s="1">
        <f t="shared" si="156"/>
        <v>42</v>
      </c>
      <c r="J1260" s="1">
        <f>VLOOKUP(B1260,Cena!$A$2:$B$101,2)</f>
        <v>91</v>
      </c>
      <c r="K1260" s="1">
        <f t="shared" si="160"/>
        <v>3822</v>
      </c>
      <c r="L1260" s="1">
        <f t="shared" si="157"/>
        <v>879.06000000000006</v>
      </c>
      <c r="M1260" s="22">
        <f t="shared" si="161"/>
        <v>4701.0600000000004</v>
      </c>
      <c r="N1260" s="1">
        <f t="shared" ca="1" si="158"/>
        <v>6</v>
      </c>
      <c r="P1260" s="1">
        <v>42.681296134833246</v>
      </c>
      <c r="Q1260" s="1">
        <f t="shared" ca="1" si="159"/>
        <v>20</v>
      </c>
      <c r="R1260" s="1">
        <v>10.965454205470451</v>
      </c>
    </row>
    <row r="1261" spans="1:18" x14ac:dyDescent="0.3">
      <c r="A1261" s="26">
        <v>1260</v>
      </c>
      <c r="B1261" s="1">
        <v>16</v>
      </c>
      <c r="C1261" s="1">
        <f t="shared" si="155"/>
        <v>13</v>
      </c>
      <c r="D1261" s="21">
        <f t="shared" ca="1" si="154"/>
        <v>44916</v>
      </c>
      <c r="E1261" s="1" t="s">
        <v>26</v>
      </c>
      <c r="F1261" s="1" t="s">
        <v>1289</v>
      </c>
      <c r="G1261" s="1" t="s">
        <v>28</v>
      </c>
      <c r="H1261" s="1">
        <v>1359</v>
      </c>
      <c r="I1261" s="1">
        <f t="shared" si="156"/>
        <v>58</v>
      </c>
      <c r="J1261" s="1">
        <f>VLOOKUP(B1261,Cena!$A$2:$B$101,2)</f>
        <v>93</v>
      </c>
      <c r="K1261" s="1">
        <f t="shared" si="160"/>
        <v>5394</v>
      </c>
      <c r="L1261" s="1">
        <f t="shared" si="157"/>
        <v>1240.6200000000001</v>
      </c>
      <c r="M1261" s="22">
        <f t="shared" si="161"/>
        <v>6634.62</v>
      </c>
      <c r="N1261" s="1">
        <f t="shared" ca="1" si="158"/>
        <v>12</v>
      </c>
      <c r="P1261" s="1">
        <v>58.897359293769114</v>
      </c>
      <c r="Q1261" s="1">
        <f t="shared" ca="1" si="159"/>
        <v>27</v>
      </c>
      <c r="R1261" s="1">
        <v>13.990135155618191</v>
      </c>
    </row>
    <row r="1262" spans="1:18" x14ac:dyDescent="0.3">
      <c r="A1262" s="26">
        <v>1261</v>
      </c>
      <c r="B1262" s="1">
        <v>30</v>
      </c>
      <c r="C1262" s="1">
        <f t="shared" si="155"/>
        <v>10</v>
      </c>
      <c r="D1262" s="21">
        <f t="shared" ca="1" si="154"/>
        <v>44851</v>
      </c>
      <c r="E1262" s="1" t="s">
        <v>26</v>
      </c>
      <c r="F1262" s="1" t="s">
        <v>1290</v>
      </c>
      <c r="G1262" s="1" t="s">
        <v>28</v>
      </c>
      <c r="H1262" s="1">
        <v>1360</v>
      </c>
      <c r="I1262" s="1">
        <f t="shared" si="156"/>
        <v>46</v>
      </c>
      <c r="J1262" s="1">
        <f>VLOOKUP(B1262,Cena!$A$2:$B$101,2)</f>
        <v>87</v>
      </c>
      <c r="K1262" s="1">
        <f t="shared" si="160"/>
        <v>4002</v>
      </c>
      <c r="L1262" s="1">
        <f t="shared" si="157"/>
        <v>920.46</v>
      </c>
      <c r="M1262" s="22">
        <f t="shared" si="161"/>
        <v>4922.46</v>
      </c>
      <c r="N1262" s="1">
        <f t="shared" ca="1" si="158"/>
        <v>10</v>
      </c>
      <c r="P1262" s="1">
        <v>46.621761511050863</v>
      </c>
      <c r="Q1262" s="1">
        <f t="shared" ca="1" si="159"/>
        <v>7</v>
      </c>
      <c r="R1262" s="1">
        <v>10.619712636762415</v>
      </c>
    </row>
    <row r="1263" spans="1:18" x14ac:dyDescent="0.3">
      <c r="A1263" s="26">
        <v>1262</v>
      </c>
      <c r="B1263" s="1">
        <v>5</v>
      </c>
      <c r="C1263" s="1">
        <f t="shared" si="155"/>
        <v>12</v>
      </c>
      <c r="D1263" s="21">
        <f t="shared" ca="1" si="154"/>
        <v>44691</v>
      </c>
      <c r="E1263" s="1" t="s">
        <v>26</v>
      </c>
      <c r="F1263" s="1" t="s">
        <v>1291</v>
      </c>
      <c r="G1263" s="1" t="s">
        <v>28</v>
      </c>
      <c r="H1263" s="1">
        <v>1361</v>
      </c>
      <c r="I1263" s="1">
        <f t="shared" si="156"/>
        <v>57</v>
      </c>
      <c r="J1263" s="1">
        <f>VLOOKUP(B1263,Cena!$A$2:$B$101,2)</f>
        <v>91</v>
      </c>
      <c r="K1263" s="1">
        <f t="shared" si="160"/>
        <v>5187</v>
      </c>
      <c r="L1263" s="1">
        <f t="shared" si="157"/>
        <v>1193.01</v>
      </c>
      <c r="M1263" s="22">
        <f t="shared" si="161"/>
        <v>6380.01</v>
      </c>
      <c r="N1263" s="1">
        <f t="shared" ca="1" si="158"/>
        <v>5</v>
      </c>
      <c r="P1263" s="1">
        <v>57.302719495783094</v>
      </c>
      <c r="Q1263" s="1">
        <f t="shared" ca="1" si="159"/>
        <v>18</v>
      </c>
      <c r="R1263" s="1">
        <v>12.62106141235563</v>
      </c>
    </row>
    <row r="1264" spans="1:18" x14ac:dyDescent="0.3">
      <c r="A1264" s="26">
        <v>1263</v>
      </c>
      <c r="B1264" s="1">
        <v>17</v>
      </c>
      <c r="C1264" s="1">
        <f t="shared" si="155"/>
        <v>9</v>
      </c>
      <c r="D1264" s="21">
        <f t="shared" ca="1" si="154"/>
        <v>44611</v>
      </c>
      <c r="E1264" s="1" t="s">
        <v>26</v>
      </c>
      <c r="F1264" s="1" t="s">
        <v>1292</v>
      </c>
      <c r="G1264" s="1" t="s">
        <v>28</v>
      </c>
      <c r="H1264" s="1">
        <v>1362</v>
      </c>
      <c r="I1264" s="1">
        <f t="shared" si="156"/>
        <v>26</v>
      </c>
      <c r="J1264" s="1">
        <f>VLOOKUP(B1264,Cena!$A$2:$B$101,2)</f>
        <v>84</v>
      </c>
      <c r="K1264" s="1">
        <f t="shared" si="160"/>
        <v>2184</v>
      </c>
      <c r="L1264" s="1">
        <f t="shared" si="157"/>
        <v>502.32000000000005</v>
      </c>
      <c r="M1264" s="22">
        <f t="shared" si="161"/>
        <v>2686.32</v>
      </c>
      <c r="N1264" s="1">
        <f t="shared" ca="1" si="158"/>
        <v>2</v>
      </c>
      <c r="P1264" s="1">
        <v>26.256367517635226</v>
      </c>
      <c r="Q1264" s="1">
        <f t="shared" ca="1" si="159"/>
        <v>29</v>
      </c>
      <c r="R1264" s="1">
        <v>9.8378058307935135</v>
      </c>
    </row>
    <row r="1265" spans="1:18" x14ac:dyDescent="0.3">
      <c r="A1265" s="26">
        <v>1264</v>
      </c>
      <c r="B1265" s="1">
        <v>6</v>
      </c>
      <c r="C1265" s="1">
        <f t="shared" si="155"/>
        <v>12</v>
      </c>
      <c r="D1265" s="21">
        <f t="shared" ca="1" si="154"/>
        <v>44782</v>
      </c>
      <c r="E1265" s="1" t="s">
        <v>26</v>
      </c>
      <c r="F1265" s="1" t="s">
        <v>1293</v>
      </c>
      <c r="G1265" s="1" t="s">
        <v>28</v>
      </c>
      <c r="H1265" s="1">
        <v>1363</v>
      </c>
      <c r="I1265" s="1">
        <f t="shared" si="156"/>
        <v>51</v>
      </c>
      <c r="J1265" s="1">
        <f>VLOOKUP(B1265,Cena!$A$2:$B$101,2)</f>
        <v>86</v>
      </c>
      <c r="K1265" s="1">
        <f t="shared" si="160"/>
        <v>4386</v>
      </c>
      <c r="L1265" s="1">
        <f t="shared" si="157"/>
        <v>1008.7800000000001</v>
      </c>
      <c r="M1265" s="22">
        <f t="shared" si="161"/>
        <v>5394.78</v>
      </c>
      <c r="N1265" s="1">
        <f t="shared" ca="1" si="158"/>
        <v>8</v>
      </c>
      <c r="P1265" s="1">
        <v>51.829675966291688</v>
      </c>
      <c r="Q1265" s="1">
        <f t="shared" ca="1" si="159"/>
        <v>24</v>
      </c>
      <c r="R1265" s="1">
        <v>12.764886630757246</v>
      </c>
    </row>
    <row r="1266" spans="1:18" x14ac:dyDescent="0.3">
      <c r="A1266" s="26">
        <v>1265</v>
      </c>
      <c r="B1266" s="1">
        <v>1</v>
      </c>
      <c r="C1266" s="1">
        <f t="shared" si="155"/>
        <v>7</v>
      </c>
      <c r="D1266" s="21">
        <f t="shared" ca="1" si="154"/>
        <v>44903</v>
      </c>
      <c r="E1266" s="1" t="s">
        <v>26</v>
      </c>
      <c r="F1266" s="1" t="s">
        <v>1294</v>
      </c>
      <c r="G1266" s="1" t="s">
        <v>28</v>
      </c>
      <c r="H1266" s="1">
        <v>1364</v>
      </c>
      <c r="I1266" s="1">
        <f t="shared" si="156"/>
        <v>54</v>
      </c>
      <c r="J1266" s="1">
        <f>VLOOKUP(B1266,Cena!$A$2:$B$101,2)</f>
        <v>84</v>
      </c>
      <c r="K1266" s="1">
        <f t="shared" si="160"/>
        <v>4536</v>
      </c>
      <c r="L1266" s="1">
        <f t="shared" si="157"/>
        <v>1043.28</v>
      </c>
      <c r="M1266" s="22">
        <f t="shared" si="161"/>
        <v>5579.28</v>
      </c>
      <c r="N1266" s="1">
        <f t="shared" ca="1" si="158"/>
        <v>12</v>
      </c>
      <c r="P1266" s="1">
        <v>54.967819222656544</v>
      </c>
      <c r="Q1266" s="1">
        <f t="shared" ca="1" si="159"/>
        <v>7</v>
      </c>
      <c r="R1266" s="1">
        <v>7.7465279243915575</v>
      </c>
    </row>
    <row r="1267" spans="1:18" x14ac:dyDescent="0.3">
      <c r="A1267" s="26">
        <v>1266</v>
      </c>
      <c r="B1267" s="1">
        <v>10</v>
      </c>
      <c r="C1267" s="1">
        <f t="shared" si="155"/>
        <v>9</v>
      </c>
      <c r="D1267" s="21">
        <f t="shared" ca="1" si="154"/>
        <v>44874</v>
      </c>
      <c r="E1267" s="1" t="s">
        <v>26</v>
      </c>
      <c r="F1267" s="1" t="s">
        <v>1295</v>
      </c>
      <c r="G1267" s="1" t="s">
        <v>28</v>
      </c>
      <c r="H1267" s="1">
        <v>1365</v>
      </c>
      <c r="I1267" s="1">
        <f t="shared" si="156"/>
        <v>47</v>
      </c>
      <c r="J1267" s="1">
        <f>VLOOKUP(B1267,Cena!$A$2:$B$101,2)</f>
        <v>109</v>
      </c>
      <c r="K1267" s="1">
        <f t="shared" si="160"/>
        <v>5123</v>
      </c>
      <c r="L1267" s="1">
        <f t="shared" si="157"/>
        <v>1178.29</v>
      </c>
      <c r="M1267" s="22">
        <f t="shared" si="161"/>
        <v>6301.29</v>
      </c>
      <c r="N1267" s="1">
        <f t="shared" ca="1" si="158"/>
        <v>11</v>
      </c>
      <c r="P1267" s="1">
        <v>47.200347934267484</v>
      </c>
      <c r="Q1267" s="1">
        <f t="shared" ca="1" si="159"/>
        <v>19</v>
      </c>
      <c r="R1267" s="1">
        <v>9.8362739006552147</v>
      </c>
    </row>
    <row r="1268" spans="1:18" x14ac:dyDescent="0.3">
      <c r="A1268" s="26">
        <v>1267</v>
      </c>
      <c r="B1268" s="1">
        <v>14</v>
      </c>
      <c r="C1268" s="1">
        <f t="shared" si="155"/>
        <v>7</v>
      </c>
      <c r="D1268" s="21">
        <f t="shared" ca="1" si="154"/>
        <v>44574</v>
      </c>
      <c r="E1268" s="1" t="s">
        <v>26</v>
      </c>
      <c r="F1268" s="1" t="s">
        <v>1296</v>
      </c>
      <c r="G1268" s="1" t="s">
        <v>28</v>
      </c>
      <c r="H1268" s="1">
        <v>1366</v>
      </c>
      <c r="I1268" s="1">
        <f t="shared" si="156"/>
        <v>41</v>
      </c>
      <c r="J1268" s="1">
        <f>VLOOKUP(B1268,Cena!$A$2:$B$101,2)</f>
        <v>129</v>
      </c>
      <c r="K1268" s="1">
        <f t="shared" si="160"/>
        <v>5289</v>
      </c>
      <c r="L1268" s="1">
        <f t="shared" si="157"/>
        <v>1216.47</v>
      </c>
      <c r="M1268" s="22">
        <f t="shared" si="161"/>
        <v>6505.47</v>
      </c>
      <c r="N1268" s="1">
        <f t="shared" ca="1" si="158"/>
        <v>1</v>
      </c>
      <c r="P1268" s="1">
        <v>41.348840922000818</v>
      </c>
      <c r="Q1268" s="1">
        <f t="shared" ca="1" si="159"/>
        <v>6</v>
      </c>
      <c r="R1268" s="1">
        <v>7.9267442995478632</v>
      </c>
    </row>
    <row r="1269" spans="1:18" x14ac:dyDescent="0.3">
      <c r="A1269" s="26">
        <v>1268</v>
      </c>
      <c r="B1269" s="1">
        <v>17</v>
      </c>
      <c r="C1269" s="1">
        <f t="shared" si="155"/>
        <v>11</v>
      </c>
      <c r="D1269" s="21">
        <f t="shared" ca="1" si="154"/>
        <v>44738</v>
      </c>
      <c r="E1269" s="1" t="s">
        <v>26</v>
      </c>
      <c r="F1269" s="1" t="s">
        <v>1297</v>
      </c>
      <c r="G1269" s="1" t="s">
        <v>28</v>
      </c>
      <c r="H1269" s="1">
        <v>1367</v>
      </c>
      <c r="I1269" s="1">
        <f t="shared" si="156"/>
        <v>47</v>
      </c>
      <c r="J1269" s="1">
        <f>VLOOKUP(B1269,Cena!$A$2:$B$101,2)</f>
        <v>84</v>
      </c>
      <c r="K1269" s="1">
        <f t="shared" si="160"/>
        <v>3948</v>
      </c>
      <c r="L1269" s="1">
        <f t="shared" si="157"/>
        <v>908.04000000000008</v>
      </c>
      <c r="M1269" s="22">
        <f t="shared" si="161"/>
        <v>4856.04</v>
      </c>
      <c r="N1269" s="1">
        <f t="shared" ca="1" si="158"/>
        <v>6</v>
      </c>
      <c r="P1269" s="1">
        <v>47.364648152142763</v>
      </c>
      <c r="Q1269" s="1">
        <f t="shared" ca="1" si="159"/>
        <v>5</v>
      </c>
      <c r="R1269" s="1">
        <v>11.412851702298212</v>
      </c>
    </row>
    <row r="1270" spans="1:18" x14ac:dyDescent="0.3">
      <c r="A1270" s="26">
        <v>1269</v>
      </c>
      <c r="B1270" s="1">
        <v>15</v>
      </c>
      <c r="C1270" s="1">
        <f t="shared" si="155"/>
        <v>6</v>
      </c>
      <c r="D1270" s="21">
        <f t="shared" ca="1" si="154"/>
        <v>44874</v>
      </c>
      <c r="E1270" s="1" t="s">
        <v>26</v>
      </c>
      <c r="F1270" s="1" t="s">
        <v>1298</v>
      </c>
      <c r="G1270" s="1" t="s">
        <v>28</v>
      </c>
      <c r="H1270" s="1">
        <v>1368</v>
      </c>
      <c r="I1270" s="1">
        <f t="shared" si="156"/>
        <v>49</v>
      </c>
      <c r="J1270" s="1">
        <f>VLOOKUP(B1270,Cena!$A$2:$B$101,2)</f>
        <v>85</v>
      </c>
      <c r="K1270" s="1">
        <f t="shared" si="160"/>
        <v>4165</v>
      </c>
      <c r="L1270" s="1">
        <f t="shared" si="157"/>
        <v>957.95</v>
      </c>
      <c r="M1270" s="22">
        <f t="shared" si="161"/>
        <v>5122.95</v>
      </c>
      <c r="N1270" s="1">
        <f t="shared" ca="1" si="158"/>
        <v>11</v>
      </c>
      <c r="P1270" s="1">
        <v>49.68822521623224</v>
      </c>
      <c r="Q1270" s="1">
        <f t="shared" ca="1" si="159"/>
        <v>9</v>
      </c>
      <c r="R1270" s="1">
        <v>6.5850179250992369</v>
      </c>
    </row>
    <row r="1271" spans="1:18" x14ac:dyDescent="0.3">
      <c r="A1271" s="26">
        <v>1270</v>
      </c>
      <c r="B1271" s="1">
        <v>27</v>
      </c>
      <c r="C1271" s="1">
        <f t="shared" si="155"/>
        <v>11</v>
      </c>
      <c r="D1271" s="21">
        <f t="shared" ca="1" si="154"/>
        <v>44612</v>
      </c>
      <c r="E1271" s="1" t="s">
        <v>26</v>
      </c>
      <c r="F1271" s="1" t="s">
        <v>1299</v>
      </c>
      <c r="G1271" s="1" t="s">
        <v>28</v>
      </c>
      <c r="H1271" s="1">
        <v>1369</v>
      </c>
      <c r="I1271" s="1">
        <f t="shared" si="156"/>
        <v>74</v>
      </c>
      <c r="J1271" s="1">
        <f>VLOOKUP(B1271,Cena!$A$2:$B$101,2)</f>
        <v>87</v>
      </c>
      <c r="K1271" s="1">
        <f t="shared" si="160"/>
        <v>6438</v>
      </c>
      <c r="L1271" s="1">
        <f t="shared" si="157"/>
        <v>1480.74</v>
      </c>
      <c r="M1271" s="22">
        <f t="shared" si="161"/>
        <v>7918.74</v>
      </c>
      <c r="N1271" s="1">
        <f t="shared" ca="1" si="158"/>
        <v>2</v>
      </c>
      <c r="P1271" s="1">
        <v>74.956170818768442</v>
      </c>
      <c r="Q1271" s="1">
        <f t="shared" ca="1" si="159"/>
        <v>23</v>
      </c>
      <c r="R1271" s="1">
        <v>11.724538378766738</v>
      </c>
    </row>
    <row r="1272" spans="1:18" x14ac:dyDescent="0.3">
      <c r="A1272" s="26">
        <v>1271</v>
      </c>
      <c r="B1272" s="1">
        <v>23</v>
      </c>
      <c r="C1272" s="1">
        <f t="shared" si="155"/>
        <v>9</v>
      </c>
      <c r="D1272" s="21">
        <f t="shared" ca="1" si="154"/>
        <v>44617</v>
      </c>
      <c r="E1272" s="1" t="s">
        <v>26</v>
      </c>
      <c r="F1272" s="1" t="s">
        <v>1300</v>
      </c>
      <c r="G1272" s="1" t="s">
        <v>28</v>
      </c>
      <c r="H1272" s="1">
        <v>1370</v>
      </c>
      <c r="I1272" s="1">
        <f t="shared" si="156"/>
        <v>79</v>
      </c>
      <c r="J1272" s="1">
        <f>VLOOKUP(B1272,Cena!$A$2:$B$101,2)</f>
        <v>132</v>
      </c>
      <c r="K1272" s="1">
        <f t="shared" si="160"/>
        <v>10428</v>
      </c>
      <c r="L1272" s="1">
        <f t="shared" si="157"/>
        <v>2398.44</v>
      </c>
      <c r="M1272" s="22">
        <f t="shared" si="161"/>
        <v>12826.44</v>
      </c>
      <c r="N1272" s="1">
        <f t="shared" ca="1" si="158"/>
        <v>2</v>
      </c>
      <c r="P1272" s="1">
        <v>79.058719519525766</v>
      </c>
      <c r="Q1272" s="1">
        <f t="shared" ca="1" si="159"/>
        <v>12</v>
      </c>
      <c r="R1272" s="1">
        <v>9.4121878899022704</v>
      </c>
    </row>
    <row r="1273" spans="1:18" x14ac:dyDescent="0.3">
      <c r="A1273" s="26">
        <v>1272</v>
      </c>
      <c r="B1273" s="1">
        <v>1</v>
      </c>
      <c r="C1273" s="1">
        <f t="shared" si="155"/>
        <v>13</v>
      </c>
      <c r="D1273" s="21">
        <f t="shared" ca="1" si="154"/>
        <v>44798</v>
      </c>
      <c r="E1273" s="1" t="s">
        <v>26</v>
      </c>
      <c r="F1273" s="1" t="s">
        <v>1301</v>
      </c>
      <c r="G1273" s="1" t="s">
        <v>28</v>
      </c>
      <c r="H1273" s="1">
        <v>1371</v>
      </c>
      <c r="I1273" s="1">
        <f t="shared" si="156"/>
        <v>45</v>
      </c>
      <c r="J1273" s="1">
        <f>VLOOKUP(B1273,Cena!$A$2:$B$101,2)</f>
        <v>84</v>
      </c>
      <c r="K1273" s="1">
        <f t="shared" si="160"/>
        <v>3780</v>
      </c>
      <c r="L1273" s="1">
        <f t="shared" si="157"/>
        <v>869.40000000000009</v>
      </c>
      <c r="M1273" s="22">
        <f t="shared" si="161"/>
        <v>4649.3999999999996</v>
      </c>
      <c r="N1273" s="1">
        <f t="shared" ca="1" si="158"/>
        <v>8</v>
      </c>
      <c r="P1273" s="1">
        <v>45.381449480191804</v>
      </c>
      <c r="Q1273" s="1">
        <f t="shared" ca="1" si="159"/>
        <v>25</v>
      </c>
      <c r="R1273" s="1">
        <v>13.776767698582262</v>
      </c>
    </row>
    <row r="1274" spans="1:18" x14ac:dyDescent="0.3">
      <c r="A1274" s="26">
        <v>1273</v>
      </c>
      <c r="B1274" s="1">
        <v>11</v>
      </c>
      <c r="C1274" s="1">
        <f t="shared" si="155"/>
        <v>4</v>
      </c>
      <c r="D1274" s="21">
        <f t="shared" ca="1" si="154"/>
        <v>44758</v>
      </c>
      <c r="E1274" s="1" t="s">
        <v>26</v>
      </c>
      <c r="F1274" s="1" t="s">
        <v>1302</v>
      </c>
      <c r="G1274" s="1" t="s">
        <v>28</v>
      </c>
      <c r="H1274" s="1">
        <v>1372</v>
      </c>
      <c r="I1274" s="1">
        <f t="shared" si="156"/>
        <v>38</v>
      </c>
      <c r="J1274" s="1">
        <f>VLOOKUP(B1274,Cena!$A$2:$B$101,2)</f>
        <v>83</v>
      </c>
      <c r="K1274" s="1">
        <f t="shared" si="160"/>
        <v>3154</v>
      </c>
      <c r="L1274" s="1">
        <f t="shared" si="157"/>
        <v>725.42000000000007</v>
      </c>
      <c r="M1274" s="22">
        <f t="shared" si="161"/>
        <v>3879.42</v>
      </c>
      <c r="N1274" s="1">
        <f t="shared" ca="1" si="158"/>
        <v>7</v>
      </c>
      <c r="P1274" s="1">
        <v>38.307854437152855</v>
      </c>
      <c r="Q1274" s="1">
        <f t="shared" ca="1" si="159"/>
        <v>21</v>
      </c>
      <c r="R1274" s="1">
        <v>4.7631749819265679</v>
      </c>
    </row>
    <row r="1275" spans="1:18" x14ac:dyDescent="0.3">
      <c r="A1275" s="26">
        <v>1274</v>
      </c>
      <c r="B1275" s="1">
        <v>17</v>
      </c>
      <c r="C1275" s="1">
        <f t="shared" si="155"/>
        <v>13</v>
      </c>
      <c r="D1275" s="21">
        <f t="shared" ca="1" si="154"/>
        <v>44653</v>
      </c>
      <c r="E1275" s="1" t="s">
        <v>26</v>
      </c>
      <c r="F1275" s="1" t="s">
        <v>1303</v>
      </c>
      <c r="G1275" s="1" t="s">
        <v>28</v>
      </c>
      <c r="H1275" s="1">
        <v>1373</v>
      </c>
      <c r="I1275" s="1">
        <f t="shared" si="156"/>
        <v>51</v>
      </c>
      <c r="J1275" s="1">
        <f>VLOOKUP(B1275,Cena!$A$2:$B$101,2)</f>
        <v>84</v>
      </c>
      <c r="K1275" s="1">
        <f t="shared" si="160"/>
        <v>4284</v>
      </c>
      <c r="L1275" s="1">
        <f t="shared" si="157"/>
        <v>985.32</v>
      </c>
      <c r="M1275" s="22">
        <f t="shared" si="161"/>
        <v>5269.32</v>
      </c>
      <c r="N1275" s="1">
        <f t="shared" ca="1" si="158"/>
        <v>4</v>
      </c>
      <c r="P1275" s="1">
        <v>51.585158315720037</v>
      </c>
      <c r="Q1275" s="1">
        <f t="shared" ca="1" si="159"/>
        <v>18</v>
      </c>
      <c r="R1275" s="1">
        <v>13.403351911401842</v>
      </c>
    </row>
    <row r="1276" spans="1:18" x14ac:dyDescent="0.3">
      <c r="A1276" s="26">
        <v>1275</v>
      </c>
      <c r="B1276" s="1">
        <v>16</v>
      </c>
      <c r="C1276" s="1">
        <f t="shared" si="155"/>
        <v>12</v>
      </c>
      <c r="D1276" s="21">
        <f t="shared" ca="1" si="154"/>
        <v>44571</v>
      </c>
      <c r="E1276" s="1" t="s">
        <v>26</v>
      </c>
      <c r="F1276" s="1" t="s">
        <v>1304</v>
      </c>
      <c r="G1276" s="1" t="s">
        <v>28</v>
      </c>
      <c r="H1276" s="1">
        <v>1374</v>
      </c>
      <c r="I1276" s="1">
        <f t="shared" si="156"/>
        <v>57</v>
      </c>
      <c r="J1276" s="1">
        <f>VLOOKUP(B1276,Cena!$A$2:$B$101,2)</f>
        <v>93</v>
      </c>
      <c r="K1276" s="1">
        <f t="shared" si="160"/>
        <v>5301</v>
      </c>
      <c r="L1276" s="1">
        <f t="shared" si="157"/>
        <v>1219.23</v>
      </c>
      <c r="M1276" s="22">
        <f t="shared" si="161"/>
        <v>6520.23</v>
      </c>
      <c r="N1276" s="1">
        <f t="shared" ca="1" si="158"/>
        <v>1</v>
      </c>
      <c r="P1276" s="1">
        <v>57.222047315735836</v>
      </c>
      <c r="Q1276" s="1">
        <f t="shared" ca="1" si="159"/>
        <v>27</v>
      </c>
      <c r="R1276" s="1">
        <v>12.680792476894567</v>
      </c>
    </row>
    <row r="1277" spans="1:18" x14ac:dyDescent="0.3">
      <c r="A1277" s="26">
        <v>1276</v>
      </c>
      <c r="B1277" s="1">
        <v>28</v>
      </c>
      <c r="C1277" s="1">
        <f t="shared" si="155"/>
        <v>9</v>
      </c>
      <c r="D1277" s="21">
        <f t="shared" ca="1" si="154"/>
        <v>44645</v>
      </c>
      <c r="E1277" s="1" t="s">
        <v>26</v>
      </c>
      <c r="F1277" s="1" t="s">
        <v>1305</v>
      </c>
      <c r="G1277" s="1" t="s">
        <v>28</v>
      </c>
      <c r="H1277" s="1">
        <v>1375</v>
      </c>
      <c r="I1277" s="1">
        <f t="shared" si="156"/>
        <v>65</v>
      </c>
      <c r="J1277" s="1">
        <f>VLOOKUP(B1277,Cena!$A$2:$B$101,2)</f>
        <v>59</v>
      </c>
      <c r="K1277" s="1">
        <f t="shared" si="160"/>
        <v>3835</v>
      </c>
      <c r="L1277" s="1">
        <f t="shared" si="157"/>
        <v>882.05000000000007</v>
      </c>
      <c r="M1277" s="22">
        <f t="shared" si="161"/>
        <v>4717.05</v>
      </c>
      <c r="N1277" s="1">
        <f t="shared" ca="1" si="158"/>
        <v>3</v>
      </c>
      <c r="P1277" s="1">
        <v>65.879049897193909</v>
      </c>
      <c r="Q1277" s="1">
        <f t="shared" ca="1" si="159"/>
        <v>21</v>
      </c>
      <c r="R1277" s="1">
        <v>9.5505504557513632</v>
      </c>
    </row>
    <row r="1278" spans="1:18" x14ac:dyDescent="0.3">
      <c r="A1278" s="26">
        <v>1277</v>
      </c>
      <c r="B1278" s="1">
        <v>15</v>
      </c>
      <c r="C1278" s="1">
        <f t="shared" si="155"/>
        <v>6</v>
      </c>
      <c r="D1278" s="21">
        <f t="shared" ca="1" si="154"/>
        <v>44889</v>
      </c>
      <c r="E1278" s="1" t="s">
        <v>26</v>
      </c>
      <c r="F1278" s="1" t="s">
        <v>1306</v>
      </c>
      <c r="G1278" s="1" t="s">
        <v>28</v>
      </c>
      <c r="H1278" s="1">
        <v>1376</v>
      </c>
      <c r="I1278" s="1">
        <f t="shared" si="156"/>
        <v>48</v>
      </c>
      <c r="J1278" s="1">
        <f>VLOOKUP(B1278,Cena!$A$2:$B$101,2)</f>
        <v>85</v>
      </c>
      <c r="K1278" s="1">
        <f t="shared" si="160"/>
        <v>4080</v>
      </c>
      <c r="L1278" s="1">
        <f t="shared" si="157"/>
        <v>938.40000000000009</v>
      </c>
      <c r="M1278" s="22">
        <f t="shared" si="161"/>
        <v>5018.3999999999996</v>
      </c>
      <c r="N1278" s="1">
        <f t="shared" ca="1" si="158"/>
        <v>11</v>
      </c>
      <c r="P1278" s="1">
        <v>48.811870227655163</v>
      </c>
      <c r="Q1278" s="1">
        <f t="shared" ca="1" si="159"/>
        <v>25</v>
      </c>
      <c r="R1278" s="1">
        <v>6.9661359955352964</v>
      </c>
    </row>
    <row r="1279" spans="1:18" x14ac:dyDescent="0.3">
      <c r="A1279" s="26">
        <v>1278</v>
      </c>
      <c r="B1279" s="1">
        <v>26</v>
      </c>
      <c r="C1279" s="1">
        <f t="shared" si="155"/>
        <v>10</v>
      </c>
      <c r="D1279" s="21">
        <f t="shared" ca="1" si="154"/>
        <v>44624</v>
      </c>
      <c r="E1279" s="1" t="s">
        <v>26</v>
      </c>
      <c r="F1279" s="1" t="s">
        <v>1307</v>
      </c>
      <c r="G1279" s="1" t="s">
        <v>28</v>
      </c>
      <c r="H1279" s="1">
        <v>1377</v>
      </c>
      <c r="I1279" s="1">
        <f t="shared" si="156"/>
        <v>36</v>
      </c>
      <c r="J1279" s="1">
        <f>VLOOKUP(B1279,Cena!$A$2:$B$101,2)</f>
        <v>99</v>
      </c>
      <c r="K1279" s="1">
        <f t="shared" si="160"/>
        <v>3564</v>
      </c>
      <c r="L1279" s="1">
        <f t="shared" si="157"/>
        <v>819.72</v>
      </c>
      <c r="M1279" s="22">
        <f t="shared" si="161"/>
        <v>4383.72</v>
      </c>
      <c r="N1279" s="1">
        <f t="shared" ca="1" si="158"/>
        <v>3</v>
      </c>
      <c r="P1279" s="1">
        <v>36.558486853027716</v>
      </c>
      <c r="Q1279" s="1">
        <f t="shared" ca="1" si="159"/>
        <v>26</v>
      </c>
      <c r="R1279" s="1">
        <v>10.269125166596496</v>
      </c>
    </row>
    <row r="1280" spans="1:18" x14ac:dyDescent="0.3">
      <c r="A1280" s="26">
        <v>1279</v>
      </c>
      <c r="B1280" s="1">
        <v>11</v>
      </c>
      <c r="C1280" s="1">
        <f t="shared" si="155"/>
        <v>8</v>
      </c>
      <c r="D1280" s="21">
        <f t="shared" ca="1" si="154"/>
        <v>44814</v>
      </c>
      <c r="E1280" s="1" t="s">
        <v>26</v>
      </c>
      <c r="F1280" s="1" t="s">
        <v>1308</v>
      </c>
      <c r="G1280" s="1" t="s">
        <v>28</v>
      </c>
      <c r="H1280" s="1">
        <v>1378</v>
      </c>
      <c r="I1280" s="1">
        <f t="shared" si="156"/>
        <v>44</v>
      </c>
      <c r="J1280" s="1">
        <f>VLOOKUP(B1280,Cena!$A$2:$B$101,2)</f>
        <v>83</v>
      </c>
      <c r="K1280" s="1">
        <f t="shared" si="160"/>
        <v>3652</v>
      </c>
      <c r="L1280" s="1">
        <f t="shared" si="157"/>
        <v>839.96</v>
      </c>
      <c r="M1280" s="22">
        <f t="shared" si="161"/>
        <v>4491.96</v>
      </c>
      <c r="N1280" s="1">
        <f t="shared" ca="1" si="158"/>
        <v>9</v>
      </c>
      <c r="P1280" s="1">
        <v>44.409517967142165</v>
      </c>
      <c r="Q1280" s="1">
        <f t="shared" ca="1" si="159"/>
        <v>25</v>
      </c>
      <c r="R1280" s="1">
        <v>8.716546656396531</v>
      </c>
    </row>
    <row r="1281" spans="1:18" x14ac:dyDescent="0.3">
      <c r="A1281" s="26">
        <v>1280</v>
      </c>
      <c r="B1281" s="1">
        <v>20</v>
      </c>
      <c r="C1281" s="1">
        <f t="shared" si="155"/>
        <v>12</v>
      </c>
      <c r="D1281" s="21">
        <f t="shared" ca="1" si="154"/>
        <v>44617</v>
      </c>
      <c r="E1281" s="1" t="s">
        <v>26</v>
      </c>
      <c r="F1281" s="1" t="s">
        <v>1309</v>
      </c>
      <c r="G1281" s="1" t="s">
        <v>28</v>
      </c>
      <c r="H1281" s="1">
        <v>1379</v>
      </c>
      <c r="I1281" s="1">
        <f t="shared" si="156"/>
        <v>35</v>
      </c>
      <c r="J1281" s="1">
        <f>VLOOKUP(B1281,Cena!$A$2:$B$101,2)</f>
        <v>111</v>
      </c>
      <c r="K1281" s="1">
        <f t="shared" si="160"/>
        <v>3885</v>
      </c>
      <c r="L1281" s="1">
        <f t="shared" si="157"/>
        <v>893.55000000000007</v>
      </c>
      <c r="M1281" s="22">
        <f t="shared" si="161"/>
        <v>4778.55</v>
      </c>
      <c r="N1281" s="1">
        <f t="shared" ca="1" si="158"/>
        <v>2</v>
      </c>
      <c r="P1281" s="1">
        <v>35.125896273530088</v>
      </c>
      <c r="Q1281" s="1">
        <f t="shared" ca="1" si="159"/>
        <v>29</v>
      </c>
      <c r="R1281" s="1">
        <v>12.837981583070359</v>
      </c>
    </row>
    <row r="1282" spans="1:18" x14ac:dyDescent="0.3">
      <c r="A1282" s="26">
        <v>1281</v>
      </c>
      <c r="B1282" s="1">
        <v>17</v>
      </c>
      <c r="C1282" s="1">
        <f t="shared" si="155"/>
        <v>6</v>
      </c>
      <c r="D1282" s="21">
        <f t="shared" ref="D1282:D1345" ca="1" si="162">DATE(2022,RANDBETWEEN(1,12),RANDBETWEEN(1,28))</f>
        <v>44687</v>
      </c>
      <c r="E1282" s="1" t="s">
        <v>26</v>
      </c>
      <c r="F1282" s="1" t="s">
        <v>1310</v>
      </c>
      <c r="G1282" s="1" t="s">
        <v>28</v>
      </c>
      <c r="H1282" s="1">
        <v>1380</v>
      </c>
      <c r="I1282" s="1">
        <f t="shared" si="156"/>
        <v>73</v>
      </c>
      <c r="J1282" s="1">
        <f>VLOOKUP(B1282,Cena!$A$2:$B$101,2)</f>
        <v>84</v>
      </c>
      <c r="K1282" s="1">
        <f t="shared" si="160"/>
        <v>6132</v>
      </c>
      <c r="L1282" s="1">
        <f t="shared" si="157"/>
        <v>1410.3600000000001</v>
      </c>
      <c r="M1282" s="22">
        <f t="shared" si="161"/>
        <v>7542.3600000000006</v>
      </c>
      <c r="N1282" s="1">
        <f t="shared" ca="1" si="158"/>
        <v>5</v>
      </c>
      <c r="P1282" s="1">
        <v>73.567918105982244</v>
      </c>
      <c r="Q1282" s="1">
        <f t="shared" ca="1" si="159"/>
        <v>20</v>
      </c>
      <c r="R1282" s="1">
        <v>6.69174712835229</v>
      </c>
    </row>
    <row r="1283" spans="1:18" x14ac:dyDescent="0.3">
      <c r="A1283" s="26">
        <v>1282</v>
      </c>
      <c r="B1283" s="1">
        <v>14</v>
      </c>
      <c r="C1283" s="1">
        <f t="shared" ref="C1283:C1346" si="163">INT(R1283)</f>
        <v>11</v>
      </c>
      <c r="D1283" s="21">
        <f t="shared" ca="1" si="162"/>
        <v>44572</v>
      </c>
      <c r="E1283" s="1" t="s">
        <v>26</v>
      </c>
      <c r="F1283" s="1" t="s">
        <v>1311</v>
      </c>
      <c r="G1283" s="1" t="s">
        <v>28</v>
      </c>
      <c r="H1283" s="1">
        <v>1381</v>
      </c>
      <c r="I1283" s="1">
        <f t="shared" ref="I1283:I1346" si="164">INT(P1283)</f>
        <v>56</v>
      </c>
      <c r="J1283" s="1">
        <f>VLOOKUP(B1283,Cena!$A$2:$B$101,2)</f>
        <v>129</v>
      </c>
      <c r="K1283" s="1">
        <f t="shared" si="160"/>
        <v>7224</v>
      </c>
      <c r="L1283" s="1">
        <f t="shared" ref="L1283:L1346" si="165">K1283*23%</f>
        <v>1661.52</v>
      </c>
      <c r="M1283" s="22">
        <f t="shared" si="161"/>
        <v>8885.52</v>
      </c>
      <c r="N1283" s="1">
        <f t="shared" ref="N1283:N1346" ca="1" si="166">MONTH(D1283)</f>
        <v>1</v>
      </c>
      <c r="P1283" s="1">
        <v>56.967218268982833</v>
      </c>
      <c r="Q1283" s="1">
        <f t="shared" ref="Q1283:Q1346" ca="1" si="167">RANDBETWEEN(1,30)</f>
        <v>15</v>
      </c>
      <c r="R1283" s="1">
        <v>11.46203831263847</v>
      </c>
    </row>
    <row r="1284" spans="1:18" x14ac:dyDescent="0.3">
      <c r="A1284" s="26">
        <v>1283</v>
      </c>
      <c r="B1284" s="1">
        <v>27</v>
      </c>
      <c r="C1284" s="1">
        <f t="shared" si="163"/>
        <v>8</v>
      </c>
      <c r="D1284" s="21">
        <f t="shared" ca="1" si="162"/>
        <v>44735</v>
      </c>
      <c r="E1284" s="1" t="s">
        <v>26</v>
      </c>
      <c r="F1284" s="1" t="s">
        <v>1312</v>
      </c>
      <c r="G1284" s="1" t="s">
        <v>28</v>
      </c>
      <c r="H1284" s="1">
        <v>1382</v>
      </c>
      <c r="I1284" s="1">
        <f t="shared" si="164"/>
        <v>47</v>
      </c>
      <c r="J1284" s="1">
        <f>VLOOKUP(B1284,Cena!$A$2:$B$101,2)</f>
        <v>87</v>
      </c>
      <c r="K1284" s="1">
        <f t="shared" si="160"/>
        <v>4089</v>
      </c>
      <c r="L1284" s="1">
        <f t="shared" si="165"/>
        <v>940.47</v>
      </c>
      <c r="M1284" s="22">
        <f t="shared" si="161"/>
        <v>5029.47</v>
      </c>
      <c r="N1284" s="1">
        <f t="shared" ca="1" si="166"/>
        <v>6</v>
      </c>
      <c r="P1284" s="1">
        <v>47.147801877872553</v>
      </c>
      <c r="Q1284" s="1">
        <f t="shared" ca="1" si="167"/>
        <v>8</v>
      </c>
      <c r="R1284" s="1">
        <v>8.4457360824308125</v>
      </c>
    </row>
    <row r="1285" spans="1:18" x14ac:dyDescent="0.3">
      <c r="A1285" s="26">
        <v>1284</v>
      </c>
      <c r="B1285" s="1">
        <v>30</v>
      </c>
      <c r="C1285" s="1">
        <f t="shared" si="163"/>
        <v>13</v>
      </c>
      <c r="D1285" s="21">
        <f t="shared" ca="1" si="162"/>
        <v>44828</v>
      </c>
      <c r="E1285" s="1" t="s">
        <v>26</v>
      </c>
      <c r="F1285" s="1" t="s">
        <v>1313</v>
      </c>
      <c r="G1285" s="1" t="s">
        <v>28</v>
      </c>
      <c r="H1285" s="1">
        <v>1383</v>
      </c>
      <c r="I1285" s="1">
        <f t="shared" si="164"/>
        <v>53</v>
      </c>
      <c r="J1285" s="1">
        <f>VLOOKUP(B1285,Cena!$A$2:$B$101,2)</f>
        <v>87</v>
      </c>
      <c r="K1285" s="1">
        <f t="shared" si="160"/>
        <v>4611</v>
      </c>
      <c r="L1285" s="1">
        <f t="shared" si="165"/>
        <v>1060.53</v>
      </c>
      <c r="M1285" s="22">
        <f t="shared" si="161"/>
        <v>5671.53</v>
      </c>
      <c r="N1285" s="1">
        <f t="shared" ca="1" si="166"/>
        <v>9</v>
      </c>
      <c r="P1285" s="1">
        <v>53.073614607274067</v>
      </c>
      <c r="Q1285" s="1">
        <f t="shared" ca="1" si="167"/>
        <v>2</v>
      </c>
      <c r="R1285" s="1">
        <v>13.72316435459652</v>
      </c>
    </row>
    <row r="1286" spans="1:18" x14ac:dyDescent="0.3">
      <c r="A1286" s="26">
        <v>1285</v>
      </c>
      <c r="B1286" s="1">
        <v>12</v>
      </c>
      <c r="C1286" s="1">
        <f t="shared" si="163"/>
        <v>11</v>
      </c>
      <c r="D1286" s="21">
        <f t="shared" ca="1" si="162"/>
        <v>44692</v>
      </c>
      <c r="E1286" s="1" t="s">
        <v>26</v>
      </c>
      <c r="F1286" s="1" t="s">
        <v>1314</v>
      </c>
      <c r="G1286" s="1" t="s">
        <v>28</v>
      </c>
      <c r="H1286" s="1">
        <v>1384</v>
      </c>
      <c r="I1286" s="1">
        <f t="shared" si="164"/>
        <v>44</v>
      </c>
      <c r="J1286" s="1">
        <f>VLOOKUP(B1286,Cena!$A$2:$B$101,2)</f>
        <v>88</v>
      </c>
      <c r="K1286" s="1">
        <f t="shared" si="160"/>
        <v>3872</v>
      </c>
      <c r="L1286" s="1">
        <f t="shared" si="165"/>
        <v>890.56000000000006</v>
      </c>
      <c r="M1286" s="22">
        <f t="shared" si="161"/>
        <v>4762.5600000000004</v>
      </c>
      <c r="N1286" s="1">
        <f t="shared" ca="1" si="166"/>
        <v>5</v>
      </c>
      <c r="P1286" s="1">
        <v>44.91412836505333</v>
      </c>
      <c r="Q1286" s="1">
        <f t="shared" ca="1" si="167"/>
        <v>1</v>
      </c>
      <c r="R1286" s="1">
        <v>11.65365463544731</v>
      </c>
    </row>
    <row r="1287" spans="1:18" x14ac:dyDescent="0.3">
      <c r="A1287" s="26">
        <v>1286</v>
      </c>
      <c r="B1287" s="1">
        <v>29</v>
      </c>
      <c r="C1287" s="1">
        <f t="shared" si="163"/>
        <v>8</v>
      </c>
      <c r="D1287" s="21">
        <f t="shared" ca="1" si="162"/>
        <v>44795</v>
      </c>
      <c r="E1287" s="1" t="s">
        <v>26</v>
      </c>
      <c r="F1287" s="1" t="s">
        <v>1315</v>
      </c>
      <c r="G1287" s="1" t="s">
        <v>28</v>
      </c>
      <c r="H1287" s="1">
        <v>1385</v>
      </c>
      <c r="I1287" s="1">
        <f t="shared" si="164"/>
        <v>45</v>
      </c>
      <c r="J1287" s="1">
        <f>VLOOKUP(B1287,Cena!$A$2:$B$101,2)</f>
        <v>105</v>
      </c>
      <c r="K1287" s="1">
        <f t="shared" si="160"/>
        <v>4725</v>
      </c>
      <c r="L1287" s="1">
        <f t="shared" si="165"/>
        <v>1086.75</v>
      </c>
      <c r="M1287" s="22">
        <f t="shared" si="161"/>
        <v>5811.75</v>
      </c>
      <c r="N1287" s="1">
        <f t="shared" ca="1" si="166"/>
        <v>8</v>
      </c>
      <c r="P1287" s="1">
        <v>45.384837347955909</v>
      </c>
      <c r="Q1287" s="1">
        <f t="shared" ca="1" si="167"/>
        <v>30</v>
      </c>
      <c r="R1287" s="1">
        <v>8.0553809564298717</v>
      </c>
    </row>
    <row r="1288" spans="1:18" x14ac:dyDescent="0.3">
      <c r="A1288" s="26">
        <v>1287</v>
      </c>
      <c r="B1288" s="1">
        <v>23</v>
      </c>
      <c r="C1288" s="1">
        <f t="shared" si="163"/>
        <v>10</v>
      </c>
      <c r="D1288" s="21">
        <f t="shared" ca="1" si="162"/>
        <v>44892</v>
      </c>
      <c r="E1288" s="1" t="s">
        <v>26</v>
      </c>
      <c r="F1288" s="1" t="s">
        <v>1316</v>
      </c>
      <c r="G1288" s="1" t="s">
        <v>28</v>
      </c>
      <c r="H1288" s="1">
        <v>1386</v>
      </c>
      <c r="I1288" s="1">
        <f t="shared" si="164"/>
        <v>62</v>
      </c>
      <c r="J1288" s="1">
        <f>VLOOKUP(B1288,Cena!$A$2:$B$101,2)</f>
        <v>132</v>
      </c>
      <c r="K1288" s="1">
        <f t="shared" si="160"/>
        <v>8184</v>
      </c>
      <c r="L1288" s="1">
        <f t="shared" si="165"/>
        <v>1882.3200000000002</v>
      </c>
      <c r="M1288" s="22">
        <f t="shared" si="161"/>
        <v>10066.32</v>
      </c>
      <c r="N1288" s="1">
        <f t="shared" ca="1" si="166"/>
        <v>11</v>
      </c>
      <c r="P1288" s="1">
        <v>62.383588909870014</v>
      </c>
      <c r="Q1288" s="1">
        <f t="shared" ca="1" si="167"/>
        <v>3</v>
      </c>
      <c r="R1288" s="1">
        <v>10.243554154621961</v>
      </c>
    </row>
    <row r="1289" spans="1:18" x14ac:dyDescent="0.3">
      <c r="A1289" s="26">
        <v>1288</v>
      </c>
      <c r="B1289" s="1">
        <v>3</v>
      </c>
      <c r="C1289" s="1">
        <f t="shared" si="163"/>
        <v>9</v>
      </c>
      <c r="D1289" s="21">
        <f t="shared" ca="1" si="162"/>
        <v>44723</v>
      </c>
      <c r="E1289" s="1" t="s">
        <v>26</v>
      </c>
      <c r="F1289" s="1" t="s">
        <v>1317</v>
      </c>
      <c r="G1289" s="1" t="s">
        <v>28</v>
      </c>
      <c r="H1289" s="1">
        <v>1387</v>
      </c>
      <c r="I1289" s="1">
        <f t="shared" si="164"/>
        <v>45</v>
      </c>
      <c r="J1289" s="1">
        <f>VLOOKUP(B1289,Cena!$A$2:$B$101,2)</f>
        <v>89</v>
      </c>
      <c r="K1289" s="1">
        <f t="shared" si="160"/>
        <v>4005</v>
      </c>
      <c r="L1289" s="1">
        <f t="shared" si="165"/>
        <v>921.15000000000009</v>
      </c>
      <c r="M1289" s="22">
        <f t="shared" si="161"/>
        <v>4926.1499999999996</v>
      </c>
      <c r="N1289" s="1">
        <f t="shared" ca="1" si="166"/>
        <v>6</v>
      </c>
      <c r="P1289" s="1">
        <v>45.365260474500246</v>
      </c>
      <c r="Q1289" s="1">
        <f t="shared" ca="1" si="167"/>
        <v>10</v>
      </c>
      <c r="R1289" s="1">
        <v>9.4811787473736331</v>
      </c>
    </row>
    <row r="1290" spans="1:18" x14ac:dyDescent="0.3">
      <c r="A1290" s="26">
        <v>1289</v>
      </c>
      <c r="B1290" s="1">
        <v>10</v>
      </c>
      <c r="C1290" s="1">
        <f t="shared" si="163"/>
        <v>10</v>
      </c>
      <c r="D1290" s="21">
        <f t="shared" ca="1" si="162"/>
        <v>44828</v>
      </c>
      <c r="E1290" s="1" t="s">
        <v>26</v>
      </c>
      <c r="F1290" s="1" t="s">
        <v>1318</v>
      </c>
      <c r="G1290" s="1" t="s">
        <v>28</v>
      </c>
      <c r="H1290" s="1">
        <v>1388</v>
      </c>
      <c r="I1290" s="1">
        <f t="shared" si="164"/>
        <v>38</v>
      </c>
      <c r="J1290" s="1">
        <f>VLOOKUP(B1290,Cena!$A$2:$B$101,2)</f>
        <v>109</v>
      </c>
      <c r="K1290" s="1">
        <f t="shared" si="160"/>
        <v>4142</v>
      </c>
      <c r="L1290" s="1">
        <f t="shared" si="165"/>
        <v>952.66000000000008</v>
      </c>
      <c r="M1290" s="22">
        <f t="shared" si="161"/>
        <v>5094.66</v>
      </c>
      <c r="N1290" s="1">
        <f t="shared" ca="1" si="166"/>
        <v>9</v>
      </c>
      <c r="P1290" s="1">
        <v>38.116292115591932</v>
      </c>
      <c r="Q1290" s="1">
        <f t="shared" ca="1" si="167"/>
        <v>1</v>
      </c>
      <c r="R1290" s="1">
        <v>10.614784312347183</v>
      </c>
    </row>
    <row r="1291" spans="1:18" x14ac:dyDescent="0.3">
      <c r="A1291" s="26">
        <v>1290</v>
      </c>
      <c r="B1291" s="1">
        <v>30</v>
      </c>
      <c r="C1291" s="1">
        <f t="shared" si="163"/>
        <v>6</v>
      </c>
      <c r="D1291" s="21">
        <f t="shared" ca="1" si="162"/>
        <v>44897</v>
      </c>
      <c r="E1291" s="1" t="s">
        <v>26</v>
      </c>
      <c r="F1291" s="1" t="s">
        <v>1319</v>
      </c>
      <c r="G1291" s="1" t="s">
        <v>28</v>
      </c>
      <c r="H1291" s="1">
        <v>1389</v>
      </c>
      <c r="I1291" s="1">
        <f t="shared" si="164"/>
        <v>49</v>
      </c>
      <c r="J1291" s="1">
        <f>VLOOKUP(B1291,Cena!$A$2:$B$101,2)</f>
        <v>87</v>
      </c>
      <c r="K1291" s="1">
        <f t="shared" si="160"/>
        <v>4263</v>
      </c>
      <c r="L1291" s="1">
        <f t="shared" si="165"/>
        <v>980.49</v>
      </c>
      <c r="M1291" s="22">
        <f t="shared" si="161"/>
        <v>5243.49</v>
      </c>
      <c r="N1291" s="1">
        <f t="shared" ca="1" si="166"/>
        <v>12</v>
      </c>
      <c r="P1291" s="1">
        <v>49.351223323174054</v>
      </c>
      <c r="Q1291" s="1">
        <f t="shared" ca="1" si="167"/>
        <v>5</v>
      </c>
      <c r="R1291" s="1">
        <v>6.7673488754371647</v>
      </c>
    </row>
    <row r="1292" spans="1:18" x14ac:dyDescent="0.3">
      <c r="A1292" s="26">
        <v>1291</v>
      </c>
      <c r="B1292" s="1">
        <v>7</v>
      </c>
      <c r="C1292" s="1">
        <f t="shared" si="163"/>
        <v>10</v>
      </c>
      <c r="D1292" s="21">
        <f t="shared" ca="1" si="162"/>
        <v>44615</v>
      </c>
      <c r="E1292" s="1" t="s">
        <v>26</v>
      </c>
      <c r="F1292" s="1" t="s">
        <v>1320</v>
      </c>
      <c r="G1292" s="1" t="s">
        <v>28</v>
      </c>
      <c r="H1292" s="1">
        <v>1390</v>
      </c>
      <c r="I1292" s="1">
        <f t="shared" si="164"/>
        <v>54</v>
      </c>
      <c r="J1292" s="1">
        <f>VLOOKUP(B1292,Cena!$A$2:$B$101,2)</f>
        <v>104</v>
      </c>
      <c r="K1292" s="1">
        <f t="shared" si="160"/>
        <v>5616</v>
      </c>
      <c r="L1292" s="1">
        <f t="shared" si="165"/>
        <v>1291.68</v>
      </c>
      <c r="M1292" s="22">
        <f t="shared" si="161"/>
        <v>6907.68</v>
      </c>
      <c r="N1292" s="1">
        <f t="shared" ca="1" si="166"/>
        <v>2</v>
      </c>
      <c r="P1292" s="1">
        <v>54.792036634171382</v>
      </c>
      <c r="Q1292" s="1">
        <f t="shared" ca="1" si="167"/>
        <v>29</v>
      </c>
      <c r="R1292" s="1">
        <v>10.09650875654188</v>
      </c>
    </row>
    <row r="1293" spans="1:18" x14ac:dyDescent="0.3">
      <c r="A1293" s="26">
        <v>1292</v>
      </c>
      <c r="B1293" s="1">
        <v>11</v>
      </c>
      <c r="C1293" s="1">
        <f t="shared" si="163"/>
        <v>13</v>
      </c>
      <c r="D1293" s="21">
        <f t="shared" ca="1" si="162"/>
        <v>44778</v>
      </c>
      <c r="E1293" s="1" t="s">
        <v>26</v>
      </c>
      <c r="F1293" s="1" t="s">
        <v>1321</v>
      </c>
      <c r="G1293" s="1" t="s">
        <v>28</v>
      </c>
      <c r="H1293" s="1">
        <v>1391</v>
      </c>
      <c r="I1293" s="1">
        <f t="shared" si="164"/>
        <v>40</v>
      </c>
      <c r="J1293" s="1">
        <f>VLOOKUP(B1293,Cena!$A$2:$B$101,2)</f>
        <v>83</v>
      </c>
      <c r="K1293" s="1">
        <f t="shared" si="160"/>
        <v>3320</v>
      </c>
      <c r="L1293" s="1">
        <f t="shared" si="165"/>
        <v>763.6</v>
      </c>
      <c r="M1293" s="22">
        <f t="shared" si="161"/>
        <v>4083.6</v>
      </c>
      <c r="N1293" s="1">
        <f t="shared" ca="1" si="166"/>
        <v>8</v>
      </c>
      <c r="P1293" s="1">
        <v>40.60044046927942</v>
      </c>
      <c r="Q1293" s="1">
        <f t="shared" ca="1" si="167"/>
        <v>9</v>
      </c>
      <c r="R1293" s="1">
        <v>13.109948920609895</v>
      </c>
    </row>
    <row r="1294" spans="1:18" x14ac:dyDescent="0.3">
      <c r="A1294" s="26">
        <v>1293</v>
      </c>
      <c r="B1294" s="1">
        <v>13</v>
      </c>
      <c r="C1294" s="1">
        <f t="shared" si="163"/>
        <v>7</v>
      </c>
      <c r="D1294" s="21">
        <f t="shared" ca="1" si="162"/>
        <v>44830</v>
      </c>
      <c r="E1294" s="1" t="s">
        <v>26</v>
      </c>
      <c r="F1294" s="1" t="s">
        <v>1322</v>
      </c>
      <c r="G1294" s="1" t="s">
        <v>28</v>
      </c>
      <c r="H1294" s="1">
        <v>1392</v>
      </c>
      <c r="I1294" s="1">
        <f t="shared" si="164"/>
        <v>68</v>
      </c>
      <c r="J1294" s="1">
        <f>VLOOKUP(B1294,Cena!$A$2:$B$101,2)</f>
        <v>94</v>
      </c>
      <c r="K1294" s="1">
        <f t="shared" si="160"/>
        <v>6392</v>
      </c>
      <c r="L1294" s="1">
        <f t="shared" si="165"/>
        <v>1470.16</v>
      </c>
      <c r="M1294" s="22">
        <f t="shared" si="161"/>
        <v>7862.16</v>
      </c>
      <c r="N1294" s="1">
        <f t="shared" ca="1" si="166"/>
        <v>9</v>
      </c>
      <c r="P1294" s="1">
        <v>68.166065274272114</v>
      </c>
      <c r="Q1294" s="1">
        <f t="shared" ca="1" si="167"/>
        <v>29</v>
      </c>
      <c r="R1294" s="1">
        <v>7.8892901708604768</v>
      </c>
    </row>
    <row r="1295" spans="1:18" x14ac:dyDescent="0.3">
      <c r="A1295" s="26">
        <v>1294</v>
      </c>
      <c r="B1295" s="1">
        <v>10</v>
      </c>
      <c r="C1295" s="1">
        <f t="shared" si="163"/>
        <v>9</v>
      </c>
      <c r="D1295" s="21">
        <f t="shared" ca="1" si="162"/>
        <v>44632</v>
      </c>
      <c r="E1295" s="1" t="s">
        <v>26</v>
      </c>
      <c r="F1295" s="1" t="s">
        <v>1323</v>
      </c>
      <c r="G1295" s="1" t="s">
        <v>28</v>
      </c>
      <c r="H1295" s="1">
        <v>1393</v>
      </c>
      <c r="I1295" s="1">
        <f t="shared" si="164"/>
        <v>48</v>
      </c>
      <c r="J1295" s="1">
        <f>VLOOKUP(B1295,Cena!$A$2:$B$101,2)</f>
        <v>109</v>
      </c>
      <c r="K1295" s="1">
        <f t="shared" si="160"/>
        <v>5232</v>
      </c>
      <c r="L1295" s="1">
        <f t="shared" si="165"/>
        <v>1203.3600000000001</v>
      </c>
      <c r="M1295" s="22">
        <f t="shared" si="161"/>
        <v>6435.3600000000006</v>
      </c>
      <c r="N1295" s="1">
        <f t="shared" ca="1" si="166"/>
        <v>3</v>
      </c>
      <c r="P1295" s="1">
        <v>48.827274794166442</v>
      </c>
      <c r="Q1295" s="1">
        <f t="shared" ca="1" si="167"/>
        <v>17</v>
      </c>
      <c r="R1295" s="1">
        <v>9.8362739006552147</v>
      </c>
    </row>
    <row r="1296" spans="1:18" x14ac:dyDescent="0.3">
      <c r="A1296" s="26">
        <v>1295</v>
      </c>
      <c r="B1296" s="1">
        <v>5</v>
      </c>
      <c r="C1296" s="1">
        <f t="shared" si="163"/>
        <v>5</v>
      </c>
      <c r="D1296" s="21">
        <f t="shared" ca="1" si="162"/>
        <v>44643</v>
      </c>
      <c r="E1296" s="1" t="s">
        <v>26</v>
      </c>
      <c r="F1296" s="1" t="s">
        <v>1324</v>
      </c>
      <c r="G1296" s="1" t="s">
        <v>28</v>
      </c>
      <c r="H1296" s="1">
        <v>1394</v>
      </c>
      <c r="I1296" s="1">
        <f t="shared" si="164"/>
        <v>68</v>
      </c>
      <c r="J1296" s="1">
        <f>VLOOKUP(B1296,Cena!$A$2:$B$101,2)</f>
        <v>91</v>
      </c>
      <c r="K1296" s="1">
        <f t="shared" si="160"/>
        <v>6188</v>
      </c>
      <c r="L1296" s="1">
        <f t="shared" si="165"/>
        <v>1423.24</v>
      </c>
      <c r="M1296" s="22">
        <f t="shared" si="161"/>
        <v>7611.24</v>
      </c>
      <c r="N1296" s="1">
        <f t="shared" ca="1" si="166"/>
        <v>3</v>
      </c>
      <c r="P1296" s="1">
        <v>68.511354937800206</v>
      </c>
      <c r="Q1296" s="1">
        <f t="shared" ca="1" si="167"/>
        <v>9</v>
      </c>
      <c r="R1296" s="1">
        <v>5.5676003082771786</v>
      </c>
    </row>
    <row r="1297" spans="1:18" x14ac:dyDescent="0.3">
      <c r="A1297" s="26">
        <v>1296</v>
      </c>
      <c r="B1297" s="1">
        <v>8</v>
      </c>
      <c r="C1297" s="1">
        <f t="shared" si="163"/>
        <v>11</v>
      </c>
      <c r="D1297" s="21">
        <f t="shared" ca="1" si="162"/>
        <v>44728</v>
      </c>
      <c r="E1297" s="1" t="s">
        <v>26</v>
      </c>
      <c r="F1297" s="1" t="s">
        <v>1325</v>
      </c>
      <c r="G1297" s="1" t="s">
        <v>28</v>
      </c>
      <c r="H1297" s="1">
        <v>1395</v>
      </c>
      <c r="I1297" s="1">
        <f t="shared" si="164"/>
        <v>44</v>
      </c>
      <c r="J1297" s="1">
        <f>VLOOKUP(B1297,Cena!$A$2:$B$101,2)</f>
        <v>88</v>
      </c>
      <c r="K1297" s="1">
        <f t="shared" si="160"/>
        <v>3872</v>
      </c>
      <c r="L1297" s="1">
        <f t="shared" si="165"/>
        <v>890.56000000000006</v>
      </c>
      <c r="M1297" s="22">
        <f t="shared" si="161"/>
        <v>4762.5600000000004</v>
      </c>
      <c r="N1297" s="1">
        <f t="shared" ca="1" si="166"/>
        <v>6</v>
      </c>
      <c r="P1297" s="1">
        <v>44.318955032213125</v>
      </c>
      <c r="Q1297" s="1">
        <f t="shared" ca="1" si="167"/>
        <v>6</v>
      </c>
      <c r="R1297" s="1">
        <v>11.948245653693448</v>
      </c>
    </row>
    <row r="1298" spans="1:18" x14ac:dyDescent="0.3">
      <c r="A1298" s="26">
        <v>1297</v>
      </c>
      <c r="B1298" s="1">
        <v>11</v>
      </c>
      <c r="C1298" s="1">
        <f t="shared" si="163"/>
        <v>13</v>
      </c>
      <c r="D1298" s="21">
        <f t="shared" ca="1" si="162"/>
        <v>44739</v>
      </c>
      <c r="E1298" s="1" t="s">
        <v>26</v>
      </c>
      <c r="F1298" s="1" t="s">
        <v>1326</v>
      </c>
      <c r="G1298" s="1" t="s">
        <v>28</v>
      </c>
      <c r="H1298" s="1">
        <v>1396</v>
      </c>
      <c r="I1298" s="1">
        <f t="shared" si="164"/>
        <v>60</v>
      </c>
      <c r="J1298" s="1">
        <f>VLOOKUP(B1298,Cena!$A$2:$B$101,2)</f>
        <v>83</v>
      </c>
      <c r="K1298" s="1">
        <f t="shared" si="160"/>
        <v>4980</v>
      </c>
      <c r="L1298" s="1">
        <f t="shared" si="165"/>
        <v>1145.4000000000001</v>
      </c>
      <c r="M1298" s="22">
        <f t="shared" si="161"/>
        <v>6125.4</v>
      </c>
      <c r="N1298" s="1">
        <f t="shared" ca="1" si="166"/>
        <v>6</v>
      </c>
      <c r="P1298" s="1">
        <v>60.905750968959183</v>
      </c>
      <c r="Q1298" s="1">
        <f t="shared" ca="1" si="167"/>
        <v>28</v>
      </c>
      <c r="R1298" s="1">
        <v>13.824754912784556</v>
      </c>
    </row>
    <row r="1299" spans="1:18" x14ac:dyDescent="0.3">
      <c r="A1299" s="26">
        <v>1298</v>
      </c>
      <c r="B1299" s="1">
        <v>24</v>
      </c>
      <c r="C1299" s="1">
        <f t="shared" si="163"/>
        <v>11</v>
      </c>
      <c r="D1299" s="21">
        <f t="shared" ca="1" si="162"/>
        <v>44882</v>
      </c>
      <c r="E1299" s="1" t="s">
        <v>26</v>
      </c>
      <c r="F1299" s="1" t="s">
        <v>1327</v>
      </c>
      <c r="G1299" s="1" t="s">
        <v>28</v>
      </c>
      <c r="H1299" s="1">
        <v>1397</v>
      </c>
      <c r="I1299" s="1">
        <f t="shared" si="164"/>
        <v>55</v>
      </c>
      <c r="J1299" s="1">
        <f>VLOOKUP(B1299,Cena!$A$2:$B$101,2)</f>
        <v>125</v>
      </c>
      <c r="K1299" s="1">
        <f t="shared" si="160"/>
        <v>6875</v>
      </c>
      <c r="L1299" s="1">
        <f t="shared" si="165"/>
        <v>1581.25</v>
      </c>
      <c r="M1299" s="22">
        <f t="shared" si="161"/>
        <v>8456.25</v>
      </c>
      <c r="N1299" s="1">
        <f t="shared" ca="1" si="166"/>
        <v>11</v>
      </c>
      <c r="P1299" s="1">
        <v>55.602123565040529</v>
      </c>
      <c r="Q1299" s="1">
        <f t="shared" ca="1" si="167"/>
        <v>7</v>
      </c>
      <c r="R1299" s="1">
        <v>11.469305743739824</v>
      </c>
    </row>
    <row r="1300" spans="1:18" x14ac:dyDescent="0.3">
      <c r="A1300" s="26">
        <v>1299</v>
      </c>
      <c r="B1300" s="1">
        <v>28</v>
      </c>
      <c r="C1300" s="1">
        <f t="shared" si="163"/>
        <v>13</v>
      </c>
      <c r="D1300" s="21">
        <f t="shared" ca="1" si="162"/>
        <v>44597</v>
      </c>
      <c r="E1300" s="1" t="s">
        <v>26</v>
      </c>
      <c r="F1300" s="1" t="s">
        <v>1328</v>
      </c>
      <c r="G1300" s="1" t="s">
        <v>28</v>
      </c>
      <c r="H1300" s="1">
        <v>1398</v>
      </c>
      <c r="I1300" s="1">
        <f t="shared" si="164"/>
        <v>47</v>
      </c>
      <c r="J1300" s="1">
        <f>VLOOKUP(B1300,Cena!$A$2:$B$101,2)</f>
        <v>59</v>
      </c>
      <c r="K1300" s="1">
        <f t="shared" si="160"/>
        <v>2773</v>
      </c>
      <c r="L1300" s="1">
        <f t="shared" si="165"/>
        <v>637.79000000000008</v>
      </c>
      <c r="M1300" s="22">
        <f t="shared" si="161"/>
        <v>3410.79</v>
      </c>
      <c r="N1300" s="1">
        <f t="shared" ca="1" si="166"/>
        <v>2</v>
      </c>
      <c r="P1300" s="1">
        <v>47.824556885461789</v>
      </c>
      <c r="Q1300" s="1">
        <f t="shared" ca="1" si="167"/>
        <v>22</v>
      </c>
      <c r="R1300" s="1">
        <v>13.077047949773259</v>
      </c>
    </row>
    <row r="1301" spans="1:18" x14ac:dyDescent="0.3">
      <c r="A1301" s="26">
        <v>1300</v>
      </c>
      <c r="B1301" s="1">
        <v>23</v>
      </c>
      <c r="C1301" s="1">
        <f t="shared" si="163"/>
        <v>10</v>
      </c>
      <c r="D1301" s="21">
        <f t="shared" ca="1" si="162"/>
        <v>44808</v>
      </c>
      <c r="E1301" s="1" t="s">
        <v>26</v>
      </c>
      <c r="F1301" s="1" t="s">
        <v>1329</v>
      </c>
      <c r="G1301" s="1" t="s">
        <v>28</v>
      </c>
      <c r="H1301" s="1">
        <v>1399</v>
      </c>
      <c r="I1301" s="1">
        <f t="shared" si="164"/>
        <v>34</v>
      </c>
      <c r="J1301" s="1">
        <f>VLOOKUP(B1301,Cena!$A$2:$B$101,2)</f>
        <v>132</v>
      </c>
      <c r="K1301" s="1">
        <f t="shared" si="160"/>
        <v>4488</v>
      </c>
      <c r="L1301" s="1">
        <f t="shared" si="165"/>
        <v>1032.24</v>
      </c>
      <c r="M1301" s="22">
        <f t="shared" si="161"/>
        <v>5520.24</v>
      </c>
      <c r="N1301" s="1">
        <f t="shared" ca="1" si="166"/>
        <v>9</v>
      </c>
      <c r="P1301" s="1">
        <v>34.54127307923045</v>
      </c>
      <c r="Q1301" s="1">
        <f t="shared" ca="1" si="167"/>
        <v>17</v>
      </c>
      <c r="R1301" s="1">
        <v>10.006215827852429</v>
      </c>
    </row>
    <row r="1302" spans="1:18" x14ac:dyDescent="0.3">
      <c r="A1302" s="26">
        <v>1301</v>
      </c>
      <c r="B1302" s="1">
        <v>11</v>
      </c>
      <c r="C1302" s="1">
        <f t="shared" si="163"/>
        <v>11</v>
      </c>
      <c r="D1302" s="21">
        <f t="shared" ca="1" si="162"/>
        <v>44684</v>
      </c>
      <c r="E1302" s="1" t="s">
        <v>26</v>
      </c>
      <c r="F1302" s="1" t="s">
        <v>1330</v>
      </c>
      <c r="G1302" s="1" t="s">
        <v>28</v>
      </c>
      <c r="H1302" s="1">
        <v>1400</v>
      </c>
      <c r="I1302" s="1">
        <f t="shared" si="164"/>
        <v>60</v>
      </c>
      <c r="J1302" s="1">
        <f>VLOOKUP(B1302,Cena!$A$2:$B$101,2)</f>
        <v>83</v>
      </c>
      <c r="K1302" s="1">
        <f t="shared" si="160"/>
        <v>4980</v>
      </c>
      <c r="L1302" s="1">
        <f t="shared" si="165"/>
        <v>1145.4000000000001</v>
      </c>
      <c r="M1302" s="22">
        <f t="shared" si="161"/>
        <v>6125.4</v>
      </c>
      <c r="N1302" s="1">
        <f t="shared" ca="1" si="166"/>
        <v>5</v>
      </c>
      <c r="P1302" s="1">
        <v>60.024814400821924</v>
      </c>
      <c r="Q1302" s="1">
        <f t="shared" ca="1" si="167"/>
        <v>30</v>
      </c>
      <c r="R1302" s="1">
        <v>11.736202648316976</v>
      </c>
    </row>
    <row r="1303" spans="1:18" x14ac:dyDescent="0.3">
      <c r="A1303" s="26">
        <v>1302</v>
      </c>
      <c r="B1303" s="1">
        <v>29</v>
      </c>
      <c r="C1303" s="1">
        <f t="shared" si="163"/>
        <v>13</v>
      </c>
      <c r="D1303" s="21">
        <f t="shared" ca="1" si="162"/>
        <v>44637</v>
      </c>
      <c r="E1303" s="1" t="s">
        <v>26</v>
      </c>
      <c r="F1303" s="1" t="s">
        <v>1331</v>
      </c>
      <c r="G1303" s="1" t="s">
        <v>28</v>
      </c>
      <c r="H1303" s="1">
        <v>1401</v>
      </c>
      <c r="I1303" s="1">
        <f t="shared" si="164"/>
        <v>62</v>
      </c>
      <c r="J1303" s="1">
        <f>VLOOKUP(B1303,Cena!$A$2:$B$101,2)</f>
        <v>105</v>
      </c>
      <c r="K1303" s="1">
        <f t="shared" si="160"/>
        <v>6510</v>
      </c>
      <c r="L1303" s="1">
        <f t="shared" si="165"/>
        <v>1497.3</v>
      </c>
      <c r="M1303" s="22">
        <f t="shared" si="161"/>
        <v>8007.3</v>
      </c>
      <c r="N1303" s="1">
        <f t="shared" ca="1" si="166"/>
        <v>3</v>
      </c>
      <c r="P1303" s="1">
        <v>62.70791472052224</v>
      </c>
      <c r="Q1303" s="1">
        <f t="shared" ca="1" si="167"/>
        <v>2</v>
      </c>
      <c r="R1303" s="1">
        <v>13.442903562245192</v>
      </c>
    </row>
    <row r="1304" spans="1:18" x14ac:dyDescent="0.3">
      <c r="A1304" s="26">
        <v>1303</v>
      </c>
      <c r="B1304" s="1">
        <v>13</v>
      </c>
      <c r="C1304" s="1">
        <f t="shared" si="163"/>
        <v>10</v>
      </c>
      <c r="D1304" s="21">
        <f t="shared" ca="1" si="162"/>
        <v>44612</v>
      </c>
      <c r="E1304" s="1" t="s">
        <v>26</v>
      </c>
      <c r="F1304" s="1" t="s">
        <v>1332</v>
      </c>
      <c r="G1304" s="1" t="s">
        <v>28</v>
      </c>
      <c r="H1304" s="1">
        <v>1402</v>
      </c>
      <c r="I1304" s="1">
        <f t="shared" si="164"/>
        <v>45</v>
      </c>
      <c r="J1304" s="1">
        <f>VLOOKUP(B1304,Cena!$A$2:$B$101,2)</f>
        <v>94</v>
      </c>
      <c r="K1304" s="1">
        <f t="shared" si="160"/>
        <v>4230</v>
      </c>
      <c r="L1304" s="1">
        <f t="shared" si="165"/>
        <v>972.90000000000009</v>
      </c>
      <c r="M1304" s="22">
        <f t="shared" si="161"/>
        <v>5202.8999999999996</v>
      </c>
      <c r="N1304" s="1">
        <f t="shared" ca="1" si="166"/>
        <v>2</v>
      </c>
      <c r="P1304" s="1">
        <v>45.757821125152986</v>
      </c>
      <c r="Q1304" s="1">
        <f t="shared" ca="1" si="167"/>
        <v>28</v>
      </c>
      <c r="R1304" s="1">
        <v>10.710861058905721</v>
      </c>
    </row>
    <row r="1305" spans="1:18" x14ac:dyDescent="0.3">
      <c r="A1305" s="26">
        <v>1304</v>
      </c>
      <c r="B1305" s="1">
        <v>13</v>
      </c>
      <c r="C1305" s="1">
        <f t="shared" si="163"/>
        <v>10</v>
      </c>
      <c r="D1305" s="21">
        <f t="shared" ca="1" si="162"/>
        <v>44817</v>
      </c>
      <c r="E1305" s="1" t="s">
        <v>26</v>
      </c>
      <c r="F1305" s="1" t="s">
        <v>1333</v>
      </c>
      <c r="G1305" s="1" t="s">
        <v>28</v>
      </c>
      <c r="H1305" s="1">
        <v>1403</v>
      </c>
      <c r="I1305" s="1">
        <f t="shared" si="164"/>
        <v>44</v>
      </c>
      <c r="J1305" s="1">
        <f>VLOOKUP(B1305,Cena!$A$2:$B$101,2)</f>
        <v>94</v>
      </c>
      <c r="K1305" s="1">
        <f t="shared" si="160"/>
        <v>4136</v>
      </c>
      <c r="L1305" s="1">
        <f t="shared" si="165"/>
        <v>951.28000000000009</v>
      </c>
      <c r="M1305" s="22">
        <f t="shared" si="161"/>
        <v>5087.28</v>
      </c>
      <c r="N1305" s="1">
        <f t="shared" ca="1" si="166"/>
        <v>9</v>
      </c>
      <c r="P1305" s="1">
        <v>44.6987600196735</v>
      </c>
      <c r="Q1305" s="1">
        <f t="shared" ca="1" si="167"/>
        <v>15</v>
      </c>
      <c r="R1305" s="1">
        <v>10.947756007008138</v>
      </c>
    </row>
    <row r="1306" spans="1:18" x14ac:dyDescent="0.3">
      <c r="A1306" s="26">
        <v>1305</v>
      </c>
      <c r="B1306" s="1">
        <v>9</v>
      </c>
      <c r="C1306" s="1">
        <f t="shared" si="163"/>
        <v>11</v>
      </c>
      <c r="D1306" s="21">
        <f t="shared" ca="1" si="162"/>
        <v>44733</v>
      </c>
      <c r="E1306" s="1" t="s">
        <v>26</v>
      </c>
      <c r="F1306" s="1" t="s">
        <v>1334</v>
      </c>
      <c r="G1306" s="1" t="s">
        <v>28</v>
      </c>
      <c r="H1306" s="1">
        <v>1404</v>
      </c>
      <c r="I1306" s="1">
        <f t="shared" si="164"/>
        <v>58</v>
      </c>
      <c r="J1306" s="1">
        <f>VLOOKUP(B1306,Cena!$A$2:$B$101,2)</f>
        <v>96</v>
      </c>
      <c r="K1306" s="1">
        <f t="shared" si="160"/>
        <v>5568</v>
      </c>
      <c r="L1306" s="1">
        <f t="shared" si="165"/>
        <v>1280.6400000000001</v>
      </c>
      <c r="M1306" s="22">
        <f t="shared" si="161"/>
        <v>6848.64</v>
      </c>
      <c r="N1306" s="1">
        <f t="shared" ca="1" si="166"/>
        <v>6</v>
      </c>
      <c r="P1306" s="1">
        <v>58.623396752227563</v>
      </c>
      <c r="Q1306" s="1">
        <f t="shared" ca="1" si="167"/>
        <v>7</v>
      </c>
      <c r="R1306" s="1">
        <v>11.484789891037508</v>
      </c>
    </row>
    <row r="1307" spans="1:18" x14ac:dyDescent="0.3">
      <c r="A1307" s="26">
        <v>1306</v>
      </c>
      <c r="B1307" s="1">
        <v>10</v>
      </c>
      <c r="C1307" s="1">
        <f t="shared" si="163"/>
        <v>11</v>
      </c>
      <c r="D1307" s="21">
        <f t="shared" ca="1" si="162"/>
        <v>44737</v>
      </c>
      <c r="E1307" s="1" t="s">
        <v>26</v>
      </c>
      <c r="F1307" s="1" t="s">
        <v>1335</v>
      </c>
      <c r="G1307" s="1" t="s">
        <v>28</v>
      </c>
      <c r="H1307" s="1">
        <v>1405</v>
      </c>
      <c r="I1307" s="1">
        <f t="shared" si="164"/>
        <v>65</v>
      </c>
      <c r="J1307" s="1">
        <f>VLOOKUP(B1307,Cena!$A$2:$B$101,2)</f>
        <v>109</v>
      </c>
      <c r="K1307" s="1">
        <f t="shared" si="160"/>
        <v>7085</v>
      </c>
      <c r="L1307" s="1">
        <f t="shared" si="165"/>
        <v>1629.5500000000002</v>
      </c>
      <c r="M1307" s="22">
        <f t="shared" si="161"/>
        <v>8714.5499999999993</v>
      </c>
      <c r="N1307" s="1">
        <f t="shared" ca="1" si="166"/>
        <v>6</v>
      </c>
      <c r="P1307" s="1">
        <v>65.383375284727663</v>
      </c>
      <c r="Q1307" s="1">
        <f t="shared" ca="1" si="167"/>
        <v>1</v>
      </c>
      <c r="R1307" s="1">
        <v>11.906795432660147</v>
      </c>
    </row>
    <row r="1308" spans="1:18" x14ac:dyDescent="0.3">
      <c r="A1308" s="26">
        <v>1307</v>
      </c>
      <c r="B1308" s="1">
        <v>9</v>
      </c>
      <c r="C1308" s="1">
        <f t="shared" si="163"/>
        <v>11</v>
      </c>
      <c r="D1308" s="21">
        <f t="shared" ca="1" si="162"/>
        <v>44860</v>
      </c>
      <c r="E1308" s="1" t="s">
        <v>26</v>
      </c>
      <c r="F1308" s="1" t="s">
        <v>1336</v>
      </c>
      <c r="G1308" s="1" t="s">
        <v>28</v>
      </c>
      <c r="H1308" s="1">
        <v>1406</v>
      </c>
      <c r="I1308" s="1">
        <f t="shared" si="164"/>
        <v>51</v>
      </c>
      <c r="J1308" s="1">
        <f>VLOOKUP(B1308,Cena!$A$2:$B$101,2)</f>
        <v>96</v>
      </c>
      <c r="K1308" s="1">
        <f t="shared" si="160"/>
        <v>4896</v>
      </c>
      <c r="L1308" s="1">
        <f t="shared" si="165"/>
        <v>1126.0800000000002</v>
      </c>
      <c r="M1308" s="22">
        <f t="shared" si="161"/>
        <v>6022.08</v>
      </c>
      <c r="N1308" s="1">
        <f t="shared" ca="1" si="166"/>
        <v>10</v>
      </c>
      <c r="P1308" s="1">
        <v>51.432727003702894</v>
      </c>
      <c r="Q1308" s="1">
        <f t="shared" ca="1" si="167"/>
        <v>3</v>
      </c>
      <c r="R1308" s="1">
        <v>11.910376568048378</v>
      </c>
    </row>
    <row r="1309" spans="1:18" x14ac:dyDescent="0.3">
      <c r="A1309" s="26">
        <v>1308</v>
      </c>
      <c r="B1309" s="1">
        <v>7</v>
      </c>
      <c r="C1309" s="1">
        <f t="shared" si="163"/>
        <v>11</v>
      </c>
      <c r="D1309" s="21">
        <f t="shared" ca="1" si="162"/>
        <v>44612</v>
      </c>
      <c r="E1309" s="1" t="s">
        <v>26</v>
      </c>
      <c r="F1309" s="1" t="s">
        <v>1337</v>
      </c>
      <c r="G1309" s="1" t="s">
        <v>28</v>
      </c>
      <c r="H1309" s="1">
        <v>1407</v>
      </c>
      <c r="I1309" s="1">
        <f t="shared" si="164"/>
        <v>41</v>
      </c>
      <c r="J1309" s="1">
        <f>VLOOKUP(B1309,Cena!$A$2:$B$101,2)</f>
        <v>104</v>
      </c>
      <c r="K1309" s="1">
        <f t="shared" si="160"/>
        <v>4264</v>
      </c>
      <c r="L1309" s="1">
        <f t="shared" si="165"/>
        <v>980.72</v>
      </c>
      <c r="M1309" s="22">
        <f t="shared" si="161"/>
        <v>5244.72</v>
      </c>
      <c r="N1309" s="1">
        <f t="shared" ca="1" si="166"/>
        <v>2</v>
      </c>
      <c r="P1309" s="1">
        <v>41.829372447682545</v>
      </c>
      <c r="Q1309" s="1">
        <f t="shared" ca="1" si="167"/>
        <v>22</v>
      </c>
      <c r="R1309" s="1">
        <v>11.911149638544885</v>
      </c>
    </row>
    <row r="1310" spans="1:18" x14ac:dyDescent="0.3">
      <c r="A1310" s="26">
        <v>1309</v>
      </c>
      <c r="B1310" s="1">
        <v>6</v>
      </c>
      <c r="C1310" s="1">
        <f t="shared" si="163"/>
        <v>12</v>
      </c>
      <c r="D1310" s="21">
        <f t="shared" ca="1" si="162"/>
        <v>44693</v>
      </c>
      <c r="E1310" s="1" t="s">
        <v>26</v>
      </c>
      <c r="F1310" s="1" t="s">
        <v>1338</v>
      </c>
      <c r="G1310" s="1" t="s">
        <v>28</v>
      </c>
      <c r="H1310" s="1">
        <v>1408</v>
      </c>
      <c r="I1310" s="1">
        <f t="shared" si="164"/>
        <v>51</v>
      </c>
      <c r="J1310" s="1">
        <f>VLOOKUP(B1310,Cena!$A$2:$B$101,2)</f>
        <v>86</v>
      </c>
      <c r="K1310" s="1">
        <f t="shared" si="160"/>
        <v>4386</v>
      </c>
      <c r="L1310" s="1">
        <f t="shared" si="165"/>
        <v>1008.7800000000001</v>
      </c>
      <c r="M1310" s="22">
        <f t="shared" si="161"/>
        <v>5394.78</v>
      </c>
      <c r="N1310" s="1">
        <f t="shared" ca="1" si="166"/>
        <v>5</v>
      </c>
      <c r="P1310" s="1">
        <v>51.858461473602802</v>
      </c>
      <c r="Q1310" s="1">
        <f t="shared" ca="1" si="167"/>
        <v>26</v>
      </c>
      <c r="R1310" s="1">
        <v>12.305347379660816</v>
      </c>
    </row>
    <row r="1311" spans="1:18" x14ac:dyDescent="0.3">
      <c r="A1311" s="26">
        <v>1310</v>
      </c>
      <c r="B1311" s="1">
        <v>18</v>
      </c>
      <c r="C1311" s="1">
        <f t="shared" si="163"/>
        <v>13</v>
      </c>
      <c r="D1311" s="21">
        <f t="shared" ca="1" si="162"/>
        <v>44917</v>
      </c>
      <c r="E1311" s="1" t="s">
        <v>26</v>
      </c>
      <c r="F1311" s="1" t="s">
        <v>1339</v>
      </c>
      <c r="G1311" s="1" t="s">
        <v>28</v>
      </c>
      <c r="H1311" s="1">
        <v>1409</v>
      </c>
      <c r="I1311" s="1">
        <f t="shared" si="164"/>
        <v>50</v>
      </c>
      <c r="J1311" s="1">
        <f>VLOOKUP(B1311,Cena!$A$2:$B$101,2)</f>
        <v>90</v>
      </c>
      <c r="K1311" s="1">
        <f t="shared" ref="K1311:K1374" si="168">I1311*J1311</f>
        <v>4500</v>
      </c>
      <c r="L1311" s="1">
        <f t="shared" si="165"/>
        <v>1035</v>
      </c>
      <c r="M1311" s="22">
        <f t="shared" ref="M1311:M1374" si="169">K1311+L1311</f>
        <v>5535</v>
      </c>
      <c r="N1311" s="1">
        <f t="shared" ca="1" si="166"/>
        <v>12</v>
      </c>
      <c r="P1311" s="1">
        <v>50.271984390565194</v>
      </c>
      <c r="Q1311" s="1">
        <f t="shared" ca="1" si="167"/>
        <v>20</v>
      </c>
      <c r="R1311" s="1">
        <v>13.376021595613565</v>
      </c>
    </row>
    <row r="1312" spans="1:18" x14ac:dyDescent="0.3">
      <c r="A1312" s="26">
        <v>1311</v>
      </c>
      <c r="B1312" s="1">
        <v>9</v>
      </c>
      <c r="C1312" s="1">
        <f t="shared" si="163"/>
        <v>9</v>
      </c>
      <c r="D1312" s="21">
        <f t="shared" ca="1" si="162"/>
        <v>44703</v>
      </c>
      <c r="E1312" s="1" t="s">
        <v>26</v>
      </c>
      <c r="F1312" s="1" t="s">
        <v>1340</v>
      </c>
      <c r="G1312" s="1" t="s">
        <v>28</v>
      </c>
      <c r="H1312" s="1">
        <v>1410</v>
      </c>
      <c r="I1312" s="1">
        <f t="shared" si="164"/>
        <v>38</v>
      </c>
      <c r="J1312" s="1">
        <f>VLOOKUP(B1312,Cena!$A$2:$B$101,2)</f>
        <v>96</v>
      </c>
      <c r="K1312" s="1">
        <f t="shared" si="168"/>
        <v>3648</v>
      </c>
      <c r="L1312" s="1">
        <f t="shared" si="165"/>
        <v>839.04000000000008</v>
      </c>
      <c r="M1312" s="22">
        <f t="shared" si="169"/>
        <v>4487.04</v>
      </c>
      <c r="N1312" s="1">
        <f t="shared" ca="1" si="166"/>
        <v>5</v>
      </c>
      <c r="P1312" s="1">
        <v>38.443141774041578</v>
      </c>
      <c r="Q1312" s="1">
        <f t="shared" ca="1" si="167"/>
        <v>15</v>
      </c>
      <c r="R1312" s="1">
        <v>9.4390890378781478</v>
      </c>
    </row>
    <row r="1313" spans="1:18" x14ac:dyDescent="0.3">
      <c r="A1313" s="26">
        <v>1312</v>
      </c>
      <c r="B1313" s="1">
        <v>8</v>
      </c>
      <c r="C1313" s="1">
        <f t="shared" si="163"/>
        <v>12</v>
      </c>
      <c r="D1313" s="21">
        <f t="shared" ca="1" si="162"/>
        <v>44886</v>
      </c>
      <c r="E1313" s="1" t="s">
        <v>26</v>
      </c>
      <c r="F1313" s="1" t="s">
        <v>1341</v>
      </c>
      <c r="G1313" s="1" t="s">
        <v>28</v>
      </c>
      <c r="H1313" s="1">
        <v>1411</v>
      </c>
      <c r="I1313" s="1">
        <f t="shared" si="164"/>
        <v>62</v>
      </c>
      <c r="J1313" s="1">
        <f>VLOOKUP(B1313,Cena!$A$2:$B$101,2)</f>
        <v>88</v>
      </c>
      <c r="K1313" s="1">
        <f t="shared" si="168"/>
        <v>5456</v>
      </c>
      <c r="L1313" s="1">
        <f t="shared" si="165"/>
        <v>1254.8800000000001</v>
      </c>
      <c r="M1313" s="22">
        <f t="shared" si="169"/>
        <v>6710.88</v>
      </c>
      <c r="N1313" s="1">
        <f t="shared" ca="1" si="166"/>
        <v>11</v>
      </c>
      <c r="P1313" s="1">
        <v>62.905957191833295</v>
      </c>
      <c r="Q1313" s="1">
        <f t="shared" ca="1" si="167"/>
        <v>4</v>
      </c>
      <c r="R1313" s="1">
        <v>12.101711515933857</v>
      </c>
    </row>
    <row r="1314" spans="1:18" x14ac:dyDescent="0.3">
      <c r="A1314" s="26">
        <v>1313</v>
      </c>
      <c r="B1314" s="1">
        <v>24</v>
      </c>
      <c r="C1314" s="1">
        <f t="shared" si="163"/>
        <v>13</v>
      </c>
      <c r="D1314" s="21">
        <f t="shared" ca="1" si="162"/>
        <v>44750</v>
      </c>
      <c r="E1314" s="1" t="s">
        <v>26</v>
      </c>
      <c r="F1314" s="1" t="s">
        <v>1342</v>
      </c>
      <c r="G1314" s="1" t="s">
        <v>28</v>
      </c>
      <c r="H1314" s="1">
        <v>1412</v>
      </c>
      <c r="I1314" s="1">
        <f t="shared" si="164"/>
        <v>51</v>
      </c>
      <c r="J1314" s="1">
        <f>VLOOKUP(B1314,Cena!$A$2:$B$101,2)</f>
        <v>125</v>
      </c>
      <c r="K1314" s="1">
        <f t="shared" si="168"/>
        <v>6375</v>
      </c>
      <c r="L1314" s="1">
        <f t="shared" si="165"/>
        <v>1466.25</v>
      </c>
      <c r="M1314" s="22">
        <f t="shared" si="169"/>
        <v>7841.25</v>
      </c>
      <c r="N1314" s="1">
        <f t="shared" ca="1" si="166"/>
        <v>7</v>
      </c>
      <c r="P1314" s="1">
        <v>51.19661081043887</v>
      </c>
      <c r="Q1314" s="1">
        <f t="shared" ca="1" si="167"/>
        <v>26</v>
      </c>
      <c r="R1314" s="1">
        <v>13.028281980732572</v>
      </c>
    </row>
    <row r="1315" spans="1:18" x14ac:dyDescent="0.3">
      <c r="A1315" s="26">
        <v>1314</v>
      </c>
      <c r="B1315" s="1">
        <v>10</v>
      </c>
      <c r="C1315" s="1">
        <f t="shared" si="163"/>
        <v>10</v>
      </c>
      <c r="D1315" s="21">
        <f t="shared" ca="1" si="162"/>
        <v>44570</v>
      </c>
      <c r="E1315" s="1" t="s">
        <v>26</v>
      </c>
      <c r="F1315" s="1" t="s">
        <v>1343</v>
      </c>
      <c r="G1315" s="1" t="s">
        <v>28</v>
      </c>
      <c r="H1315" s="1">
        <v>1413</v>
      </c>
      <c r="I1315" s="1">
        <f t="shared" si="164"/>
        <v>54</v>
      </c>
      <c r="J1315" s="1">
        <f>VLOOKUP(B1315,Cena!$A$2:$B$101,2)</f>
        <v>109</v>
      </c>
      <c r="K1315" s="1">
        <f t="shared" si="168"/>
        <v>5886</v>
      </c>
      <c r="L1315" s="1">
        <f t="shared" si="165"/>
        <v>1353.78</v>
      </c>
      <c r="M1315" s="22">
        <f t="shared" si="169"/>
        <v>7239.78</v>
      </c>
      <c r="N1315" s="1">
        <f t="shared" ca="1" si="166"/>
        <v>1</v>
      </c>
      <c r="P1315" s="1">
        <v>54.776597961608786</v>
      </c>
      <c r="Q1315" s="1">
        <f t="shared" ca="1" si="167"/>
        <v>25</v>
      </c>
      <c r="R1315" s="1">
        <v>10.763193952479924</v>
      </c>
    </row>
    <row r="1316" spans="1:18" x14ac:dyDescent="0.3">
      <c r="A1316" s="26">
        <v>1315</v>
      </c>
      <c r="B1316" s="1">
        <v>25</v>
      </c>
      <c r="C1316" s="1">
        <f t="shared" si="163"/>
        <v>11</v>
      </c>
      <c r="D1316" s="21">
        <f t="shared" ca="1" si="162"/>
        <v>44897</v>
      </c>
      <c r="E1316" s="1" t="s">
        <v>26</v>
      </c>
      <c r="F1316" s="1" t="s">
        <v>1344</v>
      </c>
      <c r="G1316" s="1" t="s">
        <v>28</v>
      </c>
      <c r="H1316" s="1">
        <v>1414</v>
      </c>
      <c r="I1316" s="1">
        <f t="shared" si="164"/>
        <v>50</v>
      </c>
      <c r="J1316" s="1">
        <f>VLOOKUP(B1316,Cena!$A$2:$B$101,2)</f>
        <v>108</v>
      </c>
      <c r="K1316" s="1">
        <f t="shared" si="168"/>
        <v>5400</v>
      </c>
      <c r="L1316" s="1">
        <f t="shared" si="165"/>
        <v>1242</v>
      </c>
      <c r="M1316" s="22">
        <f t="shared" si="169"/>
        <v>6642</v>
      </c>
      <c r="N1316" s="1">
        <f t="shared" ca="1" si="166"/>
        <v>12</v>
      </c>
      <c r="P1316" s="1">
        <v>50.499358066008426</v>
      </c>
      <c r="Q1316" s="1">
        <f t="shared" ca="1" si="167"/>
        <v>14</v>
      </c>
      <c r="R1316" s="1">
        <v>11.145286887549446</v>
      </c>
    </row>
    <row r="1317" spans="1:18" x14ac:dyDescent="0.3">
      <c r="A1317" s="26">
        <v>1316</v>
      </c>
      <c r="B1317" s="1">
        <v>3</v>
      </c>
      <c r="C1317" s="1">
        <f t="shared" si="163"/>
        <v>10</v>
      </c>
      <c r="D1317" s="21">
        <f t="shared" ca="1" si="162"/>
        <v>44655</v>
      </c>
      <c r="E1317" s="1" t="s">
        <v>26</v>
      </c>
      <c r="F1317" s="1" t="s">
        <v>1345</v>
      </c>
      <c r="G1317" s="1" t="s">
        <v>28</v>
      </c>
      <c r="H1317" s="1">
        <v>1415</v>
      </c>
      <c r="I1317" s="1">
        <f t="shared" si="164"/>
        <v>46</v>
      </c>
      <c r="J1317" s="1">
        <f>VLOOKUP(B1317,Cena!$A$2:$B$101,2)</f>
        <v>89</v>
      </c>
      <c r="K1317" s="1">
        <f t="shared" si="168"/>
        <v>4094</v>
      </c>
      <c r="L1317" s="1">
        <f t="shared" si="165"/>
        <v>941.62</v>
      </c>
      <c r="M1317" s="22">
        <f t="shared" si="169"/>
        <v>5035.62</v>
      </c>
      <c r="N1317" s="1">
        <f t="shared" ca="1" si="166"/>
        <v>4</v>
      </c>
      <c r="P1317" s="1">
        <v>46.934400314785307</v>
      </c>
      <c r="Q1317" s="1">
        <f t="shared" ca="1" si="167"/>
        <v>18</v>
      </c>
      <c r="R1317" s="1">
        <v>10.137669076138991</v>
      </c>
    </row>
    <row r="1318" spans="1:18" x14ac:dyDescent="0.3">
      <c r="A1318" s="26">
        <v>1317</v>
      </c>
      <c r="B1318" s="1">
        <v>28</v>
      </c>
      <c r="C1318" s="1">
        <f t="shared" si="163"/>
        <v>6</v>
      </c>
      <c r="D1318" s="21">
        <f t="shared" ca="1" si="162"/>
        <v>44756</v>
      </c>
      <c r="E1318" s="1" t="s">
        <v>26</v>
      </c>
      <c r="F1318" s="1" t="s">
        <v>1346</v>
      </c>
      <c r="G1318" s="1" t="s">
        <v>28</v>
      </c>
      <c r="H1318" s="1">
        <v>1416</v>
      </c>
      <c r="I1318" s="1">
        <f t="shared" si="164"/>
        <v>62</v>
      </c>
      <c r="J1318" s="1">
        <f>VLOOKUP(B1318,Cena!$A$2:$B$101,2)</f>
        <v>59</v>
      </c>
      <c r="K1318" s="1">
        <f t="shared" si="168"/>
        <v>3658</v>
      </c>
      <c r="L1318" s="1">
        <f t="shared" si="165"/>
        <v>841.34</v>
      </c>
      <c r="M1318" s="22">
        <f t="shared" si="169"/>
        <v>4499.34</v>
      </c>
      <c r="N1318" s="1">
        <f t="shared" ca="1" si="166"/>
        <v>7</v>
      </c>
      <c r="P1318" s="1">
        <v>62.317991604504641</v>
      </c>
      <c r="Q1318" s="1">
        <f t="shared" ca="1" si="167"/>
        <v>7</v>
      </c>
      <c r="R1318" s="1">
        <v>6.7593907967966516</v>
      </c>
    </row>
    <row r="1319" spans="1:18" x14ac:dyDescent="0.3">
      <c r="A1319" s="26">
        <v>1318</v>
      </c>
      <c r="B1319" s="1">
        <v>23</v>
      </c>
      <c r="C1319" s="1">
        <f t="shared" si="163"/>
        <v>6</v>
      </c>
      <c r="D1319" s="21">
        <f t="shared" ca="1" si="162"/>
        <v>44866</v>
      </c>
      <c r="E1319" s="1" t="s">
        <v>26</v>
      </c>
      <c r="F1319" s="1" t="s">
        <v>1347</v>
      </c>
      <c r="G1319" s="1" t="s">
        <v>28</v>
      </c>
      <c r="H1319" s="1">
        <v>1417</v>
      </c>
      <c r="I1319" s="1">
        <f t="shared" si="164"/>
        <v>75</v>
      </c>
      <c r="J1319" s="1">
        <f>VLOOKUP(B1319,Cena!$A$2:$B$101,2)</f>
        <v>132</v>
      </c>
      <c r="K1319" s="1">
        <f t="shared" si="168"/>
        <v>9900</v>
      </c>
      <c r="L1319" s="1">
        <f t="shared" si="165"/>
        <v>2277</v>
      </c>
      <c r="M1319" s="22">
        <f t="shared" si="169"/>
        <v>12177</v>
      </c>
      <c r="N1319" s="1">
        <f t="shared" ca="1" si="166"/>
        <v>11</v>
      </c>
      <c r="P1319" s="1">
        <v>75.949339033104479</v>
      </c>
      <c r="Q1319" s="1">
        <f t="shared" ca="1" si="167"/>
        <v>10</v>
      </c>
      <c r="R1319" s="1">
        <v>6.172778082836885</v>
      </c>
    </row>
    <row r="1320" spans="1:18" x14ac:dyDescent="0.3">
      <c r="A1320" s="26">
        <v>1319</v>
      </c>
      <c r="B1320" s="1">
        <v>20</v>
      </c>
      <c r="C1320" s="1">
        <f t="shared" si="163"/>
        <v>10</v>
      </c>
      <c r="D1320" s="21">
        <f t="shared" ca="1" si="162"/>
        <v>44584</v>
      </c>
      <c r="E1320" s="1" t="s">
        <v>26</v>
      </c>
      <c r="F1320" s="1" t="s">
        <v>1348</v>
      </c>
      <c r="G1320" s="1" t="s">
        <v>28</v>
      </c>
      <c r="H1320" s="1">
        <v>1418</v>
      </c>
      <c r="I1320" s="1">
        <f t="shared" si="164"/>
        <v>50</v>
      </c>
      <c r="J1320" s="1">
        <f>VLOOKUP(B1320,Cena!$A$2:$B$101,2)</f>
        <v>111</v>
      </c>
      <c r="K1320" s="1">
        <f t="shared" si="168"/>
        <v>5550</v>
      </c>
      <c r="L1320" s="1">
        <f t="shared" si="165"/>
        <v>1276.5</v>
      </c>
      <c r="M1320" s="22">
        <f t="shared" si="169"/>
        <v>6826.5</v>
      </c>
      <c r="N1320" s="1">
        <f t="shared" ca="1" si="166"/>
        <v>1</v>
      </c>
      <c r="P1320" s="1">
        <v>50.955765244725626</v>
      </c>
      <c r="Q1320" s="1">
        <f t="shared" ca="1" si="167"/>
        <v>9</v>
      </c>
      <c r="R1320" s="1">
        <v>10.063403149397345</v>
      </c>
    </row>
    <row r="1321" spans="1:18" x14ac:dyDescent="0.3">
      <c r="A1321" s="26">
        <v>1320</v>
      </c>
      <c r="B1321" s="1">
        <v>8</v>
      </c>
      <c r="C1321" s="1">
        <f t="shared" si="163"/>
        <v>9</v>
      </c>
      <c r="D1321" s="21">
        <f t="shared" ca="1" si="162"/>
        <v>44885</v>
      </c>
      <c r="E1321" s="1" t="s">
        <v>26</v>
      </c>
      <c r="F1321" s="1" t="s">
        <v>1349</v>
      </c>
      <c r="G1321" s="1" t="s">
        <v>28</v>
      </c>
      <c r="H1321" s="1">
        <v>1419</v>
      </c>
      <c r="I1321" s="1">
        <f t="shared" si="164"/>
        <v>50</v>
      </c>
      <c r="J1321" s="1">
        <f>VLOOKUP(B1321,Cena!$A$2:$B$101,2)</f>
        <v>88</v>
      </c>
      <c r="K1321" s="1">
        <f t="shared" si="168"/>
        <v>4400</v>
      </c>
      <c r="L1321" s="1">
        <f t="shared" si="165"/>
        <v>1012</v>
      </c>
      <c r="M1321" s="22">
        <f t="shared" si="169"/>
        <v>5412</v>
      </c>
      <c r="N1321" s="1">
        <f t="shared" ca="1" si="166"/>
        <v>11</v>
      </c>
      <c r="P1321" s="1">
        <v>50.746172190702055</v>
      </c>
      <c r="Q1321" s="1">
        <f t="shared" ca="1" si="167"/>
        <v>23</v>
      </c>
      <c r="R1321" s="1">
        <v>9.2325967923534336</v>
      </c>
    </row>
    <row r="1322" spans="1:18" x14ac:dyDescent="0.3">
      <c r="A1322" s="26">
        <v>1321</v>
      </c>
      <c r="B1322" s="1">
        <v>16</v>
      </c>
      <c r="C1322" s="1">
        <f t="shared" si="163"/>
        <v>13</v>
      </c>
      <c r="D1322" s="21">
        <f t="shared" ca="1" si="162"/>
        <v>44575</v>
      </c>
      <c r="E1322" s="1" t="s">
        <v>26</v>
      </c>
      <c r="F1322" s="1" t="s">
        <v>1350</v>
      </c>
      <c r="G1322" s="1" t="s">
        <v>28</v>
      </c>
      <c r="H1322" s="1">
        <v>1420</v>
      </c>
      <c r="I1322" s="1">
        <f t="shared" si="164"/>
        <v>53</v>
      </c>
      <c r="J1322" s="1">
        <f>VLOOKUP(B1322,Cena!$A$2:$B$101,2)</f>
        <v>93</v>
      </c>
      <c r="K1322" s="1">
        <f t="shared" si="168"/>
        <v>4929</v>
      </c>
      <c r="L1322" s="1">
        <f t="shared" si="165"/>
        <v>1133.67</v>
      </c>
      <c r="M1322" s="22">
        <f t="shared" si="169"/>
        <v>6062.67</v>
      </c>
      <c r="N1322" s="1">
        <f t="shared" ca="1" si="166"/>
        <v>1</v>
      </c>
      <c r="P1322" s="1">
        <v>53.404977633181261</v>
      </c>
      <c r="Q1322" s="1">
        <f t="shared" ca="1" si="167"/>
        <v>8</v>
      </c>
      <c r="R1322" s="1">
        <v>13.409161308809416</v>
      </c>
    </row>
    <row r="1323" spans="1:18" x14ac:dyDescent="0.3">
      <c r="A1323" s="26">
        <v>1322</v>
      </c>
      <c r="B1323" s="1">
        <v>11</v>
      </c>
      <c r="C1323" s="1">
        <f t="shared" si="163"/>
        <v>6</v>
      </c>
      <c r="D1323" s="21">
        <f t="shared" ca="1" si="162"/>
        <v>44642</v>
      </c>
      <c r="E1323" s="1" t="s">
        <v>26</v>
      </c>
      <c r="F1323" s="1" t="s">
        <v>1351</v>
      </c>
      <c r="G1323" s="1" t="s">
        <v>28</v>
      </c>
      <c r="H1323" s="1">
        <v>1421</v>
      </c>
      <c r="I1323" s="1">
        <f t="shared" si="164"/>
        <v>57</v>
      </c>
      <c r="J1323" s="1">
        <f>VLOOKUP(B1323,Cena!$A$2:$B$101,2)</f>
        <v>83</v>
      </c>
      <c r="K1323" s="1">
        <f t="shared" si="168"/>
        <v>4731</v>
      </c>
      <c r="L1323" s="1">
        <f t="shared" si="165"/>
        <v>1088.1300000000001</v>
      </c>
      <c r="M1323" s="22">
        <f t="shared" si="169"/>
        <v>5819.13</v>
      </c>
      <c r="N1323" s="1">
        <f t="shared" ca="1" si="166"/>
        <v>3</v>
      </c>
      <c r="P1323" s="1">
        <v>57.389883194264257</v>
      </c>
      <c r="Q1323" s="1">
        <f t="shared" ca="1" si="167"/>
        <v>7</v>
      </c>
      <c r="R1323" s="1">
        <v>6.107283095625462</v>
      </c>
    </row>
    <row r="1324" spans="1:18" x14ac:dyDescent="0.3">
      <c r="A1324" s="26">
        <v>1323</v>
      </c>
      <c r="B1324" s="1">
        <v>20</v>
      </c>
      <c r="C1324" s="1">
        <f t="shared" si="163"/>
        <v>9</v>
      </c>
      <c r="D1324" s="21">
        <f t="shared" ca="1" si="162"/>
        <v>44575</v>
      </c>
      <c r="E1324" s="1" t="s">
        <v>26</v>
      </c>
      <c r="F1324" s="1" t="s">
        <v>1352</v>
      </c>
      <c r="G1324" s="1" t="s">
        <v>28</v>
      </c>
      <c r="H1324" s="1">
        <v>1422</v>
      </c>
      <c r="I1324" s="1">
        <f t="shared" si="164"/>
        <v>49</v>
      </c>
      <c r="J1324" s="1">
        <f>VLOOKUP(B1324,Cena!$A$2:$B$101,2)</f>
        <v>111</v>
      </c>
      <c r="K1324" s="1">
        <f t="shared" si="168"/>
        <v>5439</v>
      </c>
      <c r="L1324" s="1">
        <f t="shared" si="165"/>
        <v>1250.97</v>
      </c>
      <c r="M1324" s="22">
        <f t="shared" si="169"/>
        <v>6689.97</v>
      </c>
      <c r="N1324" s="1">
        <f t="shared" ca="1" si="166"/>
        <v>1</v>
      </c>
      <c r="P1324" s="1">
        <v>49.205488165898714</v>
      </c>
      <c r="Q1324" s="1">
        <f t="shared" ca="1" si="167"/>
        <v>24</v>
      </c>
      <c r="R1324" s="1">
        <v>9.0318656273302622</v>
      </c>
    </row>
    <row r="1325" spans="1:18" x14ac:dyDescent="0.3">
      <c r="A1325" s="26">
        <v>1324</v>
      </c>
      <c r="B1325" s="1">
        <v>19</v>
      </c>
      <c r="C1325" s="1">
        <f t="shared" si="163"/>
        <v>12</v>
      </c>
      <c r="D1325" s="21">
        <f t="shared" ca="1" si="162"/>
        <v>44734</v>
      </c>
      <c r="E1325" s="1" t="s">
        <v>26</v>
      </c>
      <c r="F1325" s="1" t="s">
        <v>1353</v>
      </c>
      <c r="G1325" s="1" t="s">
        <v>28</v>
      </c>
      <c r="H1325" s="1">
        <v>1423</v>
      </c>
      <c r="I1325" s="1">
        <f t="shared" si="164"/>
        <v>41</v>
      </c>
      <c r="J1325" s="1">
        <f>VLOOKUP(B1325,Cena!$A$2:$B$101,2)</f>
        <v>84</v>
      </c>
      <c r="K1325" s="1">
        <f t="shared" si="168"/>
        <v>3444</v>
      </c>
      <c r="L1325" s="1">
        <f t="shared" si="165"/>
        <v>792.12</v>
      </c>
      <c r="M1325" s="22">
        <f t="shared" si="169"/>
        <v>4236.12</v>
      </c>
      <c r="N1325" s="1">
        <f t="shared" ca="1" si="166"/>
        <v>6</v>
      </c>
      <c r="P1325" s="1">
        <v>41.420895639748778</v>
      </c>
      <c r="Q1325" s="1">
        <f t="shared" ca="1" si="167"/>
        <v>9</v>
      </c>
      <c r="R1325" s="1">
        <v>12.873605353670428</v>
      </c>
    </row>
    <row r="1326" spans="1:18" x14ac:dyDescent="0.3">
      <c r="A1326" s="26">
        <v>1325</v>
      </c>
      <c r="B1326" s="1">
        <v>28</v>
      </c>
      <c r="C1326" s="1">
        <f t="shared" si="163"/>
        <v>12</v>
      </c>
      <c r="D1326" s="21">
        <f t="shared" ca="1" si="162"/>
        <v>44752</v>
      </c>
      <c r="E1326" s="1" t="s">
        <v>26</v>
      </c>
      <c r="F1326" s="1" t="s">
        <v>1354</v>
      </c>
      <c r="G1326" s="1" t="s">
        <v>28</v>
      </c>
      <c r="H1326" s="1">
        <v>1424</v>
      </c>
      <c r="I1326" s="1">
        <f t="shared" si="164"/>
        <v>52</v>
      </c>
      <c r="J1326" s="1">
        <f>VLOOKUP(B1326,Cena!$A$2:$B$101,2)</f>
        <v>59</v>
      </c>
      <c r="K1326" s="1">
        <f t="shared" si="168"/>
        <v>3068</v>
      </c>
      <c r="L1326" s="1">
        <f t="shared" si="165"/>
        <v>705.64</v>
      </c>
      <c r="M1326" s="22">
        <f t="shared" si="169"/>
        <v>3773.64</v>
      </c>
      <c r="N1326" s="1">
        <f t="shared" ca="1" si="166"/>
        <v>7</v>
      </c>
      <c r="P1326" s="1">
        <v>52.642480012582382</v>
      </c>
      <c r="Q1326" s="1">
        <f t="shared" ca="1" si="167"/>
        <v>5</v>
      </c>
      <c r="R1326" s="1">
        <v>12.97480937661021</v>
      </c>
    </row>
    <row r="1327" spans="1:18" x14ac:dyDescent="0.3">
      <c r="A1327" s="26">
        <v>1326</v>
      </c>
      <c r="B1327" s="1">
        <v>15</v>
      </c>
      <c r="C1327" s="1">
        <f t="shared" si="163"/>
        <v>8</v>
      </c>
      <c r="D1327" s="21">
        <f t="shared" ca="1" si="162"/>
        <v>44682</v>
      </c>
      <c r="E1327" s="1" t="s">
        <v>26</v>
      </c>
      <c r="F1327" s="1" t="s">
        <v>1355</v>
      </c>
      <c r="G1327" s="1" t="s">
        <v>28</v>
      </c>
      <c r="H1327" s="1">
        <v>1425</v>
      </c>
      <c r="I1327" s="1">
        <f t="shared" si="164"/>
        <v>65</v>
      </c>
      <c r="J1327" s="1">
        <f>VLOOKUP(B1327,Cena!$A$2:$B$101,2)</f>
        <v>85</v>
      </c>
      <c r="K1327" s="1">
        <f t="shared" si="168"/>
        <v>5525</v>
      </c>
      <c r="L1327" s="1">
        <f t="shared" si="165"/>
        <v>1270.75</v>
      </c>
      <c r="M1327" s="22">
        <f t="shared" si="169"/>
        <v>6795.75</v>
      </c>
      <c r="N1327" s="1">
        <f t="shared" ca="1" si="166"/>
        <v>5</v>
      </c>
      <c r="P1327" s="1">
        <v>65.489149518543854</v>
      </c>
      <c r="Q1327" s="1">
        <f t="shared" ca="1" si="167"/>
        <v>4</v>
      </c>
      <c r="R1327" s="1">
        <v>8.7113085353485076</v>
      </c>
    </row>
    <row r="1328" spans="1:18" x14ac:dyDescent="0.3">
      <c r="A1328" s="26">
        <v>1327</v>
      </c>
      <c r="B1328" s="1">
        <v>25</v>
      </c>
      <c r="C1328" s="1">
        <f t="shared" si="163"/>
        <v>10</v>
      </c>
      <c r="D1328" s="21">
        <f t="shared" ca="1" si="162"/>
        <v>44859</v>
      </c>
      <c r="E1328" s="1" t="s">
        <v>26</v>
      </c>
      <c r="F1328" s="1" t="s">
        <v>1356</v>
      </c>
      <c r="G1328" s="1" t="s">
        <v>28</v>
      </c>
      <c r="H1328" s="1">
        <v>1426</v>
      </c>
      <c r="I1328" s="1">
        <f t="shared" si="164"/>
        <v>56</v>
      </c>
      <c r="J1328" s="1">
        <f>VLOOKUP(B1328,Cena!$A$2:$B$101,2)</f>
        <v>108</v>
      </c>
      <c r="K1328" s="1">
        <f t="shared" si="168"/>
        <v>6048</v>
      </c>
      <c r="L1328" s="1">
        <f t="shared" si="165"/>
        <v>1391.04</v>
      </c>
      <c r="M1328" s="22">
        <f t="shared" si="169"/>
        <v>7439.04</v>
      </c>
      <c r="N1328" s="1">
        <f t="shared" ca="1" si="166"/>
        <v>10</v>
      </c>
      <c r="P1328" s="1">
        <v>56.919515271874843</v>
      </c>
      <c r="Q1328" s="1">
        <f t="shared" ca="1" si="167"/>
        <v>19</v>
      </c>
      <c r="R1328" s="1">
        <v>10.715044734533876</v>
      </c>
    </row>
    <row r="1329" spans="1:18" x14ac:dyDescent="0.3">
      <c r="A1329" s="26">
        <v>1328</v>
      </c>
      <c r="B1329" s="1">
        <v>26</v>
      </c>
      <c r="C1329" s="1">
        <f t="shared" si="163"/>
        <v>11</v>
      </c>
      <c r="D1329" s="21">
        <f t="shared" ca="1" si="162"/>
        <v>44747</v>
      </c>
      <c r="E1329" s="1" t="s">
        <v>26</v>
      </c>
      <c r="F1329" s="1" t="s">
        <v>1357</v>
      </c>
      <c r="G1329" s="1" t="s">
        <v>28</v>
      </c>
      <c r="H1329" s="1">
        <v>1427</v>
      </c>
      <c r="I1329" s="1">
        <f t="shared" si="164"/>
        <v>59</v>
      </c>
      <c r="J1329" s="1">
        <f>VLOOKUP(B1329,Cena!$A$2:$B$101,2)</f>
        <v>99</v>
      </c>
      <c r="K1329" s="1">
        <f t="shared" si="168"/>
        <v>5841</v>
      </c>
      <c r="L1329" s="1">
        <f t="shared" si="165"/>
        <v>1343.43</v>
      </c>
      <c r="M1329" s="22">
        <f t="shared" si="169"/>
        <v>7184.43</v>
      </c>
      <c r="N1329" s="1">
        <f t="shared" ca="1" si="166"/>
        <v>7</v>
      </c>
      <c r="P1329" s="1">
        <v>59.394807420903817</v>
      </c>
      <c r="Q1329" s="1">
        <f t="shared" ca="1" si="167"/>
        <v>21</v>
      </c>
      <c r="R1329" s="1">
        <v>11.789663883755566</v>
      </c>
    </row>
    <row r="1330" spans="1:18" x14ac:dyDescent="0.3">
      <c r="A1330" s="26">
        <v>1329</v>
      </c>
      <c r="B1330" s="1">
        <v>29</v>
      </c>
      <c r="C1330" s="1">
        <f t="shared" si="163"/>
        <v>7</v>
      </c>
      <c r="D1330" s="21">
        <f t="shared" ca="1" si="162"/>
        <v>44796</v>
      </c>
      <c r="E1330" s="1" t="s">
        <v>26</v>
      </c>
      <c r="F1330" s="1" t="s">
        <v>1358</v>
      </c>
      <c r="G1330" s="1" t="s">
        <v>28</v>
      </c>
      <c r="H1330" s="1">
        <v>1428</v>
      </c>
      <c r="I1330" s="1">
        <f t="shared" si="164"/>
        <v>52</v>
      </c>
      <c r="J1330" s="1">
        <f>VLOOKUP(B1330,Cena!$A$2:$B$101,2)</f>
        <v>105</v>
      </c>
      <c r="K1330" s="1">
        <f t="shared" si="168"/>
        <v>5460</v>
      </c>
      <c r="L1330" s="1">
        <f t="shared" si="165"/>
        <v>1255.8</v>
      </c>
      <c r="M1330" s="22">
        <f t="shared" si="169"/>
        <v>6715.8</v>
      </c>
      <c r="N1330" s="1">
        <f t="shared" ca="1" si="166"/>
        <v>8</v>
      </c>
      <c r="P1330" s="1">
        <v>52.641684204718331</v>
      </c>
      <c r="Q1330" s="1">
        <f t="shared" ca="1" si="167"/>
        <v>17</v>
      </c>
      <c r="R1330" s="1">
        <v>7.9836616148531903</v>
      </c>
    </row>
    <row r="1331" spans="1:18" x14ac:dyDescent="0.3">
      <c r="A1331" s="26">
        <v>1330</v>
      </c>
      <c r="B1331" s="1">
        <v>2</v>
      </c>
      <c r="C1331" s="1">
        <f t="shared" si="163"/>
        <v>8</v>
      </c>
      <c r="D1331" s="21">
        <f t="shared" ca="1" si="162"/>
        <v>44672</v>
      </c>
      <c r="E1331" s="1" t="s">
        <v>26</v>
      </c>
      <c r="F1331" s="1" t="s">
        <v>1359</v>
      </c>
      <c r="G1331" s="1" t="s">
        <v>28</v>
      </c>
      <c r="H1331" s="1">
        <v>1429</v>
      </c>
      <c r="I1331" s="1">
        <f t="shared" si="164"/>
        <v>39</v>
      </c>
      <c r="J1331" s="1">
        <f>VLOOKUP(B1331,Cena!$A$2:$B$101,2)</f>
        <v>121</v>
      </c>
      <c r="K1331" s="1">
        <f t="shared" si="168"/>
        <v>4719</v>
      </c>
      <c r="L1331" s="1">
        <f t="shared" si="165"/>
        <v>1085.3700000000001</v>
      </c>
      <c r="M1331" s="22">
        <f t="shared" si="169"/>
        <v>5804.37</v>
      </c>
      <c r="N1331" s="1">
        <f t="shared" ca="1" si="166"/>
        <v>4</v>
      </c>
      <c r="P1331" s="1">
        <v>39.847924553032499</v>
      </c>
      <c r="Q1331" s="1">
        <f t="shared" ca="1" si="167"/>
        <v>7</v>
      </c>
      <c r="R1331" s="1">
        <v>8.4792395935073728</v>
      </c>
    </row>
    <row r="1332" spans="1:18" x14ac:dyDescent="0.3">
      <c r="A1332" s="26">
        <v>1331</v>
      </c>
      <c r="B1332" s="1">
        <v>25</v>
      </c>
      <c r="C1332" s="1">
        <f t="shared" si="163"/>
        <v>6</v>
      </c>
      <c r="D1332" s="21">
        <f t="shared" ca="1" si="162"/>
        <v>44875</v>
      </c>
      <c r="E1332" s="1" t="s">
        <v>26</v>
      </c>
      <c r="F1332" s="1" t="s">
        <v>1360</v>
      </c>
      <c r="G1332" s="1" t="s">
        <v>28</v>
      </c>
      <c r="H1332" s="1">
        <v>1430</v>
      </c>
      <c r="I1332" s="1">
        <f t="shared" si="164"/>
        <v>57</v>
      </c>
      <c r="J1332" s="1">
        <f>VLOOKUP(B1332,Cena!$A$2:$B$101,2)</f>
        <v>108</v>
      </c>
      <c r="K1332" s="1">
        <f t="shared" si="168"/>
        <v>6156</v>
      </c>
      <c r="L1332" s="1">
        <f t="shared" si="165"/>
        <v>1415.88</v>
      </c>
      <c r="M1332" s="22">
        <f t="shared" si="169"/>
        <v>7571.88</v>
      </c>
      <c r="N1332" s="1">
        <f t="shared" ca="1" si="166"/>
        <v>11</v>
      </c>
      <c r="P1332" s="1">
        <v>57.85114480095217</v>
      </c>
      <c r="Q1332" s="1">
        <f t="shared" ca="1" si="167"/>
        <v>30</v>
      </c>
      <c r="R1332" s="1">
        <v>6.6125187711440958</v>
      </c>
    </row>
    <row r="1333" spans="1:18" x14ac:dyDescent="0.3">
      <c r="A1333" s="26">
        <v>1332</v>
      </c>
      <c r="B1333" s="1">
        <v>12</v>
      </c>
      <c r="C1333" s="1">
        <f t="shared" si="163"/>
        <v>10</v>
      </c>
      <c r="D1333" s="21">
        <f t="shared" ca="1" si="162"/>
        <v>44891</v>
      </c>
      <c r="E1333" s="1" t="s">
        <v>26</v>
      </c>
      <c r="F1333" s="1" t="s">
        <v>1361</v>
      </c>
      <c r="G1333" s="1" t="s">
        <v>28</v>
      </c>
      <c r="H1333" s="1">
        <v>1431</v>
      </c>
      <c r="I1333" s="1">
        <f t="shared" si="164"/>
        <v>56</v>
      </c>
      <c r="J1333" s="1">
        <f>VLOOKUP(B1333,Cena!$A$2:$B$101,2)</f>
        <v>88</v>
      </c>
      <c r="K1333" s="1">
        <f t="shared" si="168"/>
        <v>4928</v>
      </c>
      <c r="L1333" s="1">
        <f t="shared" si="165"/>
        <v>1133.44</v>
      </c>
      <c r="M1333" s="22">
        <f t="shared" si="169"/>
        <v>6061.4400000000005</v>
      </c>
      <c r="N1333" s="1">
        <f t="shared" ca="1" si="166"/>
        <v>11</v>
      </c>
      <c r="P1333" s="1">
        <v>56.693835530313663</v>
      </c>
      <c r="Q1333" s="1">
        <f t="shared" ca="1" si="167"/>
        <v>26</v>
      </c>
      <c r="R1333" s="1">
        <v>10.069525185608654</v>
      </c>
    </row>
    <row r="1334" spans="1:18" x14ac:dyDescent="0.3">
      <c r="A1334" s="26">
        <v>1333</v>
      </c>
      <c r="B1334" s="1">
        <v>14</v>
      </c>
      <c r="C1334" s="1">
        <f t="shared" si="163"/>
        <v>10</v>
      </c>
      <c r="D1334" s="21">
        <f t="shared" ca="1" si="162"/>
        <v>44595</v>
      </c>
      <c r="E1334" s="1" t="s">
        <v>26</v>
      </c>
      <c r="F1334" s="1" t="s">
        <v>1362</v>
      </c>
      <c r="G1334" s="1" t="s">
        <v>28</v>
      </c>
      <c r="H1334" s="1">
        <v>1432</v>
      </c>
      <c r="I1334" s="1">
        <f t="shared" si="164"/>
        <v>55</v>
      </c>
      <c r="J1334" s="1">
        <f>VLOOKUP(B1334,Cena!$A$2:$B$101,2)</f>
        <v>129</v>
      </c>
      <c r="K1334" s="1">
        <f t="shared" si="168"/>
        <v>7095</v>
      </c>
      <c r="L1334" s="1">
        <f t="shared" si="165"/>
        <v>1631.8500000000001</v>
      </c>
      <c r="M1334" s="22">
        <f t="shared" si="169"/>
        <v>8726.85</v>
      </c>
      <c r="N1334" s="1">
        <f t="shared" ca="1" si="166"/>
        <v>2</v>
      </c>
      <c r="P1334" s="1">
        <v>55.751303433498833</v>
      </c>
      <c r="Q1334" s="1">
        <f t="shared" ca="1" si="167"/>
        <v>14</v>
      </c>
      <c r="R1334" s="1">
        <v>10.008893152880773</v>
      </c>
    </row>
    <row r="1335" spans="1:18" x14ac:dyDescent="0.3">
      <c r="A1335" s="26">
        <v>1334</v>
      </c>
      <c r="B1335" s="1">
        <v>2</v>
      </c>
      <c r="C1335" s="1">
        <f t="shared" si="163"/>
        <v>10</v>
      </c>
      <c r="D1335" s="21">
        <f t="shared" ca="1" si="162"/>
        <v>44734</v>
      </c>
      <c r="E1335" s="1" t="s">
        <v>26</v>
      </c>
      <c r="F1335" s="1" t="s">
        <v>1363</v>
      </c>
      <c r="G1335" s="1" t="s">
        <v>28</v>
      </c>
      <c r="H1335" s="1">
        <v>1433</v>
      </c>
      <c r="I1335" s="1">
        <f t="shared" si="164"/>
        <v>49</v>
      </c>
      <c r="J1335" s="1">
        <f>VLOOKUP(B1335,Cena!$A$2:$B$101,2)</f>
        <v>121</v>
      </c>
      <c r="K1335" s="1">
        <f t="shared" si="168"/>
        <v>5929</v>
      </c>
      <c r="L1335" s="1">
        <f t="shared" si="165"/>
        <v>1363.67</v>
      </c>
      <c r="M1335" s="22">
        <f t="shared" si="169"/>
        <v>7292.67</v>
      </c>
      <c r="N1335" s="1">
        <f t="shared" ca="1" si="166"/>
        <v>6</v>
      </c>
      <c r="P1335" s="1">
        <v>49.387250682048034</v>
      </c>
      <c r="Q1335" s="1">
        <f t="shared" ca="1" si="167"/>
        <v>6</v>
      </c>
      <c r="R1335" s="1">
        <v>10.762594254410942</v>
      </c>
    </row>
    <row r="1336" spans="1:18" x14ac:dyDescent="0.3">
      <c r="A1336" s="26">
        <v>1335</v>
      </c>
      <c r="B1336" s="1">
        <v>19</v>
      </c>
      <c r="C1336" s="1">
        <f t="shared" si="163"/>
        <v>12</v>
      </c>
      <c r="D1336" s="21">
        <f t="shared" ca="1" si="162"/>
        <v>44595</v>
      </c>
      <c r="E1336" s="1" t="s">
        <v>26</v>
      </c>
      <c r="F1336" s="1" t="s">
        <v>1364</v>
      </c>
      <c r="G1336" s="1" t="s">
        <v>28</v>
      </c>
      <c r="H1336" s="1">
        <v>1434</v>
      </c>
      <c r="I1336" s="1">
        <f t="shared" si="164"/>
        <v>65</v>
      </c>
      <c r="J1336" s="1">
        <f>VLOOKUP(B1336,Cena!$A$2:$B$101,2)</f>
        <v>84</v>
      </c>
      <c r="K1336" s="1">
        <f t="shared" si="168"/>
        <v>5460</v>
      </c>
      <c r="L1336" s="1">
        <f t="shared" si="165"/>
        <v>1255.8</v>
      </c>
      <c r="M1336" s="22">
        <f t="shared" si="169"/>
        <v>6715.8</v>
      </c>
      <c r="N1336" s="1">
        <f t="shared" ca="1" si="166"/>
        <v>2</v>
      </c>
      <c r="P1336" s="1">
        <v>65.979685485945083</v>
      </c>
      <c r="Q1336" s="1">
        <f t="shared" ca="1" si="167"/>
        <v>9</v>
      </c>
      <c r="R1336" s="1">
        <v>12.996659986820305</v>
      </c>
    </row>
    <row r="1337" spans="1:18" x14ac:dyDescent="0.3">
      <c r="A1337" s="26">
        <v>1336</v>
      </c>
      <c r="B1337" s="1">
        <v>12</v>
      </c>
      <c r="C1337" s="1">
        <f t="shared" si="163"/>
        <v>6</v>
      </c>
      <c r="D1337" s="21">
        <f t="shared" ca="1" si="162"/>
        <v>44584</v>
      </c>
      <c r="E1337" s="1" t="s">
        <v>26</v>
      </c>
      <c r="F1337" s="1" t="s">
        <v>1365</v>
      </c>
      <c r="G1337" s="1" t="s">
        <v>28</v>
      </c>
      <c r="H1337" s="1">
        <v>1435</v>
      </c>
      <c r="I1337" s="1">
        <f t="shared" si="164"/>
        <v>52</v>
      </c>
      <c r="J1337" s="1">
        <f>VLOOKUP(B1337,Cena!$A$2:$B$101,2)</f>
        <v>88</v>
      </c>
      <c r="K1337" s="1">
        <f t="shared" si="168"/>
        <v>4576</v>
      </c>
      <c r="L1337" s="1">
        <f t="shared" si="165"/>
        <v>1052.48</v>
      </c>
      <c r="M1337" s="22">
        <f t="shared" si="169"/>
        <v>5628.48</v>
      </c>
      <c r="N1337" s="1">
        <f t="shared" ca="1" si="166"/>
        <v>1</v>
      </c>
      <c r="P1337" s="1">
        <v>52.167610091419192</v>
      </c>
      <c r="Q1337" s="1">
        <f t="shared" ca="1" si="167"/>
        <v>1</v>
      </c>
      <c r="R1337" s="1">
        <v>6.2226411298615858</v>
      </c>
    </row>
    <row r="1338" spans="1:18" x14ac:dyDescent="0.3">
      <c r="A1338" s="26">
        <v>1337</v>
      </c>
      <c r="B1338" s="1">
        <v>26</v>
      </c>
      <c r="C1338" s="1">
        <f t="shared" si="163"/>
        <v>10</v>
      </c>
      <c r="D1338" s="21">
        <f t="shared" ca="1" si="162"/>
        <v>44700</v>
      </c>
      <c r="E1338" s="1" t="s">
        <v>26</v>
      </c>
      <c r="F1338" s="1" t="s">
        <v>1366</v>
      </c>
      <c r="G1338" s="1" t="s">
        <v>28</v>
      </c>
      <c r="H1338" s="1">
        <v>1436</v>
      </c>
      <c r="I1338" s="1">
        <f t="shared" si="164"/>
        <v>40</v>
      </c>
      <c r="J1338" s="1">
        <f>VLOOKUP(B1338,Cena!$A$2:$B$101,2)</f>
        <v>99</v>
      </c>
      <c r="K1338" s="1">
        <f t="shared" si="168"/>
        <v>3960</v>
      </c>
      <c r="L1338" s="1">
        <f t="shared" si="165"/>
        <v>910.80000000000007</v>
      </c>
      <c r="M1338" s="22">
        <f t="shared" si="169"/>
        <v>4870.8</v>
      </c>
      <c r="N1338" s="1">
        <f t="shared" ca="1" si="166"/>
        <v>5</v>
      </c>
      <c r="P1338" s="1">
        <v>40.608762345800642</v>
      </c>
      <c r="Q1338" s="1">
        <f t="shared" ca="1" si="167"/>
        <v>8</v>
      </c>
      <c r="R1338" s="1">
        <v>10.574846126255579</v>
      </c>
    </row>
    <row r="1339" spans="1:18" x14ac:dyDescent="0.3">
      <c r="A1339" s="26">
        <v>1338</v>
      </c>
      <c r="B1339" s="1">
        <v>6</v>
      </c>
      <c r="C1339" s="1">
        <f t="shared" si="163"/>
        <v>8</v>
      </c>
      <c r="D1339" s="21">
        <f t="shared" ca="1" si="162"/>
        <v>44699</v>
      </c>
      <c r="E1339" s="1" t="s">
        <v>26</v>
      </c>
      <c r="F1339" s="1" t="s">
        <v>1367</v>
      </c>
      <c r="G1339" s="1" t="s">
        <v>28</v>
      </c>
      <c r="H1339" s="1">
        <v>1437</v>
      </c>
      <c r="I1339" s="1">
        <f t="shared" si="164"/>
        <v>47</v>
      </c>
      <c r="J1339" s="1">
        <f>VLOOKUP(B1339,Cena!$A$2:$B$101,2)</f>
        <v>86</v>
      </c>
      <c r="K1339" s="1">
        <f t="shared" si="168"/>
        <v>4042</v>
      </c>
      <c r="L1339" s="1">
        <f t="shared" si="165"/>
        <v>929.66000000000008</v>
      </c>
      <c r="M1339" s="22">
        <f t="shared" si="169"/>
        <v>4971.66</v>
      </c>
      <c r="N1339" s="1">
        <f t="shared" ca="1" si="166"/>
        <v>5</v>
      </c>
      <c r="P1339" s="1">
        <v>47.592090039688628</v>
      </c>
      <c r="Q1339" s="1">
        <f t="shared" ca="1" si="167"/>
        <v>8</v>
      </c>
      <c r="R1339" s="1">
        <v>8.9001935318810865</v>
      </c>
    </row>
    <row r="1340" spans="1:18" x14ac:dyDescent="0.3">
      <c r="A1340" s="26">
        <v>1339</v>
      </c>
      <c r="B1340" s="1">
        <v>4</v>
      </c>
      <c r="C1340" s="1">
        <f t="shared" si="163"/>
        <v>6</v>
      </c>
      <c r="D1340" s="21">
        <f t="shared" ca="1" si="162"/>
        <v>44779</v>
      </c>
      <c r="E1340" s="1" t="s">
        <v>26</v>
      </c>
      <c r="F1340" s="1" t="s">
        <v>1368</v>
      </c>
      <c r="G1340" s="1" t="s">
        <v>28</v>
      </c>
      <c r="H1340" s="1">
        <v>1438</v>
      </c>
      <c r="I1340" s="1">
        <f t="shared" si="164"/>
        <v>53</v>
      </c>
      <c r="J1340" s="1">
        <f>VLOOKUP(B1340,Cena!$A$2:$B$101,2)</f>
        <v>99</v>
      </c>
      <c r="K1340" s="1">
        <f t="shared" si="168"/>
        <v>5247</v>
      </c>
      <c r="L1340" s="1">
        <f t="shared" si="165"/>
        <v>1206.81</v>
      </c>
      <c r="M1340" s="22">
        <f t="shared" si="169"/>
        <v>6453.8099999999995</v>
      </c>
      <c r="N1340" s="1">
        <f t="shared" ca="1" si="166"/>
        <v>8</v>
      </c>
      <c r="P1340" s="1">
        <v>53.738477971637622</v>
      </c>
      <c r="Q1340" s="1">
        <f t="shared" ca="1" si="167"/>
        <v>5</v>
      </c>
      <c r="R1340" s="1">
        <v>6.9172336022893433</v>
      </c>
    </row>
    <row r="1341" spans="1:18" x14ac:dyDescent="0.3">
      <c r="A1341" s="26">
        <v>1340</v>
      </c>
      <c r="B1341" s="1">
        <v>7</v>
      </c>
      <c r="C1341" s="1">
        <f t="shared" si="163"/>
        <v>9</v>
      </c>
      <c r="D1341" s="21">
        <f t="shared" ca="1" si="162"/>
        <v>44850</v>
      </c>
      <c r="E1341" s="1" t="s">
        <v>26</v>
      </c>
      <c r="F1341" s="1" t="s">
        <v>1369</v>
      </c>
      <c r="G1341" s="1" t="s">
        <v>28</v>
      </c>
      <c r="H1341" s="1">
        <v>1439</v>
      </c>
      <c r="I1341" s="1">
        <f t="shared" si="164"/>
        <v>60</v>
      </c>
      <c r="J1341" s="1">
        <f>VLOOKUP(B1341,Cena!$A$2:$B$101,2)</f>
        <v>104</v>
      </c>
      <c r="K1341" s="1">
        <f t="shared" si="168"/>
        <v>6240</v>
      </c>
      <c r="L1341" s="1">
        <f t="shared" si="165"/>
        <v>1435.2</v>
      </c>
      <c r="M1341" s="22">
        <f t="shared" si="169"/>
        <v>7675.2</v>
      </c>
      <c r="N1341" s="1">
        <f t="shared" ca="1" si="166"/>
        <v>10</v>
      </c>
      <c r="P1341" s="1">
        <v>60.941857908619568</v>
      </c>
      <c r="Q1341" s="1">
        <f t="shared" ca="1" si="167"/>
        <v>23</v>
      </c>
      <c r="R1341" s="1">
        <v>9.7227945414124406</v>
      </c>
    </row>
    <row r="1342" spans="1:18" x14ac:dyDescent="0.3">
      <c r="A1342" s="26">
        <v>1341</v>
      </c>
      <c r="B1342" s="1">
        <v>11</v>
      </c>
      <c r="C1342" s="1">
        <f t="shared" si="163"/>
        <v>12</v>
      </c>
      <c r="D1342" s="21">
        <f t="shared" ca="1" si="162"/>
        <v>44672</v>
      </c>
      <c r="E1342" s="1" t="s">
        <v>26</v>
      </c>
      <c r="F1342" s="1" t="s">
        <v>1370</v>
      </c>
      <c r="G1342" s="1" t="s">
        <v>28</v>
      </c>
      <c r="H1342" s="1">
        <v>1440</v>
      </c>
      <c r="I1342" s="1">
        <f t="shared" si="164"/>
        <v>54</v>
      </c>
      <c r="J1342" s="1">
        <f>VLOOKUP(B1342,Cena!$A$2:$B$101,2)</f>
        <v>83</v>
      </c>
      <c r="K1342" s="1">
        <f t="shared" si="168"/>
        <v>4482</v>
      </c>
      <c r="L1342" s="1">
        <f t="shared" si="165"/>
        <v>1030.8600000000001</v>
      </c>
      <c r="M1342" s="22">
        <f t="shared" si="169"/>
        <v>5512.8600000000006</v>
      </c>
      <c r="N1342" s="1">
        <f t="shared" ca="1" si="166"/>
        <v>4</v>
      </c>
      <c r="P1342" s="1">
        <v>54.297476152714808</v>
      </c>
      <c r="Q1342" s="1">
        <f t="shared" ca="1" si="167"/>
        <v>23</v>
      </c>
      <c r="R1342" s="1">
        <v>12.59437342720048</v>
      </c>
    </row>
    <row r="1343" spans="1:18" x14ac:dyDescent="0.3">
      <c r="A1343" s="26">
        <v>1342</v>
      </c>
      <c r="B1343" s="1">
        <v>17</v>
      </c>
      <c r="C1343" s="1">
        <f t="shared" si="163"/>
        <v>9</v>
      </c>
      <c r="D1343" s="21">
        <f t="shared" ca="1" si="162"/>
        <v>44654</v>
      </c>
      <c r="E1343" s="1" t="s">
        <v>26</v>
      </c>
      <c r="F1343" s="1" t="s">
        <v>1371</v>
      </c>
      <c r="G1343" s="1" t="s">
        <v>28</v>
      </c>
      <c r="H1343" s="1">
        <v>1441</v>
      </c>
      <c r="I1343" s="1">
        <f t="shared" si="164"/>
        <v>51</v>
      </c>
      <c r="J1343" s="1">
        <f>VLOOKUP(B1343,Cena!$A$2:$B$101,2)</f>
        <v>84</v>
      </c>
      <c r="K1343" s="1">
        <f t="shared" si="168"/>
        <v>4284</v>
      </c>
      <c r="L1343" s="1">
        <f t="shared" si="165"/>
        <v>985.32</v>
      </c>
      <c r="M1343" s="22">
        <f t="shared" si="169"/>
        <v>5269.32</v>
      </c>
      <c r="N1343" s="1">
        <f t="shared" ca="1" si="166"/>
        <v>4</v>
      </c>
      <c r="P1343" s="1">
        <v>51.670434812695021</v>
      </c>
      <c r="Q1343" s="1">
        <f t="shared" ca="1" si="167"/>
        <v>23</v>
      </c>
      <c r="R1343" s="1">
        <v>9.3830499533942202</v>
      </c>
    </row>
    <row r="1344" spans="1:18" x14ac:dyDescent="0.3">
      <c r="A1344" s="26">
        <v>1343</v>
      </c>
      <c r="B1344" s="1">
        <v>19</v>
      </c>
      <c r="C1344" s="1">
        <f t="shared" si="163"/>
        <v>13</v>
      </c>
      <c r="D1344" s="21">
        <f t="shared" ca="1" si="162"/>
        <v>44688</v>
      </c>
      <c r="E1344" s="1" t="s">
        <v>26</v>
      </c>
      <c r="F1344" s="1" t="s">
        <v>1372</v>
      </c>
      <c r="G1344" s="1" t="s">
        <v>28</v>
      </c>
      <c r="H1344" s="1">
        <v>1442</v>
      </c>
      <c r="I1344" s="1">
        <f t="shared" si="164"/>
        <v>47</v>
      </c>
      <c r="J1344" s="1">
        <f>VLOOKUP(B1344,Cena!$A$2:$B$101,2)</f>
        <v>84</v>
      </c>
      <c r="K1344" s="1">
        <f t="shared" si="168"/>
        <v>3948</v>
      </c>
      <c r="L1344" s="1">
        <f t="shared" si="165"/>
        <v>908.04000000000008</v>
      </c>
      <c r="M1344" s="22">
        <f t="shared" si="169"/>
        <v>4856.04</v>
      </c>
      <c r="N1344" s="1">
        <f t="shared" ca="1" si="166"/>
        <v>5</v>
      </c>
      <c r="P1344" s="1">
        <v>47.749296198890079</v>
      </c>
      <c r="Q1344" s="1">
        <f t="shared" ca="1" si="167"/>
        <v>28</v>
      </c>
      <c r="R1344" s="1">
        <v>13.375544110895135</v>
      </c>
    </row>
    <row r="1345" spans="1:18" x14ac:dyDescent="0.3">
      <c r="A1345" s="26">
        <v>1344</v>
      </c>
      <c r="B1345" s="1">
        <v>2</v>
      </c>
      <c r="C1345" s="1">
        <f t="shared" si="163"/>
        <v>8</v>
      </c>
      <c r="D1345" s="21">
        <f t="shared" ca="1" si="162"/>
        <v>44619</v>
      </c>
      <c r="E1345" s="1" t="s">
        <v>26</v>
      </c>
      <c r="F1345" s="1" t="s">
        <v>1373</v>
      </c>
      <c r="G1345" s="1" t="s">
        <v>28</v>
      </c>
      <c r="H1345" s="1">
        <v>1443</v>
      </c>
      <c r="I1345" s="1">
        <f t="shared" si="164"/>
        <v>45</v>
      </c>
      <c r="J1345" s="1">
        <f>VLOOKUP(B1345,Cena!$A$2:$B$101,2)</f>
        <v>121</v>
      </c>
      <c r="K1345" s="1">
        <f t="shared" si="168"/>
        <v>5445</v>
      </c>
      <c r="L1345" s="1">
        <f t="shared" si="165"/>
        <v>1252.3500000000001</v>
      </c>
      <c r="M1345" s="22">
        <f t="shared" si="169"/>
        <v>6697.35</v>
      </c>
      <c r="N1345" s="1">
        <f t="shared" ca="1" si="166"/>
        <v>2</v>
      </c>
      <c r="P1345" s="1">
        <v>45.337134350847919</v>
      </c>
      <c r="Q1345" s="1">
        <f t="shared" ca="1" si="167"/>
        <v>23</v>
      </c>
      <c r="R1345" s="1">
        <v>8.4654095896985382</v>
      </c>
    </row>
    <row r="1346" spans="1:18" x14ac:dyDescent="0.3">
      <c r="A1346" s="26">
        <v>1345</v>
      </c>
      <c r="B1346" s="1">
        <v>12</v>
      </c>
      <c r="C1346" s="1">
        <f t="shared" si="163"/>
        <v>13</v>
      </c>
      <c r="D1346" s="21">
        <f t="shared" ref="D1346:D1409" ca="1" si="170">DATE(2022,RANDBETWEEN(1,12),RANDBETWEEN(1,28))</f>
        <v>44571</v>
      </c>
      <c r="E1346" s="1" t="s">
        <v>26</v>
      </c>
      <c r="F1346" s="1" t="s">
        <v>1374</v>
      </c>
      <c r="G1346" s="1" t="s">
        <v>28</v>
      </c>
      <c r="H1346" s="1">
        <v>1444</v>
      </c>
      <c r="I1346" s="1">
        <f t="shared" si="164"/>
        <v>50</v>
      </c>
      <c r="J1346" s="1">
        <f>VLOOKUP(B1346,Cena!$A$2:$B$101,2)</f>
        <v>88</v>
      </c>
      <c r="K1346" s="1">
        <f t="shared" si="168"/>
        <v>4400</v>
      </c>
      <c r="L1346" s="1">
        <f t="shared" si="165"/>
        <v>1012</v>
      </c>
      <c r="M1346" s="22">
        <f t="shared" si="169"/>
        <v>5412</v>
      </c>
      <c r="N1346" s="1">
        <f t="shared" ca="1" si="166"/>
        <v>1</v>
      </c>
      <c r="P1346" s="1">
        <v>50.717784587322967</v>
      </c>
      <c r="Q1346" s="1">
        <f t="shared" ca="1" si="167"/>
        <v>29</v>
      </c>
      <c r="R1346" s="1">
        <v>13.107459178863792</v>
      </c>
    </row>
    <row r="1347" spans="1:18" x14ac:dyDescent="0.3">
      <c r="A1347" s="26">
        <v>1346</v>
      </c>
      <c r="B1347" s="1">
        <v>13</v>
      </c>
      <c r="C1347" s="1">
        <f t="shared" ref="C1347:C1410" si="171">INT(R1347)</f>
        <v>9</v>
      </c>
      <c r="D1347" s="21">
        <f t="shared" ca="1" si="170"/>
        <v>44848</v>
      </c>
      <c r="E1347" s="1" t="s">
        <v>26</v>
      </c>
      <c r="F1347" s="1" t="s">
        <v>1375</v>
      </c>
      <c r="G1347" s="1" t="s">
        <v>28</v>
      </c>
      <c r="H1347" s="1">
        <v>1445</v>
      </c>
      <c r="I1347" s="1">
        <f t="shared" ref="I1347:I1410" si="172">INT(P1347)</f>
        <v>58</v>
      </c>
      <c r="J1347" s="1">
        <f>VLOOKUP(B1347,Cena!$A$2:$B$101,2)</f>
        <v>94</v>
      </c>
      <c r="K1347" s="1">
        <f t="shared" si="168"/>
        <v>5452</v>
      </c>
      <c r="L1347" s="1">
        <f t="shared" ref="L1347:L1410" si="173">K1347*23%</f>
        <v>1253.96</v>
      </c>
      <c r="M1347" s="22">
        <f t="shared" si="169"/>
        <v>6705.96</v>
      </c>
      <c r="N1347" s="1">
        <f t="shared" ref="N1347:N1410" ca="1" si="174">MONTH(D1347)</f>
        <v>10</v>
      </c>
      <c r="P1347" s="1">
        <v>58.162101039488334</v>
      </c>
      <c r="Q1347" s="1">
        <f t="shared" ref="Q1347:Q1410" ca="1" si="175">RANDBETWEEN(1,30)</f>
        <v>21</v>
      </c>
      <c r="R1347" s="1">
        <v>9.1720244452153565</v>
      </c>
    </row>
    <row r="1348" spans="1:18" x14ac:dyDescent="0.3">
      <c r="A1348" s="26">
        <v>1347</v>
      </c>
      <c r="B1348" s="1">
        <v>26</v>
      </c>
      <c r="C1348" s="1">
        <f t="shared" si="171"/>
        <v>6</v>
      </c>
      <c r="D1348" s="21">
        <f t="shared" ca="1" si="170"/>
        <v>44798</v>
      </c>
      <c r="E1348" s="1" t="s">
        <v>26</v>
      </c>
      <c r="F1348" s="1" t="s">
        <v>1376</v>
      </c>
      <c r="G1348" s="1" t="s">
        <v>28</v>
      </c>
      <c r="H1348" s="1">
        <v>1446</v>
      </c>
      <c r="I1348" s="1">
        <f t="shared" si="172"/>
        <v>56</v>
      </c>
      <c r="J1348" s="1">
        <f>VLOOKUP(B1348,Cena!$A$2:$B$101,2)</f>
        <v>99</v>
      </c>
      <c r="K1348" s="1">
        <f t="shared" si="168"/>
        <v>5544</v>
      </c>
      <c r="L1348" s="1">
        <f t="shared" si="173"/>
        <v>1275.1200000000001</v>
      </c>
      <c r="M1348" s="22">
        <f t="shared" si="169"/>
        <v>6819.12</v>
      </c>
      <c r="N1348" s="1">
        <f t="shared" ca="1" si="174"/>
        <v>8</v>
      </c>
      <c r="P1348" s="1">
        <v>56.393440799001837</v>
      </c>
      <c r="Q1348" s="1">
        <f t="shared" ca="1" si="175"/>
        <v>17</v>
      </c>
      <c r="R1348" s="1">
        <v>6.3802792990463786</v>
      </c>
    </row>
    <row r="1349" spans="1:18" x14ac:dyDescent="0.3">
      <c r="A1349" s="26">
        <v>1348</v>
      </c>
      <c r="B1349" s="1">
        <v>1</v>
      </c>
      <c r="C1349" s="1">
        <f t="shared" si="171"/>
        <v>10</v>
      </c>
      <c r="D1349" s="21">
        <f t="shared" ca="1" si="170"/>
        <v>44872</v>
      </c>
      <c r="E1349" s="1" t="s">
        <v>26</v>
      </c>
      <c r="F1349" s="1" t="s">
        <v>1377</v>
      </c>
      <c r="G1349" s="1" t="s">
        <v>28</v>
      </c>
      <c r="H1349" s="1">
        <v>1447</v>
      </c>
      <c r="I1349" s="1">
        <f t="shared" si="172"/>
        <v>69</v>
      </c>
      <c r="J1349" s="1">
        <f>VLOOKUP(B1349,Cena!$A$2:$B$101,2)</f>
        <v>84</v>
      </c>
      <c r="K1349" s="1">
        <f t="shared" si="168"/>
        <v>5796</v>
      </c>
      <c r="L1349" s="1">
        <f t="shared" si="173"/>
        <v>1333.0800000000002</v>
      </c>
      <c r="M1349" s="22">
        <f t="shared" si="169"/>
        <v>7129.08</v>
      </c>
      <c r="N1349" s="1">
        <f t="shared" ca="1" si="174"/>
        <v>11</v>
      </c>
      <c r="P1349" s="1">
        <v>69.486924429656938</v>
      </c>
      <c r="Q1349" s="1">
        <f t="shared" ca="1" si="175"/>
        <v>21</v>
      </c>
      <c r="R1349" s="1">
        <v>10.161620050675992</v>
      </c>
    </row>
    <row r="1350" spans="1:18" x14ac:dyDescent="0.3">
      <c r="A1350" s="26">
        <v>1349</v>
      </c>
      <c r="B1350" s="1">
        <v>15</v>
      </c>
      <c r="C1350" s="1">
        <f t="shared" si="171"/>
        <v>6</v>
      </c>
      <c r="D1350" s="21">
        <f t="shared" ca="1" si="170"/>
        <v>44574</v>
      </c>
      <c r="E1350" s="1" t="s">
        <v>26</v>
      </c>
      <c r="F1350" s="1" t="s">
        <v>1378</v>
      </c>
      <c r="G1350" s="1" t="s">
        <v>28</v>
      </c>
      <c r="H1350" s="1">
        <v>1448</v>
      </c>
      <c r="I1350" s="1">
        <f t="shared" si="172"/>
        <v>54</v>
      </c>
      <c r="J1350" s="1">
        <f>VLOOKUP(B1350,Cena!$A$2:$B$101,2)</f>
        <v>85</v>
      </c>
      <c r="K1350" s="1">
        <f t="shared" si="168"/>
        <v>4590</v>
      </c>
      <c r="L1350" s="1">
        <f t="shared" si="173"/>
        <v>1055.7</v>
      </c>
      <c r="M1350" s="22">
        <f t="shared" si="169"/>
        <v>5645.7</v>
      </c>
      <c r="N1350" s="1">
        <f t="shared" ca="1" si="174"/>
        <v>1</v>
      </c>
      <c r="P1350" s="1">
        <v>54.725211510958616</v>
      </c>
      <c r="Q1350" s="1">
        <f t="shared" ca="1" si="175"/>
        <v>20</v>
      </c>
      <c r="R1350" s="1">
        <v>6.4392713991401251</v>
      </c>
    </row>
    <row r="1351" spans="1:18" x14ac:dyDescent="0.3">
      <c r="A1351" s="26">
        <v>1350</v>
      </c>
      <c r="B1351" s="1">
        <v>14</v>
      </c>
      <c r="C1351" s="1">
        <f t="shared" si="171"/>
        <v>9</v>
      </c>
      <c r="D1351" s="21">
        <f t="shared" ca="1" si="170"/>
        <v>44641</v>
      </c>
      <c r="E1351" s="1" t="s">
        <v>26</v>
      </c>
      <c r="F1351" s="1" t="s">
        <v>1379</v>
      </c>
      <c r="G1351" s="1" t="s">
        <v>28</v>
      </c>
      <c r="H1351" s="1">
        <v>1449</v>
      </c>
      <c r="I1351" s="1">
        <f t="shared" si="172"/>
        <v>63</v>
      </c>
      <c r="J1351" s="1">
        <f>VLOOKUP(B1351,Cena!$A$2:$B$101,2)</f>
        <v>129</v>
      </c>
      <c r="K1351" s="1">
        <f t="shared" si="168"/>
        <v>8127</v>
      </c>
      <c r="L1351" s="1">
        <f t="shared" si="173"/>
        <v>1869.21</v>
      </c>
      <c r="M1351" s="22">
        <f t="shared" si="169"/>
        <v>9996.2099999999991</v>
      </c>
      <c r="N1351" s="1">
        <f t="shared" ca="1" si="174"/>
        <v>3</v>
      </c>
      <c r="P1351" s="1">
        <v>63.644375940202735</v>
      </c>
      <c r="Q1351" s="1">
        <f t="shared" ca="1" si="175"/>
        <v>10</v>
      </c>
      <c r="R1351" s="1">
        <v>9.4669053648976842</v>
      </c>
    </row>
    <row r="1352" spans="1:18" x14ac:dyDescent="0.3">
      <c r="A1352" s="26">
        <v>1351</v>
      </c>
      <c r="B1352" s="1">
        <v>11</v>
      </c>
      <c r="C1352" s="1">
        <f t="shared" si="171"/>
        <v>11</v>
      </c>
      <c r="D1352" s="21">
        <f t="shared" ca="1" si="170"/>
        <v>44893</v>
      </c>
      <c r="E1352" s="1" t="s">
        <v>26</v>
      </c>
      <c r="F1352" s="1" t="s">
        <v>1380</v>
      </c>
      <c r="G1352" s="1" t="s">
        <v>28</v>
      </c>
      <c r="H1352" s="1">
        <v>1450</v>
      </c>
      <c r="I1352" s="1">
        <f t="shared" si="172"/>
        <v>60</v>
      </c>
      <c r="J1352" s="1">
        <f>VLOOKUP(B1352,Cena!$A$2:$B$101,2)</f>
        <v>83</v>
      </c>
      <c r="K1352" s="1">
        <f t="shared" si="168"/>
        <v>4980</v>
      </c>
      <c r="L1352" s="1">
        <f t="shared" si="173"/>
        <v>1145.4000000000001</v>
      </c>
      <c r="M1352" s="22">
        <f t="shared" si="169"/>
        <v>6125.4</v>
      </c>
      <c r="N1352" s="1">
        <f t="shared" ca="1" si="174"/>
        <v>11</v>
      </c>
      <c r="P1352" s="1">
        <v>60.959979590552393</v>
      </c>
      <c r="Q1352" s="1">
        <f t="shared" ca="1" si="175"/>
        <v>6</v>
      </c>
      <c r="R1352" s="1">
        <v>11.925525339174783</v>
      </c>
    </row>
    <row r="1353" spans="1:18" x14ac:dyDescent="0.3">
      <c r="A1353" s="26">
        <v>1352</v>
      </c>
      <c r="B1353" s="1">
        <v>12</v>
      </c>
      <c r="C1353" s="1">
        <f t="shared" si="171"/>
        <v>15</v>
      </c>
      <c r="D1353" s="21">
        <f t="shared" ca="1" si="170"/>
        <v>44750</v>
      </c>
      <c r="E1353" s="1" t="s">
        <v>26</v>
      </c>
      <c r="F1353" s="1" t="s">
        <v>1381</v>
      </c>
      <c r="G1353" s="1" t="s">
        <v>28</v>
      </c>
      <c r="H1353" s="1">
        <v>1451</v>
      </c>
      <c r="I1353" s="1">
        <f t="shared" si="172"/>
        <v>48</v>
      </c>
      <c r="J1353" s="1">
        <f>VLOOKUP(B1353,Cena!$A$2:$B$101,2)</f>
        <v>88</v>
      </c>
      <c r="K1353" s="1">
        <f t="shared" si="168"/>
        <v>4224</v>
      </c>
      <c r="L1353" s="1">
        <f t="shared" si="173"/>
        <v>971.5200000000001</v>
      </c>
      <c r="M1353" s="22">
        <f t="shared" si="169"/>
        <v>5195.5200000000004</v>
      </c>
      <c r="N1353" s="1">
        <f t="shared" ca="1" si="174"/>
        <v>7</v>
      </c>
      <c r="P1353" s="1">
        <v>48.777184373466298</v>
      </c>
      <c r="Q1353" s="1">
        <f t="shared" ca="1" si="175"/>
        <v>11</v>
      </c>
      <c r="R1353" s="1">
        <v>15.152378435013816</v>
      </c>
    </row>
    <row r="1354" spans="1:18" x14ac:dyDescent="0.3">
      <c r="A1354" s="26">
        <v>1353</v>
      </c>
      <c r="B1354" s="1">
        <v>29</v>
      </c>
      <c r="C1354" s="1">
        <f t="shared" si="171"/>
        <v>11</v>
      </c>
      <c r="D1354" s="21">
        <f t="shared" ca="1" si="170"/>
        <v>44867</v>
      </c>
      <c r="E1354" s="1" t="s">
        <v>26</v>
      </c>
      <c r="F1354" s="1" t="s">
        <v>1382</v>
      </c>
      <c r="G1354" s="1" t="s">
        <v>28</v>
      </c>
      <c r="H1354" s="1">
        <v>1452</v>
      </c>
      <c r="I1354" s="1">
        <f t="shared" si="172"/>
        <v>56</v>
      </c>
      <c r="J1354" s="1">
        <f>VLOOKUP(B1354,Cena!$A$2:$B$101,2)</f>
        <v>105</v>
      </c>
      <c r="K1354" s="1">
        <f t="shared" si="168"/>
        <v>5880</v>
      </c>
      <c r="L1354" s="1">
        <f t="shared" si="173"/>
        <v>1352.4</v>
      </c>
      <c r="M1354" s="22">
        <f t="shared" si="169"/>
        <v>7232.4</v>
      </c>
      <c r="N1354" s="1">
        <f t="shared" ca="1" si="174"/>
        <v>11</v>
      </c>
      <c r="P1354" s="1">
        <v>56.849700184829999</v>
      </c>
      <c r="Q1354" s="1">
        <f t="shared" ca="1" si="175"/>
        <v>21</v>
      </c>
      <c r="R1354" s="1">
        <v>11.403662963639363</v>
      </c>
    </row>
    <row r="1355" spans="1:18" x14ac:dyDescent="0.3">
      <c r="A1355" s="26">
        <v>1354</v>
      </c>
      <c r="B1355" s="1">
        <v>16</v>
      </c>
      <c r="C1355" s="1">
        <f t="shared" si="171"/>
        <v>9</v>
      </c>
      <c r="D1355" s="21">
        <f t="shared" ca="1" si="170"/>
        <v>44911</v>
      </c>
      <c r="E1355" s="1" t="s">
        <v>26</v>
      </c>
      <c r="F1355" s="1" t="s">
        <v>1383</v>
      </c>
      <c r="G1355" s="1" t="s">
        <v>28</v>
      </c>
      <c r="H1355" s="1">
        <v>1453</v>
      </c>
      <c r="I1355" s="1">
        <f t="shared" si="172"/>
        <v>29</v>
      </c>
      <c r="J1355" s="1">
        <f>VLOOKUP(B1355,Cena!$A$2:$B$101,2)</f>
        <v>93</v>
      </c>
      <c r="K1355" s="1">
        <f t="shared" si="168"/>
        <v>2697</v>
      </c>
      <c r="L1355" s="1">
        <f t="shared" si="173"/>
        <v>620.31000000000006</v>
      </c>
      <c r="M1355" s="22">
        <f t="shared" si="169"/>
        <v>3317.31</v>
      </c>
      <c r="N1355" s="1">
        <f t="shared" ca="1" si="174"/>
        <v>12</v>
      </c>
      <c r="P1355" s="1">
        <v>29.700351104838774</v>
      </c>
      <c r="Q1355" s="1">
        <f t="shared" ca="1" si="175"/>
        <v>26</v>
      </c>
      <c r="R1355" s="1">
        <v>9.1877672300688573</v>
      </c>
    </row>
    <row r="1356" spans="1:18" x14ac:dyDescent="0.3">
      <c r="A1356" s="26">
        <v>1355</v>
      </c>
      <c r="B1356" s="1">
        <v>4</v>
      </c>
      <c r="C1356" s="1">
        <f t="shared" si="171"/>
        <v>11</v>
      </c>
      <c r="D1356" s="21">
        <f t="shared" ca="1" si="170"/>
        <v>44868</v>
      </c>
      <c r="E1356" s="1" t="s">
        <v>26</v>
      </c>
      <c r="F1356" s="1" t="s">
        <v>1384</v>
      </c>
      <c r="G1356" s="1" t="s">
        <v>28</v>
      </c>
      <c r="H1356" s="1">
        <v>1454</v>
      </c>
      <c r="I1356" s="1">
        <f t="shared" si="172"/>
        <v>36</v>
      </c>
      <c r="J1356" s="1">
        <f>VLOOKUP(B1356,Cena!$A$2:$B$101,2)</f>
        <v>99</v>
      </c>
      <c r="K1356" s="1">
        <f t="shared" si="168"/>
        <v>3564</v>
      </c>
      <c r="L1356" s="1">
        <f t="shared" si="173"/>
        <v>819.72</v>
      </c>
      <c r="M1356" s="22">
        <f t="shared" si="169"/>
        <v>4383.72</v>
      </c>
      <c r="N1356" s="1">
        <f t="shared" ca="1" si="174"/>
        <v>11</v>
      </c>
      <c r="P1356" s="1">
        <v>36.222451298090164</v>
      </c>
      <c r="Q1356" s="1">
        <f t="shared" ca="1" si="175"/>
        <v>2</v>
      </c>
      <c r="R1356" s="1">
        <v>11.556819029246981</v>
      </c>
    </row>
    <row r="1357" spans="1:18" x14ac:dyDescent="0.3">
      <c r="A1357" s="26">
        <v>1356</v>
      </c>
      <c r="B1357" s="1">
        <v>29</v>
      </c>
      <c r="C1357" s="1">
        <f t="shared" si="171"/>
        <v>9</v>
      </c>
      <c r="D1357" s="21">
        <f t="shared" ca="1" si="170"/>
        <v>44652</v>
      </c>
      <c r="E1357" s="1" t="s">
        <v>26</v>
      </c>
      <c r="F1357" s="1" t="s">
        <v>1385</v>
      </c>
      <c r="G1357" s="1" t="s">
        <v>28</v>
      </c>
      <c r="H1357" s="1">
        <v>1455</v>
      </c>
      <c r="I1357" s="1">
        <f t="shared" si="172"/>
        <v>53</v>
      </c>
      <c r="J1357" s="1">
        <f>VLOOKUP(B1357,Cena!$A$2:$B$101,2)</f>
        <v>105</v>
      </c>
      <c r="K1357" s="1">
        <f t="shared" si="168"/>
        <v>5565</v>
      </c>
      <c r="L1357" s="1">
        <f t="shared" si="173"/>
        <v>1279.95</v>
      </c>
      <c r="M1357" s="22">
        <f t="shared" si="169"/>
        <v>6844.95</v>
      </c>
      <c r="N1357" s="1">
        <f t="shared" ca="1" si="174"/>
        <v>4</v>
      </c>
      <c r="P1357" s="1">
        <v>53.341813226143131</v>
      </c>
      <c r="Q1357" s="1">
        <f t="shared" ca="1" si="175"/>
        <v>4</v>
      </c>
      <c r="R1357" s="1">
        <v>9.3379958596051438</v>
      </c>
    </row>
    <row r="1358" spans="1:18" x14ac:dyDescent="0.3">
      <c r="A1358" s="26">
        <v>1357</v>
      </c>
      <c r="B1358" s="1">
        <v>6</v>
      </c>
      <c r="C1358" s="1">
        <f t="shared" si="171"/>
        <v>9</v>
      </c>
      <c r="D1358" s="21">
        <f t="shared" ca="1" si="170"/>
        <v>44705</v>
      </c>
      <c r="E1358" s="1" t="s">
        <v>26</v>
      </c>
      <c r="F1358" s="1" t="s">
        <v>1386</v>
      </c>
      <c r="G1358" s="1" t="s">
        <v>28</v>
      </c>
      <c r="H1358" s="1">
        <v>1456</v>
      </c>
      <c r="I1358" s="1">
        <f t="shared" si="172"/>
        <v>44</v>
      </c>
      <c r="J1358" s="1">
        <f>VLOOKUP(B1358,Cena!$A$2:$B$101,2)</f>
        <v>86</v>
      </c>
      <c r="K1358" s="1">
        <f t="shared" si="168"/>
        <v>3784</v>
      </c>
      <c r="L1358" s="1">
        <f t="shared" si="173"/>
        <v>870.32</v>
      </c>
      <c r="M1358" s="22">
        <f t="shared" si="169"/>
        <v>4654.32</v>
      </c>
      <c r="N1358" s="1">
        <f t="shared" ca="1" si="174"/>
        <v>5</v>
      </c>
      <c r="P1358" s="1">
        <v>44.104587131005246</v>
      </c>
      <c r="Q1358" s="1">
        <f t="shared" ca="1" si="175"/>
        <v>22</v>
      </c>
      <c r="R1358" s="1">
        <v>9.2406117144128075</v>
      </c>
    </row>
    <row r="1359" spans="1:18" x14ac:dyDescent="0.3">
      <c r="A1359" s="26">
        <v>1358</v>
      </c>
      <c r="B1359" s="1">
        <v>4</v>
      </c>
      <c r="C1359" s="1">
        <f t="shared" si="171"/>
        <v>9</v>
      </c>
      <c r="D1359" s="21">
        <f t="shared" ca="1" si="170"/>
        <v>44856</v>
      </c>
      <c r="E1359" s="1" t="s">
        <v>26</v>
      </c>
      <c r="F1359" s="1" t="s">
        <v>1387</v>
      </c>
      <c r="G1359" s="1" t="s">
        <v>28</v>
      </c>
      <c r="H1359" s="1">
        <v>1457</v>
      </c>
      <c r="I1359" s="1">
        <f t="shared" si="172"/>
        <v>49</v>
      </c>
      <c r="J1359" s="1">
        <f>VLOOKUP(B1359,Cena!$A$2:$B$101,2)</f>
        <v>99</v>
      </c>
      <c r="K1359" s="1">
        <f t="shared" si="168"/>
        <v>4851</v>
      </c>
      <c r="L1359" s="1">
        <f t="shared" si="173"/>
        <v>1115.73</v>
      </c>
      <c r="M1359" s="22">
        <f t="shared" si="169"/>
        <v>5966.73</v>
      </c>
      <c r="N1359" s="1">
        <f t="shared" ca="1" si="174"/>
        <v>10</v>
      </c>
      <c r="P1359" s="1">
        <v>49.874921741138678</v>
      </c>
      <c r="Q1359" s="1">
        <f t="shared" ca="1" si="175"/>
        <v>6</v>
      </c>
      <c r="R1359" s="1">
        <v>9.3368049899800099</v>
      </c>
    </row>
    <row r="1360" spans="1:18" x14ac:dyDescent="0.3">
      <c r="A1360" s="26">
        <v>1359</v>
      </c>
      <c r="B1360" s="1">
        <v>20</v>
      </c>
      <c r="C1360" s="1">
        <f t="shared" si="171"/>
        <v>8</v>
      </c>
      <c r="D1360" s="21">
        <f t="shared" ca="1" si="170"/>
        <v>44783</v>
      </c>
      <c r="E1360" s="1" t="s">
        <v>26</v>
      </c>
      <c r="F1360" s="1" t="s">
        <v>1388</v>
      </c>
      <c r="G1360" s="1" t="s">
        <v>28</v>
      </c>
      <c r="H1360" s="1">
        <v>1458</v>
      </c>
      <c r="I1360" s="1">
        <f t="shared" si="172"/>
        <v>58</v>
      </c>
      <c r="J1360" s="1">
        <f>VLOOKUP(B1360,Cena!$A$2:$B$101,2)</f>
        <v>111</v>
      </c>
      <c r="K1360" s="1">
        <f t="shared" si="168"/>
        <v>6438</v>
      </c>
      <c r="L1360" s="1">
        <f t="shared" si="173"/>
        <v>1480.74</v>
      </c>
      <c r="M1360" s="22">
        <f t="shared" si="169"/>
        <v>7918.74</v>
      </c>
      <c r="N1360" s="1">
        <f t="shared" ca="1" si="174"/>
        <v>8</v>
      </c>
      <c r="P1360" s="1">
        <v>58.865583822625922</v>
      </c>
      <c r="Q1360" s="1">
        <f t="shared" ca="1" si="175"/>
        <v>12</v>
      </c>
      <c r="R1360" s="1">
        <v>8.5623986731297919</v>
      </c>
    </row>
    <row r="1361" spans="1:18" x14ac:dyDescent="0.3">
      <c r="A1361" s="26">
        <v>1360</v>
      </c>
      <c r="B1361" s="1">
        <v>10</v>
      </c>
      <c r="C1361" s="1">
        <f t="shared" si="171"/>
        <v>12</v>
      </c>
      <c r="D1361" s="21">
        <f t="shared" ca="1" si="170"/>
        <v>44626</v>
      </c>
      <c r="E1361" s="1" t="s">
        <v>26</v>
      </c>
      <c r="F1361" s="1" t="s">
        <v>1389</v>
      </c>
      <c r="G1361" s="1" t="s">
        <v>28</v>
      </c>
      <c r="H1361" s="1">
        <v>1459</v>
      </c>
      <c r="I1361" s="1">
        <f t="shared" si="172"/>
        <v>38</v>
      </c>
      <c r="J1361" s="1">
        <f>VLOOKUP(B1361,Cena!$A$2:$B$101,2)</f>
        <v>109</v>
      </c>
      <c r="K1361" s="1">
        <f t="shared" si="168"/>
        <v>4142</v>
      </c>
      <c r="L1361" s="1">
        <f t="shared" si="173"/>
        <v>952.66000000000008</v>
      </c>
      <c r="M1361" s="22">
        <f t="shared" si="169"/>
        <v>5094.66</v>
      </c>
      <c r="N1361" s="1">
        <f t="shared" ca="1" si="174"/>
        <v>3</v>
      </c>
      <c r="P1361" s="1">
        <v>38.465492606337648</v>
      </c>
      <c r="Q1361" s="1">
        <f t="shared" ca="1" si="175"/>
        <v>8</v>
      </c>
      <c r="R1361" s="1">
        <v>12.127416109942715</v>
      </c>
    </row>
    <row r="1362" spans="1:18" x14ac:dyDescent="0.3">
      <c r="A1362" s="26">
        <v>1361</v>
      </c>
      <c r="B1362" s="1">
        <v>30</v>
      </c>
      <c r="C1362" s="1">
        <f t="shared" si="171"/>
        <v>8</v>
      </c>
      <c r="D1362" s="21">
        <f t="shared" ca="1" si="170"/>
        <v>44564</v>
      </c>
      <c r="E1362" s="1" t="s">
        <v>26</v>
      </c>
      <c r="F1362" s="1" t="s">
        <v>1390</v>
      </c>
      <c r="G1362" s="1" t="s">
        <v>28</v>
      </c>
      <c r="H1362" s="1">
        <v>1460</v>
      </c>
      <c r="I1362" s="1">
        <f t="shared" si="172"/>
        <v>47</v>
      </c>
      <c r="J1362" s="1">
        <f>VLOOKUP(B1362,Cena!$A$2:$B$101,2)</f>
        <v>87</v>
      </c>
      <c r="K1362" s="1">
        <f t="shared" si="168"/>
        <v>4089</v>
      </c>
      <c r="L1362" s="1">
        <f t="shared" si="173"/>
        <v>940.47</v>
      </c>
      <c r="M1362" s="22">
        <f t="shared" si="169"/>
        <v>5029.47</v>
      </c>
      <c r="N1362" s="1">
        <f t="shared" ca="1" si="174"/>
        <v>1</v>
      </c>
      <c r="P1362" s="1">
        <v>47.00168018534896</v>
      </c>
      <c r="Q1362" s="1">
        <f t="shared" ca="1" si="175"/>
        <v>1</v>
      </c>
      <c r="R1362" s="1">
        <v>8.464483041971107</v>
      </c>
    </row>
    <row r="1363" spans="1:18" x14ac:dyDescent="0.3">
      <c r="A1363" s="26">
        <v>1362</v>
      </c>
      <c r="B1363" s="1">
        <v>18</v>
      </c>
      <c r="C1363" s="1">
        <f t="shared" si="171"/>
        <v>10</v>
      </c>
      <c r="D1363" s="21">
        <f t="shared" ca="1" si="170"/>
        <v>44695</v>
      </c>
      <c r="E1363" s="1" t="s">
        <v>26</v>
      </c>
      <c r="F1363" s="1" t="s">
        <v>1391</v>
      </c>
      <c r="G1363" s="1" t="s">
        <v>28</v>
      </c>
      <c r="H1363" s="1">
        <v>1461</v>
      </c>
      <c r="I1363" s="1">
        <f t="shared" si="172"/>
        <v>51</v>
      </c>
      <c r="J1363" s="1">
        <f>VLOOKUP(B1363,Cena!$A$2:$B$101,2)</f>
        <v>90</v>
      </c>
      <c r="K1363" s="1">
        <f t="shared" si="168"/>
        <v>4590</v>
      </c>
      <c r="L1363" s="1">
        <f t="shared" si="173"/>
        <v>1055.7</v>
      </c>
      <c r="M1363" s="22">
        <f t="shared" si="169"/>
        <v>5645.7</v>
      </c>
      <c r="N1363" s="1">
        <f t="shared" ca="1" si="174"/>
        <v>5</v>
      </c>
      <c r="P1363" s="1">
        <v>51.752709977154154</v>
      </c>
      <c r="Q1363" s="1">
        <f t="shared" ca="1" si="175"/>
        <v>11</v>
      </c>
      <c r="R1363" s="1">
        <v>10.459948523712228</v>
      </c>
    </row>
    <row r="1364" spans="1:18" x14ac:dyDescent="0.3">
      <c r="A1364" s="26">
        <v>1363</v>
      </c>
      <c r="B1364" s="1">
        <v>15</v>
      </c>
      <c r="C1364" s="1">
        <f t="shared" si="171"/>
        <v>11</v>
      </c>
      <c r="D1364" s="21">
        <f t="shared" ca="1" si="170"/>
        <v>44789</v>
      </c>
      <c r="E1364" s="1" t="s">
        <v>26</v>
      </c>
      <c r="F1364" s="1" t="s">
        <v>1392</v>
      </c>
      <c r="G1364" s="1" t="s">
        <v>28</v>
      </c>
      <c r="H1364" s="1">
        <v>1462</v>
      </c>
      <c r="I1364" s="1">
        <f t="shared" si="172"/>
        <v>78</v>
      </c>
      <c r="J1364" s="1">
        <f>VLOOKUP(B1364,Cena!$A$2:$B$101,2)</f>
        <v>85</v>
      </c>
      <c r="K1364" s="1">
        <f t="shared" si="168"/>
        <v>6630</v>
      </c>
      <c r="L1364" s="1">
        <f t="shared" si="173"/>
        <v>1524.9</v>
      </c>
      <c r="M1364" s="22">
        <f t="shared" si="169"/>
        <v>8154.9</v>
      </c>
      <c r="N1364" s="1">
        <f t="shared" ca="1" si="174"/>
        <v>8</v>
      </c>
      <c r="P1364" s="1">
        <v>78.439535526558757</v>
      </c>
      <c r="Q1364" s="1">
        <f t="shared" ca="1" si="175"/>
        <v>30</v>
      </c>
      <c r="R1364" s="1">
        <v>11.281489403481828</v>
      </c>
    </row>
    <row r="1365" spans="1:18" x14ac:dyDescent="0.3">
      <c r="A1365" s="26">
        <v>1364</v>
      </c>
      <c r="B1365" s="1">
        <v>23</v>
      </c>
      <c r="C1365" s="1">
        <f t="shared" si="171"/>
        <v>8</v>
      </c>
      <c r="D1365" s="21">
        <f t="shared" ca="1" si="170"/>
        <v>44686</v>
      </c>
      <c r="E1365" s="1" t="s">
        <v>26</v>
      </c>
      <c r="F1365" s="1" t="s">
        <v>1393</v>
      </c>
      <c r="G1365" s="1" t="s">
        <v>28</v>
      </c>
      <c r="H1365" s="1">
        <v>1463</v>
      </c>
      <c r="I1365" s="1">
        <f t="shared" si="172"/>
        <v>53</v>
      </c>
      <c r="J1365" s="1">
        <f>VLOOKUP(B1365,Cena!$A$2:$B$101,2)</f>
        <v>132</v>
      </c>
      <c r="K1365" s="1">
        <f t="shared" si="168"/>
        <v>6996</v>
      </c>
      <c r="L1365" s="1">
        <f t="shared" si="173"/>
        <v>1609.0800000000002</v>
      </c>
      <c r="M1365" s="22">
        <f t="shared" si="169"/>
        <v>8605.08</v>
      </c>
      <c r="N1365" s="1">
        <f t="shared" ca="1" si="174"/>
        <v>5</v>
      </c>
      <c r="P1365" s="1">
        <v>53.164370809827233</v>
      </c>
      <c r="Q1365" s="1">
        <f t="shared" ca="1" si="175"/>
        <v>23</v>
      </c>
      <c r="R1365" s="1">
        <v>8.612429408240132</v>
      </c>
    </row>
    <row r="1366" spans="1:18" x14ac:dyDescent="0.3">
      <c r="A1366" s="26">
        <v>1365</v>
      </c>
      <c r="B1366" s="1">
        <v>12</v>
      </c>
      <c r="C1366" s="1">
        <f t="shared" si="171"/>
        <v>13</v>
      </c>
      <c r="D1366" s="21">
        <f t="shared" ca="1" si="170"/>
        <v>44831</v>
      </c>
      <c r="E1366" s="1" t="s">
        <v>26</v>
      </c>
      <c r="F1366" s="1" t="s">
        <v>1394</v>
      </c>
      <c r="G1366" s="1" t="s">
        <v>28</v>
      </c>
      <c r="H1366" s="1">
        <v>1464</v>
      </c>
      <c r="I1366" s="1">
        <f t="shared" si="172"/>
        <v>61</v>
      </c>
      <c r="J1366" s="1">
        <f>VLOOKUP(B1366,Cena!$A$2:$B$101,2)</f>
        <v>88</v>
      </c>
      <c r="K1366" s="1">
        <f t="shared" si="168"/>
        <v>5368</v>
      </c>
      <c r="L1366" s="1">
        <f t="shared" si="173"/>
        <v>1234.6400000000001</v>
      </c>
      <c r="M1366" s="22">
        <f t="shared" si="169"/>
        <v>6602.64</v>
      </c>
      <c r="N1366" s="1">
        <f t="shared" ca="1" si="174"/>
        <v>9</v>
      </c>
      <c r="P1366" s="1">
        <v>61.03701379179256</v>
      </c>
      <c r="Q1366" s="1">
        <f t="shared" ca="1" si="175"/>
        <v>10</v>
      </c>
      <c r="R1366" s="1">
        <v>13.802097126026638</v>
      </c>
    </row>
    <row r="1367" spans="1:18" x14ac:dyDescent="0.3">
      <c r="A1367" s="26">
        <v>1366</v>
      </c>
      <c r="B1367" s="1">
        <v>12</v>
      </c>
      <c r="C1367" s="1">
        <f t="shared" si="171"/>
        <v>8</v>
      </c>
      <c r="D1367" s="21">
        <f t="shared" ca="1" si="170"/>
        <v>44840</v>
      </c>
      <c r="E1367" s="1" t="s">
        <v>26</v>
      </c>
      <c r="F1367" s="1" t="s">
        <v>1395</v>
      </c>
      <c r="G1367" s="1" t="s">
        <v>28</v>
      </c>
      <c r="H1367" s="1">
        <v>1465</v>
      </c>
      <c r="I1367" s="1">
        <f t="shared" si="172"/>
        <v>55</v>
      </c>
      <c r="J1367" s="1">
        <f>VLOOKUP(B1367,Cena!$A$2:$B$101,2)</f>
        <v>88</v>
      </c>
      <c r="K1367" s="1">
        <f t="shared" si="168"/>
        <v>4840</v>
      </c>
      <c r="L1367" s="1">
        <f t="shared" si="173"/>
        <v>1113.2</v>
      </c>
      <c r="M1367" s="22">
        <f t="shared" si="169"/>
        <v>5953.2</v>
      </c>
      <c r="N1367" s="1">
        <f t="shared" ca="1" si="174"/>
        <v>10</v>
      </c>
      <c r="P1367" s="1">
        <v>55.902700195292709</v>
      </c>
      <c r="Q1367" s="1">
        <f t="shared" ca="1" si="175"/>
        <v>3</v>
      </c>
      <c r="R1367" s="1">
        <v>8.494166675300221</v>
      </c>
    </row>
    <row r="1368" spans="1:18" x14ac:dyDescent="0.3">
      <c r="A1368" s="26">
        <v>1367</v>
      </c>
      <c r="B1368" s="1">
        <v>3</v>
      </c>
      <c r="C1368" s="1">
        <f t="shared" si="171"/>
        <v>8</v>
      </c>
      <c r="D1368" s="21">
        <f t="shared" ca="1" si="170"/>
        <v>44627</v>
      </c>
      <c r="E1368" s="1" t="s">
        <v>26</v>
      </c>
      <c r="F1368" s="1" t="s">
        <v>1396</v>
      </c>
      <c r="G1368" s="1" t="s">
        <v>28</v>
      </c>
      <c r="H1368" s="1">
        <v>1466</v>
      </c>
      <c r="I1368" s="1">
        <f t="shared" si="172"/>
        <v>36</v>
      </c>
      <c r="J1368" s="1">
        <f>VLOOKUP(B1368,Cena!$A$2:$B$101,2)</f>
        <v>89</v>
      </c>
      <c r="K1368" s="1">
        <f t="shared" si="168"/>
        <v>3204</v>
      </c>
      <c r="L1368" s="1">
        <f t="shared" si="173"/>
        <v>736.92000000000007</v>
      </c>
      <c r="M1368" s="22">
        <f t="shared" si="169"/>
        <v>3940.92</v>
      </c>
      <c r="N1368" s="1">
        <f t="shared" ca="1" si="174"/>
        <v>3</v>
      </c>
      <c r="P1368" s="1">
        <v>36.398188411840238</v>
      </c>
      <c r="Q1368" s="1">
        <f t="shared" ca="1" si="175"/>
        <v>6</v>
      </c>
      <c r="R1368" s="1">
        <v>8.3589418661722448</v>
      </c>
    </row>
    <row r="1369" spans="1:18" x14ac:dyDescent="0.3">
      <c r="A1369" s="26">
        <v>1368</v>
      </c>
      <c r="B1369" s="1">
        <v>20</v>
      </c>
      <c r="C1369" s="1">
        <f t="shared" si="171"/>
        <v>9</v>
      </c>
      <c r="D1369" s="21">
        <f t="shared" ca="1" si="170"/>
        <v>44784</v>
      </c>
      <c r="E1369" s="1" t="s">
        <v>26</v>
      </c>
      <c r="F1369" s="1" t="s">
        <v>1397</v>
      </c>
      <c r="G1369" s="1" t="s">
        <v>28</v>
      </c>
      <c r="H1369" s="1">
        <v>1467</v>
      </c>
      <c r="I1369" s="1">
        <f t="shared" si="172"/>
        <v>53</v>
      </c>
      <c r="J1369" s="1">
        <f>VLOOKUP(B1369,Cena!$A$2:$B$101,2)</f>
        <v>111</v>
      </c>
      <c r="K1369" s="1">
        <f t="shared" si="168"/>
        <v>5883</v>
      </c>
      <c r="L1369" s="1">
        <f t="shared" si="173"/>
        <v>1353.0900000000001</v>
      </c>
      <c r="M1369" s="22">
        <f t="shared" si="169"/>
        <v>7236.09</v>
      </c>
      <c r="N1369" s="1">
        <f t="shared" ca="1" si="174"/>
        <v>8</v>
      </c>
      <c r="P1369" s="1">
        <v>53.920399649359751</v>
      </c>
      <c r="Q1369" s="1">
        <f t="shared" ca="1" si="175"/>
        <v>22</v>
      </c>
      <c r="R1369" s="1">
        <v>9.0108051406423328</v>
      </c>
    </row>
    <row r="1370" spans="1:18" x14ac:dyDescent="0.3">
      <c r="A1370" s="26">
        <v>1369</v>
      </c>
      <c r="B1370" s="1">
        <v>28</v>
      </c>
      <c r="C1370" s="1">
        <f t="shared" si="171"/>
        <v>9</v>
      </c>
      <c r="D1370" s="21">
        <f t="shared" ca="1" si="170"/>
        <v>44754</v>
      </c>
      <c r="E1370" s="1" t="s">
        <v>26</v>
      </c>
      <c r="F1370" s="1" t="s">
        <v>1398</v>
      </c>
      <c r="G1370" s="1" t="s">
        <v>28</v>
      </c>
      <c r="H1370" s="1">
        <v>1468</v>
      </c>
      <c r="I1370" s="1">
        <f t="shared" si="172"/>
        <v>35</v>
      </c>
      <c r="J1370" s="1">
        <f>VLOOKUP(B1370,Cena!$A$2:$B$101,2)</f>
        <v>59</v>
      </c>
      <c r="K1370" s="1">
        <f t="shared" si="168"/>
        <v>2065</v>
      </c>
      <c r="L1370" s="1">
        <f t="shared" si="173"/>
        <v>474.95000000000005</v>
      </c>
      <c r="M1370" s="22">
        <f t="shared" si="169"/>
        <v>2539.9499999999998</v>
      </c>
      <c r="N1370" s="1">
        <f t="shared" ca="1" si="174"/>
        <v>7</v>
      </c>
      <c r="P1370" s="1">
        <v>35.564636517665349</v>
      </c>
      <c r="Q1370" s="1">
        <f t="shared" ca="1" si="175"/>
        <v>27</v>
      </c>
      <c r="R1370" s="1">
        <v>9.3306630585720995</v>
      </c>
    </row>
    <row r="1371" spans="1:18" x14ac:dyDescent="0.3">
      <c r="A1371" s="26">
        <v>1370</v>
      </c>
      <c r="B1371" s="1">
        <v>8</v>
      </c>
      <c r="C1371" s="1">
        <f t="shared" si="171"/>
        <v>9</v>
      </c>
      <c r="D1371" s="21">
        <f t="shared" ca="1" si="170"/>
        <v>44909</v>
      </c>
      <c r="E1371" s="1" t="s">
        <v>26</v>
      </c>
      <c r="F1371" s="1" t="s">
        <v>1399</v>
      </c>
      <c r="G1371" s="1" t="s">
        <v>28</v>
      </c>
      <c r="H1371" s="1">
        <v>1469</v>
      </c>
      <c r="I1371" s="1">
        <f t="shared" si="172"/>
        <v>54</v>
      </c>
      <c r="J1371" s="1">
        <f>VLOOKUP(B1371,Cena!$A$2:$B$101,2)</f>
        <v>88</v>
      </c>
      <c r="K1371" s="1">
        <f t="shared" si="168"/>
        <v>4752</v>
      </c>
      <c r="L1371" s="1">
        <f t="shared" si="173"/>
        <v>1092.96</v>
      </c>
      <c r="M1371" s="22">
        <f t="shared" si="169"/>
        <v>5844.96</v>
      </c>
      <c r="N1371" s="1">
        <f t="shared" ca="1" si="174"/>
        <v>12</v>
      </c>
      <c r="P1371" s="1">
        <v>54.31510898124543</v>
      </c>
      <c r="Q1371" s="1">
        <f t="shared" ca="1" si="175"/>
        <v>11</v>
      </c>
      <c r="R1371" s="1">
        <v>9.9859426225157222</v>
      </c>
    </row>
    <row r="1372" spans="1:18" x14ac:dyDescent="0.3">
      <c r="A1372" s="26">
        <v>1371</v>
      </c>
      <c r="B1372" s="1">
        <v>26</v>
      </c>
      <c r="C1372" s="1">
        <f t="shared" si="171"/>
        <v>8</v>
      </c>
      <c r="D1372" s="21">
        <f t="shared" ca="1" si="170"/>
        <v>44906</v>
      </c>
      <c r="E1372" s="1" t="s">
        <v>26</v>
      </c>
      <c r="F1372" s="1" t="s">
        <v>1400</v>
      </c>
      <c r="G1372" s="1" t="s">
        <v>28</v>
      </c>
      <c r="H1372" s="1">
        <v>1470</v>
      </c>
      <c r="I1372" s="1">
        <f t="shared" si="172"/>
        <v>40</v>
      </c>
      <c r="J1372" s="1">
        <f>VLOOKUP(B1372,Cena!$A$2:$B$101,2)</f>
        <v>99</v>
      </c>
      <c r="K1372" s="1">
        <f t="shared" si="168"/>
        <v>3960</v>
      </c>
      <c r="L1372" s="1">
        <f t="shared" si="173"/>
        <v>910.80000000000007</v>
      </c>
      <c r="M1372" s="22">
        <f t="shared" si="169"/>
        <v>4870.8</v>
      </c>
      <c r="N1372" s="1">
        <f t="shared" ca="1" si="174"/>
        <v>12</v>
      </c>
      <c r="P1372" s="1">
        <v>40.504807101387996</v>
      </c>
      <c r="Q1372" s="1">
        <f t="shared" ca="1" si="175"/>
        <v>22</v>
      </c>
      <c r="R1372" s="1">
        <v>8.8562024100247072</v>
      </c>
    </row>
    <row r="1373" spans="1:18" x14ac:dyDescent="0.3">
      <c r="A1373" s="26">
        <v>1372</v>
      </c>
      <c r="B1373" s="1">
        <v>28</v>
      </c>
      <c r="C1373" s="1">
        <f t="shared" si="171"/>
        <v>8</v>
      </c>
      <c r="D1373" s="21">
        <f t="shared" ca="1" si="170"/>
        <v>44890</v>
      </c>
      <c r="E1373" s="1" t="s">
        <v>26</v>
      </c>
      <c r="F1373" s="1" t="s">
        <v>1401</v>
      </c>
      <c r="G1373" s="1" t="s">
        <v>28</v>
      </c>
      <c r="H1373" s="1">
        <v>1471</v>
      </c>
      <c r="I1373" s="1">
        <f t="shared" si="172"/>
        <v>56</v>
      </c>
      <c r="J1373" s="1">
        <f>VLOOKUP(B1373,Cena!$A$2:$B$101,2)</f>
        <v>59</v>
      </c>
      <c r="K1373" s="1">
        <f t="shared" si="168"/>
        <v>3304</v>
      </c>
      <c r="L1373" s="1">
        <f t="shared" si="173"/>
        <v>759.92000000000007</v>
      </c>
      <c r="M1373" s="22">
        <f t="shared" si="169"/>
        <v>4063.92</v>
      </c>
      <c r="N1373" s="1">
        <f t="shared" ca="1" si="174"/>
        <v>11</v>
      </c>
      <c r="P1373" s="1">
        <v>56.507411853817757</v>
      </c>
      <c r="Q1373" s="1">
        <f t="shared" ca="1" si="175"/>
        <v>23</v>
      </c>
      <c r="R1373" s="1">
        <v>8.6698469456314342</v>
      </c>
    </row>
    <row r="1374" spans="1:18" x14ac:dyDescent="0.3">
      <c r="A1374" s="26">
        <v>1373</v>
      </c>
      <c r="B1374" s="1">
        <v>23</v>
      </c>
      <c r="C1374" s="1">
        <f t="shared" si="171"/>
        <v>14</v>
      </c>
      <c r="D1374" s="21">
        <f t="shared" ca="1" si="170"/>
        <v>44799</v>
      </c>
      <c r="E1374" s="1" t="s">
        <v>26</v>
      </c>
      <c r="F1374" s="1" t="s">
        <v>1402</v>
      </c>
      <c r="G1374" s="1" t="s">
        <v>28</v>
      </c>
      <c r="H1374" s="1">
        <v>1472</v>
      </c>
      <c r="I1374" s="1">
        <f t="shared" si="172"/>
        <v>49</v>
      </c>
      <c r="J1374" s="1">
        <f>VLOOKUP(B1374,Cena!$A$2:$B$101,2)</f>
        <v>132</v>
      </c>
      <c r="K1374" s="1">
        <f t="shared" si="168"/>
        <v>6468</v>
      </c>
      <c r="L1374" s="1">
        <f t="shared" si="173"/>
        <v>1487.64</v>
      </c>
      <c r="M1374" s="22">
        <f t="shared" si="169"/>
        <v>7955.64</v>
      </c>
      <c r="N1374" s="1">
        <f t="shared" ca="1" si="174"/>
        <v>8</v>
      </c>
      <c r="P1374" s="1">
        <v>49.736428435426205</v>
      </c>
      <c r="Q1374" s="1">
        <f t="shared" ca="1" si="175"/>
        <v>3</v>
      </c>
      <c r="R1374" s="1">
        <v>14.005244136351394</v>
      </c>
    </row>
    <row r="1375" spans="1:18" x14ac:dyDescent="0.3">
      <c r="A1375" s="26">
        <v>1374</v>
      </c>
      <c r="B1375" s="1">
        <v>11</v>
      </c>
      <c r="C1375" s="1">
        <f t="shared" si="171"/>
        <v>5</v>
      </c>
      <c r="D1375" s="21">
        <f t="shared" ca="1" si="170"/>
        <v>44707</v>
      </c>
      <c r="E1375" s="1" t="s">
        <v>26</v>
      </c>
      <c r="F1375" s="1" t="s">
        <v>1403</v>
      </c>
      <c r="G1375" s="1" t="s">
        <v>28</v>
      </c>
      <c r="H1375" s="1">
        <v>1473</v>
      </c>
      <c r="I1375" s="1">
        <f t="shared" si="172"/>
        <v>42</v>
      </c>
      <c r="J1375" s="1">
        <f>VLOOKUP(B1375,Cena!$A$2:$B$101,2)</f>
        <v>83</v>
      </c>
      <c r="K1375" s="1">
        <f t="shared" ref="K1375:K1438" si="176">I1375*J1375</f>
        <v>3486</v>
      </c>
      <c r="L1375" s="1">
        <f t="shared" si="173"/>
        <v>801.78000000000009</v>
      </c>
      <c r="M1375" s="22">
        <f t="shared" ref="M1375:M1438" si="177">K1375+L1375</f>
        <v>4287.78</v>
      </c>
      <c r="N1375" s="1">
        <f t="shared" ca="1" si="174"/>
        <v>5</v>
      </c>
      <c r="P1375" s="1">
        <v>42.571861184842419</v>
      </c>
      <c r="Q1375" s="1">
        <f t="shared" ca="1" si="175"/>
        <v>11</v>
      </c>
      <c r="R1375" s="1">
        <v>5.0519622871070169</v>
      </c>
    </row>
    <row r="1376" spans="1:18" x14ac:dyDescent="0.3">
      <c r="A1376" s="26">
        <v>1375</v>
      </c>
      <c r="B1376" s="1">
        <v>7</v>
      </c>
      <c r="C1376" s="1">
        <f t="shared" si="171"/>
        <v>5</v>
      </c>
      <c r="D1376" s="21">
        <f t="shared" ca="1" si="170"/>
        <v>44855</v>
      </c>
      <c r="E1376" s="1" t="s">
        <v>26</v>
      </c>
      <c r="F1376" s="1" t="s">
        <v>1404</v>
      </c>
      <c r="G1376" s="1" t="s">
        <v>28</v>
      </c>
      <c r="H1376" s="1">
        <v>1474</v>
      </c>
      <c r="I1376" s="1">
        <f t="shared" si="172"/>
        <v>49</v>
      </c>
      <c r="J1376" s="1">
        <f>VLOOKUP(B1376,Cena!$A$2:$B$101,2)</f>
        <v>104</v>
      </c>
      <c r="K1376" s="1">
        <f t="shared" si="176"/>
        <v>5096</v>
      </c>
      <c r="L1376" s="1">
        <f t="shared" si="173"/>
        <v>1172.0800000000002</v>
      </c>
      <c r="M1376" s="22">
        <f t="shared" si="177"/>
        <v>6268.08</v>
      </c>
      <c r="N1376" s="1">
        <f t="shared" ca="1" si="174"/>
        <v>10</v>
      </c>
      <c r="P1376" s="1">
        <v>49.511362602788722</v>
      </c>
      <c r="Q1376" s="1">
        <f t="shared" ca="1" si="175"/>
        <v>9</v>
      </c>
      <c r="R1376" s="1">
        <v>5.3158294374588877</v>
      </c>
    </row>
    <row r="1377" spans="1:18" x14ac:dyDescent="0.3">
      <c r="A1377" s="26">
        <v>1376</v>
      </c>
      <c r="B1377" s="1">
        <v>4</v>
      </c>
      <c r="C1377" s="1">
        <f t="shared" si="171"/>
        <v>12</v>
      </c>
      <c r="D1377" s="21">
        <f t="shared" ca="1" si="170"/>
        <v>44867</v>
      </c>
      <c r="E1377" s="1" t="s">
        <v>26</v>
      </c>
      <c r="F1377" s="1" t="s">
        <v>1405</v>
      </c>
      <c r="G1377" s="1" t="s">
        <v>28</v>
      </c>
      <c r="H1377" s="1">
        <v>1475</v>
      </c>
      <c r="I1377" s="1">
        <f t="shared" si="172"/>
        <v>52</v>
      </c>
      <c r="J1377" s="1">
        <f>VLOOKUP(B1377,Cena!$A$2:$B$101,2)</f>
        <v>99</v>
      </c>
      <c r="K1377" s="1">
        <f t="shared" si="176"/>
        <v>5148</v>
      </c>
      <c r="L1377" s="1">
        <f t="shared" si="173"/>
        <v>1184.04</v>
      </c>
      <c r="M1377" s="22">
        <f t="shared" si="177"/>
        <v>6332.04</v>
      </c>
      <c r="N1377" s="1">
        <f t="shared" ca="1" si="174"/>
        <v>11</v>
      </c>
      <c r="P1377" s="1">
        <v>52.054969172604615</v>
      </c>
      <c r="Q1377" s="1">
        <f t="shared" ca="1" si="175"/>
        <v>29</v>
      </c>
      <c r="R1377" s="1">
        <v>12.636352292029187</v>
      </c>
    </row>
    <row r="1378" spans="1:18" x14ac:dyDescent="0.3">
      <c r="A1378" s="26">
        <v>1377</v>
      </c>
      <c r="B1378" s="1">
        <v>19</v>
      </c>
      <c r="C1378" s="1">
        <f t="shared" si="171"/>
        <v>10</v>
      </c>
      <c r="D1378" s="21">
        <f t="shared" ca="1" si="170"/>
        <v>44841</v>
      </c>
      <c r="E1378" s="1" t="s">
        <v>26</v>
      </c>
      <c r="F1378" s="1" t="s">
        <v>1406</v>
      </c>
      <c r="G1378" s="1" t="s">
        <v>28</v>
      </c>
      <c r="H1378" s="1">
        <v>1476</v>
      </c>
      <c r="I1378" s="1">
        <f t="shared" si="172"/>
        <v>47</v>
      </c>
      <c r="J1378" s="1">
        <f>VLOOKUP(B1378,Cena!$A$2:$B$101,2)</f>
        <v>84</v>
      </c>
      <c r="K1378" s="1">
        <f t="shared" si="176"/>
        <v>3948</v>
      </c>
      <c r="L1378" s="1">
        <f t="shared" si="173"/>
        <v>908.04000000000008</v>
      </c>
      <c r="M1378" s="22">
        <f t="shared" si="177"/>
        <v>4856.04</v>
      </c>
      <c r="N1378" s="1">
        <f t="shared" ca="1" si="174"/>
        <v>10</v>
      </c>
      <c r="P1378" s="1">
        <v>47.862914824509062</v>
      </c>
      <c r="Q1378" s="1">
        <f t="shared" ca="1" si="175"/>
        <v>18</v>
      </c>
      <c r="R1378" s="1">
        <v>10.917822262636037</v>
      </c>
    </row>
    <row r="1379" spans="1:18" x14ac:dyDescent="0.3">
      <c r="A1379" s="26">
        <v>1378</v>
      </c>
      <c r="B1379" s="1">
        <v>14</v>
      </c>
      <c r="C1379" s="1">
        <f t="shared" si="171"/>
        <v>10</v>
      </c>
      <c r="D1379" s="21">
        <f t="shared" ca="1" si="170"/>
        <v>44836</v>
      </c>
      <c r="E1379" s="1" t="s">
        <v>26</v>
      </c>
      <c r="F1379" s="1" t="s">
        <v>1407</v>
      </c>
      <c r="G1379" s="1" t="s">
        <v>28</v>
      </c>
      <c r="H1379" s="1">
        <v>1477</v>
      </c>
      <c r="I1379" s="1">
        <f t="shared" si="172"/>
        <v>62</v>
      </c>
      <c r="J1379" s="1">
        <f>VLOOKUP(B1379,Cena!$A$2:$B$101,2)</f>
        <v>129</v>
      </c>
      <c r="K1379" s="1">
        <f t="shared" si="176"/>
        <v>7998</v>
      </c>
      <c r="L1379" s="1">
        <f t="shared" si="173"/>
        <v>1839.5400000000002</v>
      </c>
      <c r="M1379" s="22">
        <f t="shared" si="177"/>
        <v>9837.5400000000009</v>
      </c>
      <c r="N1379" s="1">
        <f t="shared" ca="1" si="174"/>
        <v>10</v>
      </c>
      <c r="P1379" s="1">
        <v>62.24966581503395</v>
      </c>
      <c r="Q1379" s="1">
        <f t="shared" ca="1" si="175"/>
        <v>26</v>
      </c>
      <c r="R1379" s="1">
        <v>10.791897036833689</v>
      </c>
    </row>
    <row r="1380" spans="1:18" x14ac:dyDescent="0.3">
      <c r="A1380" s="26">
        <v>1379</v>
      </c>
      <c r="B1380" s="1">
        <v>7</v>
      </c>
      <c r="C1380" s="1">
        <f t="shared" si="171"/>
        <v>11</v>
      </c>
      <c r="D1380" s="21">
        <f t="shared" ca="1" si="170"/>
        <v>44605</v>
      </c>
      <c r="E1380" s="1" t="s">
        <v>26</v>
      </c>
      <c r="F1380" s="1" t="s">
        <v>1408</v>
      </c>
      <c r="G1380" s="1" t="s">
        <v>28</v>
      </c>
      <c r="H1380" s="1">
        <v>1478</v>
      </c>
      <c r="I1380" s="1">
        <f t="shared" si="172"/>
        <v>61</v>
      </c>
      <c r="J1380" s="1">
        <f>VLOOKUP(B1380,Cena!$A$2:$B$101,2)</f>
        <v>104</v>
      </c>
      <c r="K1380" s="1">
        <f t="shared" si="176"/>
        <v>6344</v>
      </c>
      <c r="L1380" s="1">
        <f t="shared" si="173"/>
        <v>1459.1200000000001</v>
      </c>
      <c r="M1380" s="22">
        <f t="shared" si="177"/>
        <v>7803.12</v>
      </c>
      <c r="N1380" s="1">
        <f t="shared" ca="1" si="174"/>
        <v>2</v>
      </c>
      <c r="P1380" s="1">
        <v>61.713382264133543</v>
      </c>
      <c r="Q1380" s="1">
        <f t="shared" ca="1" si="175"/>
        <v>6</v>
      </c>
      <c r="R1380" s="1">
        <v>11.695059381745523</v>
      </c>
    </row>
    <row r="1381" spans="1:18" x14ac:dyDescent="0.3">
      <c r="A1381" s="26">
        <v>1380</v>
      </c>
      <c r="B1381" s="1">
        <v>19</v>
      </c>
      <c r="C1381" s="1">
        <f t="shared" si="171"/>
        <v>8</v>
      </c>
      <c r="D1381" s="21">
        <f t="shared" ca="1" si="170"/>
        <v>44670</v>
      </c>
      <c r="E1381" s="1" t="s">
        <v>26</v>
      </c>
      <c r="F1381" s="1" t="s">
        <v>1409</v>
      </c>
      <c r="G1381" s="1" t="s">
        <v>28</v>
      </c>
      <c r="H1381" s="1">
        <v>1479</v>
      </c>
      <c r="I1381" s="1">
        <f t="shared" si="172"/>
        <v>39</v>
      </c>
      <c r="J1381" s="1">
        <f>VLOOKUP(B1381,Cena!$A$2:$B$101,2)</f>
        <v>84</v>
      </c>
      <c r="K1381" s="1">
        <f t="shared" si="176"/>
        <v>3276</v>
      </c>
      <c r="L1381" s="1">
        <f t="shared" si="173"/>
        <v>753.48</v>
      </c>
      <c r="M1381" s="22">
        <f t="shared" si="177"/>
        <v>4029.48</v>
      </c>
      <c r="N1381" s="1">
        <f t="shared" ca="1" si="174"/>
        <v>4</v>
      </c>
      <c r="P1381" s="1">
        <v>39.605453265539836</v>
      </c>
      <c r="Q1381" s="1">
        <f t="shared" ca="1" si="175"/>
        <v>5</v>
      </c>
      <c r="R1381" s="1">
        <v>8.8064956824018736</v>
      </c>
    </row>
    <row r="1382" spans="1:18" x14ac:dyDescent="0.3">
      <c r="A1382" s="26">
        <v>1381</v>
      </c>
      <c r="B1382" s="1">
        <v>2</v>
      </c>
      <c r="C1382" s="1">
        <f t="shared" si="171"/>
        <v>12</v>
      </c>
      <c r="D1382" s="21">
        <f t="shared" ca="1" si="170"/>
        <v>44769</v>
      </c>
      <c r="E1382" s="1" t="s">
        <v>26</v>
      </c>
      <c r="F1382" s="1" t="s">
        <v>1410</v>
      </c>
      <c r="G1382" s="1" t="s">
        <v>28</v>
      </c>
      <c r="H1382" s="1">
        <v>1480</v>
      </c>
      <c r="I1382" s="1">
        <f t="shared" si="172"/>
        <v>55</v>
      </c>
      <c r="J1382" s="1">
        <f>VLOOKUP(B1382,Cena!$A$2:$B$101,2)</f>
        <v>121</v>
      </c>
      <c r="K1382" s="1">
        <f t="shared" si="176"/>
        <v>6655</v>
      </c>
      <c r="L1382" s="1">
        <f t="shared" si="173"/>
        <v>1530.65</v>
      </c>
      <c r="M1382" s="22">
        <f t="shared" si="177"/>
        <v>8185.65</v>
      </c>
      <c r="N1382" s="1">
        <f t="shared" ca="1" si="174"/>
        <v>7</v>
      </c>
      <c r="P1382" s="1">
        <v>55.088486432214268</v>
      </c>
      <c r="Q1382" s="1">
        <f t="shared" ca="1" si="175"/>
        <v>15</v>
      </c>
      <c r="R1382" s="1">
        <v>12.2437291136157</v>
      </c>
    </row>
    <row r="1383" spans="1:18" x14ac:dyDescent="0.3">
      <c r="A1383" s="26">
        <v>1382</v>
      </c>
      <c r="B1383" s="1">
        <v>11</v>
      </c>
      <c r="C1383" s="1">
        <f t="shared" si="171"/>
        <v>7</v>
      </c>
      <c r="D1383" s="21">
        <f t="shared" ca="1" si="170"/>
        <v>44813</v>
      </c>
      <c r="E1383" s="1" t="s">
        <v>26</v>
      </c>
      <c r="F1383" s="1" t="s">
        <v>1411</v>
      </c>
      <c r="G1383" s="1" t="s">
        <v>28</v>
      </c>
      <c r="H1383" s="1">
        <v>1481</v>
      </c>
      <c r="I1383" s="1">
        <f t="shared" si="172"/>
        <v>44</v>
      </c>
      <c r="J1383" s="1">
        <f>VLOOKUP(B1383,Cena!$A$2:$B$101,2)</f>
        <v>83</v>
      </c>
      <c r="K1383" s="1">
        <f t="shared" si="176"/>
        <v>3652</v>
      </c>
      <c r="L1383" s="1">
        <f t="shared" si="173"/>
        <v>839.96</v>
      </c>
      <c r="M1383" s="22">
        <f t="shared" si="177"/>
        <v>4491.96</v>
      </c>
      <c r="N1383" s="1">
        <f t="shared" ca="1" si="174"/>
        <v>9</v>
      </c>
      <c r="P1383" s="1">
        <v>44.089102983707562</v>
      </c>
      <c r="Q1383" s="1">
        <f t="shared" ca="1" si="175"/>
        <v>7</v>
      </c>
      <c r="R1383" s="1">
        <v>7.2533714753808454</v>
      </c>
    </row>
    <row r="1384" spans="1:18" x14ac:dyDescent="0.3">
      <c r="A1384" s="26">
        <v>1383</v>
      </c>
      <c r="B1384" s="1">
        <v>28</v>
      </c>
      <c r="C1384" s="1">
        <f t="shared" si="171"/>
        <v>4</v>
      </c>
      <c r="D1384" s="21">
        <f t="shared" ca="1" si="170"/>
        <v>44760</v>
      </c>
      <c r="E1384" s="1" t="s">
        <v>26</v>
      </c>
      <c r="F1384" s="1" t="s">
        <v>1412</v>
      </c>
      <c r="G1384" s="1" t="s">
        <v>28</v>
      </c>
      <c r="H1384" s="1">
        <v>1482</v>
      </c>
      <c r="I1384" s="1">
        <f t="shared" si="172"/>
        <v>50</v>
      </c>
      <c r="J1384" s="1">
        <f>VLOOKUP(B1384,Cena!$A$2:$B$101,2)</f>
        <v>59</v>
      </c>
      <c r="K1384" s="1">
        <f t="shared" si="176"/>
        <v>2950</v>
      </c>
      <c r="L1384" s="1">
        <f t="shared" si="173"/>
        <v>678.5</v>
      </c>
      <c r="M1384" s="22">
        <f t="shared" si="177"/>
        <v>3628.5</v>
      </c>
      <c r="N1384" s="1">
        <f t="shared" ca="1" si="174"/>
        <v>7</v>
      </c>
      <c r="P1384" s="1">
        <v>50.501654540130403</v>
      </c>
      <c r="Q1384" s="1">
        <f t="shared" ca="1" si="175"/>
        <v>11</v>
      </c>
      <c r="R1384" s="1">
        <v>4.7458945825928822</v>
      </c>
    </row>
    <row r="1385" spans="1:18" x14ac:dyDescent="0.3">
      <c r="A1385" s="26">
        <v>1384</v>
      </c>
      <c r="B1385" s="1">
        <v>23</v>
      </c>
      <c r="C1385" s="1">
        <f t="shared" si="171"/>
        <v>9</v>
      </c>
      <c r="D1385" s="21">
        <f t="shared" ca="1" si="170"/>
        <v>44764</v>
      </c>
      <c r="E1385" s="1" t="s">
        <v>26</v>
      </c>
      <c r="F1385" s="1" t="s">
        <v>1413</v>
      </c>
      <c r="G1385" s="1" t="s">
        <v>28</v>
      </c>
      <c r="H1385" s="1">
        <v>1483</v>
      </c>
      <c r="I1385" s="1">
        <f t="shared" si="172"/>
        <v>46</v>
      </c>
      <c r="J1385" s="1">
        <f>VLOOKUP(B1385,Cena!$A$2:$B$101,2)</f>
        <v>132</v>
      </c>
      <c r="K1385" s="1">
        <f t="shared" si="176"/>
        <v>6072</v>
      </c>
      <c r="L1385" s="1">
        <f t="shared" si="173"/>
        <v>1396.5600000000002</v>
      </c>
      <c r="M1385" s="22">
        <f t="shared" si="177"/>
        <v>7468.56</v>
      </c>
      <c r="N1385" s="1">
        <f t="shared" ca="1" si="174"/>
        <v>7</v>
      </c>
      <c r="P1385" s="1">
        <v>46.982478478457779</v>
      </c>
      <c r="Q1385" s="1">
        <f t="shared" ca="1" si="175"/>
        <v>21</v>
      </c>
      <c r="R1385" s="1">
        <v>9.7306844079503207</v>
      </c>
    </row>
    <row r="1386" spans="1:18" x14ac:dyDescent="0.3">
      <c r="A1386" s="26">
        <v>1385</v>
      </c>
      <c r="B1386" s="1">
        <v>26</v>
      </c>
      <c r="C1386" s="1">
        <f t="shared" si="171"/>
        <v>10</v>
      </c>
      <c r="D1386" s="21">
        <f t="shared" ca="1" si="170"/>
        <v>44813</v>
      </c>
      <c r="E1386" s="1" t="s">
        <v>26</v>
      </c>
      <c r="F1386" s="1" t="s">
        <v>1414</v>
      </c>
      <c r="G1386" s="1" t="s">
        <v>28</v>
      </c>
      <c r="H1386" s="1">
        <v>1484</v>
      </c>
      <c r="I1386" s="1">
        <f t="shared" si="172"/>
        <v>60</v>
      </c>
      <c r="J1386" s="1">
        <f>VLOOKUP(B1386,Cena!$A$2:$B$101,2)</f>
        <v>99</v>
      </c>
      <c r="K1386" s="1">
        <f t="shared" si="176"/>
        <v>5940</v>
      </c>
      <c r="L1386" s="1">
        <f t="shared" si="173"/>
        <v>1366.2</v>
      </c>
      <c r="M1386" s="22">
        <f t="shared" si="177"/>
        <v>7306.2</v>
      </c>
      <c r="N1386" s="1">
        <f t="shared" ca="1" si="174"/>
        <v>9</v>
      </c>
      <c r="P1386" s="1">
        <v>60.026087693404406</v>
      </c>
      <c r="Q1386" s="1">
        <f t="shared" ca="1" si="175"/>
        <v>22</v>
      </c>
      <c r="R1386" s="1">
        <v>10.217625029108603</v>
      </c>
    </row>
    <row r="1387" spans="1:18" x14ac:dyDescent="0.3">
      <c r="A1387" s="26">
        <v>1386</v>
      </c>
      <c r="B1387" s="1">
        <v>6</v>
      </c>
      <c r="C1387" s="1">
        <f t="shared" si="171"/>
        <v>11</v>
      </c>
      <c r="D1387" s="21">
        <f t="shared" ca="1" si="170"/>
        <v>44595</v>
      </c>
      <c r="E1387" s="1" t="s">
        <v>26</v>
      </c>
      <c r="F1387" s="1" t="s">
        <v>1415</v>
      </c>
      <c r="G1387" s="1" t="s">
        <v>28</v>
      </c>
      <c r="H1387" s="1">
        <v>1485</v>
      </c>
      <c r="I1387" s="1">
        <f t="shared" si="172"/>
        <v>47</v>
      </c>
      <c r="J1387" s="1">
        <f>VLOOKUP(B1387,Cena!$A$2:$B$101,2)</f>
        <v>86</v>
      </c>
      <c r="K1387" s="1">
        <f t="shared" si="176"/>
        <v>4042</v>
      </c>
      <c r="L1387" s="1">
        <f t="shared" si="173"/>
        <v>929.66000000000008</v>
      </c>
      <c r="M1387" s="22">
        <f t="shared" si="177"/>
        <v>4971.66</v>
      </c>
      <c r="N1387" s="1">
        <f t="shared" ca="1" si="174"/>
        <v>2</v>
      </c>
      <c r="P1387" s="1">
        <v>47.052850631007459</v>
      </c>
      <c r="Q1387" s="1">
        <f t="shared" ca="1" si="175"/>
        <v>4</v>
      </c>
      <c r="R1387" s="1">
        <v>11.071225597115699</v>
      </c>
    </row>
    <row r="1388" spans="1:18" x14ac:dyDescent="0.3">
      <c r="A1388" s="26">
        <v>1387</v>
      </c>
      <c r="B1388" s="1">
        <v>12</v>
      </c>
      <c r="C1388" s="1">
        <f t="shared" si="171"/>
        <v>5</v>
      </c>
      <c r="D1388" s="21">
        <f t="shared" ca="1" si="170"/>
        <v>44695</v>
      </c>
      <c r="E1388" s="1" t="s">
        <v>26</v>
      </c>
      <c r="F1388" s="1" t="s">
        <v>1416</v>
      </c>
      <c r="G1388" s="1" t="s">
        <v>28</v>
      </c>
      <c r="H1388" s="1">
        <v>1486</v>
      </c>
      <c r="I1388" s="1">
        <f t="shared" si="172"/>
        <v>45</v>
      </c>
      <c r="J1388" s="1">
        <f>VLOOKUP(B1388,Cena!$A$2:$B$101,2)</f>
        <v>88</v>
      </c>
      <c r="K1388" s="1">
        <f t="shared" si="176"/>
        <v>3960</v>
      </c>
      <c r="L1388" s="1">
        <f t="shared" si="173"/>
        <v>910.80000000000007</v>
      </c>
      <c r="M1388" s="22">
        <f t="shared" si="177"/>
        <v>4870.8</v>
      </c>
      <c r="N1388" s="1">
        <f t="shared" ca="1" si="174"/>
        <v>5</v>
      </c>
      <c r="P1388" s="1">
        <v>45.097846294811461</v>
      </c>
      <c r="Q1388" s="1">
        <f t="shared" ca="1" si="175"/>
        <v>18</v>
      </c>
      <c r="R1388" s="1">
        <v>5.2923872115206905</v>
      </c>
    </row>
    <row r="1389" spans="1:18" x14ac:dyDescent="0.3">
      <c r="A1389" s="26">
        <v>1388</v>
      </c>
      <c r="B1389" s="1">
        <v>24</v>
      </c>
      <c r="C1389" s="1">
        <f t="shared" si="171"/>
        <v>10</v>
      </c>
      <c r="D1389" s="21">
        <f t="shared" ca="1" si="170"/>
        <v>44672</v>
      </c>
      <c r="E1389" s="1" t="s">
        <v>26</v>
      </c>
      <c r="F1389" s="1" t="s">
        <v>1417</v>
      </c>
      <c r="G1389" s="1" t="s">
        <v>28</v>
      </c>
      <c r="H1389" s="1">
        <v>1487</v>
      </c>
      <c r="I1389" s="1">
        <f t="shared" si="172"/>
        <v>47</v>
      </c>
      <c r="J1389" s="1">
        <f>VLOOKUP(B1389,Cena!$A$2:$B$101,2)</f>
        <v>125</v>
      </c>
      <c r="K1389" s="1">
        <f t="shared" si="176"/>
        <v>5875</v>
      </c>
      <c r="L1389" s="1">
        <f t="shared" si="173"/>
        <v>1351.25</v>
      </c>
      <c r="M1389" s="22">
        <f t="shared" si="177"/>
        <v>7226.25</v>
      </c>
      <c r="N1389" s="1">
        <f t="shared" ca="1" si="174"/>
        <v>4</v>
      </c>
      <c r="P1389" s="1">
        <v>47.162126419425476</v>
      </c>
      <c r="Q1389" s="1">
        <f t="shared" ca="1" si="175"/>
        <v>30</v>
      </c>
      <c r="R1389" s="1">
        <v>10.750179651731742</v>
      </c>
    </row>
    <row r="1390" spans="1:18" x14ac:dyDescent="0.3">
      <c r="A1390" s="26">
        <v>1389</v>
      </c>
      <c r="B1390" s="1">
        <v>8</v>
      </c>
      <c r="C1390" s="1">
        <f t="shared" si="171"/>
        <v>9</v>
      </c>
      <c r="D1390" s="21">
        <f t="shared" ca="1" si="170"/>
        <v>44657</v>
      </c>
      <c r="E1390" s="1" t="s">
        <v>26</v>
      </c>
      <c r="F1390" s="1" t="s">
        <v>1418</v>
      </c>
      <c r="G1390" s="1" t="s">
        <v>28</v>
      </c>
      <c r="H1390" s="1">
        <v>1488</v>
      </c>
      <c r="I1390" s="1">
        <f t="shared" si="172"/>
        <v>50</v>
      </c>
      <c r="J1390" s="1">
        <f>VLOOKUP(B1390,Cena!$A$2:$B$101,2)</f>
        <v>88</v>
      </c>
      <c r="K1390" s="1">
        <f t="shared" si="176"/>
        <v>4400</v>
      </c>
      <c r="L1390" s="1">
        <f t="shared" si="173"/>
        <v>1012</v>
      </c>
      <c r="M1390" s="22">
        <f t="shared" si="177"/>
        <v>5412</v>
      </c>
      <c r="N1390" s="1">
        <f t="shared" ca="1" si="174"/>
        <v>4</v>
      </c>
      <c r="P1390" s="1">
        <v>50.266629740508506</v>
      </c>
      <c r="Q1390" s="1">
        <f t="shared" ca="1" si="175"/>
        <v>21</v>
      </c>
      <c r="R1390" s="1">
        <v>9.7193299350328743</v>
      </c>
    </row>
    <row r="1391" spans="1:18" x14ac:dyDescent="0.3">
      <c r="A1391" s="26">
        <v>1390</v>
      </c>
      <c r="B1391" s="1">
        <v>8</v>
      </c>
      <c r="C1391" s="1">
        <f t="shared" si="171"/>
        <v>11</v>
      </c>
      <c r="D1391" s="21">
        <f t="shared" ca="1" si="170"/>
        <v>44869</v>
      </c>
      <c r="E1391" s="1" t="s">
        <v>26</v>
      </c>
      <c r="F1391" s="1" t="s">
        <v>1419</v>
      </c>
      <c r="G1391" s="1" t="s">
        <v>28</v>
      </c>
      <c r="H1391" s="1">
        <v>1489</v>
      </c>
      <c r="I1391" s="1">
        <f t="shared" si="172"/>
        <v>58</v>
      </c>
      <c r="J1391" s="1">
        <f>VLOOKUP(B1391,Cena!$A$2:$B$101,2)</f>
        <v>88</v>
      </c>
      <c r="K1391" s="1">
        <f t="shared" si="176"/>
        <v>5104</v>
      </c>
      <c r="L1391" s="1">
        <f t="shared" si="173"/>
        <v>1173.92</v>
      </c>
      <c r="M1391" s="22">
        <f t="shared" si="177"/>
        <v>6277.92</v>
      </c>
      <c r="N1391" s="1">
        <f t="shared" ca="1" si="174"/>
        <v>11</v>
      </c>
      <c r="P1391" s="1">
        <v>58.29409145808313</v>
      </c>
      <c r="Q1391" s="1">
        <f t="shared" ca="1" si="175"/>
        <v>25</v>
      </c>
      <c r="R1391" s="1">
        <v>11.397398818880902</v>
      </c>
    </row>
    <row r="1392" spans="1:18" x14ac:dyDescent="0.3">
      <c r="A1392" s="26">
        <v>1391</v>
      </c>
      <c r="B1392" s="1">
        <v>19</v>
      </c>
      <c r="C1392" s="1">
        <f t="shared" si="171"/>
        <v>9</v>
      </c>
      <c r="D1392" s="21">
        <f t="shared" ca="1" si="170"/>
        <v>44599</v>
      </c>
      <c r="E1392" s="1" t="s">
        <v>26</v>
      </c>
      <c r="F1392" s="1" t="s">
        <v>1420</v>
      </c>
      <c r="G1392" s="1" t="s">
        <v>28</v>
      </c>
      <c r="H1392" s="1">
        <v>1490</v>
      </c>
      <c r="I1392" s="1">
        <f t="shared" si="172"/>
        <v>46</v>
      </c>
      <c r="J1392" s="1">
        <f>VLOOKUP(B1392,Cena!$A$2:$B$101,2)</f>
        <v>84</v>
      </c>
      <c r="K1392" s="1">
        <f t="shared" si="176"/>
        <v>3864</v>
      </c>
      <c r="L1392" s="1">
        <f t="shared" si="173"/>
        <v>888.72</v>
      </c>
      <c r="M1392" s="22">
        <f t="shared" si="177"/>
        <v>4752.72</v>
      </c>
      <c r="N1392" s="1">
        <f t="shared" ca="1" si="174"/>
        <v>2</v>
      </c>
      <c r="P1392" s="1">
        <v>46.422650383465225</v>
      </c>
      <c r="Q1392" s="1">
        <f t="shared" ca="1" si="175"/>
        <v>12</v>
      </c>
      <c r="R1392" s="1">
        <v>9.4620111465337686</v>
      </c>
    </row>
    <row r="1393" spans="1:18" x14ac:dyDescent="0.3">
      <c r="A1393" s="26">
        <v>1392</v>
      </c>
      <c r="B1393" s="1">
        <v>5</v>
      </c>
      <c r="C1393" s="1">
        <f t="shared" si="171"/>
        <v>5</v>
      </c>
      <c r="D1393" s="21">
        <f t="shared" ca="1" si="170"/>
        <v>44913</v>
      </c>
      <c r="E1393" s="1" t="s">
        <v>26</v>
      </c>
      <c r="F1393" s="1" t="s">
        <v>1421</v>
      </c>
      <c r="G1393" s="1" t="s">
        <v>28</v>
      </c>
      <c r="H1393" s="1">
        <v>1491</v>
      </c>
      <c r="I1393" s="1">
        <f t="shared" si="172"/>
        <v>57</v>
      </c>
      <c r="J1393" s="1">
        <f>VLOOKUP(B1393,Cena!$A$2:$B$101,2)</f>
        <v>91</v>
      </c>
      <c r="K1393" s="1">
        <f t="shared" si="176"/>
        <v>5187</v>
      </c>
      <c r="L1393" s="1">
        <f t="shared" si="173"/>
        <v>1193.01</v>
      </c>
      <c r="M1393" s="22">
        <f t="shared" si="177"/>
        <v>6380.01</v>
      </c>
      <c r="N1393" s="1">
        <f t="shared" ca="1" si="174"/>
        <v>12</v>
      </c>
      <c r="P1393" s="1">
        <v>57.18041519576218</v>
      </c>
      <c r="Q1393" s="1">
        <f t="shared" ca="1" si="175"/>
        <v>11</v>
      </c>
      <c r="R1393" s="1">
        <v>5.927043983101612</v>
      </c>
    </row>
    <row r="1394" spans="1:18" x14ac:dyDescent="0.3">
      <c r="A1394" s="26">
        <v>1393</v>
      </c>
      <c r="B1394" s="1">
        <v>7</v>
      </c>
      <c r="C1394" s="1">
        <f t="shared" si="171"/>
        <v>13</v>
      </c>
      <c r="D1394" s="21">
        <f t="shared" ca="1" si="170"/>
        <v>44574</v>
      </c>
      <c r="E1394" s="1" t="s">
        <v>26</v>
      </c>
      <c r="F1394" s="1" t="s">
        <v>1422</v>
      </c>
      <c r="G1394" s="1" t="s">
        <v>28</v>
      </c>
      <c r="H1394" s="1">
        <v>1492</v>
      </c>
      <c r="I1394" s="1">
        <f t="shared" si="172"/>
        <v>55</v>
      </c>
      <c r="J1394" s="1">
        <f>VLOOKUP(B1394,Cena!$A$2:$B$101,2)</f>
        <v>104</v>
      </c>
      <c r="K1394" s="1">
        <f t="shared" si="176"/>
        <v>5720</v>
      </c>
      <c r="L1394" s="1">
        <f t="shared" si="173"/>
        <v>1315.6000000000001</v>
      </c>
      <c r="M1394" s="22">
        <f t="shared" si="177"/>
        <v>7035.6</v>
      </c>
      <c r="N1394" s="1">
        <f t="shared" ca="1" si="174"/>
        <v>1</v>
      </c>
      <c r="P1394" s="1">
        <v>55.058029728388647</v>
      </c>
      <c r="Q1394" s="1">
        <f t="shared" ca="1" si="175"/>
        <v>4</v>
      </c>
      <c r="R1394" s="1">
        <v>13.411093985050684</v>
      </c>
    </row>
    <row r="1395" spans="1:18" x14ac:dyDescent="0.3">
      <c r="A1395" s="26">
        <v>1394</v>
      </c>
      <c r="B1395" s="1">
        <v>2</v>
      </c>
      <c r="C1395" s="1">
        <f t="shared" si="171"/>
        <v>9</v>
      </c>
      <c r="D1395" s="21">
        <f t="shared" ca="1" si="170"/>
        <v>44809</v>
      </c>
      <c r="E1395" s="1" t="s">
        <v>26</v>
      </c>
      <c r="F1395" s="1" t="s">
        <v>1423</v>
      </c>
      <c r="G1395" s="1" t="s">
        <v>28</v>
      </c>
      <c r="H1395" s="1">
        <v>1493</v>
      </c>
      <c r="I1395" s="1">
        <f t="shared" si="172"/>
        <v>55</v>
      </c>
      <c r="J1395" s="1">
        <f>VLOOKUP(B1395,Cena!$A$2:$B$101,2)</f>
        <v>121</v>
      </c>
      <c r="K1395" s="1">
        <f t="shared" si="176"/>
        <v>6655</v>
      </c>
      <c r="L1395" s="1">
        <f t="shared" si="173"/>
        <v>1530.65</v>
      </c>
      <c r="M1395" s="22">
        <f t="shared" si="177"/>
        <v>8185.65</v>
      </c>
      <c r="N1395" s="1">
        <f t="shared" ca="1" si="174"/>
        <v>9</v>
      </c>
      <c r="P1395" s="1">
        <v>55.654101187246852</v>
      </c>
      <c r="Q1395" s="1">
        <f t="shared" ca="1" si="175"/>
        <v>19</v>
      </c>
      <c r="R1395" s="1">
        <v>9.8856907268418581</v>
      </c>
    </row>
    <row r="1396" spans="1:18" x14ac:dyDescent="0.3">
      <c r="A1396" s="26">
        <v>1395</v>
      </c>
      <c r="B1396" s="1">
        <v>13</v>
      </c>
      <c r="C1396" s="1">
        <f t="shared" si="171"/>
        <v>9</v>
      </c>
      <c r="D1396" s="21">
        <f t="shared" ca="1" si="170"/>
        <v>44640</v>
      </c>
      <c r="E1396" s="1" t="s">
        <v>26</v>
      </c>
      <c r="F1396" s="1" t="s">
        <v>1424</v>
      </c>
      <c r="G1396" s="1" t="s">
        <v>28</v>
      </c>
      <c r="H1396" s="1">
        <v>1494</v>
      </c>
      <c r="I1396" s="1">
        <f t="shared" si="172"/>
        <v>31</v>
      </c>
      <c r="J1396" s="1">
        <f>VLOOKUP(B1396,Cena!$A$2:$B$101,2)</f>
        <v>94</v>
      </c>
      <c r="K1396" s="1">
        <f t="shared" si="176"/>
        <v>2914</v>
      </c>
      <c r="L1396" s="1">
        <f t="shared" si="173"/>
        <v>670.22</v>
      </c>
      <c r="M1396" s="22">
        <f t="shared" si="177"/>
        <v>3584.2200000000003</v>
      </c>
      <c r="N1396" s="1">
        <f t="shared" ca="1" si="174"/>
        <v>3</v>
      </c>
      <c r="P1396" s="1">
        <v>31.416021910263225</v>
      </c>
      <c r="Q1396" s="1">
        <f t="shared" ca="1" si="175"/>
        <v>23</v>
      </c>
      <c r="R1396" s="1">
        <v>9.354616875280044</v>
      </c>
    </row>
    <row r="1397" spans="1:18" x14ac:dyDescent="0.3">
      <c r="A1397" s="26">
        <v>1396</v>
      </c>
      <c r="B1397" s="1">
        <v>24</v>
      </c>
      <c r="C1397" s="1">
        <f t="shared" si="171"/>
        <v>5</v>
      </c>
      <c r="D1397" s="21">
        <f t="shared" ca="1" si="170"/>
        <v>44562</v>
      </c>
      <c r="E1397" s="1" t="s">
        <v>26</v>
      </c>
      <c r="F1397" s="1" t="s">
        <v>1425</v>
      </c>
      <c r="G1397" s="1" t="s">
        <v>28</v>
      </c>
      <c r="H1397" s="1">
        <v>1495</v>
      </c>
      <c r="I1397" s="1">
        <f t="shared" si="172"/>
        <v>27</v>
      </c>
      <c r="J1397" s="1">
        <f>VLOOKUP(B1397,Cena!$A$2:$B$101,2)</f>
        <v>125</v>
      </c>
      <c r="K1397" s="1">
        <f t="shared" si="176"/>
        <v>3375</v>
      </c>
      <c r="L1397" s="1">
        <f t="shared" si="173"/>
        <v>776.25</v>
      </c>
      <c r="M1397" s="22">
        <f t="shared" si="177"/>
        <v>4151.25</v>
      </c>
      <c r="N1397" s="1">
        <f t="shared" ca="1" si="174"/>
        <v>1</v>
      </c>
      <c r="P1397" s="1">
        <v>27.091647451743484</v>
      </c>
      <c r="Q1397" s="1">
        <f t="shared" ca="1" si="175"/>
        <v>11</v>
      </c>
      <c r="R1397" s="1">
        <v>5.5490693537285551</v>
      </c>
    </row>
    <row r="1398" spans="1:18" x14ac:dyDescent="0.3">
      <c r="A1398" s="26">
        <v>1397</v>
      </c>
      <c r="B1398" s="1">
        <v>13</v>
      </c>
      <c r="C1398" s="1">
        <f t="shared" si="171"/>
        <v>11</v>
      </c>
      <c r="D1398" s="21">
        <f t="shared" ca="1" si="170"/>
        <v>44608</v>
      </c>
      <c r="E1398" s="1" t="s">
        <v>26</v>
      </c>
      <c r="F1398" s="1" t="s">
        <v>1426</v>
      </c>
      <c r="G1398" s="1" t="s">
        <v>28</v>
      </c>
      <c r="H1398" s="1">
        <v>1496</v>
      </c>
      <c r="I1398" s="1">
        <f t="shared" si="172"/>
        <v>51</v>
      </c>
      <c r="J1398" s="1">
        <f>VLOOKUP(B1398,Cena!$A$2:$B$101,2)</f>
        <v>94</v>
      </c>
      <c r="K1398" s="1">
        <f t="shared" si="176"/>
        <v>4794</v>
      </c>
      <c r="L1398" s="1">
        <f t="shared" si="173"/>
        <v>1102.6200000000001</v>
      </c>
      <c r="M1398" s="22">
        <f t="shared" si="177"/>
        <v>5896.62</v>
      </c>
      <c r="N1398" s="1">
        <f t="shared" ca="1" si="174"/>
        <v>2</v>
      </c>
      <c r="P1398" s="1">
        <v>51.703801899566315</v>
      </c>
      <c r="Q1398" s="1">
        <f t="shared" ca="1" si="175"/>
        <v>18</v>
      </c>
      <c r="R1398" s="1">
        <v>11.34958213493519</v>
      </c>
    </row>
    <row r="1399" spans="1:18" x14ac:dyDescent="0.3">
      <c r="A1399" s="26">
        <v>1398</v>
      </c>
      <c r="B1399" s="1">
        <v>11</v>
      </c>
      <c r="C1399" s="1">
        <f t="shared" si="171"/>
        <v>7</v>
      </c>
      <c r="D1399" s="21">
        <f t="shared" ca="1" si="170"/>
        <v>44851</v>
      </c>
      <c r="E1399" s="1" t="s">
        <v>26</v>
      </c>
      <c r="F1399" s="1" t="s">
        <v>1427</v>
      </c>
      <c r="G1399" s="1" t="s">
        <v>28</v>
      </c>
      <c r="H1399" s="1">
        <v>1497</v>
      </c>
      <c r="I1399" s="1">
        <f t="shared" si="172"/>
        <v>32</v>
      </c>
      <c r="J1399" s="1">
        <f>VLOOKUP(B1399,Cena!$A$2:$B$101,2)</f>
        <v>83</v>
      </c>
      <c r="K1399" s="1">
        <f t="shared" si="176"/>
        <v>2656</v>
      </c>
      <c r="L1399" s="1">
        <f t="shared" si="173"/>
        <v>610.88</v>
      </c>
      <c r="M1399" s="22">
        <f t="shared" si="177"/>
        <v>3266.88</v>
      </c>
      <c r="N1399" s="1">
        <f t="shared" ca="1" si="174"/>
        <v>10</v>
      </c>
      <c r="P1399" s="1">
        <v>32.65489011828322</v>
      </c>
      <c r="Q1399" s="1">
        <f t="shared" ca="1" si="175"/>
        <v>26</v>
      </c>
      <c r="R1399" s="1">
        <v>7.8011146595235914</v>
      </c>
    </row>
    <row r="1400" spans="1:18" x14ac:dyDescent="0.3">
      <c r="A1400" s="26">
        <v>1399</v>
      </c>
      <c r="B1400" s="1">
        <v>23</v>
      </c>
      <c r="C1400" s="1">
        <f t="shared" si="171"/>
        <v>5</v>
      </c>
      <c r="D1400" s="21">
        <f t="shared" ca="1" si="170"/>
        <v>44732</v>
      </c>
      <c r="E1400" s="1" t="s">
        <v>26</v>
      </c>
      <c r="F1400" s="1" t="s">
        <v>1428</v>
      </c>
      <c r="G1400" s="1" t="s">
        <v>28</v>
      </c>
      <c r="H1400" s="1">
        <v>1498</v>
      </c>
      <c r="I1400" s="1">
        <f t="shared" si="172"/>
        <v>58</v>
      </c>
      <c r="J1400" s="1">
        <f>VLOOKUP(B1400,Cena!$A$2:$B$101,2)</f>
        <v>132</v>
      </c>
      <c r="K1400" s="1">
        <f t="shared" si="176"/>
        <v>7656</v>
      </c>
      <c r="L1400" s="1">
        <f t="shared" si="173"/>
        <v>1760.88</v>
      </c>
      <c r="M1400" s="22">
        <f t="shared" si="177"/>
        <v>9416.880000000001</v>
      </c>
      <c r="N1400" s="1">
        <f t="shared" ca="1" si="174"/>
        <v>6</v>
      </c>
      <c r="P1400" s="1">
        <v>58.552592589694541</v>
      </c>
      <c r="Q1400" s="1">
        <f t="shared" ca="1" si="175"/>
        <v>11</v>
      </c>
      <c r="R1400" s="1">
        <v>5.5349949232186191</v>
      </c>
    </row>
    <row r="1401" spans="1:18" x14ac:dyDescent="0.3">
      <c r="A1401" s="26">
        <v>1400</v>
      </c>
      <c r="B1401" s="1">
        <v>15</v>
      </c>
      <c r="C1401" s="1">
        <f t="shared" si="171"/>
        <v>12</v>
      </c>
      <c r="D1401" s="21">
        <f t="shared" ca="1" si="170"/>
        <v>44637</v>
      </c>
      <c r="E1401" s="1" t="s">
        <v>26</v>
      </c>
      <c r="F1401" s="1" t="s">
        <v>1429</v>
      </c>
      <c r="G1401" s="1" t="s">
        <v>28</v>
      </c>
      <c r="H1401" s="1">
        <v>1499</v>
      </c>
      <c r="I1401" s="1">
        <f t="shared" si="172"/>
        <v>53</v>
      </c>
      <c r="J1401" s="1">
        <f>VLOOKUP(B1401,Cena!$A$2:$B$101,2)</f>
        <v>85</v>
      </c>
      <c r="K1401" s="1">
        <f t="shared" si="176"/>
        <v>4505</v>
      </c>
      <c r="L1401" s="1">
        <f t="shared" si="173"/>
        <v>1036.1500000000001</v>
      </c>
      <c r="M1401" s="22">
        <f t="shared" si="177"/>
        <v>5541.15</v>
      </c>
      <c r="N1401" s="1">
        <f t="shared" ca="1" si="174"/>
        <v>3</v>
      </c>
      <c r="P1401" s="1">
        <v>53.089667188760359</v>
      </c>
      <c r="Q1401" s="1">
        <f t="shared" ca="1" si="175"/>
        <v>19</v>
      </c>
      <c r="R1401" s="1">
        <v>12.145878852388705</v>
      </c>
    </row>
    <row r="1402" spans="1:18" x14ac:dyDescent="0.3">
      <c r="A1402" s="26">
        <v>1401</v>
      </c>
      <c r="B1402" s="1">
        <v>12</v>
      </c>
      <c r="C1402" s="1">
        <f t="shared" si="171"/>
        <v>9</v>
      </c>
      <c r="D1402" s="21">
        <f t="shared" ca="1" si="170"/>
        <v>44748</v>
      </c>
      <c r="E1402" s="1" t="s">
        <v>26</v>
      </c>
      <c r="F1402" s="1" t="s">
        <v>1430</v>
      </c>
      <c r="G1402" s="1" t="s">
        <v>28</v>
      </c>
      <c r="H1402" s="1">
        <v>1500</v>
      </c>
      <c r="I1402" s="1">
        <f t="shared" si="172"/>
        <v>47</v>
      </c>
      <c r="J1402" s="1">
        <f>VLOOKUP(B1402,Cena!$A$2:$B$101,2)</f>
        <v>88</v>
      </c>
      <c r="K1402" s="1">
        <f t="shared" si="176"/>
        <v>4136</v>
      </c>
      <c r="L1402" s="1">
        <f t="shared" si="173"/>
        <v>951.28000000000009</v>
      </c>
      <c r="M1402" s="22">
        <f t="shared" si="177"/>
        <v>5087.28</v>
      </c>
      <c r="N1402" s="1">
        <f t="shared" ca="1" si="174"/>
        <v>7</v>
      </c>
      <c r="P1402" s="1">
        <v>47.143811469868524</v>
      </c>
      <c r="Q1402" s="1">
        <f t="shared" ca="1" si="175"/>
        <v>15</v>
      </c>
      <c r="R1402" s="1">
        <v>9.6236454080644762</v>
      </c>
    </row>
    <row r="1403" spans="1:18" x14ac:dyDescent="0.3">
      <c r="A1403" s="26">
        <v>1402</v>
      </c>
      <c r="B1403" s="1">
        <v>3</v>
      </c>
      <c r="C1403" s="1">
        <f t="shared" si="171"/>
        <v>10</v>
      </c>
      <c r="D1403" s="21">
        <f t="shared" ca="1" si="170"/>
        <v>44862</v>
      </c>
      <c r="E1403" s="1" t="s">
        <v>26</v>
      </c>
      <c r="F1403" s="1" t="s">
        <v>1431</v>
      </c>
      <c r="G1403" s="1" t="s">
        <v>28</v>
      </c>
      <c r="H1403" s="1">
        <v>1501</v>
      </c>
      <c r="I1403" s="1">
        <f t="shared" si="172"/>
        <v>45</v>
      </c>
      <c r="J1403" s="1">
        <f>VLOOKUP(B1403,Cena!$A$2:$B$101,2)</f>
        <v>89</v>
      </c>
      <c r="K1403" s="1">
        <f t="shared" si="176"/>
        <v>4005</v>
      </c>
      <c r="L1403" s="1">
        <f t="shared" si="173"/>
        <v>921.15000000000009</v>
      </c>
      <c r="M1403" s="22">
        <f t="shared" si="177"/>
        <v>4926.1499999999996</v>
      </c>
      <c r="N1403" s="1">
        <f t="shared" ca="1" si="174"/>
        <v>10</v>
      </c>
      <c r="P1403" s="1">
        <v>45.706707522913348</v>
      </c>
      <c r="Q1403" s="1">
        <f t="shared" ca="1" si="175"/>
        <v>20</v>
      </c>
      <c r="R1403" s="1">
        <v>10.716238446329953</v>
      </c>
    </row>
    <row r="1404" spans="1:18" x14ac:dyDescent="0.3">
      <c r="A1404" s="26">
        <v>1403</v>
      </c>
      <c r="B1404" s="1">
        <v>9</v>
      </c>
      <c r="C1404" s="1">
        <f t="shared" si="171"/>
        <v>11</v>
      </c>
      <c r="D1404" s="21">
        <f t="shared" ca="1" si="170"/>
        <v>44748</v>
      </c>
      <c r="E1404" s="1" t="s">
        <v>26</v>
      </c>
      <c r="F1404" s="1" t="s">
        <v>1432</v>
      </c>
      <c r="G1404" s="1" t="s">
        <v>28</v>
      </c>
      <c r="H1404" s="1">
        <v>1502</v>
      </c>
      <c r="I1404" s="1">
        <f t="shared" si="172"/>
        <v>51</v>
      </c>
      <c r="J1404" s="1">
        <f>VLOOKUP(B1404,Cena!$A$2:$B$101,2)</f>
        <v>96</v>
      </c>
      <c r="K1404" s="1">
        <f t="shared" si="176"/>
        <v>4896</v>
      </c>
      <c r="L1404" s="1">
        <f t="shared" si="173"/>
        <v>1126.0800000000002</v>
      </c>
      <c r="M1404" s="22">
        <f t="shared" si="177"/>
        <v>6022.08</v>
      </c>
      <c r="N1404" s="1">
        <f t="shared" ca="1" si="174"/>
        <v>7</v>
      </c>
      <c r="P1404" s="1">
        <v>51.367834556731395</v>
      </c>
      <c r="Q1404" s="1">
        <f t="shared" ca="1" si="175"/>
        <v>5</v>
      </c>
      <c r="R1404" s="1">
        <v>11.137431127062882</v>
      </c>
    </row>
    <row r="1405" spans="1:18" x14ac:dyDescent="0.3">
      <c r="A1405" s="26">
        <v>1404</v>
      </c>
      <c r="B1405" s="1">
        <v>12</v>
      </c>
      <c r="C1405" s="1">
        <f t="shared" si="171"/>
        <v>12</v>
      </c>
      <c r="D1405" s="21">
        <f t="shared" ca="1" si="170"/>
        <v>44779</v>
      </c>
      <c r="E1405" s="1" t="s">
        <v>26</v>
      </c>
      <c r="F1405" s="1" t="s">
        <v>1433</v>
      </c>
      <c r="G1405" s="1" t="s">
        <v>28</v>
      </c>
      <c r="H1405" s="1">
        <v>1503</v>
      </c>
      <c r="I1405" s="1">
        <f t="shared" si="172"/>
        <v>59</v>
      </c>
      <c r="J1405" s="1">
        <f>VLOOKUP(B1405,Cena!$A$2:$B$101,2)</f>
        <v>88</v>
      </c>
      <c r="K1405" s="1">
        <f t="shared" si="176"/>
        <v>5192</v>
      </c>
      <c r="L1405" s="1">
        <f t="shared" si="173"/>
        <v>1194.1600000000001</v>
      </c>
      <c r="M1405" s="22">
        <f t="shared" si="177"/>
        <v>6386.16</v>
      </c>
      <c r="N1405" s="1">
        <f t="shared" ca="1" si="174"/>
        <v>8</v>
      </c>
      <c r="P1405" s="1">
        <v>59.603809303371236</v>
      </c>
      <c r="Q1405" s="1">
        <f t="shared" ca="1" si="175"/>
        <v>29</v>
      </c>
      <c r="R1405" s="1">
        <v>12.039723767666146</v>
      </c>
    </row>
    <row r="1406" spans="1:18" x14ac:dyDescent="0.3">
      <c r="A1406" s="26">
        <v>1405</v>
      </c>
      <c r="B1406" s="1">
        <v>5</v>
      </c>
      <c r="C1406" s="1">
        <f t="shared" si="171"/>
        <v>13</v>
      </c>
      <c r="D1406" s="21">
        <f t="shared" ca="1" si="170"/>
        <v>44690</v>
      </c>
      <c r="E1406" s="1" t="s">
        <v>26</v>
      </c>
      <c r="F1406" s="1" t="s">
        <v>1434</v>
      </c>
      <c r="G1406" s="1" t="s">
        <v>28</v>
      </c>
      <c r="H1406" s="1">
        <v>1504</v>
      </c>
      <c r="I1406" s="1">
        <f t="shared" si="172"/>
        <v>45</v>
      </c>
      <c r="J1406" s="1">
        <f>VLOOKUP(B1406,Cena!$A$2:$B$101,2)</f>
        <v>91</v>
      </c>
      <c r="K1406" s="1">
        <f t="shared" si="176"/>
        <v>4095</v>
      </c>
      <c r="L1406" s="1">
        <f t="shared" si="173"/>
        <v>941.85</v>
      </c>
      <c r="M1406" s="22">
        <f t="shared" si="177"/>
        <v>5036.8500000000004</v>
      </c>
      <c r="N1406" s="1">
        <f t="shared" ca="1" si="174"/>
        <v>5</v>
      </c>
      <c r="P1406" s="1">
        <v>45.698317434289493</v>
      </c>
      <c r="Q1406" s="1">
        <f t="shared" ca="1" si="175"/>
        <v>10</v>
      </c>
      <c r="R1406" s="1">
        <v>13.009643023688113</v>
      </c>
    </row>
    <row r="1407" spans="1:18" x14ac:dyDescent="0.3">
      <c r="A1407" s="26">
        <v>1406</v>
      </c>
      <c r="B1407" s="1">
        <v>6</v>
      </c>
      <c r="C1407" s="1">
        <f t="shared" si="171"/>
        <v>11</v>
      </c>
      <c r="D1407" s="21">
        <f t="shared" ca="1" si="170"/>
        <v>44759</v>
      </c>
      <c r="E1407" s="1" t="s">
        <v>26</v>
      </c>
      <c r="F1407" s="1" t="s">
        <v>1435</v>
      </c>
      <c r="G1407" s="1" t="s">
        <v>28</v>
      </c>
      <c r="H1407" s="1">
        <v>1505</v>
      </c>
      <c r="I1407" s="1">
        <f t="shared" si="172"/>
        <v>61</v>
      </c>
      <c r="J1407" s="1">
        <f>VLOOKUP(B1407,Cena!$A$2:$B$101,2)</f>
        <v>86</v>
      </c>
      <c r="K1407" s="1">
        <f t="shared" si="176"/>
        <v>5246</v>
      </c>
      <c r="L1407" s="1">
        <f t="shared" si="173"/>
        <v>1206.5800000000002</v>
      </c>
      <c r="M1407" s="22">
        <f t="shared" si="177"/>
        <v>6452.58</v>
      </c>
      <c r="N1407" s="1">
        <f t="shared" ca="1" si="174"/>
        <v>7</v>
      </c>
      <c r="P1407" s="1">
        <v>61.624229045992251</v>
      </c>
      <c r="Q1407" s="1">
        <f t="shared" ca="1" si="175"/>
        <v>23</v>
      </c>
      <c r="R1407" s="1">
        <v>11.239143898601469</v>
      </c>
    </row>
    <row r="1408" spans="1:18" x14ac:dyDescent="0.3">
      <c r="A1408" s="26">
        <v>1407</v>
      </c>
      <c r="B1408" s="1">
        <v>29</v>
      </c>
      <c r="C1408" s="1">
        <f t="shared" si="171"/>
        <v>8</v>
      </c>
      <c r="D1408" s="21">
        <f t="shared" ca="1" si="170"/>
        <v>44906</v>
      </c>
      <c r="E1408" s="1" t="s">
        <v>26</v>
      </c>
      <c r="F1408" s="1" t="s">
        <v>1436</v>
      </c>
      <c r="G1408" s="1" t="s">
        <v>28</v>
      </c>
      <c r="H1408" s="1">
        <v>1506</v>
      </c>
      <c r="I1408" s="1">
        <f t="shared" si="172"/>
        <v>48</v>
      </c>
      <c r="J1408" s="1">
        <f>VLOOKUP(B1408,Cena!$A$2:$B$101,2)</f>
        <v>105</v>
      </c>
      <c r="K1408" s="1">
        <f t="shared" si="176"/>
        <v>5040</v>
      </c>
      <c r="L1408" s="1">
        <f t="shared" si="173"/>
        <v>1159.2</v>
      </c>
      <c r="M1408" s="22">
        <f t="shared" si="177"/>
        <v>6199.2</v>
      </c>
      <c r="N1408" s="1">
        <f t="shared" ca="1" si="174"/>
        <v>12</v>
      </c>
      <c r="P1408" s="1">
        <v>48.620580754504772</v>
      </c>
      <c r="Q1408" s="1">
        <f t="shared" ca="1" si="175"/>
        <v>15</v>
      </c>
      <c r="R1408" s="1">
        <v>8.5079028874679352</v>
      </c>
    </row>
    <row r="1409" spans="1:18" x14ac:dyDescent="0.3">
      <c r="A1409" s="26">
        <v>1408</v>
      </c>
      <c r="B1409" s="1">
        <v>13</v>
      </c>
      <c r="C1409" s="1">
        <f t="shared" si="171"/>
        <v>8</v>
      </c>
      <c r="D1409" s="21">
        <f t="shared" ca="1" si="170"/>
        <v>44861</v>
      </c>
      <c r="E1409" s="1" t="s">
        <v>26</v>
      </c>
      <c r="F1409" s="1" t="s">
        <v>1437</v>
      </c>
      <c r="G1409" s="1" t="s">
        <v>28</v>
      </c>
      <c r="H1409" s="1">
        <v>1507</v>
      </c>
      <c r="I1409" s="1">
        <f t="shared" si="172"/>
        <v>52</v>
      </c>
      <c r="J1409" s="1">
        <f>VLOOKUP(B1409,Cena!$A$2:$B$101,2)</f>
        <v>94</v>
      </c>
      <c r="K1409" s="1">
        <f t="shared" si="176"/>
        <v>4888</v>
      </c>
      <c r="L1409" s="1">
        <f t="shared" si="173"/>
        <v>1124.24</v>
      </c>
      <c r="M1409" s="22">
        <f t="shared" si="177"/>
        <v>6012.24</v>
      </c>
      <c r="N1409" s="1">
        <f t="shared" ca="1" si="174"/>
        <v>10</v>
      </c>
      <c r="P1409" s="1">
        <v>52.444937763357302</v>
      </c>
      <c r="Q1409" s="1">
        <f t="shared" ca="1" si="175"/>
        <v>16</v>
      </c>
      <c r="R1409" s="1">
        <v>8.5576579319968005</v>
      </c>
    </row>
    <row r="1410" spans="1:18" x14ac:dyDescent="0.3">
      <c r="A1410" s="26">
        <v>1409</v>
      </c>
      <c r="B1410" s="1">
        <v>25</v>
      </c>
      <c r="C1410" s="1">
        <f t="shared" si="171"/>
        <v>7</v>
      </c>
      <c r="D1410" s="21">
        <f t="shared" ref="D1410:D1473" ca="1" si="178">DATE(2022,RANDBETWEEN(1,12),RANDBETWEEN(1,28))</f>
        <v>44587</v>
      </c>
      <c r="E1410" s="1" t="s">
        <v>26</v>
      </c>
      <c r="F1410" s="1" t="s">
        <v>1438</v>
      </c>
      <c r="G1410" s="1" t="s">
        <v>28</v>
      </c>
      <c r="H1410" s="1">
        <v>1508</v>
      </c>
      <c r="I1410" s="1">
        <f t="shared" si="172"/>
        <v>55</v>
      </c>
      <c r="J1410" s="1">
        <f>VLOOKUP(B1410,Cena!$A$2:$B$101,2)</f>
        <v>108</v>
      </c>
      <c r="K1410" s="1">
        <f t="shared" si="176"/>
        <v>5940</v>
      </c>
      <c r="L1410" s="1">
        <f t="shared" si="173"/>
        <v>1366.2</v>
      </c>
      <c r="M1410" s="22">
        <f t="shared" si="177"/>
        <v>7306.2</v>
      </c>
      <c r="N1410" s="1">
        <f t="shared" ca="1" si="174"/>
        <v>1</v>
      </c>
      <c r="P1410" s="1">
        <v>55.856327334186062</v>
      </c>
      <c r="Q1410" s="1">
        <f t="shared" ca="1" si="175"/>
        <v>19</v>
      </c>
      <c r="R1410" s="1">
        <v>7.9080769207939738</v>
      </c>
    </row>
    <row r="1411" spans="1:18" x14ac:dyDescent="0.3">
      <c r="A1411" s="26">
        <v>1410</v>
      </c>
      <c r="B1411" s="1">
        <v>25</v>
      </c>
      <c r="C1411" s="1">
        <f t="shared" ref="C1411:C1474" si="179">INT(R1411)</f>
        <v>9</v>
      </c>
      <c r="D1411" s="21">
        <f t="shared" ca="1" si="178"/>
        <v>44755</v>
      </c>
      <c r="E1411" s="1" t="s">
        <v>26</v>
      </c>
      <c r="F1411" s="1" t="s">
        <v>1439</v>
      </c>
      <c r="G1411" s="1" t="s">
        <v>28</v>
      </c>
      <c r="H1411" s="1">
        <v>1509</v>
      </c>
      <c r="I1411" s="1">
        <f t="shared" ref="I1411:I1474" si="180">INT(P1411)</f>
        <v>54</v>
      </c>
      <c r="J1411" s="1">
        <f>VLOOKUP(B1411,Cena!$A$2:$B$101,2)</f>
        <v>108</v>
      </c>
      <c r="K1411" s="1">
        <f t="shared" si="176"/>
        <v>5832</v>
      </c>
      <c r="L1411" s="1">
        <f t="shared" ref="L1411:L1474" si="181">K1411*23%</f>
        <v>1341.3600000000001</v>
      </c>
      <c r="M1411" s="22">
        <f t="shared" si="177"/>
        <v>7173.3600000000006</v>
      </c>
      <c r="N1411" s="1">
        <f t="shared" ref="N1411:N1474" ca="1" si="182">MONTH(D1411)</f>
        <v>7</v>
      </c>
      <c r="P1411" s="1">
        <v>54.828962119063362</v>
      </c>
      <c r="Q1411" s="1">
        <f t="shared" ref="Q1411:Q1474" ca="1" si="183">RANDBETWEEN(1,30)</f>
        <v>12</v>
      </c>
      <c r="R1411" s="1">
        <v>9.6279001379662077</v>
      </c>
    </row>
    <row r="1412" spans="1:18" x14ac:dyDescent="0.3">
      <c r="A1412" s="26">
        <v>1411</v>
      </c>
      <c r="B1412" s="1">
        <v>11</v>
      </c>
      <c r="C1412" s="1">
        <f t="shared" si="179"/>
        <v>11</v>
      </c>
      <c r="D1412" s="21">
        <f t="shared" ca="1" si="178"/>
        <v>44690</v>
      </c>
      <c r="E1412" s="1" t="s">
        <v>26</v>
      </c>
      <c r="F1412" s="1" t="s">
        <v>1440</v>
      </c>
      <c r="G1412" s="1" t="s">
        <v>28</v>
      </c>
      <c r="H1412" s="1">
        <v>1510</v>
      </c>
      <c r="I1412" s="1">
        <f t="shared" si="180"/>
        <v>34</v>
      </c>
      <c r="J1412" s="1">
        <f>VLOOKUP(B1412,Cena!$A$2:$B$101,2)</f>
        <v>83</v>
      </c>
      <c r="K1412" s="1">
        <f t="shared" si="176"/>
        <v>2822</v>
      </c>
      <c r="L1412" s="1">
        <f t="shared" si="181"/>
        <v>649.06000000000006</v>
      </c>
      <c r="M1412" s="22">
        <f t="shared" si="177"/>
        <v>3471.06</v>
      </c>
      <c r="N1412" s="1">
        <f t="shared" ca="1" si="182"/>
        <v>5</v>
      </c>
      <c r="P1412" s="1">
        <v>34.291389409918338</v>
      </c>
      <c r="Q1412" s="1">
        <f t="shared" ca="1" si="183"/>
        <v>13</v>
      </c>
      <c r="R1412" s="1">
        <v>11.946432348631788</v>
      </c>
    </row>
    <row r="1413" spans="1:18" x14ac:dyDescent="0.3">
      <c r="A1413" s="26">
        <v>1412</v>
      </c>
      <c r="B1413" s="1">
        <v>23</v>
      </c>
      <c r="C1413" s="1">
        <f t="shared" si="179"/>
        <v>13</v>
      </c>
      <c r="D1413" s="21">
        <f t="shared" ca="1" si="178"/>
        <v>44692</v>
      </c>
      <c r="E1413" s="1" t="s">
        <v>26</v>
      </c>
      <c r="F1413" s="1" t="s">
        <v>1441</v>
      </c>
      <c r="G1413" s="1" t="s">
        <v>28</v>
      </c>
      <c r="H1413" s="1">
        <v>1511</v>
      </c>
      <c r="I1413" s="1">
        <f t="shared" si="180"/>
        <v>58</v>
      </c>
      <c r="J1413" s="1">
        <f>VLOOKUP(B1413,Cena!$A$2:$B$101,2)</f>
        <v>132</v>
      </c>
      <c r="K1413" s="1">
        <f t="shared" si="176"/>
        <v>7656</v>
      </c>
      <c r="L1413" s="1">
        <f t="shared" si="181"/>
        <v>1760.88</v>
      </c>
      <c r="M1413" s="22">
        <f t="shared" si="177"/>
        <v>9416.880000000001</v>
      </c>
      <c r="N1413" s="1">
        <f t="shared" ca="1" si="182"/>
        <v>5</v>
      </c>
      <c r="P1413" s="1">
        <v>58.604547474533319</v>
      </c>
      <c r="Q1413" s="1">
        <f t="shared" ca="1" si="183"/>
        <v>24</v>
      </c>
      <c r="R1413" s="1">
        <v>13.578213636501459</v>
      </c>
    </row>
    <row r="1414" spans="1:18" x14ac:dyDescent="0.3">
      <c r="A1414" s="26">
        <v>1413</v>
      </c>
      <c r="B1414" s="1">
        <v>25</v>
      </c>
      <c r="C1414" s="1">
        <f t="shared" si="179"/>
        <v>9</v>
      </c>
      <c r="D1414" s="21">
        <f t="shared" ca="1" si="178"/>
        <v>44817</v>
      </c>
      <c r="E1414" s="1" t="s">
        <v>26</v>
      </c>
      <c r="F1414" s="1" t="s">
        <v>1442</v>
      </c>
      <c r="G1414" s="1" t="s">
        <v>28</v>
      </c>
      <c r="H1414" s="1">
        <v>1512</v>
      </c>
      <c r="I1414" s="1">
        <f t="shared" si="180"/>
        <v>49</v>
      </c>
      <c r="J1414" s="1">
        <f>VLOOKUP(B1414,Cena!$A$2:$B$101,2)</f>
        <v>108</v>
      </c>
      <c r="K1414" s="1">
        <f t="shared" si="176"/>
        <v>5292</v>
      </c>
      <c r="L1414" s="1">
        <f t="shared" si="181"/>
        <v>1217.1600000000001</v>
      </c>
      <c r="M1414" s="22">
        <f t="shared" si="177"/>
        <v>6509.16</v>
      </c>
      <c r="N1414" s="1">
        <f t="shared" ca="1" si="182"/>
        <v>9</v>
      </c>
      <c r="P1414" s="1">
        <v>49.439353359775851</v>
      </c>
      <c r="Q1414" s="1">
        <f t="shared" ca="1" si="183"/>
        <v>27</v>
      </c>
      <c r="R1414" s="1">
        <v>9.8305213466665009</v>
      </c>
    </row>
    <row r="1415" spans="1:18" x14ac:dyDescent="0.3">
      <c r="A1415" s="26">
        <v>1414</v>
      </c>
      <c r="B1415" s="1">
        <v>11</v>
      </c>
      <c r="C1415" s="1">
        <f t="shared" si="179"/>
        <v>15</v>
      </c>
      <c r="D1415" s="21">
        <f t="shared" ca="1" si="178"/>
        <v>44817</v>
      </c>
      <c r="E1415" s="1" t="s">
        <v>26</v>
      </c>
      <c r="F1415" s="1" t="s">
        <v>1443</v>
      </c>
      <c r="G1415" s="1" t="s">
        <v>28</v>
      </c>
      <c r="H1415" s="1">
        <v>1513</v>
      </c>
      <c r="I1415" s="1">
        <f t="shared" si="180"/>
        <v>54</v>
      </c>
      <c r="J1415" s="1">
        <f>VLOOKUP(B1415,Cena!$A$2:$B$101,2)</f>
        <v>83</v>
      </c>
      <c r="K1415" s="1">
        <f t="shared" si="176"/>
        <v>4482</v>
      </c>
      <c r="L1415" s="1">
        <f t="shared" si="181"/>
        <v>1030.8600000000001</v>
      </c>
      <c r="M1415" s="22">
        <f t="shared" si="177"/>
        <v>5512.8600000000006</v>
      </c>
      <c r="N1415" s="1">
        <f t="shared" ca="1" si="182"/>
        <v>9</v>
      </c>
      <c r="P1415" s="1">
        <v>54.997264113626443</v>
      </c>
      <c r="Q1415" s="1">
        <f t="shared" ca="1" si="183"/>
        <v>24</v>
      </c>
      <c r="R1415" s="1">
        <v>15.812080416944809</v>
      </c>
    </row>
    <row r="1416" spans="1:18" x14ac:dyDescent="0.3">
      <c r="A1416" s="26">
        <v>1415</v>
      </c>
      <c r="B1416" s="1">
        <v>9</v>
      </c>
      <c r="C1416" s="1">
        <f t="shared" si="179"/>
        <v>7</v>
      </c>
      <c r="D1416" s="21">
        <f t="shared" ca="1" si="178"/>
        <v>44603</v>
      </c>
      <c r="E1416" s="1" t="s">
        <v>26</v>
      </c>
      <c r="F1416" s="1" t="s">
        <v>1444</v>
      </c>
      <c r="G1416" s="1" t="s">
        <v>28</v>
      </c>
      <c r="H1416" s="1">
        <v>1514</v>
      </c>
      <c r="I1416" s="1">
        <f t="shared" si="180"/>
        <v>65</v>
      </c>
      <c r="J1416" s="1">
        <f>VLOOKUP(B1416,Cena!$A$2:$B$101,2)</f>
        <v>96</v>
      </c>
      <c r="K1416" s="1">
        <f t="shared" si="176"/>
        <v>6240</v>
      </c>
      <c r="L1416" s="1">
        <f t="shared" si="181"/>
        <v>1435.2</v>
      </c>
      <c r="M1416" s="22">
        <f t="shared" si="177"/>
        <v>7675.2</v>
      </c>
      <c r="N1416" s="1">
        <f t="shared" ca="1" si="182"/>
        <v>2</v>
      </c>
      <c r="P1416" s="1">
        <v>65.596651792293414</v>
      </c>
      <c r="Q1416" s="1">
        <f t="shared" ca="1" si="183"/>
        <v>23</v>
      </c>
      <c r="R1416" s="1">
        <v>7.6896731368469773</v>
      </c>
    </row>
    <row r="1417" spans="1:18" x14ac:dyDescent="0.3">
      <c r="A1417" s="26">
        <v>1416</v>
      </c>
      <c r="B1417" s="1">
        <v>15</v>
      </c>
      <c r="C1417" s="1">
        <f t="shared" si="179"/>
        <v>7</v>
      </c>
      <c r="D1417" s="21">
        <f t="shared" ca="1" si="178"/>
        <v>44729</v>
      </c>
      <c r="E1417" s="1" t="s">
        <v>26</v>
      </c>
      <c r="F1417" s="1" t="s">
        <v>1445</v>
      </c>
      <c r="G1417" s="1" t="s">
        <v>28</v>
      </c>
      <c r="H1417" s="1">
        <v>1515</v>
      </c>
      <c r="I1417" s="1">
        <f t="shared" si="180"/>
        <v>43</v>
      </c>
      <c r="J1417" s="1">
        <f>VLOOKUP(B1417,Cena!$A$2:$B$101,2)</f>
        <v>85</v>
      </c>
      <c r="K1417" s="1">
        <f t="shared" si="176"/>
        <v>3655</v>
      </c>
      <c r="L1417" s="1">
        <f t="shared" si="181"/>
        <v>840.65000000000009</v>
      </c>
      <c r="M1417" s="22">
        <f t="shared" si="177"/>
        <v>4495.6499999999996</v>
      </c>
      <c r="N1417" s="1">
        <f t="shared" ca="1" si="182"/>
        <v>6</v>
      </c>
      <c r="P1417" s="1">
        <v>43.915116647258401</v>
      </c>
      <c r="Q1417" s="1">
        <f t="shared" ca="1" si="183"/>
        <v>27</v>
      </c>
      <c r="R1417" s="1">
        <v>7.9183712639496662</v>
      </c>
    </row>
    <row r="1418" spans="1:18" x14ac:dyDescent="0.3">
      <c r="A1418" s="26">
        <v>1417</v>
      </c>
      <c r="B1418" s="1">
        <v>6</v>
      </c>
      <c r="C1418" s="1">
        <f t="shared" si="179"/>
        <v>9</v>
      </c>
      <c r="D1418" s="21">
        <f t="shared" ca="1" si="178"/>
        <v>44629</v>
      </c>
      <c r="E1418" s="1" t="s">
        <v>26</v>
      </c>
      <c r="F1418" s="1" t="s">
        <v>1446</v>
      </c>
      <c r="G1418" s="1" t="s">
        <v>28</v>
      </c>
      <c r="H1418" s="1">
        <v>1516</v>
      </c>
      <c r="I1418" s="1">
        <f t="shared" si="180"/>
        <v>44</v>
      </c>
      <c r="J1418" s="1">
        <f>VLOOKUP(B1418,Cena!$A$2:$B$101,2)</f>
        <v>86</v>
      </c>
      <c r="K1418" s="1">
        <f t="shared" si="176"/>
        <v>3784</v>
      </c>
      <c r="L1418" s="1">
        <f t="shared" si="181"/>
        <v>870.32</v>
      </c>
      <c r="M1418" s="22">
        <f t="shared" si="177"/>
        <v>4654.32</v>
      </c>
      <c r="N1418" s="1">
        <f t="shared" ca="1" si="182"/>
        <v>3</v>
      </c>
      <c r="P1418" s="1">
        <v>44.61140305356821</v>
      </c>
      <c r="Q1418" s="1">
        <f t="shared" ca="1" si="183"/>
        <v>28</v>
      </c>
      <c r="R1418" s="1">
        <v>9.6919854083898827</v>
      </c>
    </row>
    <row r="1419" spans="1:18" x14ac:dyDescent="0.3">
      <c r="A1419" s="26">
        <v>1418</v>
      </c>
      <c r="B1419" s="1">
        <v>25</v>
      </c>
      <c r="C1419" s="1">
        <f t="shared" si="179"/>
        <v>14</v>
      </c>
      <c r="D1419" s="21">
        <f t="shared" ca="1" si="178"/>
        <v>44670</v>
      </c>
      <c r="E1419" s="1" t="s">
        <v>26</v>
      </c>
      <c r="F1419" s="1" t="s">
        <v>1447</v>
      </c>
      <c r="G1419" s="1" t="s">
        <v>28</v>
      </c>
      <c r="H1419" s="1">
        <v>1517</v>
      </c>
      <c r="I1419" s="1">
        <f t="shared" si="180"/>
        <v>64</v>
      </c>
      <c r="J1419" s="1">
        <f>VLOOKUP(B1419,Cena!$A$2:$B$101,2)</f>
        <v>108</v>
      </c>
      <c r="K1419" s="1">
        <f t="shared" si="176"/>
        <v>6912</v>
      </c>
      <c r="L1419" s="1">
        <f t="shared" si="181"/>
        <v>1589.76</v>
      </c>
      <c r="M1419" s="22">
        <f t="shared" si="177"/>
        <v>8501.76</v>
      </c>
      <c r="N1419" s="1">
        <f t="shared" ca="1" si="182"/>
        <v>4</v>
      </c>
      <c r="P1419" s="1">
        <v>64.150691640679725</v>
      </c>
      <c r="Q1419" s="1">
        <f t="shared" ca="1" si="183"/>
        <v>27</v>
      </c>
      <c r="R1419" s="1">
        <v>14.888443072559312</v>
      </c>
    </row>
    <row r="1420" spans="1:18" x14ac:dyDescent="0.3">
      <c r="A1420" s="26">
        <v>1419</v>
      </c>
      <c r="B1420" s="1">
        <v>17</v>
      </c>
      <c r="C1420" s="1">
        <f t="shared" si="179"/>
        <v>9</v>
      </c>
      <c r="D1420" s="21">
        <f t="shared" ca="1" si="178"/>
        <v>44817</v>
      </c>
      <c r="E1420" s="1" t="s">
        <v>26</v>
      </c>
      <c r="F1420" s="1" t="s">
        <v>1448</v>
      </c>
      <c r="G1420" s="1" t="s">
        <v>28</v>
      </c>
      <c r="H1420" s="1">
        <v>1518</v>
      </c>
      <c r="I1420" s="1">
        <f t="shared" si="180"/>
        <v>42</v>
      </c>
      <c r="J1420" s="1">
        <f>VLOOKUP(B1420,Cena!$A$2:$B$101,2)</f>
        <v>84</v>
      </c>
      <c r="K1420" s="1">
        <f t="shared" si="176"/>
        <v>3528</v>
      </c>
      <c r="L1420" s="1">
        <f t="shared" si="181"/>
        <v>811.44</v>
      </c>
      <c r="M1420" s="22">
        <f t="shared" si="177"/>
        <v>4339.4400000000005</v>
      </c>
      <c r="N1420" s="1">
        <f t="shared" ca="1" si="182"/>
        <v>9</v>
      </c>
      <c r="P1420" s="1">
        <v>42.063192166824592</v>
      </c>
      <c r="Q1420" s="1">
        <f t="shared" ca="1" si="183"/>
        <v>6</v>
      </c>
      <c r="R1420" s="1">
        <v>9.2550215210940223</v>
      </c>
    </row>
    <row r="1421" spans="1:18" x14ac:dyDescent="0.3">
      <c r="A1421" s="26">
        <v>1420</v>
      </c>
      <c r="B1421" s="1">
        <v>9</v>
      </c>
      <c r="C1421" s="1">
        <f t="shared" si="179"/>
        <v>9</v>
      </c>
      <c r="D1421" s="21">
        <f t="shared" ca="1" si="178"/>
        <v>44887</v>
      </c>
      <c r="E1421" s="1" t="s">
        <v>26</v>
      </c>
      <c r="F1421" s="1" t="s">
        <v>1449</v>
      </c>
      <c r="G1421" s="1" t="s">
        <v>28</v>
      </c>
      <c r="H1421" s="1">
        <v>1519</v>
      </c>
      <c r="I1421" s="1">
        <f t="shared" si="180"/>
        <v>50</v>
      </c>
      <c r="J1421" s="1">
        <f>VLOOKUP(B1421,Cena!$A$2:$B$101,2)</f>
        <v>96</v>
      </c>
      <c r="K1421" s="1">
        <f t="shared" si="176"/>
        <v>4800</v>
      </c>
      <c r="L1421" s="1">
        <f t="shared" si="181"/>
        <v>1104</v>
      </c>
      <c r="M1421" s="22">
        <f t="shared" si="177"/>
        <v>5904</v>
      </c>
      <c r="N1421" s="1">
        <f t="shared" ca="1" si="182"/>
        <v>11</v>
      </c>
      <c r="P1421" s="1">
        <v>50.813690803624922</v>
      </c>
      <c r="Q1421" s="1">
        <f t="shared" ca="1" si="183"/>
        <v>7</v>
      </c>
      <c r="R1421" s="1">
        <v>9.1068875715427566</v>
      </c>
    </row>
    <row r="1422" spans="1:18" x14ac:dyDescent="0.3">
      <c r="A1422" s="26">
        <v>1421</v>
      </c>
      <c r="B1422" s="1">
        <v>7</v>
      </c>
      <c r="C1422" s="1">
        <f t="shared" si="179"/>
        <v>13</v>
      </c>
      <c r="D1422" s="21">
        <f t="shared" ca="1" si="178"/>
        <v>44753</v>
      </c>
      <c r="E1422" s="1" t="s">
        <v>26</v>
      </c>
      <c r="F1422" s="1" t="s">
        <v>1450</v>
      </c>
      <c r="G1422" s="1" t="s">
        <v>28</v>
      </c>
      <c r="H1422" s="1">
        <v>1520</v>
      </c>
      <c r="I1422" s="1">
        <f t="shared" si="180"/>
        <v>46</v>
      </c>
      <c r="J1422" s="1">
        <f>VLOOKUP(B1422,Cena!$A$2:$B$101,2)</f>
        <v>104</v>
      </c>
      <c r="K1422" s="1">
        <f t="shared" si="176"/>
        <v>4784</v>
      </c>
      <c r="L1422" s="1">
        <f t="shared" si="181"/>
        <v>1100.32</v>
      </c>
      <c r="M1422" s="22">
        <f t="shared" si="177"/>
        <v>5884.32</v>
      </c>
      <c r="N1422" s="1">
        <f t="shared" ca="1" si="182"/>
        <v>7</v>
      </c>
      <c r="P1422" s="1">
        <v>46.382666722638533</v>
      </c>
      <c r="Q1422" s="1">
        <f t="shared" ca="1" si="183"/>
        <v>9</v>
      </c>
      <c r="R1422" s="1">
        <v>13.220338840037584</v>
      </c>
    </row>
    <row r="1423" spans="1:18" x14ac:dyDescent="0.3">
      <c r="A1423" s="26">
        <v>1422</v>
      </c>
      <c r="B1423" s="1">
        <v>5</v>
      </c>
      <c r="C1423" s="1">
        <f t="shared" si="179"/>
        <v>7</v>
      </c>
      <c r="D1423" s="21">
        <f t="shared" ca="1" si="178"/>
        <v>44610</v>
      </c>
      <c r="E1423" s="1" t="s">
        <v>26</v>
      </c>
      <c r="F1423" s="1" t="s">
        <v>1451</v>
      </c>
      <c r="G1423" s="1" t="s">
        <v>28</v>
      </c>
      <c r="H1423" s="1">
        <v>1521</v>
      </c>
      <c r="I1423" s="1">
        <f t="shared" si="180"/>
        <v>64</v>
      </c>
      <c r="J1423" s="1">
        <f>VLOOKUP(B1423,Cena!$A$2:$B$101,2)</f>
        <v>91</v>
      </c>
      <c r="K1423" s="1">
        <f t="shared" si="176"/>
        <v>5824</v>
      </c>
      <c r="L1423" s="1">
        <f t="shared" si="181"/>
        <v>1339.52</v>
      </c>
      <c r="M1423" s="22">
        <f t="shared" si="177"/>
        <v>7163.52</v>
      </c>
      <c r="N1423" s="1">
        <f t="shared" ca="1" si="182"/>
        <v>2</v>
      </c>
      <c r="P1423" s="1">
        <v>64.478882803814486</v>
      </c>
      <c r="Q1423" s="1">
        <f t="shared" ca="1" si="183"/>
        <v>22</v>
      </c>
      <c r="R1423" s="1">
        <v>7.0632813983684173</v>
      </c>
    </row>
    <row r="1424" spans="1:18" x14ac:dyDescent="0.3">
      <c r="A1424" s="26">
        <v>1423</v>
      </c>
      <c r="B1424" s="1">
        <v>9</v>
      </c>
      <c r="C1424" s="1">
        <f t="shared" si="179"/>
        <v>11</v>
      </c>
      <c r="D1424" s="21">
        <f t="shared" ca="1" si="178"/>
        <v>44922</v>
      </c>
      <c r="E1424" s="1" t="s">
        <v>26</v>
      </c>
      <c r="F1424" s="1" t="s">
        <v>1452</v>
      </c>
      <c r="G1424" s="1" t="s">
        <v>28</v>
      </c>
      <c r="H1424" s="1">
        <v>1522</v>
      </c>
      <c r="I1424" s="1">
        <f t="shared" si="180"/>
        <v>47</v>
      </c>
      <c r="J1424" s="1">
        <f>VLOOKUP(B1424,Cena!$A$2:$B$101,2)</f>
        <v>96</v>
      </c>
      <c r="K1424" s="1">
        <f t="shared" si="176"/>
        <v>4512</v>
      </c>
      <c r="L1424" s="1">
        <f t="shared" si="181"/>
        <v>1037.76</v>
      </c>
      <c r="M1424" s="22">
        <f t="shared" si="177"/>
        <v>5549.76</v>
      </c>
      <c r="N1424" s="1">
        <f t="shared" ca="1" si="182"/>
        <v>12</v>
      </c>
      <c r="P1424" s="1">
        <v>47.53140400571283</v>
      </c>
      <c r="Q1424" s="1">
        <f t="shared" ca="1" si="183"/>
        <v>24</v>
      </c>
      <c r="R1424" s="1">
        <v>11.009493644232862</v>
      </c>
    </row>
    <row r="1425" spans="1:18" x14ac:dyDescent="0.3">
      <c r="A1425" s="26">
        <v>1424</v>
      </c>
      <c r="B1425" s="1">
        <v>23</v>
      </c>
      <c r="C1425" s="1">
        <f t="shared" si="179"/>
        <v>12</v>
      </c>
      <c r="D1425" s="21">
        <f t="shared" ca="1" si="178"/>
        <v>44628</v>
      </c>
      <c r="E1425" s="1" t="s">
        <v>26</v>
      </c>
      <c r="F1425" s="1" t="s">
        <v>1453</v>
      </c>
      <c r="G1425" s="1" t="s">
        <v>28</v>
      </c>
      <c r="H1425" s="1">
        <v>1523</v>
      </c>
      <c r="I1425" s="1">
        <f t="shared" si="180"/>
        <v>71</v>
      </c>
      <c r="J1425" s="1">
        <f>VLOOKUP(B1425,Cena!$A$2:$B$101,2)</f>
        <v>132</v>
      </c>
      <c r="K1425" s="1">
        <f t="shared" si="176"/>
        <v>9372</v>
      </c>
      <c r="L1425" s="1">
        <f t="shared" si="181"/>
        <v>2155.56</v>
      </c>
      <c r="M1425" s="22">
        <f t="shared" si="177"/>
        <v>11527.56</v>
      </c>
      <c r="N1425" s="1">
        <f t="shared" ca="1" si="182"/>
        <v>3</v>
      </c>
      <c r="P1425" s="1">
        <v>71.546384232351556</v>
      </c>
      <c r="Q1425" s="1">
        <f t="shared" ca="1" si="183"/>
        <v>14</v>
      </c>
      <c r="R1425" s="1">
        <v>12.259793063785764</v>
      </c>
    </row>
    <row r="1426" spans="1:18" x14ac:dyDescent="0.3">
      <c r="A1426" s="26">
        <v>1425</v>
      </c>
      <c r="B1426" s="1">
        <v>8</v>
      </c>
      <c r="C1426" s="1">
        <f t="shared" si="179"/>
        <v>9</v>
      </c>
      <c r="D1426" s="21">
        <f t="shared" ca="1" si="178"/>
        <v>44693</v>
      </c>
      <c r="E1426" s="1" t="s">
        <v>26</v>
      </c>
      <c r="F1426" s="1" t="s">
        <v>1454</v>
      </c>
      <c r="G1426" s="1" t="s">
        <v>28</v>
      </c>
      <c r="H1426" s="1">
        <v>1524</v>
      </c>
      <c r="I1426" s="1">
        <f t="shared" si="180"/>
        <v>34</v>
      </c>
      <c r="J1426" s="1">
        <f>VLOOKUP(B1426,Cena!$A$2:$B$101,2)</f>
        <v>88</v>
      </c>
      <c r="K1426" s="1">
        <f t="shared" si="176"/>
        <v>2992</v>
      </c>
      <c r="L1426" s="1">
        <f t="shared" si="181"/>
        <v>688.16000000000008</v>
      </c>
      <c r="M1426" s="22">
        <f t="shared" si="177"/>
        <v>3680.16</v>
      </c>
      <c r="N1426" s="1">
        <f t="shared" ca="1" si="182"/>
        <v>5</v>
      </c>
      <c r="P1426" s="1">
        <v>34.997475621639751</v>
      </c>
      <c r="Q1426" s="1">
        <f t="shared" ca="1" si="183"/>
        <v>22</v>
      </c>
      <c r="R1426" s="1">
        <v>9.8245783672246034</v>
      </c>
    </row>
    <row r="1427" spans="1:18" x14ac:dyDescent="0.3">
      <c r="A1427" s="26">
        <v>1426</v>
      </c>
      <c r="B1427" s="1">
        <v>14</v>
      </c>
      <c r="C1427" s="1">
        <f t="shared" si="179"/>
        <v>8</v>
      </c>
      <c r="D1427" s="21">
        <f t="shared" ca="1" si="178"/>
        <v>44708</v>
      </c>
      <c r="E1427" s="1" t="s">
        <v>26</v>
      </c>
      <c r="F1427" s="1" t="s">
        <v>1455</v>
      </c>
      <c r="G1427" s="1" t="s">
        <v>28</v>
      </c>
      <c r="H1427" s="1">
        <v>1525</v>
      </c>
      <c r="I1427" s="1">
        <f t="shared" si="180"/>
        <v>43</v>
      </c>
      <c r="J1427" s="1">
        <f>VLOOKUP(B1427,Cena!$A$2:$B$101,2)</f>
        <v>129</v>
      </c>
      <c r="K1427" s="1">
        <f t="shared" si="176"/>
        <v>5547</v>
      </c>
      <c r="L1427" s="1">
        <f t="shared" si="181"/>
        <v>1275.81</v>
      </c>
      <c r="M1427" s="22">
        <f t="shared" si="177"/>
        <v>6822.8099999999995</v>
      </c>
      <c r="N1427" s="1">
        <f t="shared" ca="1" si="182"/>
        <v>5</v>
      </c>
      <c r="P1427" s="1">
        <v>43.345340953965206</v>
      </c>
      <c r="Q1427" s="1">
        <f t="shared" ca="1" si="183"/>
        <v>17</v>
      </c>
      <c r="R1427" s="1">
        <v>8.390126165759284</v>
      </c>
    </row>
    <row r="1428" spans="1:18" x14ac:dyDescent="0.3">
      <c r="A1428" s="26">
        <v>1427</v>
      </c>
      <c r="B1428" s="1">
        <v>28</v>
      </c>
      <c r="C1428" s="1">
        <f t="shared" si="179"/>
        <v>11</v>
      </c>
      <c r="D1428" s="21">
        <f t="shared" ca="1" si="178"/>
        <v>44739</v>
      </c>
      <c r="E1428" s="1" t="s">
        <v>26</v>
      </c>
      <c r="F1428" s="1" t="s">
        <v>1456</v>
      </c>
      <c r="G1428" s="1" t="s">
        <v>28</v>
      </c>
      <c r="H1428" s="1">
        <v>1526</v>
      </c>
      <c r="I1428" s="1">
        <f t="shared" si="180"/>
        <v>39</v>
      </c>
      <c r="J1428" s="1">
        <f>VLOOKUP(B1428,Cena!$A$2:$B$101,2)</f>
        <v>59</v>
      </c>
      <c r="K1428" s="1">
        <f t="shared" si="176"/>
        <v>2301</v>
      </c>
      <c r="L1428" s="1">
        <f t="shared" si="181"/>
        <v>529.23</v>
      </c>
      <c r="M1428" s="22">
        <f t="shared" si="177"/>
        <v>2830.23</v>
      </c>
      <c r="N1428" s="1">
        <f t="shared" ca="1" si="182"/>
        <v>6</v>
      </c>
      <c r="P1428" s="1">
        <v>39.30263700458454</v>
      </c>
      <c r="Q1428" s="1">
        <f t="shared" ca="1" si="183"/>
        <v>27</v>
      </c>
      <c r="R1428" s="1">
        <v>11.02154160686041</v>
      </c>
    </row>
    <row r="1429" spans="1:18" x14ac:dyDescent="0.3">
      <c r="A1429" s="26">
        <v>1428</v>
      </c>
      <c r="B1429" s="1">
        <v>18</v>
      </c>
      <c r="C1429" s="1">
        <f t="shared" si="179"/>
        <v>10</v>
      </c>
      <c r="D1429" s="21">
        <f t="shared" ca="1" si="178"/>
        <v>44678</v>
      </c>
      <c r="E1429" s="1" t="s">
        <v>26</v>
      </c>
      <c r="F1429" s="1" t="s">
        <v>1457</v>
      </c>
      <c r="G1429" s="1" t="s">
        <v>28</v>
      </c>
      <c r="H1429" s="1">
        <v>1527</v>
      </c>
      <c r="I1429" s="1">
        <f t="shared" si="180"/>
        <v>47</v>
      </c>
      <c r="J1429" s="1">
        <f>VLOOKUP(B1429,Cena!$A$2:$B$101,2)</f>
        <v>90</v>
      </c>
      <c r="K1429" s="1">
        <f t="shared" si="176"/>
        <v>4230</v>
      </c>
      <c r="L1429" s="1">
        <f t="shared" si="181"/>
        <v>972.90000000000009</v>
      </c>
      <c r="M1429" s="22">
        <f t="shared" si="177"/>
        <v>5202.8999999999996</v>
      </c>
      <c r="N1429" s="1">
        <f t="shared" ca="1" si="182"/>
        <v>4</v>
      </c>
      <c r="P1429" s="1">
        <v>47.145403085596627</v>
      </c>
      <c r="Q1429" s="1">
        <f t="shared" ca="1" si="183"/>
        <v>22</v>
      </c>
      <c r="R1429" s="1">
        <v>10.717435000296973</v>
      </c>
    </row>
    <row r="1430" spans="1:18" x14ac:dyDescent="0.3">
      <c r="A1430" s="26">
        <v>1429</v>
      </c>
      <c r="B1430" s="1">
        <v>3</v>
      </c>
      <c r="C1430" s="1">
        <f t="shared" si="179"/>
        <v>9</v>
      </c>
      <c r="D1430" s="21">
        <f t="shared" ca="1" si="178"/>
        <v>44917</v>
      </c>
      <c r="E1430" s="1" t="s">
        <v>26</v>
      </c>
      <c r="F1430" s="1" t="s">
        <v>1458</v>
      </c>
      <c r="G1430" s="1" t="s">
        <v>28</v>
      </c>
      <c r="H1430" s="1">
        <v>1528</v>
      </c>
      <c r="I1430" s="1">
        <f t="shared" si="180"/>
        <v>53</v>
      </c>
      <c r="J1430" s="1">
        <f>VLOOKUP(B1430,Cena!$A$2:$B$101,2)</f>
        <v>89</v>
      </c>
      <c r="K1430" s="1">
        <f t="shared" si="176"/>
        <v>4717</v>
      </c>
      <c r="L1430" s="1">
        <f t="shared" si="181"/>
        <v>1084.9100000000001</v>
      </c>
      <c r="M1430" s="22">
        <f t="shared" si="177"/>
        <v>5801.91</v>
      </c>
      <c r="N1430" s="1">
        <f t="shared" ca="1" si="182"/>
        <v>12</v>
      </c>
      <c r="P1430" s="1">
        <v>53.548007043718826</v>
      </c>
      <c r="Q1430" s="1">
        <f t="shared" ca="1" si="183"/>
        <v>30</v>
      </c>
      <c r="R1430" s="1">
        <v>9.9180374743446009</v>
      </c>
    </row>
    <row r="1431" spans="1:18" x14ac:dyDescent="0.3">
      <c r="A1431" s="26">
        <v>1430</v>
      </c>
      <c r="B1431" s="1">
        <v>12</v>
      </c>
      <c r="C1431" s="1">
        <f t="shared" si="179"/>
        <v>10</v>
      </c>
      <c r="D1431" s="21">
        <f t="shared" ca="1" si="178"/>
        <v>44814</v>
      </c>
      <c r="E1431" s="1" t="s">
        <v>26</v>
      </c>
      <c r="F1431" s="1" t="s">
        <v>1459</v>
      </c>
      <c r="G1431" s="1" t="s">
        <v>28</v>
      </c>
      <c r="H1431" s="1">
        <v>1529</v>
      </c>
      <c r="I1431" s="1">
        <f t="shared" si="180"/>
        <v>42</v>
      </c>
      <c r="J1431" s="1">
        <f>VLOOKUP(B1431,Cena!$A$2:$B$101,2)</f>
        <v>88</v>
      </c>
      <c r="K1431" s="1">
        <f t="shared" si="176"/>
        <v>3696</v>
      </c>
      <c r="L1431" s="1">
        <f t="shared" si="181"/>
        <v>850.08</v>
      </c>
      <c r="M1431" s="22">
        <f t="shared" si="177"/>
        <v>4546.08</v>
      </c>
      <c r="N1431" s="1">
        <f t="shared" ca="1" si="182"/>
        <v>9</v>
      </c>
      <c r="P1431" s="1">
        <v>42.977086549217347</v>
      </c>
      <c r="Q1431" s="1">
        <f t="shared" ca="1" si="183"/>
        <v>20</v>
      </c>
      <c r="R1431" s="1">
        <v>10.549346168554621</v>
      </c>
    </row>
    <row r="1432" spans="1:18" x14ac:dyDescent="0.3">
      <c r="A1432" s="26">
        <v>1431</v>
      </c>
      <c r="B1432" s="1">
        <v>25</v>
      </c>
      <c r="C1432" s="1">
        <f t="shared" si="179"/>
        <v>12</v>
      </c>
      <c r="D1432" s="21">
        <f t="shared" ca="1" si="178"/>
        <v>44687</v>
      </c>
      <c r="E1432" s="1" t="s">
        <v>26</v>
      </c>
      <c r="F1432" s="1" t="s">
        <v>1460</v>
      </c>
      <c r="G1432" s="1" t="s">
        <v>28</v>
      </c>
      <c r="H1432" s="1">
        <v>1530</v>
      </c>
      <c r="I1432" s="1">
        <f t="shared" si="180"/>
        <v>63</v>
      </c>
      <c r="J1432" s="1">
        <f>VLOOKUP(B1432,Cena!$A$2:$B$101,2)</f>
        <v>108</v>
      </c>
      <c r="K1432" s="1">
        <f t="shared" si="176"/>
        <v>6804</v>
      </c>
      <c r="L1432" s="1">
        <f t="shared" si="181"/>
        <v>1564.92</v>
      </c>
      <c r="M1432" s="22">
        <f t="shared" si="177"/>
        <v>8368.92</v>
      </c>
      <c r="N1432" s="1">
        <f t="shared" ca="1" si="182"/>
        <v>5</v>
      </c>
      <c r="P1432" s="1">
        <v>63.988096725370269</v>
      </c>
      <c r="Q1432" s="1">
        <f t="shared" ca="1" si="183"/>
        <v>24</v>
      </c>
      <c r="R1432" s="1">
        <v>12.303005430803751</v>
      </c>
    </row>
    <row r="1433" spans="1:18" x14ac:dyDescent="0.3">
      <c r="A1433" s="26">
        <v>1432</v>
      </c>
      <c r="B1433" s="1">
        <v>13</v>
      </c>
      <c r="C1433" s="1">
        <f t="shared" si="179"/>
        <v>13</v>
      </c>
      <c r="D1433" s="21">
        <f t="shared" ca="1" si="178"/>
        <v>44794</v>
      </c>
      <c r="E1433" s="1" t="s">
        <v>26</v>
      </c>
      <c r="F1433" s="1" t="s">
        <v>1461</v>
      </c>
      <c r="G1433" s="1" t="s">
        <v>28</v>
      </c>
      <c r="H1433" s="1">
        <v>1531</v>
      </c>
      <c r="I1433" s="1">
        <f t="shared" si="180"/>
        <v>43</v>
      </c>
      <c r="J1433" s="1">
        <f>VLOOKUP(B1433,Cena!$A$2:$B$101,2)</f>
        <v>94</v>
      </c>
      <c r="K1433" s="1">
        <f t="shared" si="176"/>
        <v>4042</v>
      </c>
      <c r="L1433" s="1">
        <f t="shared" si="181"/>
        <v>929.66000000000008</v>
      </c>
      <c r="M1433" s="22">
        <f t="shared" si="177"/>
        <v>4971.66</v>
      </c>
      <c r="N1433" s="1">
        <f t="shared" ca="1" si="182"/>
        <v>8</v>
      </c>
      <c r="P1433" s="1">
        <v>43.929827724059578</v>
      </c>
      <c r="Q1433" s="1">
        <f t="shared" ca="1" si="183"/>
        <v>21</v>
      </c>
      <c r="R1433" s="1">
        <v>13.379830104677239</v>
      </c>
    </row>
    <row r="1434" spans="1:18" x14ac:dyDescent="0.3">
      <c r="A1434" s="26">
        <v>1433</v>
      </c>
      <c r="B1434" s="1">
        <v>13</v>
      </c>
      <c r="C1434" s="1">
        <f t="shared" si="179"/>
        <v>10</v>
      </c>
      <c r="D1434" s="21">
        <f t="shared" ca="1" si="178"/>
        <v>44814</v>
      </c>
      <c r="E1434" s="1" t="s">
        <v>26</v>
      </c>
      <c r="F1434" s="1" t="s">
        <v>1462</v>
      </c>
      <c r="G1434" s="1" t="s">
        <v>28</v>
      </c>
      <c r="H1434" s="1">
        <v>1532</v>
      </c>
      <c r="I1434" s="1">
        <f t="shared" si="180"/>
        <v>30</v>
      </c>
      <c r="J1434" s="1">
        <f>VLOOKUP(B1434,Cena!$A$2:$B$101,2)</f>
        <v>94</v>
      </c>
      <c r="K1434" s="1">
        <f t="shared" si="176"/>
        <v>2820</v>
      </c>
      <c r="L1434" s="1">
        <f t="shared" si="181"/>
        <v>648.6</v>
      </c>
      <c r="M1434" s="22">
        <f t="shared" si="177"/>
        <v>3468.6</v>
      </c>
      <c r="N1434" s="1">
        <f t="shared" ca="1" si="182"/>
        <v>9</v>
      </c>
      <c r="P1434" s="1">
        <v>30.352185957599431</v>
      </c>
      <c r="Q1434" s="1">
        <f t="shared" ca="1" si="183"/>
        <v>1</v>
      </c>
      <c r="R1434" s="1">
        <v>10.410821598961775</v>
      </c>
    </row>
    <row r="1435" spans="1:18" x14ac:dyDescent="0.3">
      <c r="A1435" s="26">
        <v>1434</v>
      </c>
      <c r="B1435" s="1">
        <v>27</v>
      </c>
      <c r="C1435" s="1">
        <f t="shared" si="179"/>
        <v>9</v>
      </c>
      <c r="D1435" s="21">
        <f t="shared" ca="1" si="178"/>
        <v>44672</v>
      </c>
      <c r="E1435" s="1" t="s">
        <v>26</v>
      </c>
      <c r="F1435" s="1" t="s">
        <v>1463</v>
      </c>
      <c r="G1435" s="1" t="s">
        <v>28</v>
      </c>
      <c r="H1435" s="1">
        <v>1533</v>
      </c>
      <c r="I1435" s="1">
        <f t="shared" si="180"/>
        <v>64</v>
      </c>
      <c r="J1435" s="1">
        <f>VLOOKUP(B1435,Cena!$A$2:$B$101,2)</f>
        <v>87</v>
      </c>
      <c r="K1435" s="1">
        <f t="shared" si="176"/>
        <v>5568</v>
      </c>
      <c r="L1435" s="1">
        <f t="shared" si="181"/>
        <v>1280.6400000000001</v>
      </c>
      <c r="M1435" s="22">
        <f t="shared" si="177"/>
        <v>6848.64</v>
      </c>
      <c r="N1435" s="1">
        <f t="shared" ca="1" si="182"/>
        <v>4</v>
      </c>
      <c r="P1435" s="1">
        <v>64.148599802865647</v>
      </c>
      <c r="Q1435" s="1">
        <f t="shared" ca="1" si="183"/>
        <v>9</v>
      </c>
      <c r="R1435" s="1">
        <v>9.4532004166103434</v>
      </c>
    </row>
    <row r="1436" spans="1:18" x14ac:dyDescent="0.3">
      <c r="A1436" s="26">
        <v>1435</v>
      </c>
      <c r="B1436" s="1">
        <v>5</v>
      </c>
      <c r="C1436" s="1">
        <f t="shared" si="179"/>
        <v>7</v>
      </c>
      <c r="D1436" s="21">
        <f t="shared" ca="1" si="178"/>
        <v>44599</v>
      </c>
      <c r="E1436" s="1" t="s">
        <v>26</v>
      </c>
      <c r="F1436" s="1" t="s">
        <v>1464</v>
      </c>
      <c r="G1436" s="1" t="s">
        <v>28</v>
      </c>
      <c r="H1436" s="1">
        <v>1534</v>
      </c>
      <c r="I1436" s="1">
        <f t="shared" si="180"/>
        <v>49</v>
      </c>
      <c r="J1436" s="1">
        <f>VLOOKUP(B1436,Cena!$A$2:$B$101,2)</f>
        <v>91</v>
      </c>
      <c r="K1436" s="1">
        <f t="shared" si="176"/>
        <v>4459</v>
      </c>
      <c r="L1436" s="1">
        <f t="shared" si="181"/>
        <v>1025.57</v>
      </c>
      <c r="M1436" s="22">
        <f t="shared" si="177"/>
        <v>5484.57</v>
      </c>
      <c r="N1436" s="1">
        <f t="shared" ca="1" si="182"/>
        <v>2</v>
      </c>
      <c r="P1436" s="1">
        <v>49.945305262372131</v>
      </c>
      <c r="Q1436" s="1">
        <f t="shared" ca="1" si="183"/>
        <v>11</v>
      </c>
      <c r="R1436" s="1">
        <v>7.8821790591609897</v>
      </c>
    </row>
    <row r="1437" spans="1:18" x14ac:dyDescent="0.3">
      <c r="A1437" s="26">
        <v>1436</v>
      </c>
      <c r="B1437" s="1">
        <v>11</v>
      </c>
      <c r="C1437" s="1">
        <f t="shared" si="179"/>
        <v>6</v>
      </c>
      <c r="D1437" s="21">
        <f t="shared" ca="1" si="178"/>
        <v>44908</v>
      </c>
      <c r="E1437" s="1" t="s">
        <v>26</v>
      </c>
      <c r="F1437" s="1" t="s">
        <v>1465</v>
      </c>
      <c r="G1437" s="1" t="s">
        <v>28</v>
      </c>
      <c r="H1437" s="1">
        <v>1535</v>
      </c>
      <c r="I1437" s="1">
        <f t="shared" si="180"/>
        <v>43</v>
      </c>
      <c r="J1437" s="1">
        <f>VLOOKUP(B1437,Cena!$A$2:$B$101,2)</f>
        <v>83</v>
      </c>
      <c r="K1437" s="1">
        <f t="shared" si="176"/>
        <v>3569</v>
      </c>
      <c r="L1437" s="1">
        <f t="shared" si="181"/>
        <v>820.87</v>
      </c>
      <c r="M1437" s="22">
        <f t="shared" si="177"/>
        <v>4389.87</v>
      </c>
      <c r="N1437" s="1">
        <f t="shared" ca="1" si="182"/>
        <v>12</v>
      </c>
      <c r="P1437" s="1">
        <v>43.973915479728021</v>
      </c>
      <c r="Q1437" s="1">
        <f t="shared" ca="1" si="183"/>
        <v>6</v>
      </c>
      <c r="R1437" s="1">
        <v>6.6263544592948165</v>
      </c>
    </row>
    <row r="1438" spans="1:18" x14ac:dyDescent="0.3">
      <c r="A1438" s="26">
        <v>1437</v>
      </c>
      <c r="B1438" s="1">
        <v>24</v>
      </c>
      <c r="C1438" s="1">
        <f t="shared" si="179"/>
        <v>9</v>
      </c>
      <c r="D1438" s="21">
        <f t="shared" ca="1" si="178"/>
        <v>44596</v>
      </c>
      <c r="E1438" s="1" t="s">
        <v>26</v>
      </c>
      <c r="F1438" s="1" t="s">
        <v>1466</v>
      </c>
      <c r="G1438" s="1" t="s">
        <v>28</v>
      </c>
      <c r="H1438" s="1">
        <v>1536</v>
      </c>
      <c r="I1438" s="1">
        <f t="shared" si="180"/>
        <v>29</v>
      </c>
      <c r="J1438" s="1">
        <f>VLOOKUP(B1438,Cena!$A$2:$B$101,2)</f>
        <v>125</v>
      </c>
      <c r="K1438" s="1">
        <f t="shared" si="176"/>
        <v>3625</v>
      </c>
      <c r="L1438" s="1">
        <f t="shared" si="181"/>
        <v>833.75</v>
      </c>
      <c r="M1438" s="22">
        <f t="shared" si="177"/>
        <v>4458.75</v>
      </c>
      <c r="N1438" s="1">
        <f t="shared" ca="1" si="182"/>
        <v>2</v>
      </c>
      <c r="P1438" s="1">
        <v>29.472977429395542</v>
      </c>
      <c r="Q1438" s="1">
        <f t="shared" ca="1" si="183"/>
        <v>13</v>
      </c>
      <c r="R1438" s="1">
        <v>9.8801399669901002</v>
      </c>
    </row>
    <row r="1439" spans="1:18" x14ac:dyDescent="0.3">
      <c r="A1439" s="26">
        <v>1438</v>
      </c>
      <c r="B1439" s="1">
        <v>10</v>
      </c>
      <c r="C1439" s="1">
        <f t="shared" si="179"/>
        <v>8</v>
      </c>
      <c r="D1439" s="21">
        <f t="shared" ca="1" si="178"/>
        <v>44660</v>
      </c>
      <c r="E1439" s="1" t="s">
        <v>26</v>
      </c>
      <c r="F1439" s="1" t="s">
        <v>1467</v>
      </c>
      <c r="G1439" s="1" t="s">
        <v>28</v>
      </c>
      <c r="H1439" s="1">
        <v>1537</v>
      </c>
      <c r="I1439" s="1">
        <f t="shared" si="180"/>
        <v>44</v>
      </c>
      <c r="J1439" s="1">
        <f>VLOOKUP(B1439,Cena!$A$2:$B$101,2)</f>
        <v>109</v>
      </c>
      <c r="K1439" s="1">
        <f t="shared" ref="K1439:K1502" si="184">I1439*J1439</f>
        <v>4796</v>
      </c>
      <c r="L1439" s="1">
        <f t="shared" si="181"/>
        <v>1103.0800000000002</v>
      </c>
      <c r="M1439" s="22">
        <f t="shared" ref="M1439:M1502" si="185">K1439+L1439</f>
        <v>5899.08</v>
      </c>
      <c r="N1439" s="1">
        <f t="shared" ca="1" si="182"/>
        <v>4</v>
      </c>
      <c r="P1439" s="1">
        <v>44.688198512449162</v>
      </c>
      <c r="Q1439" s="1">
        <f t="shared" ca="1" si="183"/>
        <v>6</v>
      </c>
      <c r="R1439" s="1">
        <v>8.07910455729143</v>
      </c>
    </row>
    <row r="1440" spans="1:18" x14ac:dyDescent="0.3">
      <c r="A1440" s="26">
        <v>1439</v>
      </c>
      <c r="B1440" s="1">
        <v>12</v>
      </c>
      <c r="C1440" s="1">
        <f t="shared" si="179"/>
        <v>9</v>
      </c>
      <c r="D1440" s="21">
        <f t="shared" ca="1" si="178"/>
        <v>44854</v>
      </c>
      <c r="E1440" s="1" t="s">
        <v>26</v>
      </c>
      <c r="F1440" s="1" t="s">
        <v>1468</v>
      </c>
      <c r="G1440" s="1" t="s">
        <v>28</v>
      </c>
      <c r="H1440" s="1">
        <v>1538</v>
      </c>
      <c r="I1440" s="1">
        <f t="shared" si="180"/>
        <v>41</v>
      </c>
      <c r="J1440" s="1">
        <f>VLOOKUP(B1440,Cena!$A$2:$B$101,2)</f>
        <v>88</v>
      </c>
      <c r="K1440" s="1">
        <f t="shared" si="184"/>
        <v>3608</v>
      </c>
      <c r="L1440" s="1">
        <f t="shared" si="181"/>
        <v>829.84</v>
      </c>
      <c r="M1440" s="22">
        <f t="shared" si="185"/>
        <v>4437.84</v>
      </c>
      <c r="N1440" s="1">
        <f t="shared" ca="1" si="182"/>
        <v>10</v>
      </c>
      <c r="P1440" s="1">
        <v>41.533104548580013</v>
      </c>
      <c r="Q1440" s="1">
        <f t="shared" ca="1" si="183"/>
        <v>19</v>
      </c>
      <c r="R1440" s="1">
        <v>9.5858814827442984</v>
      </c>
    </row>
    <row r="1441" spans="1:18" x14ac:dyDescent="0.3">
      <c r="A1441" s="26">
        <v>1440</v>
      </c>
      <c r="B1441" s="1">
        <v>2</v>
      </c>
      <c r="C1441" s="1">
        <f t="shared" si="179"/>
        <v>9</v>
      </c>
      <c r="D1441" s="21">
        <f t="shared" ca="1" si="178"/>
        <v>44597</v>
      </c>
      <c r="E1441" s="1" t="s">
        <v>26</v>
      </c>
      <c r="F1441" s="1" t="s">
        <v>1469</v>
      </c>
      <c r="G1441" s="1" t="s">
        <v>28</v>
      </c>
      <c r="H1441" s="1">
        <v>1539</v>
      </c>
      <c r="I1441" s="1">
        <f t="shared" si="180"/>
        <v>65</v>
      </c>
      <c r="J1441" s="1">
        <f>VLOOKUP(B1441,Cena!$A$2:$B$101,2)</f>
        <v>121</v>
      </c>
      <c r="K1441" s="1">
        <f t="shared" si="184"/>
        <v>7865</v>
      </c>
      <c r="L1441" s="1">
        <f t="shared" si="181"/>
        <v>1808.95</v>
      </c>
      <c r="M1441" s="22">
        <f t="shared" si="185"/>
        <v>9673.9500000000007</v>
      </c>
      <c r="N1441" s="1">
        <f t="shared" ca="1" si="182"/>
        <v>2</v>
      </c>
      <c r="P1441" s="1">
        <v>65.116665963432752</v>
      </c>
      <c r="Q1441" s="1">
        <f t="shared" ca="1" si="183"/>
        <v>1</v>
      </c>
      <c r="R1441" s="1">
        <v>9.6106794242223259</v>
      </c>
    </row>
    <row r="1442" spans="1:18" x14ac:dyDescent="0.3">
      <c r="A1442" s="26">
        <v>1441</v>
      </c>
      <c r="B1442" s="1">
        <v>11</v>
      </c>
      <c r="C1442" s="1">
        <f t="shared" si="179"/>
        <v>7</v>
      </c>
      <c r="D1442" s="21">
        <f t="shared" ca="1" si="178"/>
        <v>44690</v>
      </c>
      <c r="E1442" s="1" t="s">
        <v>26</v>
      </c>
      <c r="F1442" s="1" t="s">
        <v>1470</v>
      </c>
      <c r="G1442" s="1" t="s">
        <v>28</v>
      </c>
      <c r="H1442" s="1">
        <v>1540</v>
      </c>
      <c r="I1442" s="1">
        <f t="shared" si="180"/>
        <v>73</v>
      </c>
      <c r="J1442" s="1">
        <f>VLOOKUP(B1442,Cena!$A$2:$B$101,2)</f>
        <v>83</v>
      </c>
      <c r="K1442" s="1">
        <f t="shared" si="184"/>
        <v>6059</v>
      </c>
      <c r="L1442" s="1">
        <f t="shared" si="181"/>
        <v>1393.5700000000002</v>
      </c>
      <c r="M1442" s="22">
        <f t="shared" si="185"/>
        <v>7452.57</v>
      </c>
      <c r="N1442" s="1">
        <f t="shared" ca="1" si="182"/>
        <v>5</v>
      </c>
      <c r="P1442" s="1">
        <v>73.058601072989404</v>
      </c>
      <c r="Q1442" s="1">
        <f t="shared" ca="1" si="183"/>
        <v>3</v>
      </c>
      <c r="R1442" s="1">
        <v>7.5385946981987217</v>
      </c>
    </row>
    <row r="1443" spans="1:18" x14ac:dyDescent="0.3">
      <c r="A1443" s="26">
        <v>1442</v>
      </c>
      <c r="B1443" s="1">
        <v>25</v>
      </c>
      <c r="C1443" s="1">
        <f t="shared" si="179"/>
        <v>8</v>
      </c>
      <c r="D1443" s="21">
        <f t="shared" ca="1" si="178"/>
        <v>44716</v>
      </c>
      <c r="E1443" s="1" t="s">
        <v>26</v>
      </c>
      <c r="F1443" s="1" t="s">
        <v>1471</v>
      </c>
      <c r="G1443" s="1" t="s">
        <v>28</v>
      </c>
      <c r="H1443" s="1">
        <v>1541</v>
      </c>
      <c r="I1443" s="1">
        <f t="shared" si="180"/>
        <v>58</v>
      </c>
      <c r="J1443" s="1">
        <f>VLOOKUP(B1443,Cena!$A$2:$B$101,2)</f>
        <v>108</v>
      </c>
      <c r="K1443" s="1">
        <f t="shared" si="184"/>
        <v>6264</v>
      </c>
      <c r="L1443" s="1">
        <f t="shared" si="181"/>
        <v>1440.72</v>
      </c>
      <c r="M1443" s="22">
        <f t="shared" si="185"/>
        <v>7704.72</v>
      </c>
      <c r="N1443" s="1">
        <f t="shared" ca="1" si="182"/>
        <v>6</v>
      </c>
      <c r="P1443" s="1">
        <v>58.324343525600852</v>
      </c>
      <c r="Q1443" s="1">
        <f t="shared" ca="1" si="183"/>
        <v>8</v>
      </c>
      <c r="R1443" s="1">
        <v>8.5795113843778381</v>
      </c>
    </row>
    <row r="1444" spans="1:18" x14ac:dyDescent="0.3">
      <c r="A1444" s="26">
        <v>1443</v>
      </c>
      <c r="B1444" s="1">
        <v>25</v>
      </c>
      <c r="C1444" s="1">
        <f t="shared" si="179"/>
        <v>4</v>
      </c>
      <c r="D1444" s="21">
        <f t="shared" ca="1" si="178"/>
        <v>44699</v>
      </c>
      <c r="E1444" s="1" t="s">
        <v>26</v>
      </c>
      <c r="F1444" s="1" t="s">
        <v>1472</v>
      </c>
      <c r="G1444" s="1" t="s">
        <v>28</v>
      </c>
      <c r="H1444" s="1">
        <v>1542</v>
      </c>
      <c r="I1444" s="1">
        <f t="shared" si="180"/>
        <v>54</v>
      </c>
      <c r="J1444" s="1">
        <f>VLOOKUP(B1444,Cena!$A$2:$B$101,2)</f>
        <v>108</v>
      </c>
      <c r="K1444" s="1">
        <f t="shared" si="184"/>
        <v>5832</v>
      </c>
      <c r="L1444" s="1">
        <f t="shared" si="181"/>
        <v>1341.3600000000001</v>
      </c>
      <c r="M1444" s="22">
        <f t="shared" si="185"/>
        <v>7173.3600000000006</v>
      </c>
      <c r="N1444" s="1">
        <f t="shared" ca="1" si="182"/>
        <v>5</v>
      </c>
      <c r="P1444" s="1">
        <v>54.481114501686534</v>
      </c>
      <c r="Q1444" s="1">
        <f t="shared" ca="1" si="183"/>
        <v>28</v>
      </c>
      <c r="R1444" s="1">
        <v>4.9084667605347931</v>
      </c>
    </row>
    <row r="1445" spans="1:18" x14ac:dyDescent="0.3">
      <c r="A1445" s="26">
        <v>1444</v>
      </c>
      <c r="B1445" s="1">
        <v>26</v>
      </c>
      <c r="C1445" s="1">
        <f t="shared" si="179"/>
        <v>5</v>
      </c>
      <c r="D1445" s="21">
        <f t="shared" ca="1" si="178"/>
        <v>44660</v>
      </c>
      <c r="E1445" s="1" t="s">
        <v>26</v>
      </c>
      <c r="F1445" s="1" t="s">
        <v>1473</v>
      </c>
      <c r="G1445" s="1" t="s">
        <v>28</v>
      </c>
      <c r="H1445" s="1">
        <v>1543</v>
      </c>
      <c r="I1445" s="1">
        <f t="shared" si="180"/>
        <v>80</v>
      </c>
      <c r="J1445" s="1">
        <f>VLOOKUP(B1445,Cena!$A$2:$B$101,2)</f>
        <v>99</v>
      </c>
      <c r="K1445" s="1">
        <f t="shared" si="184"/>
        <v>7920</v>
      </c>
      <c r="L1445" s="1">
        <f t="shared" si="181"/>
        <v>1821.6000000000001</v>
      </c>
      <c r="M1445" s="22">
        <f t="shared" si="185"/>
        <v>9741.6</v>
      </c>
      <c r="N1445" s="1">
        <f t="shared" ca="1" si="182"/>
        <v>4</v>
      </c>
      <c r="P1445" s="1">
        <v>80.621595215052366</v>
      </c>
      <c r="Q1445" s="1">
        <f t="shared" ca="1" si="183"/>
        <v>25</v>
      </c>
      <c r="R1445" s="1">
        <v>5.4160102788591757</v>
      </c>
    </row>
    <row r="1446" spans="1:18" x14ac:dyDescent="0.3">
      <c r="A1446" s="26">
        <v>1445</v>
      </c>
      <c r="B1446" s="1">
        <v>8</v>
      </c>
      <c r="C1446" s="1">
        <f t="shared" si="179"/>
        <v>8</v>
      </c>
      <c r="D1446" s="21">
        <f t="shared" ca="1" si="178"/>
        <v>44567</v>
      </c>
      <c r="E1446" s="1" t="s">
        <v>26</v>
      </c>
      <c r="F1446" s="1" t="s">
        <v>1474</v>
      </c>
      <c r="G1446" s="1" t="s">
        <v>28</v>
      </c>
      <c r="H1446" s="1">
        <v>1544</v>
      </c>
      <c r="I1446" s="1">
        <f t="shared" si="180"/>
        <v>37</v>
      </c>
      <c r="J1446" s="1">
        <f>VLOOKUP(B1446,Cena!$A$2:$B$101,2)</f>
        <v>88</v>
      </c>
      <c r="K1446" s="1">
        <f t="shared" si="184"/>
        <v>3256</v>
      </c>
      <c r="L1446" s="1">
        <f t="shared" si="181"/>
        <v>748.88</v>
      </c>
      <c r="M1446" s="22">
        <f t="shared" si="185"/>
        <v>4004.88</v>
      </c>
      <c r="N1446" s="1">
        <f t="shared" ca="1" si="182"/>
        <v>1</v>
      </c>
      <c r="P1446" s="1">
        <v>37.75033418496605</v>
      </c>
      <c r="Q1446" s="1">
        <f t="shared" ca="1" si="183"/>
        <v>10</v>
      </c>
      <c r="R1446" s="1">
        <v>8.2579538482241333</v>
      </c>
    </row>
    <row r="1447" spans="1:18" x14ac:dyDescent="0.3">
      <c r="A1447" s="26">
        <v>1446</v>
      </c>
      <c r="B1447" s="1">
        <v>23</v>
      </c>
      <c r="C1447" s="1">
        <f t="shared" si="179"/>
        <v>10</v>
      </c>
      <c r="D1447" s="21">
        <f t="shared" ca="1" si="178"/>
        <v>44785</v>
      </c>
      <c r="E1447" s="1" t="s">
        <v>26</v>
      </c>
      <c r="F1447" s="1" t="s">
        <v>1475</v>
      </c>
      <c r="G1447" s="1" t="s">
        <v>28</v>
      </c>
      <c r="H1447" s="1">
        <v>1545</v>
      </c>
      <c r="I1447" s="1">
        <f t="shared" si="180"/>
        <v>40</v>
      </c>
      <c r="J1447" s="1">
        <f>VLOOKUP(B1447,Cena!$A$2:$B$101,2)</f>
        <v>132</v>
      </c>
      <c r="K1447" s="1">
        <f t="shared" si="184"/>
        <v>5280</v>
      </c>
      <c r="L1447" s="1">
        <f t="shared" si="181"/>
        <v>1214.4000000000001</v>
      </c>
      <c r="M1447" s="22">
        <f t="shared" si="185"/>
        <v>6494.4</v>
      </c>
      <c r="N1447" s="1">
        <f t="shared" ca="1" si="182"/>
        <v>8</v>
      </c>
      <c r="P1447" s="1">
        <v>40.384048942360096</v>
      </c>
      <c r="Q1447" s="1">
        <f t="shared" ca="1" si="183"/>
        <v>26</v>
      </c>
      <c r="R1447" s="1">
        <v>10.960716306508402</v>
      </c>
    </row>
    <row r="1448" spans="1:18" x14ac:dyDescent="0.3">
      <c r="A1448" s="26">
        <v>1447</v>
      </c>
      <c r="B1448" s="1">
        <v>7</v>
      </c>
      <c r="C1448" s="1">
        <f t="shared" si="179"/>
        <v>9</v>
      </c>
      <c r="D1448" s="21">
        <f t="shared" ca="1" si="178"/>
        <v>44827</v>
      </c>
      <c r="E1448" s="1" t="s">
        <v>26</v>
      </c>
      <c r="F1448" s="1" t="s">
        <v>1476</v>
      </c>
      <c r="G1448" s="1" t="s">
        <v>28</v>
      </c>
      <c r="H1448" s="1">
        <v>1546</v>
      </c>
      <c r="I1448" s="1">
        <f t="shared" si="180"/>
        <v>45</v>
      </c>
      <c r="J1448" s="1">
        <f>VLOOKUP(B1448,Cena!$A$2:$B$101,2)</f>
        <v>104</v>
      </c>
      <c r="K1448" s="1">
        <f t="shared" si="184"/>
        <v>4680</v>
      </c>
      <c r="L1448" s="1">
        <f t="shared" si="181"/>
        <v>1076.4000000000001</v>
      </c>
      <c r="M1448" s="22">
        <f t="shared" si="185"/>
        <v>5756.4</v>
      </c>
      <c r="N1448" s="1">
        <f t="shared" ca="1" si="182"/>
        <v>9</v>
      </c>
      <c r="P1448" s="1">
        <v>45.85471641694312</v>
      </c>
      <c r="Q1448" s="1">
        <f t="shared" ca="1" si="183"/>
        <v>16</v>
      </c>
      <c r="R1448" s="1">
        <v>9.9547696916124551</v>
      </c>
    </row>
    <row r="1449" spans="1:18" x14ac:dyDescent="0.3">
      <c r="A1449" s="26">
        <v>1448</v>
      </c>
      <c r="B1449" s="1">
        <v>16</v>
      </c>
      <c r="C1449" s="1">
        <f t="shared" si="179"/>
        <v>11</v>
      </c>
      <c r="D1449" s="21">
        <f t="shared" ca="1" si="178"/>
        <v>44822</v>
      </c>
      <c r="E1449" s="1" t="s">
        <v>26</v>
      </c>
      <c r="F1449" s="1" t="s">
        <v>1477</v>
      </c>
      <c r="G1449" s="1" t="s">
        <v>28</v>
      </c>
      <c r="H1449" s="1">
        <v>1547</v>
      </c>
      <c r="I1449" s="1">
        <f t="shared" si="180"/>
        <v>56</v>
      </c>
      <c r="J1449" s="1">
        <f>VLOOKUP(B1449,Cena!$A$2:$B$101,2)</f>
        <v>93</v>
      </c>
      <c r="K1449" s="1">
        <f t="shared" si="184"/>
        <v>5208</v>
      </c>
      <c r="L1449" s="1">
        <f t="shared" si="181"/>
        <v>1197.8400000000001</v>
      </c>
      <c r="M1449" s="22">
        <f t="shared" si="185"/>
        <v>6405.84</v>
      </c>
      <c r="N1449" s="1">
        <f t="shared" ca="1" si="182"/>
        <v>9</v>
      </c>
      <c r="P1449" s="1">
        <v>56.098707672208548</v>
      </c>
      <c r="Q1449" s="1">
        <f t="shared" ca="1" si="183"/>
        <v>13</v>
      </c>
      <c r="R1449" s="1">
        <v>11.811974925658433</v>
      </c>
    </row>
    <row r="1450" spans="1:18" x14ac:dyDescent="0.3">
      <c r="A1450" s="26">
        <v>1449</v>
      </c>
      <c r="B1450" s="1">
        <v>28</v>
      </c>
      <c r="C1450" s="1">
        <f t="shared" si="179"/>
        <v>6</v>
      </c>
      <c r="D1450" s="21">
        <f t="shared" ca="1" si="178"/>
        <v>44874</v>
      </c>
      <c r="E1450" s="1" t="s">
        <v>26</v>
      </c>
      <c r="F1450" s="1" t="s">
        <v>1478</v>
      </c>
      <c r="G1450" s="1" t="s">
        <v>28</v>
      </c>
      <c r="H1450" s="1">
        <v>1548</v>
      </c>
      <c r="I1450" s="1">
        <f t="shared" si="180"/>
        <v>50</v>
      </c>
      <c r="J1450" s="1">
        <f>VLOOKUP(B1450,Cena!$A$2:$B$101,2)</f>
        <v>59</v>
      </c>
      <c r="K1450" s="1">
        <f t="shared" si="184"/>
        <v>2950</v>
      </c>
      <c r="L1450" s="1">
        <f t="shared" si="181"/>
        <v>678.5</v>
      </c>
      <c r="M1450" s="22">
        <f t="shared" si="185"/>
        <v>3628.5</v>
      </c>
      <c r="N1450" s="1">
        <f t="shared" ca="1" si="182"/>
        <v>11</v>
      </c>
      <c r="P1450" s="1">
        <v>50.988825377135072</v>
      </c>
      <c r="Q1450" s="1">
        <f t="shared" ca="1" si="183"/>
        <v>4</v>
      </c>
      <c r="R1450" s="1">
        <v>6.2033598421839997</v>
      </c>
    </row>
    <row r="1451" spans="1:18" x14ac:dyDescent="0.3">
      <c r="A1451" s="26">
        <v>1450</v>
      </c>
      <c r="B1451" s="1">
        <v>9</v>
      </c>
      <c r="C1451" s="1">
        <f t="shared" si="179"/>
        <v>11</v>
      </c>
      <c r="D1451" s="21">
        <f t="shared" ca="1" si="178"/>
        <v>44691</v>
      </c>
      <c r="E1451" s="1" t="s">
        <v>26</v>
      </c>
      <c r="F1451" s="1" t="s">
        <v>1479</v>
      </c>
      <c r="G1451" s="1" t="s">
        <v>28</v>
      </c>
      <c r="H1451" s="1">
        <v>1549</v>
      </c>
      <c r="I1451" s="1">
        <f t="shared" si="180"/>
        <v>52</v>
      </c>
      <c r="J1451" s="1">
        <f>VLOOKUP(B1451,Cena!$A$2:$B$101,2)</f>
        <v>96</v>
      </c>
      <c r="K1451" s="1">
        <f t="shared" si="184"/>
        <v>4992</v>
      </c>
      <c r="L1451" s="1">
        <f t="shared" si="181"/>
        <v>1148.1600000000001</v>
      </c>
      <c r="M1451" s="22">
        <f t="shared" si="185"/>
        <v>6140.16</v>
      </c>
      <c r="N1451" s="1">
        <f t="shared" ca="1" si="182"/>
        <v>5</v>
      </c>
      <c r="P1451" s="1">
        <v>52.593401404737961</v>
      </c>
      <c r="Q1451" s="1">
        <f t="shared" ca="1" si="183"/>
        <v>12</v>
      </c>
      <c r="R1451" s="1">
        <v>11.615762812434696</v>
      </c>
    </row>
    <row r="1452" spans="1:18" x14ac:dyDescent="0.3">
      <c r="A1452" s="26">
        <v>1451</v>
      </c>
      <c r="B1452" s="1">
        <v>20</v>
      </c>
      <c r="C1452" s="1">
        <f t="shared" si="179"/>
        <v>11</v>
      </c>
      <c r="D1452" s="21">
        <f t="shared" ca="1" si="178"/>
        <v>44920</v>
      </c>
      <c r="E1452" s="1" t="s">
        <v>26</v>
      </c>
      <c r="F1452" s="1" t="s">
        <v>1480</v>
      </c>
      <c r="G1452" s="1" t="s">
        <v>28</v>
      </c>
      <c r="H1452" s="1">
        <v>1550</v>
      </c>
      <c r="I1452" s="1">
        <f t="shared" si="180"/>
        <v>38</v>
      </c>
      <c r="J1452" s="1">
        <f>VLOOKUP(B1452,Cena!$A$2:$B$101,2)</f>
        <v>111</v>
      </c>
      <c r="K1452" s="1">
        <f t="shared" si="184"/>
        <v>4218</v>
      </c>
      <c r="L1452" s="1">
        <f t="shared" si="181"/>
        <v>970.14</v>
      </c>
      <c r="M1452" s="22">
        <f t="shared" si="185"/>
        <v>5188.1400000000003</v>
      </c>
      <c r="N1452" s="1">
        <f t="shared" ca="1" si="182"/>
        <v>12</v>
      </c>
      <c r="P1452" s="1">
        <v>38.839772413484752</v>
      </c>
      <c r="Q1452" s="1">
        <f t="shared" ca="1" si="183"/>
        <v>18</v>
      </c>
      <c r="R1452" s="1">
        <v>11.437601326870208</v>
      </c>
    </row>
    <row r="1453" spans="1:18" x14ac:dyDescent="0.3">
      <c r="A1453" s="26">
        <v>1452</v>
      </c>
      <c r="B1453" s="1">
        <v>8</v>
      </c>
      <c r="C1453" s="1">
        <f t="shared" si="179"/>
        <v>6</v>
      </c>
      <c r="D1453" s="21">
        <f t="shared" ca="1" si="178"/>
        <v>44835</v>
      </c>
      <c r="E1453" s="1" t="s">
        <v>26</v>
      </c>
      <c r="F1453" s="1" t="s">
        <v>1481</v>
      </c>
      <c r="G1453" s="1" t="s">
        <v>28</v>
      </c>
      <c r="H1453" s="1">
        <v>1551</v>
      </c>
      <c r="I1453" s="1">
        <f t="shared" si="180"/>
        <v>44</v>
      </c>
      <c r="J1453" s="1">
        <f>VLOOKUP(B1453,Cena!$A$2:$B$101,2)</f>
        <v>88</v>
      </c>
      <c r="K1453" s="1">
        <f t="shared" si="184"/>
        <v>3872</v>
      </c>
      <c r="L1453" s="1">
        <f t="shared" si="181"/>
        <v>890.56000000000006</v>
      </c>
      <c r="M1453" s="22">
        <f t="shared" si="185"/>
        <v>4762.5600000000004</v>
      </c>
      <c r="N1453" s="1">
        <f t="shared" ca="1" si="182"/>
        <v>10</v>
      </c>
      <c r="P1453" s="1">
        <v>44.295558281010017</v>
      </c>
      <c r="Q1453" s="1">
        <f t="shared" ca="1" si="183"/>
        <v>25</v>
      </c>
      <c r="R1453" s="1">
        <v>6.7673488754371647</v>
      </c>
    </row>
    <row r="1454" spans="1:18" x14ac:dyDescent="0.3">
      <c r="A1454" s="26">
        <v>1453</v>
      </c>
      <c r="B1454" s="1">
        <v>20</v>
      </c>
      <c r="C1454" s="1">
        <f t="shared" si="179"/>
        <v>10</v>
      </c>
      <c r="D1454" s="21">
        <f t="shared" ca="1" si="178"/>
        <v>44896</v>
      </c>
      <c r="E1454" s="1" t="s">
        <v>26</v>
      </c>
      <c r="F1454" s="1" t="s">
        <v>1482</v>
      </c>
      <c r="G1454" s="1" t="s">
        <v>28</v>
      </c>
      <c r="H1454" s="1">
        <v>1552</v>
      </c>
      <c r="I1454" s="1">
        <f t="shared" si="180"/>
        <v>47</v>
      </c>
      <c r="J1454" s="1">
        <f>VLOOKUP(B1454,Cena!$A$2:$B$101,2)</f>
        <v>111</v>
      </c>
      <c r="K1454" s="1">
        <f t="shared" si="184"/>
        <v>5217</v>
      </c>
      <c r="L1454" s="1">
        <f t="shared" si="181"/>
        <v>1199.9100000000001</v>
      </c>
      <c r="M1454" s="22">
        <f t="shared" si="185"/>
        <v>6416.91</v>
      </c>
      <c r="N1454" s="1">
        <f t="shared" ca="1" si="182"/>
        <v>12</v>
      </c>
      <c r="P1454" s="1">
        <v>47.706902377103688</v>
      </c>
      <c r="Q1454" s="1">
        <f t="shared" ca="1" si="183"/>
        <v>1</v>
      </c>
      <c r="R1454" s="1">
        <v>10.273163891506556</v>
      </c>
    </row>
    <row r="1455" spans="1:18" x14ac:dyDescent="0.3">
      <c r="A1455" s="26">
        <v>1454</v>
      </c>
      <c r="B1455" s="1">
        <v>16</v>
      </c>
      <c r="C1455" s="1">
        <f t="shared" si="179"/>
        <v>9</v>
      </c>
      <c r="D1455" s="21">
        <f t="shared" ca="1" si="178"/>
        <v>44784</v>
      </c>
      <c r="E1455" s="1" t="s">
        <v>26</v>
      </c>
      <c r="F1455" s="1" t="s">
        <v>1483</v>
      </c>
      <c r="G1455" s="1" t="s">
        <v>28</v>
      </c>
      <c r="H1455" s="1">
        <v>1553</v>
      </c>
      <c r="I1455" s="1">
        <f t="shared" si="180"/>
        <v>46</v>
      </c>
      <c r="J1455" s="1">
        <f>VLOOKUP(B1455,Cena!$A$2:$B$101,2)</f>
        <v>93</v>
      </c>
      <c r="K1455" s="1">
        <f t="shared" si="184"/>
        <v>4278</v>
      </c>
      <c r="L1455" s="1">
        <f t="shared" si="181"/>
        <v>983.94</v>
      </c>
      <c r="M1455" s="22">
        <f t="shared" si="185"/>
        <v>5261.9400000000005</v>
      </c>
      <c r="N1455" s="1">
        <f t="shared" ca="1" si="182"/>
        <v>8</v>
      </c>
      <c r="P1455" s="1">
        <v>46.743804331345018</v>
      </c>
      <c r="Q1455" s="1">
        <f t="shared" ca="1" si="183"/>
        <v>10</v>
      </c>
      <c r="R1455" s="1">
        <v>9.324714394788316</v>
      </c>
    </row>
    <row r="1456" spans="1:18" x14ac:dyDescent="0.3">
      <c r="A1456" s="26">
        <v>1455</v>
      </c>
      <c r="B1456" s="1">
        <v>28</v>
      </c>
      <c r="C1456" s="1">
        <f t="shared" si="179"/>
        <v>13</v>
      </c>
      <c r="D1456" s="21">
        <f t="shared" ca="1" si="178"/>
        <v>44812</v>
      </c>
      <c r="E1456" s="1" t="s">
        <v>26</v>
      </c>
      <c r="F1456" s="1" t="s">
        <v>1484</v>
      </c>
      <c r="G1456" s="1" t="s">
        <v>28</v>
      </c>
      <c r="H1456" s="1">
        <v>1554</v>
      </c>
      <c r="I1456" s="1">
        <f t="shared" si="180"/>
        <v>55</v>
      </c>
      <c r="J1456" s="1">
        <f>VLOOKUP(B1456,Cena!$A$2:$B$101,2)</f>
        <v>59</v>
      </c>
      <c r="K1456" s="1">
        <f t="shared" si="184"/>
        <v>3245</v>
      </c>
      <c r="L1456" s="1">
        <f t="shared" si="181"/>
        <v>746.35</v>
      </c>
      <c r="M1456" s="22">
        <f t="shared" si="185"/>
        <v>3991.35</v>
      </c>
      <c r="N1456" s="1">
        <f t="shared" ca="1" si="182"/>
        <v>9</v>
      </c>
      <c r="P1456" s="1">
        <v>55.931860869168304</v>
      </c>
      <c r="Q1456" s="1">
        <f t="shared" ca="1" si="183"/>
        <v>23</v>
      </c>
      <c r="R1456" s="1">
        <v>13.836498763121199</v>
      </c>
    </row>
    <row r="1457" spans="1:18" x14ac:dyDescent="0.3">
      <c r="A1457" s="26">
        <v>1456</v>
      </c>
      <c r="B1457" s="1">
        <v>9</v>
      </c>
      <c r="C1457" s="1">
        <f t="shared" si="179"/>
        <v>10</v>
      </c>
      <c r="D1457" s="21">
        <f t="shared" ca="1" si="178"/>
        <v>44671</v>
      </c>
      <c r="E1457" s="1" t="s">
        <v>26</v>
      </c>
      <c r="F1457" s="1" t="s">
        <v>1485</v>
      </c>
      <c r="G1457" s="1" t="s">
        <v>28</v>
      </c>
      <c r="H1457" s="1">
        <v>1555</v>
      </c>
      <c r="I1457" s="1">
        <f t="shared" si="180"/>
        <v>54</v>
      </c>
      <c r="J1457" s="1">
        <f>VLOOKUP(B1457,Cena!$A$2:$B$101,2)</f>
        <v>96</v>
      </c>
      <c r="K1457" s="1">
        <f t="shared" si="184"/>
        <v>5184</v>
      </c>
      <c r="L1457" s="1">
        <f t="shared" si="181"/>
        <v>1192.3200000000002</v>
      </c>
      <c r="M1457" s="22">
        <f t="shared" si="185"/>
        <v>6376.32</v>
      </c>
      <c r="N1457" s="1">
        <f t="shared" ca="1" si="182"/>
        <v>4</v>
      </c>
      <c r="P1457" s="1">
        <v>54.774869921675418</v>
      </c>
      <c r="Q1457" s="1">
        <f t="shared" ca="1" si="183"/>
        <v>21</v>
      </c>
      <c r="R1457" s="1">
        <v>10.388351395486097</v>
      </c>
    </row>
    <row r="1458" spans="1:18" x14ac:dyDescent="0.3">
      <c r="A1458" s="26">
        <v>1457</v>
      </c>
      <c r="B1458" s="1">
        <v>5</v>
      </c>
      <c r="C1458" s="1">
        <f t="shared" si="179"/>
        <v>12</v>
      </c>
      <c r="D1458" s="21">
        <f t="shared" ca="1" si="178"/>
        <v>44727</v>
      </c>
      <c r="E1458" s="1" t="s">
        <v>26</v>
      </c>
      <c r="F1458" s="1" t="s">
        <v>1486</v>
      </c>
      <c r="G1458" s="1" t="s">
        <v>28</v>
      </c>
      <c r="H1458" s="1">
        <v>1556</v>
      </c>
      <c r="I1458" s="1">
        <f t="shared" si="180"/>
        <v>34</v>
      </c>
      <c r="J1458" s="1">
        <f>VLOOKUP(B1458,Cena!$A$2:$B$101,2)</f>
        <v>91</v>
      </c>
      <c r="K1458" s="1">
        <f t="shared" si="184"/>
        <v>3094</v>
      </c>
      <c r="L1458" s="1">
        <f t="shared" si="181"/>
        <v>711.62</v>
      </c>
      <c r="M1458" s="22">
        <f t="shared" si="185"/>
        <v>3805.62</v>
      </c>
      <c r="N1458" s="1">
        <f t="shared" ca="1" si="182"/>
        <v>6</v>
      </c>
      <c r="P1458" s="1">
        <v>34.601618052693084</v>
      </c>
      <c r="Q1458" s="1">
        <f t="shared" ca="1" si="183"/>
        <v>27</v>
      </c>
      <c r="R1458" s="1">
        <v>12.148368594134809</v>
      </c>
    </row>
    <row r="1459" spans="1:18" x14ac:dyDescent="0.3">
      <c r="A1459" s="26">
        <v>1458</v>
      </c>
      <c r="B1459" s="1">
        <v>13</v>
      </c>
      <c r="C1459" s="1">
        <f t="shared" si="179"/>
        <v>10</v>
      </c>
      <c r="D1459" s="21">
        <f t="shared" ca="1" si="178"/>
        <v>44653</v>
      </c>
      <c r="E1459" s="1" t="s">
        <v>26</v>
      </c>
      <c r="F1459" s="1" t="s">
        <v>1487</v>
      </c>
      <c r="G1459" s="1" t="s">
        <v>28</v>
      </c>
      <c r="H1459" s="1">
        <v>1557</v>
      </c>
      <c r="I1459" s="1">
        <f t="shared" si="180"/>
        <v>56</v>
      </c>
      <c r="J1459" s="1">
        <f>VLOOKUP(B1459,Cena!$A$2:$B$101,2)</f>
        <v>94</v>
      </c>
      <c r="K1459" s="1">
        <f t="shared" si="184"/>
        <v>5264</v>
      </c>
      <c r="L1459" s="1">
        <f t="shared" si="181"/>
        <v>1210.72</v>
      </c>
      <c r="M1459" s="22">
        <f t="shared" si="185"/>
        <v>6474.72</v>
      </c>
      <c r="N1459" s="1">
        <f t="shared" ca="1" si="182"/>
        <v>4</v>
      </c>
      <c r="P1459" s="1">
        <v>56.9516318035312</v>
      </c>
      <c r="Q1459" s="1">
        <f t="shared" ca="1" si="183"/>
        <v>5</v>
      </c>
      <c r="R1459" s="1">
        <v>10.475128558719007</v>
      </c>
    </row>
    <row r="1460" spans="1:18" x14ac:dyDescent="0.3">
      <c r="A1460" s="26">
        <v>1459</v>
      </c>
      <c r="B1460" s="1">
        <v>24</v>
      </c>
      <c r="C1460" s="1">
        <f t="shared" si="179"/>
        <v>11</v>
      </c>
      <c r="D1460" s="21">
        <f t="shared" ca="1" si="178"/>
        <v>44601</v>
      </c>
      <c r="E1460" s="1" t="s">
        <v>26</v>
      </c>
      <c r="F1460" s="1" t="s">
        <v>1488</v>
      </c>
      <c r="G1460" s="1" t="s">
        <v>28</v>
      </c>
      <c r="H1460" s="1">
        <v>1558</v>
      </c>
      <c r="I1460" s="1">
        <f t="shared" si="180"/>
        <v>61</v>
      </c>
      <c r="J1460" s="1">
        <f>VLOOKUP(B1460,Cena!$A$2:$B$101,2)</f>
        <v>125</v>
      </c>
      <c r="K1460" s="1">
        <f t="shared" si="184"/>
        <v>7625</v>
      </c>
      <c r="L1460" s="1">
        <f t="shared" si="181"/>
        <v>1753.75</v>
      </c>
      <c r="M1460" s="22">
        <f t="shared" si="185"/>
        <v>9378.75</v>
      </c>
      <c r="N1460" s="1">
        <f t="shared" ca="1" si="182"/>
        <v>2</v>
      </c>
      <c r="P1460" s="1">
        <v>61.193083082616795</v>
      </c>
      <c r="Q1460" s="1">
        <f t="shared" ca="1" si="183"/>
        <v>11</v>
      </c>
      <c r="R1460" s="1">
        <v>11.476357169849507</v>
      </c>
    </row>
    <row r="1461" spans="1:18" x14ac:dyDescent="0.3">
      <c r="A1461" s="26">
        <v>1460</v>
      </c>
      <c r="B1461" s="1">
        <v>14</v>
      </c>
      <c r="C1461" s="1">
        <f t="shared" si="179"/>
        <v>10</v>
      </c>
      <c r="D1461" s="21">
        <f t="shared" ca="1" si="178"/>
        <v>44868</v>
      </c>
      <c r="E1461" s="1" t="s">
        <v>26</v>
      </c>
      <c r="F1461" s="1" t="s">
        <v>1489</v>
      </c>
      <c r="G1461" s="1" t="s">
        <v>28</v>
      </c>
      <c r="H1461" s="1">
        <v>1559</v>
      </c>
      <c r="I1461" s="1">
        <f t="shared" si="180"/>
        <v>47</v>
      </c>
      <c r="J1461" s="1">
        <f>VLOOKUP(B1461,Cena!$A$2:$B$101,2)</f>
        <v>129</v>
      </c>
      <c r="K1461" s="1">
        <f t="shared" si="184"/>
        <v>6063</v>
      </c>
      <c r="L1461" s="1">
        <f t="shared" si="181"/>
        <v>1394.49</v>
      </c>
      <c r="M1461" s="22">
        <f t="shared" si="185"/>
        <v>7457.49</v>
      </c>
      <c r="N1461" s="1">
        <f t="shared" ca="1" si="182"/>
        <v>11</v>
      </c>
      <c r="P1461" s="1">
        <v>47.183635969122406</v>
      </c>
      <c r="Q1461" s="1">
        <f t="shared" ca="1" si="183"/>
        <v>14</v>
      </c>
      <c r="R1461" s="1">
        <v>10.185775661520893</v>
      </c>
    </row>
    <row r="1462" spans="1:18" x14ac:dyDescent="0.3">
      <c r="A1462" s="26">
        <v>1461</v>
      </c>
      <c r="B1462" s="1">
        <v>8</v>
      </c>
      <c r="C1462" s="1">
        <f t="shared" si="179"/>
        <v>15</v>
      </c>
      <c r="D1462" s="21">
        <f t="shared" ca="1" si="178"/>
        <v>44628</v>
      </c>
      <c r="E1462" s="1" t="s">
        <v>26</v>
      </c>
      <c r="F1462" s="1" t="s">
        <v>1490</v>
      </c>
      <c r="G1462" s="1" t="s">
        <v>28</v>
      </c>
      <c r="H1462" s="1">
        <v>1560</v>
      </c>
      <c r="I1462" s="1">
        <f t="shared" si="180"/>
        <v>48</v>
      </c>
      <c r="J1462" s="1">
        <f>VLOOKUP(B1462,Cena!$A$2:$B$101,2)</f>
        <v>88</v>
      </c>
      <c r="K1462" s="1">
        <f t="shared" si="184"/>
        <v>4224</v>
      </c>
      <c r="L1462" s="1">
        <f t="shared" si="181"/>
        <v>971.5200000000001</v>
      </c>
      <c r="M1462" s="22">
        <f t="shared" si="185"/>
        <v>5195.5200000000004</v>
      </c>
      <c r="N1462" s="1">
        <f t="shared" ca="1" si="182"/>
        <v>3</v>
      </c>
      <c r="P1462" s="1">
        <v>48.059752215340268</v>
      </c>
      <c r="Q1462" s="1">
        <f t="shared" ca="1" si="183"/>
        <v>28</v>
      </c>
      <c r="R1462" s="1">
        <v>15.711353878723457</v>
      </c>
    </row>
    <row r="1463" spans="1:18" x14ac:dyDescent="0.3">
      <c r="A1463" s="26">
        <v>1462</v>
      </c>
      <c r="B1463" s="1">
        <v>12</v>
      </c>
      <c r="C1463" s="1">
        <f t="shared" si="179"/>
        <v>10</v>
      </c>
      <c r="D1463" s="21">
        <f t="shared" ca="1" si="178"/>
        <v>44852</v>
      </c>
      <c r="E1463" s="1" t="s">
        <v>26</v>
      </c>
      <c r="F1463" s="1" t="s">
        <v>1491</v>
      </c>
      <c r="G1463" s="1" t="s">
        <v>28</v>
      </c>
      <c r="H1463" s="1">
        <v>1561</v>
      </c>
      <c r="I1463" s="1">
        <f t="shared" si="180"/>
        <v>50</v>
      </c>
      <c r="J1463" s="1">
        <f>VLOOKUP(B1463,Cena!$A$2:$B$101,2)</f>
        <v>88</v>
      </c>
      <c r="K1463" s="1">
        <f t="shared" si="184"/>
        <v>4400</v>
      </c>
      <c r="L1463" s="1">
        <f t="shared" si="181"/>
        <v>1012</v>
      </c>
      <c r="M1463" s="22">
        <f t="shared" si="185"/>
        <v>5412</v>
      </c>
      <c r="N1463" s="1">
        <f t="shared" ca="1" si="182"/>
        <v>10</v>
      </c>
      <c r="P1463" s="1">
        <v>50.929640009417199</v>
      </c>
      <c r="Q1463" s="1">
        <f t="shared" ca="1" si="183"/>
        <v>15</v>
      </c>
      <c r="R1463" s="1">
        <v>10.575238345845719</v>
      </c>
    </row>
    <row r="1464" spans="1:18" x14ac:dyDescent="0.3">
      <c r="A1464" s="26">
        <v>1463</v>
      </c>
      <c r="B1464" s="1">
        <v>13</v>
      </c>
      <c r="C1464" s="1">
        <f t="shared" si="179"/>
        <v>9</v>
      </c>
      <c r="D1464" s="21">
        <f t="shared" ca="1" si="178"/>
        <v>44767</v>
      </c>
      <c r="E1464" s="1" t="s">
        <v>26</v>
      </c>
      <c r="F1464" s="1" t="s">
        <v>1492</v>
      </c>
      <c r="G1464" s="1" t="s">
        <v>28</v>
      </c>
      <c r="H1464" s="1">
        <v>1562</v>
      </c>
      <c r="I1464" s="1">
        <f t="shared" si="180"/>
        <v>32</v>
      </c>
      <c r="J1464" s="1">
        <f>VLOOKUP(B1464,Cena!$A$2:$B$101,2)</f>
        <v>94</v>
      </c>
      <c r="K1464" s="1">
        <f t="shared" si="184"/>
        <v>3008</v>
      </c>
      <c r="L1464" s="1">
        <f t="shared" si="181"/>
        <v>691.84</v>
      </c>
      <c r="M1464" s="22">
        <f t="shared" si="185"/>
        <v>3699.84</v>
      </c>
      <c r="N1464" s="1">
        <f t="shared" ca="1" si="182"/>
        <v>7</v>
      </c>
      <c r="P1464" s="1">
        <v>32.188774083624594</v>
      </c>
      <c r="Q1464" s="1">
        <f t="shared" ca="1" si="183"/>
        <v>10</v>
      </c>
      <c r="R1464" s="1">
        <v>9.8960277025616961</v>
      </c>
    </row>
    <row r="1465" spans="1:18" x14ac:dyDescent="0.3">
      <c r="A1465" s="26">
        <v>1464</v>
      </c>
      <c r="B1465" s="1">
        <v>12</v>
      </c>
      <c r="C1465" s="1">
        <f t="shared" si="179"/>
        <v>8</v>
      </c>
      <c r="D1465" s="21">
        <f t="shared" ca="1" si="178"/>
        <v>44819</v>
      </c>
      <c r="E1465" s="1" t="s">
        <v>26</v>
      </c>
      <c r="F1465" s="1" t="s">
        <v>1493</v>
      </c>
      <c r="G1465" s="1" t="s">
        <v>28</v>
      </c>
      <c r="H1465" s="1">
        <v>1563</v>
      </c>
      <c r="I1465" s="1">
        <f t="shared" si="180"/>
        <v>32</v>
      </c>
      <c r="J1465" s="1">
        <f>VLOOKUP(B1465,Cena!$A$2:$B$101,2)</f>
        <v>88</v>
      </c>
      <c r="K1465" s="1">
        <f t="shared" si="184"/>
        <v>2816</v>
      </c>
      <c r="L1465" s="1">
        <f t="shared" si="181"/>
        <v>647.68000000000006</v>
      </c>
      <c r="M1465" s="22">
        <f t="shared" si="185"/>
        <v>3463.6800000000003</v>
      </c>
      <c r="N1465" s="1">
        <f t="shared" ca="1" si="182"/>
        <v>9</v>
      </c>
      <c r="P1465" s="1">
        <v>32.494273353950121</v>
      </c>
      <c r="Q1465" s="1">
        <f t="shared" ca="1" si="183"/>
        <v>18</v>
      </c>
      <c r="R1465" s="1">
        <v>8.6515263117325958</v>
      </c>
    </row>
    <row r="1466" spans="1:18" x14ac:dyDescent="0.3">
      <c r="A1466" s="26">
        <v>1465</v>
      </c>
      <c r="B1466" s="1">
        <v>4</v>
      </c>
      <c r="C1466" s="1">
        <f t="shared" si="179"/>
        <v>7</v>
      </c>
      <c r="D1466" s="21">
        <f t="shared" ca="1" si="178"/>
        <v>44603</v>
      </c>
      <c r="E1466" s="1" t="s">
        <v>26</v>
      </c>
      <c r="F1466" s="1" t="s">
        <v>1494</v>
      </c>
      <c r="G1466" s="1" t="s">
        <v>28</v>
      </c>
      <c r="H1466" s="1">
        <v>1564</v>
      </c>
      <c r="I1466" s="1">
        <f t="shared" si="180"/>
        <v>64</v>
      </c>
      <c r="J1466" s="1">
        <f>VLOOKUP(B1466,Cena!$A$2:$B$101,2)</f>
        <v>99</v>
      </c>
      <c r="K1466" s="1">
        <f t="shared" si="184"/>
        <v>6336</v>
      </c>
      <c r="L1466" s="1">
        <f t="shared" si="181"/>
        <v>1457.28</v>
      </c>
      <c r="M1466" s="22">
        <f t="shared" si="185"/>
        <v>7793.28</v>
      </c>
      <c r="N1466" s="1">
        <f t="shared" ca="1" si="182"/>
        <v>2</v>
      </c>
      <c r="P1466" s="1">
        <v>64.644501789007336</v>
      </c>
      <c r="Q1466" s="1">
        <f t="shared" ca="1" si="183"/>
        <v>30</v>
      </c>
      <c r="R1466" s="1">
        <v>7.2780642565339804</v>
      </c>
    </row>
    <row r="1467" spans="1:18" x14ac:dyDescent="0.3">
      <c r="A1467" s="26">
        <v>1466</v>
      </c>
      <c r="B1467" s="1">
        <v>30</v>
      </c>
      <c r="C1467" s="1">
        <f t="shared" si="179"/>
        <v>5</v>
      </c>
      <c r="D1467" s="21">
        <f t="shared" ca="1" si="178"/>
        <v>44694</v>
      </c>
      <c r="E1467" s="1" t="s">
        <v>26</v>
      </c>
      <c r="F1467" s="1" t="s">
        <v>1495</v>
      </c>
      <c r="G1467" s="1" t="s">
        <v>28</v>
      </c>
      <c r="H1467" s="1">
        <v>1565</v>
      </c>
      <c r="I1467" s="1">
        <f t="shared" si="180"/>
        <v>60</v>
      </c>
      <c r="J1467" s="1">
        <f>VLOOKUP(B1467,Cena!$A$2:$B$101,2)</f>
        <v>87</v>
      </c>
      <c r="K1467" s="1">
        <f t="shared" si="184"/>
        <v>5220</v>
      </c>
      <c r="L1467" s="1">
        <f t="shared" si="181"/>
        <v>1200.6000000000001</v>
      </c>
      <c r="M1467" s="22">
        <f t="shared" si="185"/>
        <v>6420.6</v>
      </c>
      <c r="N1467" s="1">
        <f t="shared" ca="1" si="182"/>
        <v>5</v>
      </c>
      <c r="P1467" s="1">
        <v>60.444568943057675</v>
      </c>
      <c r="Q1467" s="1">
        <f t="shared" ca="1" si="183"/>
        <v>13</v>
      </c>
      <c r="R1467" s="1">
        <v>5.7522049953695387</v>
      </c>
    </row>
    <row r="1468" spans="1:18" x14ac:dyDescent="0.3">
      <c r="A1468" s="26">
        <v>1467</v>
      </c>
      <c r="B1468" s="1">
        <v>2</v>
      </c>
      <c r="C1468" s="1">
        <f t="shared" si="179"/>
        <v>11</v>
      </c>
      <c r="D1468" s="21">
        <f t="shared" ca="1" si="178"/>
        <v>44740</v>
      </c>
      <c r="E1468" s="1" t="s">
        <v>26</v>
      </c>
      <c r="F1468" s="1" t="s">
        <v>1496</v>
      </c>
      <c r="G1468" s="1" t="s">
        <v>28</v>
      </c>
      <c r="H1468" s="1">
        <v>1566</v>
      </c>
      <c r="I1468" s="1">
        <f t="shared" si="180"/>
        <v>71</v>
      </c>
      <c r="J1468" s="1">
        <f>VLOOKUP(B1468,Cena!$A$2:$B$101,2)</f>
        <v>121</v>
      </c>
      <c r="K1468" s="1">
        <f t="shared" si="184"/>
        <v>8591</v>
      </c>
      <c r="L1468" s="1">
        <f t="shared" si="181"/>
        <v>1975.93</v>
      </c>
      <c r="M1468" s="22">
        <f t="shared" si="185"/>
        <v>10566.93</v>
      </c>
      <c r="N1468" s="1">
        <f t="shared" ca="1" si="182"/>
        <v>6</v>
      </c>
      <c r="P1468" s="1">
        <v>71.713094611186534</v>
      </c>
      <c r="Q1468" s="1">
        <f t="shared" ca="1" si="183"/>
        <v>27</v>
      </c>
      <c r="R1468" s="1">
        <v>11.372649194308906</v>
      </c>
    </row>
    <row r="1469" spans="1:18" x14ac:dyDescent="0.3">
      <c r="A1469" s="26">
        <v>1468</v>
      </c>
      <c r="B1469" s="1">
        <v>8</v>
      </c>
      <c r="C1469" s="1">
        <f t="shared" si="179"/>
        <v>15</v>
      </c>
      <c r="D1469" s="21">
        <f t="shared" ca="1" si="178"/>
        <v>44892</v>
      </c>
      <c r="E1469" s="1" t="s">
        <v>26</v>
      </c>
      <c r="F1469" s="1" t="s">
        <v>1497</v>
      </c>
      <c r="G1469" s="1" t="s">
        <v>28</v>
      </c>
      <c r="H1469" s="1">
        <v>1567</v>
      </c>
      <c r="I1469" s="1">
        <f t="shared" si="180"/>
        <v>46</v>
      </c>
      <c r="J1469" s="1">
        <f>VLOOKUP(B1469,Cena!$A$2:$B$101,2)</f>
        <v>88</v>
      </c>
      <c r="K1469" s="1">
        <f t="shared" si="184"/>
        <v>4048</v>
      </c>
      <c r="L1469" s="1">
        <f t="shared" si="181"/>
        <v>931.04000000000008</v>
      </c>
      <c r="M1469" s="22">
        <f t="shared" si="185"/>
        <v>4979.04</v>
      </c>
      <c r="N1469" s="1">
        <f t="shared" ca="1" si="182"/>
        <v>11</v>
      </c>
      <c r="P1469" s="1">
        <v>46.599888163473224</v>
      </c>
      <c r="Q1469" s="1">
        <f t="shared" ca="1" si="183"/>
        <v>27</v>
      </c>
      <c r="R1469" s="1">
        <v>15.648234946420416</v>
      </c>
    </row>
    <row r="1470" spans="1:18" x14ac:dyDescent="0.3">
      <c r="A1470" s="26">
        <v>1469</v>
      </c>
      <c r="B1470" s="1">
        <v>7</v>
      </c>
      <c r="C1470" s="1">
        <f t="shared" si="179"/>
        <v>10</v>
      </c>
      <c r="D1470" s="21">
        <f t="shared" ca="1" si="178"/>
        <v>44828</v>
      </c>
      <c r="E1470" s="1" t="s">
        <v>26</v>
      </c>
      <c r="F1470" s="1" t="s">
        <v>1498</v>
      </c>
      <c r="G1470" s="1" t="s">
        <v>28</v>
      </c>
      <c r="H1470" s="1">
        <v>1568</v>
      </c>
      <c r="I1470" s="1">
        <f t="shared" si="180"/>
        <v>62</v>
      </c>
      <c r="J1470" s="1">
        <f>VLOOKUP(B1470,Cena!$A$2:$B$101,2)</f>
        <v>104</v>
      </c>
      <c r="K1470" s="1">
        <f t="shared" si="184"/>
        <v>6448</v>
      </c>
      <c r="L1470" s="1">
        <f t="shared" si="181"/>
        <v>1483.04</v>
      </c>
      <c r="M1470" s="22">
        <f t="shared" si="185"/>
        <v>7931.04</v>
      </c>
      <c r="N1470" s="1">
        <f t="shared" ca="1" si="182"/>
        <v>9</v>
      </c>
      <c r="P1470" s="1">
        <v>62.916507330373861</v>
      </c>
      <c r="Q1470" s="1">
        <f t="shared" ca="1" si="183"/>
        <v>18</v>
      </c>
      <c r="R1470" s="1">
        <v>10.454309656561236</v>
      </c>
    </row>
    <row r="1471" spans="1:18" x14ac:dyDescent="0.3">
      <c r="A1471" s="26">
        <v>1470</v>
      </c>
      <c r="B1471" s="1">
        <v>29</v>
      </c>
      <c r="C1471" s="1">
        <f t="shared" si="179"/>
        <v>8</v>
      </c>
      <c r="D1471" s="21">
        <f t="shared" ca="1" si="178"/>
        <v>44761</v>
      </c>
      <c r="E1471" s="1" t="s">
        <v>26</v>
      </c>
      <c r="F1471" s="1" t="s">
        <v>1499</v>
      </c>
      <c r="G1471" s="1" t="s">
        <v>28</v>
      </c>
      <c r="H1471" s="1">
        <v>1569</v>
      </c>
      <c r="I1471" s="1">
        <f t="shared" si="180"/>
        <v>54</v>
      </c>
      <c r="J1471" s="1">
        <f>VLOOKUP(B1471,Cena!$A$2:$B$101,2)</f>
        <v>105</v>
      </c>
      <c r="K1471" s="1">
        <f t="shared" si="184"/>
        <v>5670</v>
      </c>
      <c r="L1471" s="1">
        <f t="shared" si="181"/>
        <v>1304.1000000000001</v>
      </c>
      <c r="M1471" s="22">
        <f t="shared" si="185"/>
        <v>6974.1</v>
      </c>
      <c r="N1471" s="1">
        <f t="shared" ca="1" si="182"/>
        <v>7</v>
      </c>
      <c r="P1471" s="1">
        <v>54.7072489905986</v>
      </c>
      <c r="Q1471" s="1">
        <f t="shared" ca="1" si="183"/>
        <v>5</v>
      </c>
      <c r="R1471" s="1">
        <v>8.9985923321000882</v>
      </c>
    </row>
    <row r="1472" spans="1:18" x14ac:dyDescent="0.3">
      <c r="A1472" s="26">
        <v>1471</v>
      </c>
      <c r="B1472" s="1">
        <v>18</v>
      </c>
      <c r="C1472" s="1">
        <f t="shared" si="179"/>
        <v>10</v>
      </c>
      <c r="D1472" s="21">
        <f t="shared" ca="1" si="178"/>
        <v>44564</v>
      </c>
      <c r="E1472" s="1" t="s">
        <v>26</v>
      </c>
      <c r="F1472" s="1" t="s">
        <v>1500</v>
      </c>
      <c r="G1472" s="1" t="s">
        <v>28</v>
      </c>
      <c r="H1472" s="1">
        <v>1570</v>
      </c>
      <c r="I1472" s="1">
        <f t="shared" si="180"/>
        <v>47</v>
      </c>
      <c r="J1472" s="1">
        <f>VLOOKUP(B1472,Cena!$A$2:$B$101,2)</f>
        <v>90</v>
      </c>
      <c r="K1472" s="1">
        <f t="shared" si="184"/>
        <v>4230</v>
      </c>
      <c r="L1472" s="1">
        <f t="shared" si="181"/>
        <v>972.90000000000009</v>
      </c>
      <c r="M1472" s="22">
        <f t="shared" si="185"/>
        <v>5202.8999999999996</v>
      </c>
      <c r="N1472" s="1">
        <f t="shared" ca="1" si="182"/>
        <v>1</v>
      </c>
      <c r="P1472" s="1">
        <v>47.877011992386542</v>
      </c>
      <c r="Q1472" s="1">
        <f t="shared" ca="1" si="183"/>
        <v>16</v>
      </c>
      <c r="R1472" s="1">
        <v>10.484672568745736</v>
      </c>
    </row>
    <row r="1473" spans="1:18" x14ac:dyDescent="0.3">
      <c r="A1473" s="26">
        <v>1472</v>
      </c>
      <c r="B1473" s="1">
        <v>26</v>
      </c>
      <c r="C1473" s="1">
        <f t="shared" si="179"/>
        <v>9</v>
      </c>
      <c r="D1473" s="21">
        <f t="shared" ca="1" si="178"/>
        <v>44643</v>
      </c>
      <c r="E1473" s="1" t="s">
        <v>26</v>
      </c>
      <c r="F1473" s="1" t="s">
        <v>1501</v>
      </c>
      <c r="G1473" s="1" t="s">
        <v>28</v>
      </c>
      <c r="H1473" s="1">
        <v>1571</v>
      </c>
      <c r="I1473" s="1">
        <f t="shared" si="180"/>
        <v>59</v>
      </c>
      <c r="J1473" s="1">
        <f>VLOOKUP(B1473,Cena!$A$2:$B$101,2)</f>
        <v>99</v>
      </c>
      <c r="K1473" s="1">
        <f t="shared" si="184"/>
        <v>5841</v>
      </c>
      <c r="L1473" s="1">
        <f t="shared" si="181"/>
        <v>1343.43</v>
      </c>
      <c r="M1473" s="22">
        <f t="shared" si="185"/>
        <v>7184.43</v>
      </c>
      <c r="N1473" s="1">
        <f t="shared" ca="1" si="182"/>
        <v>3</v>
      </c>
      <c r="P1473" s="1">
        <v>59.173504622594919</v>
      </c>
      <c r="Q1473" s="1">
        <f t="shared" ca="1" si="183"/>
        <v>20</v>
      </c>
      <c r="R1473" s="1">
        <v>9.1294771461980417</v>
      </c>
    </row>
    <row r="1474" spans="1:18" x14ac:dyDescent="0.3">
      <c r="A1474" s="26">
        <v>1473</v>
      </c>
      <c r="B1474" s="1">
        <v>10</v>
      </c>
      <c r="C1474" s="1">
        <f t="shared" si="179"/>
        <v>10</v>
      </c>
      <c r="D1474" s="21">
        <f t="shared" ref="D1474:D1537" ca="1" si="186">DATE(2022,RANDBETWEEN(1,12),RANDBETWEEN(1,28))</f>
        <v>44831</v>
      </c>
      <c r="E1474" s="1" t="s">
        <v>26</v>
      </c>
      <c r="F1474" s="1" t="s">
        <v>1502</v>
      </c>
      <c r="G1474" s="1" t="s">
        <v>28</v>
      </c>
      <c r="H1474" s="1">
        <v>1572</v>
      </c>
      <c r="I1474" s="1">
        <f t="shared" si="180"/>
        <v>58</v>
      </c>
      <c r="J1474" s="1">
        <f>VLOOKUP(B1474,Cena!$A$2:$B$101,2)</f>
        <v>109</v>
      </c>
      <c r="K1474" s="1">
        <f t="shared" si="184"/>
        <v>6322</v>
      </c>
      <c r="L1474" s="1">
        <f t="shared" si="181"/>
        <v>1454.0600000000002</v>
      </c>
      <c r="M1474" s="22">
        <f t="shared" si="185"/>
        <v>7776.06</v>
      </c>
      <c r="N1474" s="1">
        <f t="shared" ca="1" si="182"/>
        <v>9</v>
      </c>
      <c r="P1474" s="1">
        <v>58.284382602141704</v>
      </c>
      <c r="Q1474" s="1">
        <f t="shared" ca="1" si="183"/>
        <v>3</v>
      </c>
      <c r="R1474" s="1">
        <v>10.980719505605521</v>
      </c>
    </row>
    <row r="1475" spans="1:18" x14ac:dyDescent="0.3">
      <c r="A1475" s="26">
        <v>1474</v>
      </c>
      <c r="B1475" s="1">
        <v>8</v>
      </c>
      <c r="C1475" s="1">
        <f t="shared" ref="C1475:C1538" si="187">INT(R1475)</f>
        <v>5</v>
      </c>
      <c r="D1475" s="21">
        <f t="shared" ca="1" si="186"/>
        <v>44738</v>
      </c>
      <c r="E1475" s="1" t="s">
        <v>26</v>
      </c>
      <c r="F1475" s="1" t="s">
        <v>1503</v>
      </c>
      <c r="G1475" s="1" t="s">
        <v>28</v>
      </c>
      <c r="H1475" s="1">
        <v>1573</v>
      </c>
      <c r="I1475" s="1">
        <f t="shared" ref="I1475:I1538" si="188">INT(P1475)</f>
        <v>56</v>
      </c>
      <c r="J1475" s="1">
        <f>VLOOKUP(B1475,Cena!$A$2:$B$101,2)</f>
        <v>88</v>
      </c>
      <c r="K1475" s="1">
        <f t="shared" si="184"/>
        <v>4928</v>
      </c>
      <c r="L1475" s="1">
        <f t="shared" ref="L1475:L1538" si="189">K1475*23%</f>
        <v>1133.44</v>
      </c>
      <c r="M1475" s="22">
        <f t="shared" si="185"/>
        <v>6061.4400000000005</v>
      </c>
      <c r="N1475" s="1">
        <f t="shared" ref="N1475:N1538" ca="1" si="190">MONTH(D1475)</f>
        <v>6</v>
      </c>
      <c r="P1475" s="1">
        <v>56.724508239130955</v>
      </c>
      <c r="Q1475" s="1">
        <f t="shared" ref="Q1475:Q1538" ca="1" si="191">RANDBETWEEN(1,30)</f>
        <v>9</v>
      </c>
      <c r="R1475" s="1">
        <v>5.2230382405105047</v>
      </c>
    </row>
    <row r="1476" spans="1:18" x14ac:dyDescent="0.3">
      <c r="A1476" s="26">
        <v>1475</v>
      </c>
      <c r="B1476" s="1">
        <v>13</v>
      </c>
      <c r="C1476" s="1">
        <f t="shared" si="187"/>
        <v>6</v>
      </c>
      <c r="D1476" s="21">
        <f t="shared" ca="1" si="186"/>
        <v>44836</v>
      </c>
      <c r="E1476" s="1" t="s">
        <v>26</v>
      </c>
      <c r="F1476" s="1" t="s">
        <v>1504</v>
      </c>
      <c r="G1476" s="1" t="s">
        <v>28</v>
      </c>
      <c r="H1476" s="1">
        <v>1574</v>
      </c>
      <c r="I1476" s="1">
        <f t="shared" si="188"/>
        <v>47</v>
      </c>
      <c r="J1476" s="1">
        <f>VLOOKUP(B1476,Cena!$A$2:$B$101,2)</f>
        <v>94</v>
      </c>
      <c r="K1476" s="1">
        <f t="shared" si="184"/>
        <v>4418</v>
      </c>
      <c r="L1476" s="1">
        <f t="shared" si="189"/>
        <v>1016.1400000000001</v>
      </c>
      <c r="M1476" s="22">
        <f t="shared" si="185"/>
        <v>5434.14</v>
      </c>
      <c r="N1476" s="1">
        <f t="shared" ca="1" si="190"/>
        <v>10</v>
      </c>
      <c r="P1476" s="1">
        <v>47.5369291860261</v>
      </c>
      <c r="Q1476" s="1">
        <f t="shared" ca="1" si="191"/>
        <v>7</v>
      </c>
      <c r="R1476" s="1">
        <v>6.8528072713525034</v>
      </c>
    </row>
    <row r="1477" spans="1:18" x14ac:dyDescent="0.3">
      <c r="A1477" s="26">
        <v>1476</v>
      </c>
      <c r="B1477" s="1">
        <v>18</v>
      </c>
      <c r="C1477" s="1">
        <f t="shared" si="187"/>
        <v>15</v>
      </c>
      <c r="D1477" s="21">
        <f t="shared" ca="1" si="186"/>
        <v>44655</v>
      </c>
      <c r="E1477" s="1" t="s">
        <v>26</v>
      </c>
      <c r="F1477" s="1" t="s">
        <v>1505</v>
      </c>
      <c r="G1477" s="1" t="s">
        <v>28</v>
      </c>
      <c r="H1477" s="1">
        <v>1575</v>
      </c>
      <c r="I1477" s="1">
        <f t="shared" si="188"/>
        <v>65</v>
      </c>
      <c r="J1477" s="1">
        <f>VLOOKUP(B1477,Cena!$A$2:$B$101,2)</f>
        <v>90</v>
      </c>
      <c r="K1477" s="1">
        <f t="shared" si="184"/>
        <v>5850</v>
      </c>
      <c r="L1477" s="1">
        <f t="shared" si="189"/>
        <v>1345.5</v>
      </c>
      <c r="M1477" s="22">
        <f t="shared" si="185"/>
        <v>7195.5</v>
      </c>
      <c r="N1477" s="1">
        <f t="shared" ca="1" si="190"/>
        <v>4</v>
      </c>
      <c r="P1477" s="1">
        <v>65.844034351175651</v>
      </c>
      <c r="Q1477" s="1">
        <f t="shared" ca="1" si="191"/>
        <v>5</v>
      </c>
      <c r="R1477" s="1">
        <v>15.583842721534893</v>
      </c>
    </row>
    <row r="1478" spans="1:18" x14ac:dyDescent="0.3">
      <c r="A1478" s="26">
        <v>1477</v>
      </c>
      <c r="B1478" s="1">
        <v>7</v>
      </c>
      <c r="C1478" s="1">
        <f t="shared" si="187"/>
        <v>9</v>
      </c>
      <c r="D1478" s="21">
        <f t="shared" ca="1" si="186"/>
        <v>44588</v>
      </c>
      <c r="E1478" s="1" t="s">
        <v>26</v>
      </c>
      <c r="F1478" s="1" t="s">
        <v>1506</v>
      </c>
      <c r="G1478" s="1" t="s">
        <v>28</v>
      </c>
      <c r="H1478" s="1">
        <v>1576</v>
      </c>
      <c r="I1478" s="1">
        <f t="shared" si="188"/>
        <v>41</v>
      </c>
      <c r="J1478" s="1">
        <f>VLOOKUP(B1478,Cena!$A$2:$B$101,2)</f>
        <v>104</v>
      </c>
      <c r="K1478" s="1">
        <f t="shared" si="184"/>
        <v>4264</v>
      </c>
      <c r="L1478" s="1">
        <f t="shared" si="189"/>
        <v>980.72</v>
      </c>
      <c r="M1478" s="22">
        <f t="shared" si="185"/>
        <v>5244.72</v>
      </c>
      <c r="N1478" s="1">
        <f t="shared" ca="1" si="190"/>
        <v>1</v>
      </c>
      <c r="P1478" s="1">
        <v>41.694039636058733</v>
      </c>
      <c r="Q1478" s="1">
        <f t="shared" ca="1" si="191"/>
        <v>12</v>
      </c>
      <c r="R1478" s="1">
        <v>9.0308367614488816</v>
      </c>
    </row>
    <row r="1479" spans="1:18" x14ac:dyDescent="0.3">
      <c r="A1479" s="26">
        <v>1478</v>
      </c>
      <c r="B1479" s="1">
        <v>11</v>
      </c>
      <c r="C1479" s="1">
        <f t="shared" si="187"/>
        <v>11</v>
      </c>
      <c r="D1479" s="21">
        <f t="shared" ca="1" si="186"/>
        <v>44867</v>
      </c>
      <c r="E1479" s="1" t="s">
        <v>26</v>
      </c>
      <c r="F1479" s="1" t="s">
        <v>1507</v>
      </c>
      <c r="G1479" s="1" t="s">
        <v>28</v>
      </c>
      <c r="H1479" s="1">
        <v>1577</v>
      </c>
      <c r="I1479" s="1">
        <f t="shared" si="188"/>
        <v>38</v>
      </c>
      <c r="J1479" s="1">
        <f>VLOOKUP(B1479,Cena!$A$2:$B$101,2)</f>
        <v>83</v>
      </c>
      <c r="K1479" s="1">
        <f t="shared" si="184"/>
        <v>3154</v>
      </c>
      <c r="L1479" s="1">
        <f t="shared" si="189"/>
        <v>725.42000000000007</v>
      </c>
      <c r="M1479" s="22">
        <f t="shared" si="185"/>
        <v>3879.42</v>
      </c>
      <c r="N1479" s="1">
        <f t="shared" ca="1" si="190"/>
        <v>11</v>
      </c>
      <c r="P1479" s="1">
        <v>38.532204042712692</v>
      </c>
      <c r="Q1479" s="1">
        <f t="shared" ca="1" si="191"/>
        <v>7</v>
      </c>
      <c r="R1479" s="1">
        <v>11.26342172279692</v>
      </c>
    </row>
    <row r="1480" spans="1:18" x14ac:dyDescent="0.3">
      <c r="A1480" s="26">
        <v>1479</v>
      </c>
      <c r="B1480" s="1">
        <v>12</v>
      </c>
      <c r="C1480" s="1">
        <f t="shared" si="187"/>
        <v>9</v>
      </c>
      <c r="D1480" s="21">
        <f t="shared" ca="1" si="186"/>
        <v>44840</v>
      </c>
      <c r="E1480" s="1" t="s">
        <v>26</v>
      </c>
      <c r="F1480" s="1" t="s">
        <v>1508</v>
      </c>
      <c r="G1480" s="1" t="s">
        <v>28</v>
      </c>
      <c r="H1480" s="1">
        <v>1578</v>
      </c>
      <c r="I1480" s="1">
        <f t="shared" si="188"/>
        <v>55</v>
      </c>
      <c r="J1480" s="1">
        <f>VLOOKUP(B1480,Cena!$A$2:$B$101,2)</f>
        <v>88</v>
      </c>
      <c r="K1480" s="1">
        <f t="shared" si="184"/>
        <v>4840</v>
      </c>
      <c r="L1480" s="1">
        <f t="shared" si="189"/>
        <v>1113.2</v>
      </c>
      <c r="M1480" s="22">
        <f t="shared" si="185"/>
        <v>5953.2</v>
      </c>
      <c r="N1480" s="1">
        <f t="shared" ca="1" si="190"/>
        <v>10</v>
      </c>
      <c r="P1480" s="1">
        <v>55.575293471338227</v>
      </c>
      <c r="Q1480" s="1">
        <f t="shared" ca="1" si="191"/>
        <v>2</v>
      </c>
      <c r="R1480" s="1">
        <v>9.8613702700822614</v>
      </c>
    </row>
    <row r="1481" spans="1:18" x14ac:dyDescent="0.3">
      <c r="A1481" s="26">
        <v>1480</v>
      </c>
      <c r="B1481" s="1">
        <v>28</v>
      </c>
      <c r="C1481" s="1">
        <f t="shared" si="187"/>
        <v>12</v>
      </c>
      <c r="D1481" s="21">
        <f t="shared" ca="1" si="186"/>
        <v>44840</v>
      </c>
      <c r="E1481" s="1" t="s">
        <v>26</v>
      </c>
      <c r="F1481" s="1" t="s">
        <v>1509</v>
      </c>
      <c r="G1481" s="1" t="s">
        <v>28</v>
      </c>
      <c r="H1481" s="1">
        <v>1579</v>
      </c>
      <c r="I1481" s="1">
        <f t="shared" si="188"/>
        <v>29</v>
      </c>
      <c r="J1481" s="1">
        <f>VLOOKUP(B1481,Cena!$A$2:$B$101,2)</f>
        <v>59</v>
      </c>
      <c r="K1481" s="1">
        <f t="shared" si="184"/>
        <v>1711</v>
      </c>
      <c r="L1481" s="1">
        <f t="shared" si="189"/>
        <v>393.53000000000003</v>
      </c>
      <c r="M1481" s="22">
        <f t="shared" si="185"/>
        <v>2104.5300000000002</v>
      </c>
      <c r="N1481" s="1">
        <f t="shared" ca="1" si="190"/>
        <v>10</v>
      </c>
      <c r="P1481" s="1">
        <v>29.059612087439746</v>
      </c>
      <c r="Q1481" s="1">
        <f t="shared" ca="1" si="191"/>
        <v>21</v>
      </c>
      <c r="R1481" s="1">
        <v>12.612136995594483</v>
      </c>
    </row>
    <row r="1482" spans="1:18" x14ac:dyDescent="0.3">
      <c r="A1482" s="26">
        <v>1481</v>
      </c>
      <c r="B1482" s="1">
        <v>18</v>
      </c>
      <c r="C1482" s="1">
        <f t="shared" si="187"/>
        <v>10</v>
      </c>
      <c r="D1482" s="21">
        <f t="shared" ca="1" si="186"/>
        <v>44843</v>
      </c>
      <c r="E1482" s="1" t="s">
        <v>26</v>
      </c>
      <c r="F1482" s="1" t="s">
        <v>1510</v>
      </c>
      <c r="G1482" s="1" t="s">
        <v>28</v>
      </c>
      <c r="H1482" s="1">
        <v>1580</v>
      </c>
      <c r="I1482" s="1">
        <f t="shared" si="188"/>
        <v>31</v>
      </c>
      <c r="J1482" s="1">
        <f>VLOOKUP(B1482,Cena!$A$2:$B$101,2)</f>
        <v>90</v>
      </c>
      <c r="K1482" s="1">
        <f t="shared" si="184"/>
        <v>2790</v>
      </c>
      <c r="L1482" s="1">
        <f t="shared" si="189"/>
        <v>641.70000000000005</v>
      </c>
      <c r="M1482" s="22">
        <f t="shared" si="185"/>
        <v>3431.7</v>
      </c>
      <c r="N1482" s="1">
        <f t="shared" ca="1" si="190"/>
        <v>10</v>
      </c>
      <c r="P1482" s="1">
        <v>31.668133841594681</v>
      </c>
      <c r="Q1482" s="1">
        <f t="shared" ca="1" si="191"/>
        <v>1</v>
      </c>
      <c r="R1482" s="1">
        <v>10.057093529903796</v>
      </c>
    </row>
    <row r="1483" spans="1:18" x14ac:dyDescent="0.3">
      <c r="A1483" s="26">
        <v>1482</v>
      </c>
      <c r="B1483" s="1">
        <v>29</v>
      </c>
      <c r="C1483" s="1">
        <f t="shared" si="187"/>
        <v>12</v>
      </c>
      <c r="D1483" s="21">
        <f t="shared" ca="1" si="186"/>
        <v>44692</v>
      </c>
      <c r="E1483" s="1" t="s">
        <v>26</v>
      </c>
      <c r="F1483" s="1" t="s">
        <v>1511</v>
      </c>
      <c r="G1483" s="1" t="s">
        <v>28</v>
      </c>
      <c r="H1483" s="1">
        <v>1581</v>
      </c>
      <c r="I1483" s="1">
        <f t="shared" si="188"/>
        <v>44</v>
      </c>
      <c r="J1483" s="1">
        <f>VLOOKUP(B1483,Cena!$A$2:$B$101,2)</f>
        <v>105</v>
      </c>
      <c r="K1483" s="1">
        <f t="shared" si="184"/>
        <v>4620</v>
      </c>
      <c r="L1483" s="1">
        <f t="shared" si="189"/>
        <v>1062.6000000000001</v>
      </c>
      <c r="M1483" s="22">
        <f t="shared" si="185"/>
        <v>5682.6</v>
      </c>
      <c r="N1483" s="1">
        <f t="shared" ca="1" si="190"/>
        <v>5</v>
      </c>
      <c r="P1483" s="1">
        <v>44.810252701427089</v>
      </c>
      <c r="Q1483" s="1">
        <f t="shared" ca="1" si="191"/>
        <v>28</v>
      </c>
      <c r="R1483" s="1">
        <v>12.21724576476845</v>
      </c>
    </row>
    <row r="1484" spans="1:18" x14ac:dyDescent="0.3">
      <c r="A1484" s="26">
        <v>1483</v>
      </c>
      <c r="B1484" s="1">
        <v>24</v>
      </c>
      <c r="C1484" s="1">
        <f t="shared" si="187"/>
        <v>11</v>
      </c>
      <c r="D1484" s="21">
        <f t="shared" ca="1" si="186"/>
        <v>44883</v>
      </c>
      <c r="E1484" s="1" t="s">
        <v>26</v>
      </c>
      <c r="F1484" s="1" t="s">
        <v>1512</v>
      </c>
      <c r="G1484" s="1" t="s">
        <v>28</v>
      </c>
      <c r="H1484" s="1">
        <v>1582</v>
      </c>
      <c r="I1484" s="1">
        <f t="shared" si="188"/>
        <v>55</v>
      </c>
      <c r="J1484" s="1">
        <f>VLOOKUP(B1484,Cena!$A$2:$B$101,2)</f>
        <v>125</v>
      </c>
      <c r="K1484" s="1">
        <f t="shared" si="184"/>
        <v>6875</v>
      </c>
      <c r="L1484" s="1">
        <f t="shared" si="189"/>
        <v>1581.25</v>
      </c>
      <c r="M1484" s="22">
        <f t="shared" si="185"/>
        <v>8456.25</v>
      </c>
      <c r="N1484" s="1">
        <f t="shared" ca="1" si="190"/>
        <v>11</v>
      </c>
      <c r="P1484" s="1">
        <v>55.012009296478936</v>
      </c>
      <c r="Q1484" s="1">
        <f t="shared" ca="1" si="191"/>
        <v>19</v>
      </c>
      <c r="R1484" s="1">
        <v>11.605638999535586</v>
      </c>
    </row>
    <row r="1485" spans="1:18" x14ac:dyDescent="0.3">
      <c r="A1485" s="26">
        <v>1484</v>
      </c>
      <c r="B1485" s="1">
        <v>13</v>
      </c>
      <c r="C1485" s="1">
        <f t="shared" si="187"/>
        <v>14</v>
      </c>
      <c r="D1485" s="21">
        <f t="shared" ca="1" si="186"/>
        <v>44563</v>
      </c>
      <c r="E1485" s="1" t="s">
        <v>26</v>
      </c>
      <c r="F1485" s="1" t="s">
        <v>1513</v>
      </c>
      <c r="G1485" s="1" t="s">
        <v>28</v>
      </c>
      <c r="H1485" s="1">
        <v>1583</v>
      </c>
      <c r="I1485" s="1">
        <f t="shared" si="188"/>
        <v>29</v>
      </c>
      <c r="J1485" s="1">
        <f>VLOOKUP(B1485,Cena!$A$2:$B$101,2)</f>
        <v>94</v>
      </c>
      <c r="K1485" s="1">
        <f t="shared" si="184"/>
        <v>2726</v>
      </c>
      <c r="L1485" s="1">
        <f t="shared" si="189"/>
        <v>626.98</v>
      </c>
      <c r="M1485" s="22">
        <f t="shared" si="185"/>
        <v>3352.98</v>
      </c>
      <c r="N1485" s="1">
        <f t="shared" ca="1" si="190"/>
        <v>1</v>
      </c>
      <c r="P1485" s="1">
        <v>29.633867042139173</v>
      </c>
      <c r="Q1485" s="1">
        <f t="shared" ca="1" si="191"/>
        <v>20</v>
      </c>
      <c r="R1485" s="1">
        <v>14.425965016707778</v>
      </c>
    </row>
    <row r="1486" spans="1:18" x14ac:dyDescent="0.3">
      <c r="A1486" s="26">
        <v>1485</v>
      </c>
      <c r="B1486" s="1">
        <v>2</v>
      </c>
      <c r="C1486" s="1">
        <f t="shared" si="187"/>
        <v>8</v>
      </c>
      <c r="D1486" s="21">
        <f t="shared" ca="1" si="186"/>
        <v>44800</v>
      </c>
      <c r="E1486" s="1" t="s">
        <v>26</v>
      </c>
      <c r="F1486" s="1" t="s">
        <v>1514</v>
      </c>
      <c r="G1486" s="1" t="s">
        <v>28</v>
      </c>
      <c r="H1486" s="1">
        <v>1584</v>
      </c>
      <c r="I1486" s="1">
        <f t="shared" si="188"/>
        <v>57</v>
      </c>
      <c r="J1486" s="1">
        <f>VLOOKUP(B1486,Cena!$A$2:$B$101,2)</f>
        <v>121</v>
      </c>
      <c r="K1486" s="1">
        <f t="shared" si="184"/>
        <v>6897</v>
      </c>
      <c r="L1486" s="1">
        <f t="shared" si="189"/>
        <v>1586.3100000000002</v>
      </c>
      <c r="M1486" s="22">
        <f t="shared" si="185"/>
        <v>8483.31</v>
      </c>
      <c r="N1486" s="1">
        <f t="shared" ca="1" si="190"/>
        <v>8</v>
      </c>
      <c r="P1486" s="1">
        <v>57.745393304503523</v>
      </c>
      <c r="Q1486" s="1">
        <f t="shared" ca="1" si="191"/>
        <v>7</v>
      </c>
      <c r="R1486" s="1">
        <v>8.2273436671675881</v>
      </c>
    </row>
    <row r="1487" spans="1:18" x14ac:dyDescent="0.3">
      <c r="A1487" s="26">
        <v>1486</v>
      </c>
      <c r="B1487" s="1">
        <v>9</v>
      </c>
      <c r="C1487" s="1">
        <f t="shared" si="187"/>
        <v>8</v>
      </c>
      <c r="D1487" s="21">
        <f t="shared" ca="1" si="186"/>
        <v>44824</v>
      </c>
      <c r="E1487" s="1" t="s">
        <v>26</v>
      </c>
      <c r="F1487" s="1" t="s">
        <v>1515</v>
      </c>
      <c r="G1487" s="1" t="s">
        <v>28</v>
      </c>
      <c r="H1487" s="1">
        <v>1585</v>
      </c>
      <c r="I1487" s="1">
        <f t="shared" si="188"/>
        <v>31</v>
      </c>
      <c r="J1487" s="1">
        <f>VLOOKUP(B1487,Cena!$A$2:$B$101,2)</f>
        <v>96</v>
      </c>
      <c r="K1487" s="1">
        <f t="shared" si="184"/>
        <v>2976</v>
      </c>
      <c r="L1487" s="1">
        <f t="shared" si="189"/>
        <v>684.48</v>
      </c>
      <c r="M1487" s="22">
        <f t="shared" si="185"/>
        <v>3660.48</v>
      </c>
      <c r="N1487" s="1">
        <f t="shared" ca="1" si="190"/>
        <v>9</v>
      </c>
      <c r="P1487" s="1">
        <v>31.183009367669001</v>
      </c>
      <c r="Q1487" s="1">
        <f t="shared" ca="1" si="191"/>
        <v>24</v>
      </c>
      <c r="R1487" s="1">
        <v>8.0037216573691694</v>
      </c>
    </row>
    <row r="1488" spans="1:18" x14ac:dyDescent="0.3">
      <c r="A1488" s="26">
        <v>1487</v>
      </c>
      <c r="B1488" s="1">
        <v>25</v>
      </c>
      <c r="C1488" s="1">
        <f t="shared" si="187"/>
        <v>9</v>
      </c>
      <c r="D1488" s="21">
        <f t="shared" ca="1" si="186"/>
        <v>44566</v>
      </c>
      <c r="E1488" s="1" t="s">
        <v>26</v>
      </c>
      <c r="F1488" s="1" t="s">
        <v>1516</v>
      </c>
      <c r="G1488" s="1" t="s">
        <v>28</v>
      </c>
      <c r="H1488" s="1">
        <v>1586</v>
      </c>
      <c r="I1488" s="1">
        <f t="shared" si="188"/>
        <v>62</v>
      </c>
      <c r="J1488" s="1">
        <f>VLOOKUP(B1488,Cena!$A$2:$B$101,2)</f>
        <v>108</v>
      </c>
      <c r="K1488" s="1">
        <f t="shared" si="184"/>
        <v>6696</v>
      </c>
      <c r="L1488" s="1">
        <f t="shared" si="189"/>
        <v>1540.0800000000002</v>
      </c>
      <c r="M1488" s="22">
        <f t="shared" si="185"/>
        <v>8236.08</v>
      </c>
      <c r="N1488" s="1">
        <f t="shared" ca="1" si="190"/>
        <v>1</v>
      </c>
      <c r="P1488" s="1">
        <v>62.201212484796997</v>
      </c>
      <c r="Q1488" s="1">
        <f t="shared" ca="1" si="191"/>
        <v>5</v>
      </c>
      <c r="R1488" s="1">
        <v>9.7946588337072171</v>
      </c>
    </row>
    <row r="1489" spans="1:18" x14ac:dyDescent="0.3">
      <c r="A1489" s="26">
        <v>1488</v>
      </c>
      <c r="B1489" s="1">
        <v>7</v>
      </c>
      <c r="C1489" s="1">
        <f t="shared" si="187"/>
        <v>13</v>
      </c>
      <c r="D1489" s="21">
        <f t="shared" ca="1" si="186"/>
        <v>44824</v>
      </c>
      <c r="E1489" s="1" t="s">
        <v>26</v>
      </c>
      <c r="F1489" s="1" t="s">
        <v>1517</v>
      </c>
      <c r="G1489" s="1" t="s">
        <v>28</v>
      </c>
      <c r="H1489" s="1">
        <v>1587</v>
      </c>
      <c r="I1489" s="1">
        <f t="shared" si="188"/>
        <v>47</v>
      </c>
      <c r="J1489" s="1">
        <f>VLOOKUP(B1489,Cena!$A$2:$B$101,2)</f>
        <v>104</v>
      </c>
      <c r="K1489" s="1">
        <f t="shared" si="184"/>
        <v>4888</v>
      </c>
      <c r="L1489" s="1">
        <f t="shared" si="189"/>
        <v>1124.24</v>
      </c>
      <c r="M1489" s="22">
        <f t="shared" si="185"/>
        <v>6012.24</v>
      </c>
      <c r="N1489" s="1">
        <f t="shared" ca="1" si="190"/>
        <v>9</v>
      </c>
      <c r="P1489" s="1">
        <v>47.823772446281509</v>
      </c>
      <c r="Q1489" s="1">
        <f t="shared" ca="1" si="191"/>
        <v>17</v>
      </c>
      <c r="R1489" s="1">
        <v>13.281360250184662</v>
      </c>
    </row>
    <row r="1490" spans="1:18" x14ac:dyDescent="0.3">
      <c r="A1490" s="26">
        <v>1489</v>
      </c>
      <c r="B1490" s="1">
        <v>8</v>
      </c>
      <c r="C1490" s="1">
        <f t="shared" si="187"/>
        <v>8</v>
      </c>
      <c r="D1490" s="21">
        <f t="shared" ca="1" si="186"/>
        <v>44903</v>
      </c>
      <c r="E1490" s="1" t="s">
        <v>26</v>
      </c>
      <c r="F1490" s="1" t="s">
        <v>1518</v>
      </c>
      <c r="G1490" s="1" t="s">
        <v>28</v>
      </c>
      <c r="H1490" s="1">
        <v>1588</v>
      </c>
      <c r="I1490" s="1">
        <f t="shared" si="188"/>
        <v>43</v>
      </c>
      <c r="J1490" s="1">
        <f>VLOOKUP(B1490,Cena!$A$2:$B$101,2)</f>
        <v>88</v>
      </c>
      <c r="K1490" s="1">
        <f t="shared" si="184"/>
        <v>3784</v>
      </c>
      <c r="L1490" s="1">
        <f t="shared" si="189"/>
        <v>870.32</v>
      </c>
      <c r="M1490" s="22">
        <f t="shared" si="185"/>
        <v>4654.32</v>
      </c>
      <c r="N1490" s="1">
        <f t="shared" ca="1" si="190"/>
        <v>12</v>
      </c>
      <c r="P1490" s="1">
        <v>43.861638358794153</v>
      </c>
      <c r="Q1490" s="1">
        <f t="shared" ca="1" si="191"/>
        <v>25</v>
      </c>
      <c r="R1490" s="1">
        <v>8.7193803008267423</v>
      </c>
    </row>
    <row r="1491" spans="1:18" x14ac:dyDescent="0.3">
      <c r="A1491" s="26">
        <v>1490</v>
      </c>
      <c r="B1491" s="1">
        <v>23</v>
      </c>
      <c r="C1491" s="1">
        <f t="shared" si="187"/>
        <v>10</v>
      </c>
      <c r="D1491" s="21">
        <f t="shared" ca="1" si="186"/>
        <v>44820</v>
      </c>
      <c r="E1491" s="1" t="s">
        <v>26</v>
      </c>
      <c r="F1491" s="1" t="s">
        <v>1519</v>
      </c>
      <c r="G1491" s="1" t="s">
        <v>28</v>
      </c>
      <c r="H1491" s="1">
        <v>1589</v>
      </c>
      <c r="I1491" s="1">
        <f t="shared" si="188"/>
        <v>55</v>
      </c>
      <c r="J1491" s="1">
        <f>VLOOKUP(B1491,Cena!$A$2:$B$101,2)</f>
        <v>132</v>
      </c>
      <c r="K1491" s="1">
        <f t="shared" si="184"/>
        <v>7260</v>
      </c>
      <c r="L1491" s="1">
        <f t="shared" si="189"/>
        <v>1669.8000000000002</v>
      </c>
      <c r="M1491" s="22">
        <f t="shared" si="185"/>
        <v>8929.7999999999993</v>
      </c>
      <c r="N1491" s="1">
        <f t="shared" ca="1" si="190"/>
        <v>9</v>
      </c>
      <c r="P1491" s="1">
        <v>55.295078153721988</v>
      </c>
      <c r="Q1491" s="1">
        <f t="shared" ca="1" si="191"/>
        <v>8</v>
      </c>
      <c r="R1491" s="1">
        <v>10.01788293957361</v>
      </c>
    </row>
    <row r="1492" spans="1:18" x14ac:dyDescent="0.3">
      <c r="A1492" s="26">
        <v>1491</v>
      </c>
      <c r="B1492" s="1">
        <v>1</v>
      </c>
      <c r="C1492" s="1">
        <f t="shared" si="187"/>
        <v>10</v>
      </c>
      <c r="D1492" s="21">
        <f t="shared" ca="1" si="186"/>
        <v>44572</v>
      </c>
      <c r="E1492" s="1" t="s">
        <v>26</v>
      </c>
      <c r="F1492" s="1" t="s">
        <v>1520</v>
      </c>
      <c r="G1492" s="1" t="s">
        <v>28</v>
      </c>
      <c r="H1492" s="1">
        <v>1590</v>
      </c>
      <c r="I1492" s="1">
        <f t="shared" si="188"/>
        <v>31</v>
      </c>
      <c r="J1492" s="1">
        <f>VLOOKUP(B1492,Cena!$A$2:$B$101,2)</f>
        <v>84</v>
      </c>
      <c r="K1492" s="1">
        <f t="shared" si="184"/>
        <v>2604</v>
      </c>
      <c r="L1492" s="1">
        <f t="shared" si="189"/>
        <v>598.92000000000007</v>
      </c>
      <c r="M1492" s="22">
        <f t="shared" si="185"/>
        <v>3202.92</v>
      </c>
      <c r="N1492" s="1">
        <f t="shared" ca="1" si="190"/>
        <v>1</v>
      </c>
      <c r="P1492" s="1">
        <v>31.110704538878053</v>
      </c>
      <c r="Q1492" s="1">
        <f t="shared" ca="1" si="191"/>
        <v>17</v>
      </c>
      <c r="R1492" s="1">
        <v>10.742579686630052</v>
      </c>
    </row>
    <row r="1493" spans="1:18" x14ac:dyDescent="0.3">
      <c r="A1493" s="26">
        <v>1492</v>
      </c>
      <c r="B1493" s="1">
        <v>27</v>
      </c>
      <c r="C1493" s="1">
        <f t="shared" si="187"/>
        <v>14</v>
      </c>
      <c r="D1493" s="21">
        <f t="shared" ca="1" si="186"/>
        <v>44652</v>
      </c>
      <c r="E1493" s="1" t="s">
        <v>26</v>
      </c>
      <c r="F1493" s="1" t="s">
        <v>1521</v>
      </c>
      <c r="G1493" s="1" t="s">
        <v>28</v>
      </c>
      <c r="H1493" s="1">
        <v>1591</v>
      </c>
      <c r="I1493" s="1">
        <f t="shared" si="188"/>
        <v>58</v>
      </c>
      <c r="J1493" s="1">
        <f>VLOOKUP(B1493,Cena!$A$2:$B$101,2)</f>
        <v>87</v>
      </c>
      <c r="K1493" s="1">
        <f t="shared" si="184"/>
        <v>5046</v>
      </c>
      <c r="L1493" s="1">
        <f t="shared" si="189"/>
        <v>1160.5800000000002</v>
      </c>
      <c r="M1493" s="22">
        <f t="shared" si="185"/>
        <v>6206.58</v>
      </c>
      <c r="N1493" s="1">
        <f t="shared" ca="1" si="190"/>
        <v>4</v>
      </c>
      <c r="P1493" s="1">
        <v>58.656729733047541</v>
      </c>
      <c r="Q1493" s="1">
        <f t="shared" ca="1" si="191"/>
        <v>27</v>
      </c>
      <c r="R1493" s="1">
        <v>14.313221779739251</v>
      </c>
    </row>
    <row r="1494" spans="1:18" x14ac:dyDescent="0.3">
      <c r="A1494" s="26">
        <v>1493</v>
      </c>
      <c r="B1494" s="1">
        <v>23</v>
      </c>
      <c r="C1494" s="1">
        <f t="shared" si="187"/>
        <v>14</v>
      </c>
      <c r="D1494" s="21">
        <f t="shared" ca="1" si="186"/>
        <v>44694</v>
      </c>
      <c r="E1494" s="1" t="s">
        <v>26</v>
      </c>
      <c r="F1494" s="1" t="s">
        <v>1522</v>
      </c>
      <c r="G1494" s="1" t="s">
        <v>28</v>
      </c>
      <c r="H1494" s="1">
        <v>1592</v>
      </c>
      <c r="I1494" s="1">
        <f t="shared" si="188"/>
        <v>58</v>
      </c>
      <c r="J1494" s="1">
        <f>VLOOKUP(B1494,Cena!$A$2:$B$101,2)</f>
        <v>132</v>
      </c>
      <c r="K1494" s="1">
        <f t="shared" si="184"/>
        <v>7656</v>
      </c>
      <c r="L1494" s="1">
        <f t="shared" si="189"/>
        <v>1760.88</v>
      </c>
      <c r="M1494" s="22">
        <f t="shared" si="185"/>
        <v>9416.880000000001</v>
      </c>
      <c r="N1494" s="1">
        <f t="shared" ca="1" si="190"/>
        <v>5</v>
      </c>
      <c r="P1494" s="1">
        <v>58.316783350892365</v>
      </c>
      <c r="Q1494" s="1">
        <f t="shared" ca="1" si="191"/>
        <v>16</v>
      </c>
      <c r="R1494" s="1">
        <v>14.125763553020079</v>
      </c>
    </row>
    <row r="1495" spans="1:18" x14ac:dyDescent="0.3">
      <c r="A1495" s="26">
        <v>1494</v>
      </c>
      <c r="B1495" s="1">
        <v>17</v>
      </c>
      <c r="C1495" s="1">
        <f t="shared" si="187"/>
        <v>8</v>
      </c>
      <c r="D1495" s="21">
        <f t="shared" ca="1" si="186"/>
        <v>44890</v>
      </c>
      <c r="E1495" s="1" t="s">
        <v>26</v>
      </c>
      <c r="F1495" s="1" t="s">
        <v>1523</v>
      </c>
      <c r="G1495" s="1" t="s">
        <v>28</v>
      </c>
      <c r="H1495" s="1">
        <v>1593</v>
      </c>
      <c r="I1495" s="1">
        <f t="shared" si="188"/>
        <v>51</v>
      </c>
      <c r="J1495" s="1">
        <f>VLOOKUP(B1495,Cena!$A$2:$B$101,2)</f>
        <v>84</v>
      </c>
      <c r="K1495" s="1">
        <f t="shared" si="184"/>
        <v>4284</v>
      </c>
      <c r="L1495" s="1">
        <f t="shared" si="189"/>
        <v>985.32</v>
      </c>
      <c r="M1495" s="22">
        <f t="shared" si="185"/>
        <v>5269.32</v>
      </c>
      <c r="N1495" s="1">
        <f t="shared" ca="1" si="190"/>
        <v>11</v>
      </c>
      <c r="P1495" s="1">
        <v>51.259036253031809</v>
      </c>
      <c r="Q1495" s="1">
        <f t="shared" ca="1" si="191"/>
        <v>25</v>
      </c>
      <c r="R1495" s="1">
        <v>8.1783162184001412</v>
      </c>
    </row>
    <row r="1496" spans="1:18" x14ac:dyDescent="0.3">
      <c r="A1496" s="26">
        <v>1495</v>
      </c>
      <c r="B1496" s="1">
        <v>29</v>
      </c>
      <c r="C1496" s="1">
        <f t="shared" si="187"/>
        <v>7</v>
      </c>
      <c r="D1496" s="21">
        <f t="shared" ca="1" si="186"/>
        <v>44739</v>
      </c>
      <c r="E1496" s="1" t="s">
        <v>26</v>
      </c>
      <c r="F1496" s="1" t="s">
        <v>1524</v>
      </c>
      <c r="G1496" s="1" t="s">
        <v>28</v>
      </c>
      <c r="H1496" s="1">
        <v>1594</v>
      </c>
      <c r="I1496" s="1">
        <f t="shared" si="188"/>
        <v>51</v>
      </c>
      <c r="J1496" s="1">
        <f>VLOOKUP(B1496,Cena!$A$2:$B$101,2)</f>
        <v>105</v>
      </c>
      <c r="K1496" s="1">
        <f t="shared" si="184"/>
        <v>5355</v>
      </c>
      <c r="L1496" s="1">
        <f t="shared" si="189"/>
        <v>1231.6500000000001</v>
      </c>
      <c r="M1496" s="22">
        <f t="shared" si="185"/>
        <v>6586.65</v>
      </c>
      <c r="N1496" s="1">
        <f t="shared" ca="1" si="190"/>
        <v>6</v>
      </c>
      <c r="P1496" s="1">
        <v>51.131138560594991</v>
      </c>
      <c r="Q1496" s="1">
        <f t="shared" ca="1" si="191"/>
        <v>6</v>
      </c>
      <c r="R1496" s="1">
        <v>7.6949482061172603</v>
      </c>
    </row>
    <row r="1497" spans="1:18" x14ac:dyDescent="0.3">
      <c r="A1497" s="26">
        <v>1496</v>
      </c>
      <c r="B1497" s="1">
        <v>28</v>
      </c>
      <c r="C1497" s="1">
        <f t="shared" si="187"/>
        <v>11</v>
      </c>
      <c r="D1497" s="21">
        <f t="shared" ca="1" si="186"/>
        <v>44644</v>
      </c>
      <c r="E1497" s="1" t="s">
        <v>26</v>
      </c>
      <c r="F1497" s="1" t="s">
        <v>1525</v>
      </c>
      <c r="G1497" s="1" t="s">
        <v>28</v>
      </c>
      <c r="H1497" s="1">
        <v>1595</v>
      </c>
      <c r="I1497" s="1">
        <f t="shared" si="188"/>
        <v>28</v>
      </c>
      <c r="J1497" s="1">
        <f>VLOOKUP(B1497,Cena!$A$2:$B$101,2)</f>
        <v>59</v>
      </c>
      <c r="K1497" s="1">
        <f t="shared" si="184"/>
        <v>1652</v>
      </c>
      <c r="L1497" s="1">
        <f t="shared" si="189"/>
        <v>379.96000000000004</v>
      </c>
      <c r="M1497" s="22">
        <f t="shared" si="185"/>
        <v>2031.96</v>
      </c>
      <c r="N1497" s="1">
        <f t="shared" ca="1" si="190"/>
        <v>3</v>
      </c>
      <c r="P1497" s="1">
        <v>28.9556568430271</v>
      </c>
      <c r="Q1497" s="1">
        <f t="shared" ca="1" si="191"/>
        <v>27</v>
      </c>
      <c r="R1497" s="1">
        <v>11.58664761329419</v>
      </c>
    </row>
    <row r="1498" spans="1:18" x14ac:dyDescent="0.3">
      <c r="A1498" s="26">
        <v>1497</v>
      </c>
      <c r="B1498" s="1">
        <v>19</v>
      </c>
      <c r="C1498" s="1">
        <f t="shared" si="187"/>
        <v>6</v>
      </c>
      <c r="D1498" s="21">
        <f t="shared" ca="1" si="186"/>
        <v>44824</v>
      </c>
      <c r="E1498" s="1" t="s">
        <v>26</v>
      </c>
      <c r="F1498" s="1" t="s">
        <v>1526</v>
      </c>
      <c r="G1498" s="1" t="s">
        <v>28</v>
      </c>
      <c r="H1498" s="1">
        <v>1596</v>
      </c>
      <c r="I1498" s="1">
        <f t="shared" si="188"/>
        <v>35</v>
      </c>
      <c r="J1498" s="1">
        <f>VLOOKUP(B1498,Cena!$A$2:$B$101,2)</f>
        <v>84</v>
      </c>
      <c r="K1498" s="1">
        <f t="shared" si="184"/>
        <v>2940</v>
      </c>
      <c r="L1498" s="1">
        <f t="shared" si="189"/>
        <v>676.2</v>
      </c>
      <c r="M1498" s="22">
        <f t="shared" si="185"/>
        <v>3616.2</v>
      </c>
      <c r="N1498" s="1">
        <f t="shared" ca="1" si="190"/>
        <v>9</v>
      </c>
      <c r="P1498" s="1">
        <v>35.433260007994249</v>
      </c>
      <c r="Q1498" s="1">
        <f t="shared" ca="1" si="191"/>
        <v>23</v>
      </c>
      <c r="R1498" s="1">
        <v>6.0793957143323496</v>
      </c>
    </row>
    <row r="1499" spans="1:18" x14ac:dyDescent="0.3">
      <c r="A1499" s="26">
        <v>1498</v>
      </c>
      <c r="B1499" s="1">
        <v>21</v>
      </c>
      <c r="C1499" s="1">
        <f t="shared" si="187"/>
        <v>6</v>
      </c>
      <c r="D1499" s="21">
        <f t="shared" ca="1" si="186"/>
        <v>44648</v>
      </c>
      <c r="E1499" s="1" t="s">
        <v>26</v>
      </c>
      <c r="F1499" s="1" t="s">
        <v>1527</v>
      </c>
      <c r="G1499" s="1" t="s">
        <v>28</v>
      </c>
      <c r="H1499" s="1">
        <v>1597</v>
      </c>
      <c r="I1499" s="1">
        <f t="shared" si="188"/>
        <v>48</v>
      </c>
      <c r="J1499" s="1">
        <f>VLOOKUP(B1499,Cena!$A$2:$B$101,2)</f>
        <v>105</v>
      </c>
      <c r="K1499" s="1">
        <f t="shared" si="184"/>
        <v>5040</v>
      </c>
      <c r="L1499" s="1">
        <f t="shared" si="189"/>
        <v>1159.2</v>
      </c>
      <c r="M1499" s="22">
        <f t="shared" si="185"/>
        <v>6199.2</v>
      </c>
      <c r="N1499" s="1">
        <f t="shared" ca="1" si="190"/>
        <v>3</v>
      </c>
      <c r="P1499" s="1">
        <v>48.830355707468698</v>
      </c>
      <c r="Q1499" s="1">
        <f t="shared" ca="1" si="191"/>
        <v>28</v>
      </c>
      <c r="R1499" s="1">
        <v>6.0583295433025341</v>
      </c>
    </row>
    <row r="1500" spans="1:18" x14ac:dyDescent="0.3">
      <c r="A1500" s="26">
        <v>1499</v>
      </c>
      <c r="B1500" s="1">
        <v>25</v>
      </c>
      <c r="C1500" s="1">
        <f t="shared" si="187"/>
        <v>12</v>
      </c>
      <c r="D1500" s="21">
        <f t="shared" ca="1" si="186"/>
        <v>44717</v>
      </c>
      <c r="E1500" s="1" t="s">
        <v>26</v>
      </c>
      <c r="F1500" s="1" t="s">
        <v>1528</v>
      </c>
      <c r="G1500" s="1" t="s">
        <v>28</v>
      </c>
      <c r="H1500" s="1">
        <v>1598</v>
      </c>
      <c r="I1500" s="1">
        <f t="shared" si="188"/>
        <v>44</v>
      </c>
      <c r="J1500" s="1">
        <f>VLOOKUP(B1500,Cena!$A$2:$B$101,2)</f>
        <v>108</v>
      </c>
      <c r="K1500" s="1">
        <f t="shared" si="184"/>
        <v>4752</v>
      </c>
      <c r="L1500" s="1">
        <f t="shared" si="189"/>
        <v>1092.96</v>
      </c>
      <c r="M1500" s="22">
        <f t="shared" si="185"/>
        <v>5844.96</v>
      </c>
      <c r="N1500" s="1">
        <f t="shared" ca="1" si="190"/>
        <v>6</v>
      </c>
      <c r="P1500" s="1">
        <v>44.200788933085278</v>
      </c>
      <c r="Q1500" s="1">
        <f t="shared" ca="1" si="191"/>
        <v>10</v>
      </c>
      <c r="R1500" s="1">
        <v>12.125770492966694</v>
      </c>
    </row>
    <row r="1501" spans="1:18" x14ac:dyDescent="0.3">
      <c r="A1501" s="26">
        <v>1500</v>
      </c>
      <c r="B1501" s="1">
        <v>12</v>
      </c>
      <c r="C1501" s="1">
        <f t="shared" si="187"/>
        <v>14</v>
      </c>
      <c r="D1501" s="21">
        <f t="shared" ca="1" si="186"/>
        <v>44730</v>
      </c>
      <c r="E1501" s="1" t="s">
        <v>26</v>
      </c>
      <c r="F1501" s="1" t="s">
        <v>1529</v>
      </c>
      <c r="G1501" s="1" t="s">
        <v>28</v>
      </c>
      <c r="H1501" s="1">
        <v>1599</v>
      </c>
      <c r="I1501" s="1">
        <f t="shared" si="188"/>
        <v>51</v>
      </c>
      <c r="J1501" s="1">
        <f>VLOOKUP(B1501,Cena!$A$2:$B$101,2)</f>
        <v>88</v>
      </c>
      <c r="K1501" s="1">
        <f t="shared" si="184"/>
        <v>4488</v>
      </c>
      <c r="L1501" s="1">
        <f t="shared" si="189"/>
        <v>1032.24</v>
      </c>
      <c r="M1501" s="22">
        <f t="shared" si="185"/>
        <v>5520.24</v>
      </c>
      <c r="N1501" s="1">
        <f t="shared" ca="1" si="190"/>
        <v>6</v>
      </c>
      <c r="P1501" s="1">
        <v>51.701471319393022</v>
      </c>
      <c r="Q1501" s="1">
        <f t="shared" ca="1" si="191"/>
        <v>11</v>
      </c>
      <c r="R1501" s="1">
        <v>14.119067398278276</v>
      </c>
    </row>
    <row r="1502" spans="1:18" x14ac:dyDescent="0.3">
      <c r="A1502" s="26">
        <v>1501</v>
      </c>
      <c r="B1502" s="1">
        <v>6</v>
      </c>
      <c r="C1502" s="1">
        <f t="shared" si="187"/>
        <v>5</v>
      </c>
      <c r="D1502" s="21">
        <f t="shared" ca="1" si="186"/>
        <v>44874</v>
      </c>
      <c r="E1502" s="1" t="s">
        <v>26</v>
      </c>
      <c r="F1502" s="1" t="s">
        <v>1530</v>
      </c>
      <c r="G1502" s="1" t="s">
        <v>28</v>
      </c>
      <c r="H1502" s="1">
        <v>1600</v>
      </c>
      <c r="I1502" s="1">
        <f t="shared" si="188"/>
        <v>60</v>
      </c>
      <c r="J1502" s="1">
        <f>VLOOKUP(B1502,Cena!$A$2:$B$101,2)</f>
        <v>86</v>
      </c>
      <c r="K1502" s="1">
        <f t="shared" si="184"/>
        <v>5160</v>
      </c>
      <c r="L1502" s="1">
        <f t="shared" si="189"/>
        <v>1186.8</v>
      </c>
      <c r="M1502" s="22">
        <f t="shared" si="185"/>
        <v>6346.8</v>
      </c>
      <c r="N1502" s="1">
        <f t="shared" ca="1" si="190"/>
        <v>11</v>
      </c>
      <c r="P1502" s="1">
        <v>60.926578397629783</v>
      </c>
      <c r="Q1502" s="1">
        <f t="shared" ca="1" si="191"/>
        <v>14</v>
      </c>
      <c r="R1502" s="1">
        <v>5.3572341837571003</v>
      </c>
    </row>
    <row r="1503" spans="1:18" x14ac:dyDescent="0.3">
      <c r="A1503" s="26">
        <v>1502</v>
      </c>
      <c r="B1503" s="1">
        <v>2</v>
      </c>
      <c r="C1503" s="1">
        <f t="shared" si="187"/>
        <v>11</v>
      </c>
      <c r="D1503" s="21">
        <f t="shared" ca="1" si="186"/>
        <v>44582</v>
      </c>
      <c r="E1503" s="1" t="s">
        <v>26</v>
      </c>
      <c r="F1503" s="1" t="s">
        <v>1531</v>
      </c>
      <c r="G1503" s="1" t="s">
        <v>28</v>
      </c>
      <c r="H1503" s="1">
        <v>1601</v>
      </c>
      <c r="I1503" s="1">
        <f t="shared" si="188"/>
        <v>53</v>
      </c>
      <c r="J1503" s="1">
        <f>VLOOKUP(B1503,Cena!$A$2:$B$101,2)</f>
        <v>121</v>
      </c>
      <c r="K1503" s="1">
        <f t="shared" ref="K1503:K1566" si="192">I1503*J1503</f>
        <v>6413</v>
      </c>
      <c r="L1503" s="1">
        <f t="shared" si="189"/>
        <v>1474.99</v>
      </c>
      <c r="M1503" s="22">
        <f t="shared" ref="M1503:M1566" si="193">K1503+L1503</f>
        <v>7887.99</v>
      </c>
      <c r="N1503" s="1">
        <f t="shared" ca="1" si="190"/>
        <v>1</v>
      </c>
      <c r="P1503" s="1">
        <v>53.201387244189391</v>
      </c>
      <c r="Q1503" s="1">
        <f t="shared" ca="1" si="191"/>
        <v>18</v>
      </c>
      <c r="R1503" s="1">
        <v>11.25886003843334</v>
      </c>
    </row>
    <row r="1504" spans="1:18" x14ac:dyDescent="0.3">
      <c r="A1504" s="26">
        <v>1503</v>
      </c>
      <c r="B1504" s="1">
        <v>23</v>
      </c>
      <c r="C1504" s="1">
        <f t="shared" si="187"/>
        <v>5</v>
      </c>
      <c r="D1504" s="21">
        <f t="shared" ca="1" si="186"/>
        <v>44809</v>
      </c>
      <c r="E1504" s="1" t="s">
        <v>26</v>
      </c>
      <c r="F1504" s="1" t="s">
        <v>1532</v>
      </c>
      <c r="G1504" s="1" t="s">
        <v>28</v>
      </c>
      <c r="H1504" s="1">
        <v>1602</v>
      </c>
      <c r="I1504" s="1">
        <f t="shared" si="188"/>
        <v>51</v>
      </c>
      <c r="J1504" s="1">
        <f>VLOOKUP(B1504,Cena!$A$2:$B$101,2)</f>
        <v>132</v>
      </c>
      <c r="K1504" s="1">
        <f t="shared" si="192"/>
        <v>6732</v>
      </c>
      <c r="L1504" s="1">
        <f t="shared" si="189"/>
        <v>1548.3600000000001</v>
      </c>
      <c r="M1504" s="22">
        <f t="shared" si="193"/>
        <v>8280.36</v>
      </c>
      <c r="N1504" s="1">
        <f t="shared" ca="1" si="190"/>
        <v>9</v>
      </c>
      <c r="P1504" s="1">
        <v>51.345449618384009</v>
      </c>
      <c r="Q1504" s="1">
        <f t="shared" ca="1" si="191"/>
        <v>12</v>
      </c>
      <c r="R1504" s="1">
        <v>5.9815909278404433</v>
      </c>
    </row>
    <row r="1505" spans="1:18" x14ac:dyDescent="0.3">
      <c r="A1505" s="26">
        <v>1504</v>
      </c>
      <c r="B1505" s="1">
        <v>6</v>
      </c>
      <c r="C1505" s="1">
        <f t="shared" si="187"/>
        <v>8</v>
      </c>
      <c r="D1505" s="21">
        <f t="shared" ca="1" si="186"/>
        <v>44660</v>
      </c>
      <c r="E1505" s="1" t="s">
        <v>26</v>
      </c>
      <c r="F1505" s="1" t="s">
        <v>1533</v>
      </c>
      <c r="G1505" s="1" t="s">
        <v>28</v>
      </c>
      <c r="H1505" s="1">
        <v>1603</v>
      </c>
      <c r="I1505" s="1">
        <f t="shared" si="188"/>
        <v>38</v>
      </c>
      <c r="J1505" s="1">
        <f>VLOOKUP(B1505,Cena!$A$2:$B$101,2)</f>
        <v>86</v>
      </c>
      <c r="K1505" s="1">
        <f t="shared" si="192"/>
        <v>3268</v>
      </c>
      <c r="L1505" s="1">
        <f t="shared" si="189"/>
        <v>751.64</v>
      </c>
      <c r="M1505" s="22">
        <f t="shared" si="193"/>
        <v>4019.64</v>
      </c>
      <c r="N1505" s="1">
        <f t="shared" ca="1" si="190"/>
        <v>4</v>
      </c>
      <c r="P1505" s="1">
        <v>38.978447618137579</v>
      </c>
      <c r="Q1505" s="1">
        <f t="shared" ca="1" si="191"/>
        <v>14</v>
      </c>
      <c r="R1505" s="1">
        <v>8.3658142355125165</v>
      </c>
    </row>
    <row r="1506" spans="1:18" x14ac:dyDescent="0.3">
      <c r="A1506" s="26">
        <v>1505</v>
      </c>
      <c r="B1506" s="1">
        <v>14</v>
      </c>
      <c r="C1506" s="1">
        <f t="shared" si="187"/>
        <v>8</v>
      </c>
      <c r="D1506" s="21">
        <f t="shared" ca="1" si="186"/>
        <v>44759</v>
      </c>
      <c r="E1506" s="1" t="s">
        <v>26</v>
      </c>
      <c r="F1506" s="1" t="s">
        <v>1534</v>
      </c>
      <c r="G1506" s="1" t="s">
        <v>28</v>
      </c>
      <c r="H1506" s="1">
        <v>1604</v>
      </c>
      <c r="I1506" s="1">
        <f t="shared" si="188"/>
        <v>56</v>
      </c>
      <c r="J1506" s="1">
        <f>VLOOKUP(B1506,Cena!$A$2:$B$101,2)</f>
        <v>129</v>
      </c>
      <c r="K1506" s="1">
        <f t="shared" si="192"/>
        <v>7224</v>
      </c>
      <c r="L1506" s="1">
        <f t="shared" si="189"/>
        <v>1661.52</v>
      </c>
      <c r="M1506" s="22">
        <f t="shared" si="193"/>
        <v>8885.52</v>
      </c>
      <c r="N1506" s="1">
        <f t="shared" ca="1" si="190"/>
        <v>7</v>
      </c>
      <c r="P1506" s="1">
        <v>56.689060683129355</v>
      </c>
      <c r="Q1506" s="1">
        <f t="shared" ca="1" si="191"/>
        <v>19</v>
      </c>
      <c r="R1506" s="1">
        <v>8.8957682717227726</v>
      </c>
    </row>
    <row r="1507" spans="1:18" x14ac:dyDescent="0.3">
      <c r="A1507" s="26">
        <v>1506</v>
      </c>
      <c r="B1507" s="1">
        <v>13</v>
      </c>
      <c r="C1507" s="1">
        <f t="shared" si="187"/>
        <v>14</v>
      </c>
      <c r="D1507" s="21">
        <f t="shared" ca="1" si="186"/>
        <v>44578</v>
      </c>
      <c r="E1507" s="1" t="s">
        <v>26</v>
      </c>
      <c r="F1507" s="1" t="s">
        <v>1535</v>
      </c>
      <c r="G1507" s="1" t="s">
        <v>28</v>
      </c>
      <c r="H1507" s="1">
        <v>1605</v>
      </c>
      <c r="I1507" s="1">
        <f t="shared" si="188"/>
        <v>68</v>
      </c>
      <c r="J1507" s="1">
        <f>VLOOKUP(B1507,Cena!$A$2:$B$101,2)</f>
        <v>94</v>
      </c>
      <c r="K1507" s="1">
        <f t="shared" si="192"/>
        <v>6392</v>
      </c>
      <c r="L1507" s="1">
        <f t="shared" si="189"/>
        <v>1470.16</v>
      </c>
      <c r="M1507" s="22">
        <f t="shared" si="193"/>
        <v>7862.16</v>
      </c>
      <c r="N1507" s="1">
        <f t="shared" ca="1" si="190"/>
        <v>1</v>
      </c>
      <c r="P1507" s="1">
        <v>68.985883798450232</v>
      </c>
      <c r="Q1507" s="1">
        <f t="shared" ca="1" si="191"/>
        <v>28</v>
      </c>
      <c r="R1507" s="1">
        <v>14.055743829667335</v>
      </c>
    </row>
    <row r="1508" spans="1:18" x14ac:dyDescent="0.3">
      <c r="A1508" s="26">
        <v>1507</v>
      </c>
      <c r="B1508" s="1">
        <v>28</v>
      </c>
      <c r="C1508" s="1">
        <f t="shared" si="187"/>
        <v>9</v>
      </c>
      <c r="D1508" s="21">
        <f t="shared" ca="1" si="186"/>
        <v>44734</v>
      </c>
      <c r="E1508" s="1" t="s">
        <v>26</v>
      </c>
      <c r="F1508" s="1" t="s">
        <v>1536</v>
      </c>
      <c r="G1508" s="1" t="s">
        <v>28</v>
      </c>
      <c r="H1508" s="1">
        <v>1606</v>
      </c>
      <c r="I1508" s="1">
        <f t="shared" si="188"/>
        <v>41</v>
      </c>
      <c r="J1508" s="1">
        <f>VLOOKUP(B1508,Cena!$A$2:$B$101,2)</f>
        <v>59</v>
      </c>
      <c r="K1508" s="1">
        <f t="shared" si="192"/>
        <v>2419</v>
      </c>
      <c r="L1508" s="1">
        <f t="shared" si="189"/>
        <v>556.37</v>
      </c>
      <c r="M1508" s="22">
        <f t="shared" si="193"/>
        <v>2975.37</v>
      </c>
      <c r="N1508" s="1">
        <f t="shared" ca="1" si="190"/>
        <v>6</v>
      </c>
      <c r="P1508" s="1">
        <v>41.852837410988286</v>
      </c>
      <c r="Q1508" s="1">
        <f t="shared" ca="1" si="191"/>
        <v>6</v>
      </c>
      <c r="R1508" s="1">
        <v>9.6775272848026361</v>
      </c>
    </row>
    <row r="1509" spans="1:18" x14ac:dyDescent="0.3">
      <c r="A1509" s="26">
        <v>1508</v>
      </c>
      <c r="B1509" s="1">
        <v>13</v>
      </c>
      <c r="C1509" s="1">
        <f t="shared" si="187"/>
        <v>11</v>
      </c>
      <c r="D1509" s="21">
        <f t="shared" ca="1" si="186"/>
        <v>44573</v>
      </c>
      <c r="E1509" s="1" t="s">
        <v>26</v>
      </c>
      <c r="F1509" s="1" t="s">
        <v>1537</v>
      </c>
      <c r="G1509" s="1" t="s">
        <v>28</v>
      </c>
      <c r="H1509" s="1">
        <v>1607</v>
      </c>
      <c r="I1509" s="1">
        <f t="shared" si="188"/>
        <v>26</v>
      </c>
      <c r="J1509" s="1">
        <f>VLOOKUP(B1509,Cena!$A$2:$B$101,2)</f>
        <v>94</v>
      </c>
      <c r="K1509" s="1">
        <f t="shared" si="192"/>
        <v>2444</v>
      </c>
      <c r="L1509" s="1">
        <f t="shared" si="189"/>
        <v>562.12</v>
      </c>
      <c r="M1509" s="22">
        <f t="shared" si="193"/>
        <v>3006.12</v>
      </c>
      <c r="N1509" s="1">
        <f t="shared" ca="1" si="190"/>
        <v>1</v>
      </c>
      <c r="P1509" s="1">
        <v>26.046092342585325</v>
      </c>
      <c r="Q1509" s="1">
        <f t="shared" ca="1" si="191"/>
        <v>13</v>
      </c>
      <c r="R1509" s="1">
        <v>11.962266082955466</v>
      </c>
    </row>
    <row r="1510" spans="1:18" x14ac:dyDescent="0.3">
      <c r="A1510" s="26">
        <v>1509</v>
      </c>
      <c r="B1510" s="1">
        <v>30</v>
      </c>
      <c r="C1510" s="1">
        <f t="shared" si="187"/>
        <v>5</v>
      </c>
      <c r="D1510" s="21">
        <f t="shared" ca="1" si="186"/>
        <v>44858</v>
      </c>
      <c r="E1510" s="1" t="s">
        <v>26</v>
      </c>
      <c r="F1510" s="1" t="s">
        <v>1538</v>
      </c>
      <c r="G1510" s="1" t="s">
        <v>28</v>
      </c>
      <c r="H1510" s="1">
        <v>1608</v>
      </c>
      <c r="I1510" s="1">
        <f t="shared" si="188"/>
        <v>62</v>
      </c>
      <c r="J1510" s="1">
        <f>VLOOKUP(B1510,Cena!$A$2:$B$101,2)</f>
        <v>87</v>
      </c>
      <c r="K1510" s="1">
        <f t="shared" si="192"/>
        <v>5394</v>
      </c>
      <c r="L1510" s="1">
        <f t="shared" si="189"/>
        <v>1240.6200000000001</v>
      </c>
      <c r="M1510" s="22">
        <f t="shared" si="193"/>
        <v>6634.62</v>
      </c>
      <c r="N1510" s="1">
        <f t="shared" ca="1" si="190"/>
        <v>10</v>
      </c>
      <c r="P1510" s="1">
        <v>62.699365470325574</v>
      </c>
      <c r="Q1510" s="1">
        <f t="shared" ca="1" si="191"/>
        <v>21</v>
      </c>
      <c r="R1510" s="1">
        <v>5.803159436036367</v>
      </c>
    </row>
    <row r="1511" spans="1:18" x14ac:dyDescent="0.3">
      <c r="A1511" s="26">
        <v>1510</v>
      </c>
      <c r="B1511" s="1">
        <v>15</v>
      </c>
      <c r="C1511" s="1">
        <f t="shared" si="187"/>
        <v>10</v>
      </c>
      <c r="D1511" s="21">
        <f t="shared" ca="1" si="186"/>
        <v>44886</v>
      </c>
      <c r="E1511" s="1" t="s">
        <v>26</v>
      </c>
      <c r="F1511" s="1" t="s">
        <v>1539</v>
      </c>
      <c r="G1511" s="1" t="s">
        <v>28</v>
      </c>
      <c r="H1511" s="1">
        <v>1609</v>
      </c>
      <c r="I1511" s="1">
        <f t="shared" si="188"/>
        <v>47</v>
      </c>
      <c r="J1511" s="1">
        <f>VLOOKUP(B1511,Cena!$A$2:$B$101,2)</f>
        <v>85</v>
      </c>
      <c r="K1511" s="1">
        <f t="shared" si="192"/>
        <v>3995</v>
      </c>
      <c r="L1511" s="1">
        <f t="shared" si="189"/>
        <v>918.85</v>
      </c>
      <c r="M1511" s="22">
        <f t="shared" si="193"/>
        <v>4913.8500000000004</v>
      </c>
      <c r="N1511" s="1">
        <f t="shared" ca="1" si="190"/>
        <v>11</v>
      </c>
      <c r="P1511" s="1">
        <v>47.172483290341916</v>
      </c>
      <c r="Q1511" s="1">
        <f t="shared" ca="1" si="191"/>
        <v>11</v>
      </c>
      <c r="R1511" s="1">
        <v>10.670922872814117</v>
      </c>
    </row>
    <row r="1512" spans="1:18" x14ac:dyDescent="0.3">
      <c r="A1512" s="26">
        <v>1511</v>
      </c>
      <c r="B1512" s="1">
        <v>13</v>
      </c>
      <c r="C1512" s="1">
        <f t="shared" si="187"/>
        <v>13</v>
      </c>
      <c r="D1512" s="21">
        <f t="shared" ca="1" si="186"/>
        <v>44774</v>
      </c>
      <c r="E1512" s="1" t="s">
        <v>26</v>
      </c>
      <c r="F1512" s="1" t="s">
        <v>1540</v>
      </c>
      <c r="G1512" s="1" t="s">
        <v>28</v>
      </c>
      <c r="H1512" s="1">
        <v>1610</v>
      </c>
      <c r="I1512" s="1">
        <f t="shared" si="188"/>
        <v>59</v>
      </c>
      <c r="J1512" s="1">
        <f>VLOOKUP(B1512,Cena!$A$2:$B$101,2)</f>
        <v>94</v>
      </c>
      <c r="K1512" s="1">
        <f t="shared" si="192"/>
        <v>5546</v>
      </c>
      <c r="L1512" s="1">
        <f t="shared" si="189"/>
        <v>1275.5800000000002</v>
      </c>
      <c r="M1512" s="22">
        <f t="shared" si="193"/>
        <v>6821.58</v>
      </c>
      <c r="N1512" s="1">
        <f t="shared" ca="1" si="190"/>
        <v>8</v>
      </c>
      <c r="P1512" s="1">
        <v>59.687869351182599</v>
      </c>
      <c r="Q1512" s="1">
        <f t="shared" ca="1" si="191"/>
        <v>22</v>
      </c>
      <c r="R1512" s="1">
        <v>13.674597337521845</v>
      </c>
    </row>
    <row r="1513" spans="1:18" x14ac:dyDescent="0.3">
      <c r="A1513" s="26">
        <v>1512</v>
      </c>
      <c r="B1513" s="1">
        <v>1</v>
      </c>
      <c r="C1513" s="1">
        <f t="shared" si="187"/>
        <v>8</v>
      </c>
      <c r="D1513" s="21">
        <f t="shared" ca="1" si="186"/>
        <v>44825</v>
      </c>
      <c r="E1513" s="1" t="s">
        <v>26</v>
      </c>
      <c r="F1513" s="1" t="s">
        <v>1541</v>
      </c>
      <c r="G1513" s="1" t="s">
        <v>28</v>
      </c>
      <c r="H1513" s="1">
        <v>1611</v>
      </c>
      <c r="I1513" s="1">
        <f t="shared" si="188"/>
        <v>34</v>
      </c>
      <c r="J1513" s="1">
        <f>VLOOKUP(B1513,Cena!$A$2:$B$101,2)</f>
        <v>84</v>
      </c>
      <c r="K1513" s="1">
        <f t="shared" si="192"/>
        <v>2856</v>
      </c>
      <c r="L1513" s="1">
        <f t="shared" si="189"/>
        <v>656.88</v>
      </c>
      <c r="M1513" s="22">
        <f t="shared" si="193"/>
        <v>3512.88</v>
      </c>
      <c r="N1513" s="1">
        <f t="shared" ca="1" si="190"/>
        <v>9</v>
      </c>
      <c r="P1513" s="1">
        <v>34.359328664140776</v>
      </c>
      <c r="Q1513" s="1">
        <f t="shared" ca="1" si="191"/>
        <v>3</v>
      </c>
      <c r="R1513" s="1">
        <v>8.8504640668907086</v>
      </c>
    </row>
    <row r="1514" spans="1:18" x14ac:dyDescent="0.3">
      <c r="A1514" s="26">
        <v>1513</v>
      </c>
      <c r="B1514" s="1">
        <v>25</v>
      </c>
      <c r="C1514" s="1">
        <f t="shared" si="187"/>
        <v>9</v>
      </c>
      <c r="D1514" s="21">
        <f t="shared" ca="1" si="186"/>
        <v>44629</v>
      </c>
      <c r="E1514" s="1" t="s">
        <v>26</v>
      </c>
      <c r="F1514" s="1" t="s">
        <v>1542</v>
      </c>
      <c r="G1514" s="1" t="s">
        <v>28</v>
      </c>
      <c r="H1514" s="1">
        <v>1612</v>
      </c>
      <c r="I1514" s="1">
        <f t="shared" si="188"/>
        <v>43</v>
      </c>
      <c r="J1514" s="1">
        <f>VLOOKUP(B1514,Cena!$A$2:$B$101,2)</f>
        <v>108</v>
      </c>
      <c r="K1514" s="1">
        <f t="shared" si="192"/>
        <v>4644</v>
      </c>
      <c r="L1514" s="1">
        <f t="shared" si="189"/>
        <v>1068.1200000000001</v>
      </c>
      <c r="M1514" s="22">
        <f t="shared" si="193"/>
        <v>5712.12</v>
      </c>
      <c r="N1514" s="1">
        <f t="shared" ca="1" si="190"/>
        <v>3</v>
      </c>
      <c r="P1514" s="1">
        <v>43.766232364578173</v>
      </c>
      <c r="Q1514" s="1">
        <f t="shared" ca="1" si="191"/>
        <v>8</v>
      </c>
      <c r="R1514" s="1">
        <v>9.6875544638896827</v>
      </c>
    </row>
    <row r="1515" spans="1:18" x14ac:dyDescent="0.3">
      <c r="A1515" s="26">
        <v>1514</v>
      </c>
      <c r="B1515" s="1">
        <v>25</v>
      </c>
      <c r="C1515" s="1">
        <f t="shared" si="187"/>
        <v>9</v>
      </c>
      <c r="D1515" s="21">
        <f t="shared" ca="1" si="186"/>
        <v>44654</v>
      </c>
      <c r="E1515" s="1" t="s">
        <v>26</v>
      </c>
      <c r="F1515" s="1" t="s">
        <v>1543</v>
      </c>
      <c r="G1515" s="1" t="s">
        <v>28</v>
      </c>
      <c r="H1515" s="1">
        <v>1613</v>
      </c>
      <c r="I1515" s="1">
        <f t="shared" si="188"/>
        <v>58</v>
      </c>
      <c r="J1515" s="1">
        <f>VLOOKUP(B1515,Cena!$A$2:$B$101,2)</f>
        <v>108</v>
      </c>
      <c r="K1515" s="1">
        <f t="shared" si="192"/>
        <v>6264</v>
      </c>
      <c r="L1515" s="1">
        <f t="shared" si="189"/>
        <v>1440.72</v>
      </c>
      <c r="M1515" s="22">
        <f t="shared" si="193"/>
        <v>7704.72</v>
      </c>
      <c r="N1515" s="1">
        <f t="shared" ca="1" si="190"/>
        <v>4</v>
      </c>
      <c r="P1515" s="1">
        <v>58.475660706608323</v>
      </c>
      <c r="Q1515" s="1">
        <f t="shared" ca="1" si="191"/>
        <v>27</v>
      </c>
      <c r="R1515" s="1">
        <v>9.6435576576914173</v>
      </c>
    </row>
    <row r="1516" spans="1:18" x14ac:dyDescent="0.3">
      <c r="A1516" s="26">
        <v>1515</v>
      </c>
      <c r="B1516" s="1">
        <v>6</v>
      </c>
      <c r="C1516" s="1">
        <f t="shared" si="187"/>
        <v>13</v>
      </c>
      <c r="D1516" s="21">
        <f t="shared" ca="1" si="186"/>
        <v>44769</v>
      </c>
      <c r="E1516" s="1" t="s">
        <v>26</v>
      </c>
      <c r="F1516" s="1" t="s">
        <v>1544</v>
      </c>
      <c r="G1516" s="1" t="s">
        <v>28</v>
      </c>
      <c r="H1516" s="1">
        <v>1614</v>
      </c>
      <c r="I1516" s="1">
        <f t="shared" si="188"/>
        <v>58</v>
      </c>
      <c r="J1516" s="1">
        <f>VLOOKUP(B1516,Cena!$A$2:$B$101,2)</f>
        <v>86</v>
      </c>
      <c r="K1516" s="1">
        <f t="shared" si="192"/>
        <v>4988</v>
      </c>
      <c r="L1516" s="1">
        <f t="shared" si="189"/>
        <v>1147.24</v>
      </c>
      <c r="M1516" s="22">
        <f t="shared" si="193"/>
        <v>6135.24</v>
      </c>
      <c r="N1516" s="1">
        <f t="shared" ca="1" si="190"/>
        <v>7</v>
      </c>
      <c r="P1516" s="1">
        <v>58.351412361662369</v>
      </c>
      <c r="Q1516" s="1">
        <f t="shared" ca="1" si="191"/>
        <v>10</v>
      </c>
      <c r="R1516" s="1">
        <v>13.830302830465371</v>
      </c>
    </row>
    <row r="1517" spans="1:18" x14ac:dyDescent="0.3">
      <c r="A1517" s="26">
        <v>1516</v>
      </c>
      <c r="B1517" s="1">
        <v>12</v>
      </c>
      <c r="C1517" s="1">
        <f t="shared" si="187"/>
        <v>11</v>
      </c>
      <c r="D1517" s="21">
        <f t="shared" ca="1" si="186"/>
        <v>44871</v>
      </c>
      <c r="E1517" s="1" t="s">
        <v>26</v>
      </c>
      <c r="F1517" s="1" t="s">
        <v>1545</v>
      </c>
      <c r="G1517" s="1" t="s">
        <v>28</v>
      </c>
      <c r="H1517" s="1">
        <v>1615</v>
      </c>
      <c r="I1517" s="1">
        <f t="shared" si="188"/>
        <v>44</v>
      </c>
      <c r="J1517" s="1">
        <f>VLOOKUP(B1517,Cena!$A$2:$B$101,2)</f>
        <v>88</v>
      </c>
      <c r="K1517" s="1">
        <f t="shared" si="192"/>
        <v>3872</v>
      </c>
      <c r="L1517" s="1">
        <f t="shared" si="189"/>
        <v>890.56000000000006</v>
      </c>
      <c r="M1517" s="22">
        <f t="shared" si="193"/>
        <v>4762.5600000000004</v>
      </c>
      <c r="N1517" s="1">
        <f t="shared" ca="1" si="190"/>
        <v>11</v>
      </c>
      <c r="P1517" s="1">
        <v>44.046231677202741</v>
      </c>
      <c r="Q1517" s="1">
        <f t="shared" ca="1" si="191"/>
        <v>29</v>
      </c>
      <c r="R1517" s="1">
        <v>11.599300958332606</v>
      </c>
    </row>
    <row r="1518" spans="1:18" x14ac:dyDescent="0.3">
      <c r="A1518" s="26">
        <v>1517</v>
      </c>
      <c r="B1518" s="1">
        <v>24</v>
      </c>
      <c r="C1518" s="1">
        <f t="shared" si="187"/>
        <v>12</v>
      </c>
      <c r="D1518" s="21">
        <f t="shared" ca="1" si="186"/>
        <v>44600</v>
      </c>
      <c r="E1518" s="1" t="s">
        <v>26</v>
      </c>
      <c r="F1518" s="1" t="s">
        <v>1546</v>
      </c>
      <c r="G1518" s="1" t="s">
        <v>28</v>
      </c>
      <c r="H1518" s="1">
        <v>1616</v>
      </c>
      <c r="I1518" s="1">
        <f t="shared" si="188"/>
        <v>38</v>
      </c>
      <c r="J1518" s="1">
        <f>VLOOKUP(B1518,Cena!$A$2:$B$101,2)</f>
        <v>125</v>
      </c>
      <c r="K1518" s="1">
        <f t="shared" si="192"/>
        <v>4750</v>
      </c>
      <c r="L1518" s="1">
        <f t="shared" si="189"/>
        <v>1092.5</v>
      </c>
      <c r="M1518" s="22">
        <f t="shared" si="193"/>
        <v>5842.5</v>
      </c>
      <c r="N1518" s="1">
        <f t="shared" ca="1" si="190"/>
        <v>2</v>
      </c>
      <c r="P1518" s="1">
        <v>38.375770954007749</v>
      </c>
      <c r="Q1518" s="1">
        <f t="shared" ca="1" si="191"/>
        <v>6</v>
      </c>
      <c r="R1518" s="1">
        <v>12.888464223360643</v>
      </c>
    </row>
    <row r="1519" spans="1:18" x14ac:dyDescent="0.3">
      <c r="A1519" s="26">
        <v>1518</v>
      </c>
      <c r="B1519" s="1">
        <v>12</v>
      </c>
      <c r="C1519" s="1">
        <f t="shared" si="187"/>
        <v>7</v>
      </c>
      <c r="D1519" s="21">
        <f t="shared" ca="1" si="186"/>
        <v>44748</v>
      </c>
      <c r="E1519" s="1" t="s">
        <v>26</v>
      </c>
      <c r="F1519" s="1" t="s">
        <v>1547</v>
      </c>
      <c r="G1519" s="1" t="s">
        <v>28</v>
      </c>
      <c r="H1519" s="1">
        <v>1617</v>
      </c>
      <c r="I1519" s="1">
        <f t="shared" si="188"/>
        <v>41</v>
      </c>
      <c r="J1519" s="1">
        <f>VLOOKUP(B1519,Cena!$A$2:$B$101,2)</f>
        <v>88</v>
      </c>
      <c r="K1519" s="1">
        <f t="shared" si="192"/>
        <v>3608</v>
      </c>
      <c r="L1519" s="1">
        <f t="shared" si="189"/>
        <v>829.84</v>
      </c>
      <c r="M1519" s="22">
        <f t="shared" si="193"/>
        <v>4437.84</v>
      </c>
      <c r="N1519" s="1">
        <f t="shared" ca="1" si="190"/>
        <v>7</v>
      </c>
      <c r="P1519" s="1">
        <v>41.580079949926585</v>
      </c>
      <c r="Q1519" s="1">
        <f t="shared" ca="1" si="191"/>
        <v>3</v>
      </c>
      <c r="R1519" s="1">
        <v>7.539526930268039</v>
      </c>
    </row>
    <row r="1520" spans="1:18" x14ac:dyDescent="0.3">
      <c r="A1520" s="26">
        <v>1519</v>
      </c>
      <c r="B1520" s="1">
        <v>24</v>
      </c>
      <c r="C1520" s="1">
        <f t="shared" si="187"/>
        <v>11</v>
      </c>
      <c r="D1520" s="21">
        <f t="shared" ca="1" si="186"/>
        <v>44647</v>
      </c>
      <c r="E1520" s="1" t="s">
        <v>26</v>
      </c>
      <c r="F1520" s="1" t="s">
        <v>1548</v>
      </c>
      <c r="G1520" s="1" t="s">
        <v>28</v>
      </c>
      <c r="H1520" s="1">
        <v>1618</v>
      </c>
      <c r="I1520" s="1">
        <f t="shared" si="188"/>
        <v>43</v>
      </c>
      <c r="J1520" s="1">
        <f>VLOOKUP(B1520,Cena!$A$2:$B$101,2)</f>
        <v>125</v>
      </c>
      <c r="K1520" s="1">
        <f t="shared" si="192"/>
        <v>5375</v>
      </c>
      <c r="L1520" s="1">
        <f t="shared" si="189"/>
        <v>1236.25</v>
      </c>
      <c r="M1520" s="22">
        <f t="shared" si="193"/>
        <v>6611.25</v>
      </c>
      <c r="N1520" s="1">
        <f t="shared" ca="1" si="190"/>
        <v>3</v>
      </c>
      <c r="P1520" s="1">
        <v>43.111555340874474</v>
      </c>
      <c r="Q1520" s="1">
        <f t="shared" ca="1" si="191"/>
        <v>17</v>
      </c>
      <c r="R1520" s="1">
        <v>11.588284703757381</v>
      </c>
    </row>
    <row r="1521" spans="1:18" x14ac:dyDescent="0.3">
      <c r="A1521" s="26">
        <v>1520</v>
      </c>
      <c r="B1521" s="1">
        <v>20</v>
      </c>
      <c r="C1521" s="1">
        <f t="shared" si="187"/>
        <v>10</v>
      </c>
      <c r="D1521" s="21">
        <f t="shared" ca="1" si="186"/>
        <v>44664</v>
      </c>
      <c r="E1521" s="1" t="s">
        <v>26</v>
      </c>
      <c r="F1521" s="1" t="s">
        <v>1549</v>
      </c>
      <c r="G1521" s="1" t="s">
        <v>28</v>
      </c>
      <c r="H1521" s="1">
        <v>1619</v>
      </c>
      <c r="I1521" s="1">
        <f t="shared" si="188"/>
        <v>47</v>
      </c>
      <c r="J1521" s="1">
        <f>VLOOKUP(B1521,Cena!$A$2:$B$101,2)</f>
        <v>111</v>
      </c>
      <c r="K1521" s="1">
        <f t="shared" si="192"/>
        <v>5217</v>
      </c>
      <c r="L1521" s="1">
        <f t="shared" si="189"/>
        <v>1199.9100000000001</v>
      </c>
      <c r="M1521" s="22">
        <f t="shared" si="193"/>
        <v>6416.91</v>
      </c>
      <c r="N1521" s="1">
        <f t="shared" ca="1" si="190"/>
        <v>4</v>
      </c>
      <c r="P1521" s="1">
        <v>47.068835000391118</v>
      </c>
      <c r="Q1521" s="1">
        <f t="shared" ca="1" si="191"/>
        <v>16</v>
      </c>
      <c r="R1521" s="1">
        <v>10.785465203989588</v>
      </c>
    </row>
    <row r="1522" spans="1:18" x14ac:dyDescent="0.3">
      <c r="A1522" s="26">
        <v>1521</v>
      </c>
      <c r="B1522" s="1">
        <v>6</v>
      </c>
      <c r="C1522" s="1">
        <f t="shared" si="187"/>
        <v>13</v>
      </c>
      <c r="D1522" s="21">
        <f t="shared" ca="1" si="186"/>
        <v>44572</v>
      </c>
      <c r="E1522" s="1" t="s">
        <v>26</v>
      </c>
      <c r="F1522" s="1" t="s">
        <v>1550</v>
      </c>
      <c r="G1522" s="1" t="s">
        <v>28</v>
      </c>
      <c r="H1522" s="1">
        <v>1620</v>
      </c>
      <c r="I1522" s="1">
        <f t="shared" si="188"/>
        <v>45</v>
      </c>
      <c r="J1522" s="1">
        <f>VLOOKUP(B1522,Cena!$A$2:$B$101,2)</f>
        <v>86</v>
      </c>
      <c r="K1522" s="1">
        <f t="shared" si="192"/>
        <v>3870</v>
      </c>
      <c r="L1522" s="1">
        <f t="shared" si="189"/>
        <v>890.1</v>
      </c>
      <c r="M1522" s="22">
        <f t="shared" si="193"/>
        <v>4760.1000000000004</v>
      </c>
      <c r="N1522" s="1">
        <f t="shared" ca="1" si="190"/>
        <v>1</v>
      </c>
      <c r="P1522" s="1">
        <v>45.115945239376742</v>
      </c>
      <c r="Q1522" s="1">
        <f t="shared" ca="1" si="191"/>
        <v>17</v>
      </c>
      <c r="R1522" s="1">
        <v>13.108704049736843</v>
      </c>
    </row>
    <row r="1523" spans="1:18" x14ac:dyDescent="0.3">
      <c r="A1523" s="26">
        <v>1522</v>
      </c>
      <c r="B1523" s="1">
        <v>4</v>
      </c>
      <c r="C1523" s="1">
        <f t="shared" si="187"/>
        <v>10</v>
      </c>
      <c r="D1523" s="21">
        <f t="shared" ca="1" si="186"/>
        <v>44844</v>
      </c>
      <c r="E1523" s="1" t="s">
        <v>26</v>
      </c>
      <c r="F1523" s="1" t="s">
        <v>1551</v>
      </c>
      <c r="G1523" s="1" t="s">
        <v>28</v>
      </c>
      <c r="H1523" s="1">
        <v>1621</v>
      </c>
      <c r="I1523" s="1">
        <f t="shared" si="188"/>
        <v>49</v>
      </c>
      <c r="J1523" s="1">
        <f>VLOOKUP(B1523,Cena!$A$2:$B$101,2)</f>
        <v>99</v>
      </c>
      <c r="K1523" s="1">
        <f t="shared" si="192"/>
        <v>4851</v>
      </c>
      <c r="L1523" s="1">
        <f t="shared" si="189"/>
        <v>1115.73</v>
      </c>
      <c r="M1523" s="22">
        <f t="shared" si="193"/>
        <v>5966.73</v>
      </c>
      <c r="N1523" s="1">
        <f t="shared" ca="1" si="190"/>
        <v>10</v>
      </c>
      <c r="P1523" s="1">
        <v>49.28987790553947</v>
      </c>
      <c r="Q1523" s="1">
        <f t="shared" ca="1" si="191"/>
        <v>17</v>
      </c>
      <c r="R1523" s="1">
        <v>10.14418333194044</v>
      </c>
    </row>
    <row r="1524" spans="1:18" x14ac:dyDescent="0.3">
      <c r="A1524" s="26">
        <v>1523</v>
      </c>
      <c r="B1524" s="1">
        <v>19</v>
      </c>
      <c r="C1524" s="1">
        <f t="shared" si="187"/>
        <v>7</v>
      </c>
      <c r="D1524" s="21">
        <f t="shared" ca="1" si="186"/>
        <v>44714</v>
      </c>
      <c r="E1524" s="1" t="s">
        <v>26</v>
      </c>
      <c r="F1524" s="1" t="s">
        <v>1552</v>
      </c>
      <c r="G1524" s="1" t="s">
        <v>28</v>
      </c>
      <c r="H1524" s="1">
        <v>1622</v>
      </c>
      <c r="I1524" s="1">
        <f t="shared" si="188"/>
        <v>56</v>
      </c>
      <c r="J1524" s="1">
        <f>VLOOKUP(B1524,Cena!$A$2:$B$101,2)</f>
        <v>84</v>
      </c>
      <c r="K1524" s="1">
        <f t="shared" si="192"/>
        <v>4704</v>
      </c>
      <c r="L1524" s="1">
        <f t="shared" si="189"/>
        <v>1081.92</v>
      </c>
      <c r="M1524" s="22">
        <f t="shared" si="193"/>
        <v>5785.92</v>
      </c>
      <c r="N1524" s="1">
        <f t="shared" ca="1" si="190"/>
        <v>6</v>
      </c>
      <c r="P1524" s="1">
        <v>56.012328412907664</v>
      </c>
      <c r="Q1524" s="1">
        <f t="shared" ca="1" si="191"/>
        <v>2</v>
      </c>
      <c r="R1524" s="1">
        <v>7.3980777667748043</v>
      </c>
    </row>
    <row r="1525" spans="1:18" x14ac:dyDescent="0.3">
      <c r="A1525" s="26">
        <v>1524</v>
      </c>
      <c r="B1525" s="1">
        <v>18</v>
      </c>
      <c r="C1525" s="1">
        <f t="shared" si="187"/>
        <v>11</v>
      </c>
      <c r="D1525" s="21">
        <f t="shared" ca="1" si="186"/>
        <v>44600</v>
      </c>
      <c r="E1525" s="1" t="s">
        <v>26</v>
      </c>
      <c r="F1525" s="1" t="s">
        <v>1553</v>
      </c>
      <c r="G1525" s="1" t="s">
        <v>28</v>
      </c>
      <c r="H1525" s="1">
        <v>1623</v>
      </c>
      <c r="I1525" s="1">
        <f t="shared" si="188"/>
        <v>52</v>
      </c>
      <c r="J1525" s="1">
        <f>VLOOKUP(B1525,Cena!$A$2:$B$101,2)</f>
        <v>90</v>
      </c>
      <c r="K1525" s="1">
        <f t="shared" si="192"/>
        <v>4680</v>
      </c>
      <c r="L1525" s="1">
        <f t="shared" si="189"/>
        <v>1076.4000000000001</v>
      </c>
      <c r="M1525" s="22">
        <f t="shared" si="193"/>
        <v>5756.4</v>
      </c>
      <c r="N1525" s="1">
        <f t="shared" ca="1" si="190"/>
        <v>2</v>
      </c>
      <c r="P1525" s="1">
        <v>52.218553163402248</v>
      </c>
      <c r="Q1525" s="1">
        <f t="shared" ca="1" si="191"/>
        <v>26</v>
      </c>
      <c r="R1525" s="1">
        <v>11.485017264712951</v>
      </c>
    </row>
    <row r="1526" spans="1:18" x14ac:dyDescent="0.3">
      <c r="A1526" s="26">
        <v>1525</v>
      </c>
      <c r="B1526" s="1">
        <v>23</v>
      </c>
      <c r="C1526" s="1">
        <f t="shared" si="187"/>
        <v>7</v>
      </c>
      <c r="D1526" s="21">
        <f t="shared" ca="1" si="186"/>
        <v>44823</v>
      </c>
      <c r="E1526" s="1" t="s">
        <v>26</v>
      </c>
      <c r="F1526" s="1" t="s">
        <v>1554</v>
      </c>
      <c r="G1526" s="1" t="s">
        <v>28</v>
      </c>
      <c r="H1526" s="1">
        <v>1624</v>
      </c>
      <c r="I1526" s="1">
        <f t="shared" si="188"/>
        <v>40</v>
      </c>
      <c r="J1526" s="1">
        <f>VLOOKUP(B1526,Cena!$A$2:$B$101,2)</f>
        <v>132</v>
      </c>
      <c r="K1526" s="1">
        <f t="shared" si="192"/>
        <v>5280</v>
      </c>
      <c r="L1526" s="1">
        <f t="shared" si="189"/>
        <v>1214.4000000000001</v>
      </c>
      <c r="M1526" s="22">
        <f t="shared" si="193"/>
        <v>6494.4</v>
      </c>
      <c r="N1526" s="1">
        <f t="shared" ca="1" si="190"/>
        <v>9</v>
      </c>
      <c r="P1526" s="1">
        <v>40.397395777108613</v>
      </c>
      <c r="Q1526" s="1">
        <f t="shared" ca="1" si="191"/>
        <v>28</v>
      </c>
      <c r="R1526" s="1">
        <v>7.3307353684504051</v>
      </c>
    </row>
    <row r="1527" spans="1:18" x14ac:dyDescent="0.3">
      <c r="A1527" s="26">
        <v>1526</v>
      </c>
      <c r="B1527" s="1">
        <v>7</v>
      </c>
      <c r="C1527" s="1">
        <f t="shared" si="187"/>
        <v>9</v>
      </c>
      <c r="D1527" s="21">
        <f t="shared" ca="1" si="186"/>
        <v>44821</v>
      </c>
      <c r="E1527" s="1" t="s">
        <v>26</v>
      </c>
      <c r="F1527" s="1" t="s">
        <v>1555</v>
      </c>
      <c r="G1527" s="1" t="s">
        <v>28</v>
      </c>
      <c r="H1527" s="1">
        <v>1625</v>
      </c>
      <c r="I1527" s="1">
        <f t="shared" si="188"/>
        <v>44</v>
      </c>
      <c r="J1527" s="1">
        <f>VLOOKUP(B1527,Cena!$A$2:$B$101,2)</f>
        <v>104</v>
      </c>
      <c r="K1527" s="1">
        <f t="shared" si="192"/>
        <v>4576</v>
      </c>
      <c r="L1527" s="1">
        <f t="shared" si="189"/>
        <v>1052.48</v>
      </c>
      <c r="M1527" s="22">
        <f t="shared" si="193"/>
        <v>5628.48</v>
      </c>
      <c r="N1527" s="1">
        <f t="shared" ca="1" si="190"/>
        <v>9</v>
      </c>
      <c r="P1527" s="1">
        <v>44.986251294903923</v>
      </c>
      <c r="Q1527" s="1">
        <f t="shared" ca="1" si="191"/>
        <v>20</v>
      </c>
      <c r="R1527" s="1">
        <v>9.6925623690913199</v>
      </c>
    </row>
    <row r="1528" spans="1:18" x14ac:dyDescent="0.3">
      <c r="A1528" s="26">
        <v>1527</v>
      </c>
      <c r="B1528" s="1">
        <v>21</v>
      </c>
      <c r="C1528" s="1">
        <f t="shared" si="187"/>
        <v>8</v>
      </c>
      <c r="D1528" s="21">
        <f t="shared" ca="1" si="186"/>
        <v>44685</v>
      </c>
      <c r="E1528" s="1" t="s">
        <v>26</v>
      </c>
      <c r="F1528" s="1" t="s">
        <v>1556</v>
      </c>
      <c r="G1528" s="1" t="s">
        <v>28</v>
      </c>
      <c r="H1528" s="1">
        <v>1626</v>
      </c>
      <c r="I1528" s="1">
        <f t="shared" si="188"/>
        <v>52</v>
      </c>
      <c r="J1528" s="1">
        <f>VLOOKUP(B1528,Cena!$A$2:$B$101,2)</f>
        <v>105</v>
      </c>
      <c r="K1528" s="1">
        <f t="shared" si="192"/>
        <v>5460</v>
      </c>
      <c r="L1528" s="1">
        <f t="shared" si="189"/>
        <v>1255.8</v>
      </c>
      <c r="M1528" s="22">
        <f t="shared" si="193"/>
        <v>6715.8</v>
      </c>
      <c r="N1528" s="1">
        <f t="shared" ca="1" si="190"/>
        <v>5</v>
      </c>
      <c r="P1528" s="1">
        <v>52.766262241493678</v>
      </c>
      <c r="Q1528" s="1">
        <f t="shared" ca="1" si="191"/>
        <v>24</v>
      </c>
      <c r="R1528" s="1">
        <v>8.9884287288077758</v>
      </c>
    </row>
    <row r="1529" spans="1:18" x14ac:dyDescent="0.3">
      <c r="A1529" s="26">
        <v>1528</v>
      </c>
      <c r="B1529" s="1">
        <v>1</v>
      </c>
      <c r="C1529" s="1">
        <f t="shared" si="187"/>
        <v>7</v>
      </c>
      <c r="D1529" s="21">
        <f t="shared" ca="1" si="186"/>
        <v>44765</v>
      </c>
      <c r="E1529" s="1" t="s">
        <v>26</v>
      </c>
      <c r="F1529" s="1" t="s">
        <v>1557</v>
      </c>
      <c r="G1529" s="1" t="s">
        <v>28</v>
      </c>
      <c r="H1529" s="1">
        <v>1627</v>
      </c>
      <c r="I1529" s="1">
        <f t="shared" si="188"/>
        <v>66</v>
      </c>
      <c r="J1529" s="1">
        <f>VLOOKUP(B1529,Cena!$A$2:$B$101,2)</f>
        <v>84</v>
      </c>
      <c r="K1529" s="1">
        <f t="shared" si="192"/>
        <v>5544</v>
      </c>
      <c r="L1529" s="1">
        <f t="shared" si="189"/>
        <v>1275.1200000000001</v>
      </c>
      <c r="M1529" s="22">
        <f t="shared" si="193"/>
        <v>6819.12</v>
      </c>
      <c r="N1529" s="1">
        <f t="shared" ca="1" si="190"/>
        <v>7</v>
      </c>
      <c r="P1529" s="1">
        <v>66.76862666499801</v>
      </c>
      <c r="Q1529" s="1">
        <f t="shared" ca="1" si="191"/>
        <v>15</v>
      </c>
      <c r="R1529" s="1">
        <v>7.6975800564105157</v>
      </c>
    </row>
    <row r="1530" spans="1:18" x14ac:dyDescent="0.3">
      <c r="A1530" s="26">
        <v>1529</v>
      </c>
      <c r="B1530" s="1">
        <v>28</v>
      </c>
      <c r="C1530" s="1">
        <f t="shared" si="187"/>
        <v>11</v>
      </c>
      <c r="D1530" s="21">
        <f t="shared" ca="1" si="186"/>
        <v>44666</v>
      </c>
      <c r="E1530" s="1" t="s">
        <v>26</v>
      </c>
      <c r="F1530" s="1" t="s">
        <v>1558</v>
      </c>
      <c r="G1530" s="1" t="s">
        <v>28</v>
      </c>
      <c r="H1530" s="1">
        <v>1628</v>
      </c>
      <c r="I1530" s="1">
        <f t="shared" si="188"/>
        <v>49</v>
      </c>
      <c r="J1530" s="1">
        <f>VLOOKUP(B1530,Cena!$A$2:$B$101,2)</f>
        <v>59</v>
      </c>
      <c r="K1530" s="1">
        <f t="shared" si="192"/>
        <v>2891</v>
      </c>
      <c r="L1530" s="1">
        <f t="shared" si="189"/>
        <v>664.93000000000006</v>
      </c>
      <c r="M1530" s="22">
        <f t="shared" si="193"/>
        <v>3555.9300000000003</v>
      </c>
      <c r="N1530" s="1">
        <f t="shared" ca="1" si="190"/>
        <v>4</v>
      </c>
      <c r="P1530" s="1">
        <v>49.055762600619346</v>
      </c>
      <c r="Q1530" s="1">
        <f t="shared" ca="1" si="191"/>
        <v>3</v>
      </c>
      <c r="R1530" s="1">
        <v>11.742046151775867</v>
      </c>
    </row>
    <row r="1531" spans="1:18" x14ac:dyDescent="0.3">
      <c r="A1531" s="26">
        <v>1530</v>
      </c>
      <c r="B1531" s="1">
        <v>9</v>
      </c>
      <c r="C1531" s="1">
        <f t="shared" si="187"/>
        <v>9</v>
      </c>
      <c r="D1531" s="21">
        <f t="shared" ca="1" si="186"/>
        <v>44837</v>
      </c>
      <c r="E1531" s="1" t="s">
        <v>26</v>
      </c>
      <c r="F1531" s="1" t="s">
        <v>1559</v>
      </c>
      <c r="G1531" s="1" t="s">
        <v>28</v>
      </c>
      <c r="H1531" s="1">
        <v>1629</v>
      </c>
      <c r="I1531" s="1">
        <f t="shared" si="188"/>
        <v>67</v>
      </c>
      <c r="J1531" s="1">
        <f>VLOOKUP(B1531,Cena!$A$2:$B$101,2)</f>
        <v>96</v>
      </c>
      <c r="K1531" s="1">
        <f t="shared" si="192"/>
        <v>6432</v>
      </c>
      <c r="L1531" s="1">
        <f t="shared" si="189"/>
        <v>1479.3600000000001</v>
      </c>
      <c r="M1531" s="22">
        <f t="shared" si="193"/>
        <v>7911.3600000000006</v>
      </c>
      <c r="N1531" s="1">
        <f t="shared" ca="1" si="190"/>
        <v>10</v>
      </c>
      <c r="P1531" s="1">
        <v>67.605725588509813</v>
      </c>
      <c r="Q1531" s="1">
        <f t="shared" ca="1" si="191"/>
        <v>27</v>
      </c>
      <c r="R1531" s="1">
        <v>9.4247616541542811</v>
      </c>
    </row>
    <row r="1532" spans="1:18" x14ac:dyDescent="0.3">
      <c r="A1532" s="26">
        <v>1531</v>
      </c>
      <c r="B1532" s="1">
        <v>27</v>
      </c>
      <c r="C1532" s="1">
        <f t="shared" si="187"/>
        <v>12</v>
      </c>
      <c r="D1532" s="21">
        <f t="shared" ca="1" si="186"/>
        <v>44750</v>
      </c>
      <c r="E1532" s="1" t="s">
        <v>26</v>
      </c>
      <c r="F1532" s="1" t="s">
        <v>1560</v>
      </c>
      <c r="G1532" s="1" t="s">
        <v>28</v>
      </c>
      <c r="H1532" s="1">
        <v>1630</v>
      </c>
      <c r="I1532" s="1">
        <f t="shared" si="188"/>
        <v>64</v>
      </c>
      <c r="J1532" s="1">
        <f>VLOOKUP(B1532,Cena!$A$2:$B$101,2)</f>
        <v>87</v>
      </c>
      <c r="K1532" s="1">
        <f t="shared" si="192"/>
        <v>5568</v>
      </c>
      <c r="L1532" s="1">
        <f t="shared" si="189"/>
        <v>1280.6400000000001</v>
      </c>
      <c r="M1532" s="22">
        <f t="shared" si="193"/>
        <v>6848.64</v>
      </c>
      <c r="N1532" s="1">
        <f t="shared" ca="1" si="190"/>
        <v>7</v>
      </c>
      <c r="P1532" s="1">
        <v>64.8949766298756</v>
      </c>
      <c r="Q1532" s="1">
        <f t="shared" ca="1" si="191"/>
        <v>23</v>
      </c>
      <c r="R1532" s="1">
        <v>12.683168531802949</v>
      </c>
    </row>
    <row r="1533" spans="1:18" x14ac:dyDescent="0.3">
      <c r="A1533" s="26">
        <v>1532</v>
      </c>
      <c r="B1533" s="1">
        <v>10</v>
      </c>
      <c r="C1533" s="1">
        <f t="shared" si="187"/>
        <v>6</v>
      </c>
      <c r="D1533" s="21">
        <f t="shared" ca="1" si="186"/>
        <v>44713</v>
      </c>
      <c r="E1533" s="1" t="s">
        <v>26</v>
      </c>
      <c r="F1533" s="1" t="s">
        <v>1561</v>
      </c>
      <c r="G1533" s="1" t="s">
        <v>28</v>
      </c>
      <c r="H1533" s="1">
        <v>1631</v>
      </c>
      <c r="I1533" s="1">
        <f t="shared" si="188"/>
        <v>49</v>
      </c>
      <c r="J1533" s="1">
        <f>VLOOKUP(B1533,Cena!$A$2:$B$101,2)</f>
        <v>109</v>
      </c>
      <c r="K1533" s="1">
        <f t="shared" si="192"/>
        <v>5341</v>
      </c>
      <c r="L1533" s="1">
        <f t="shared" si="189"/>
        <v>1228.43</v>
      </c>
      <c r="M1533" s="22">
        <f t="shared" si="193"/>
        <v>6569.43</v>
      </c>
      <c r="N1533" s="1">
        <f t="shared" ca="1" si="190"/>
        <v>6</v>
      </c>
      <c r="P1533" s="1">
        <v>49.668318650947185</v>
      </c>
      <c r="Q1533" s="1">
        <f t="shared" ca="1" si="191"/>
        <v>13</v>
      </c>
      <c r="R1533" s="1">
        <v>6.6588688948831987</v>
      </c>
    </row>
    <row r="1534" spans="1:18" x14ac:dyDescent="0.3">
      <c r="A1534" s="26">
        <v>1533</v>
      </c>
      <c r="B1534" s="1">
        <v>8</v>
      </c>
      <c r="C1534" s="1">
        <f t="shared" si="187"/>
        <v>11</v>
      </c>
      <c r="D1534" s="21">
        <f t="shared" ca="1" si="186"/>
        <v>44830</v>
      </c>
      <c r="E1534" s="1" t="s">
        <v>26</v>
      </c>
      <c r="F1534" s="1" t="s">
        <v>1562</v>
      </c>
      <c r="G1534" s="1" t="s">
        <v>28</v>
      </c>
      <c r="H1534" s="1">
        <v>1632</v>
      </c>
      <c r="I1534" s="1">
        <f t="shared" si="188"/>
        <v>45</v>
      </c>
      <c r="J1534" s="1">
        <f>VLOOKUP(B1534,Cena!$A$2:$B$101,2)</f>
        <v>88</v>
      </c>
      <c r="K1534" s="1">
        <f t="shared" si="192"/>
        <v>3960</v>
      </c>
      <c r="L1534" s="1">
        <f t="shared" si="189"/>
        <v>910.80000000000007</v>
      </c>
      <c r="M1534" s="22">
        <f t="shared" si="193"/>
        <v>4870.8</v>
      </c>
      <c r="N1534" s="1">
        <f t="shared" ca="1" si="190"/>
        <v>9</v>
      </c>
      <c r="P1534" s="1">
        <v>45.271377883909736</v>
      </c>
      <c r="Q1534" s="1">
        <f t="shared" ca="1" si="191"/>
        <v>20</v>
      </c>
      <c r="R1534" s="1">
        <v>11.790897385944845</v>
      </c>
    </row>
    <row r="1535" spans="1:18" x14ac:dyDescent="0.3">
      <c r="A1535" s="26">
        <v>1534</v>
      </c>
      <c r="B1535" s="1">
        <v>18</v>
      </c>
      <c r="C1535" s="1">
        <f t="shared" si="187"/>
        <v>12</v>
      </c>
      <c r="D1535" s="21">
        <f t="shared" ca="1" si="186"/>
        <v>44601</v>
      </c>
      <c r="E1535" s="1" t="s">
        <v>26</v>
      </c>
      <c r="F1535" s="1" t="s">
        <v>1563</v>
      </c>
      <c r="G1535" s="1" t="s">
        <v>28</v>
      </c>
      <c r="H1535" s="1">
        <v>1633</v>
      </c>
      <c r="I1535" s="1">
        <f t="shared" si="188"/>
        <v>38</v>
      </c>
      <c r="J1535" s="1">
        <f>VLOOKUP(B1535,Cena!$A$2:$B$101,2)</f>
        <v>90</v>
      </c>
      <c r="K1535" s="1">
        <f t="shared" si="192"/>
        <v>3420</v>
      </c>
      <c r="L1535" s="1">
        <f t="shared" si="189"/>
        <v>786.6</v>
      </c>
      <c r="M1535" s="22">
        <f t="shared" si="193"/>
        <v>4206.6000000000004</v>
      </c>
      <c r="N1535" s="1">
        <f t="shared" ca="1" si="190"/>
        <v>2</v>
      </c>
      <c r="P1535" s="1">
        <v>38.984063747921027</v>
      </c>
      <c r="Q1535" s="1">
        <f t="shared" ca="1" si="191"/>
        <v>26</v>
      </c>
      <c r="R1535" s="1">
        <v>12.152796696464065</v>
      </c>
    </row>
    <row r="1536" spans="1:18" x14ac:dyDescent="0.3">
      <c r="A1536" s="26">
        <v>1535</v>
      </c>
      <c r="B1536" s="1">
        <v>30</v>
      </c>
      <c r="C1536" s="1">
        <f t="shared" si="187"/>
        <v>9</v>
      </c>
      <c r="D1536" s="21">
        <f t="shared" ca="1" si="186"/>
        <v>44667</v>
      </c>
      <c r="E1536" s="1" t="s">
        <v>26</v>
      </c>
      <c r="F1536" s="1" t="s">
        <v>1564</v>
      </c>
      <c r="G1536" s="1" t="s">
        <v>28</v>
      </c>
      <c r="H1536" s="1">
        <v>1634</v>
      </c>
      <c r="I1536" s="1">
        <f t="shared" si="188"/>
        <v>60</v>
      </c>
      <c r="J1536" s="1">
        <f>VLOOKUP(B1536,Cena!$A$2:$B$101,2)</f>
        <v>87</v>
      </c>
      <c r="K1536" s="1">
        <f t="shared" si="192"/>
        <v>5220</v>
      </c>
      <c r="L1536" s="1">
        <f t="shared" si="189"/>
        <v>1200.6000000000001</v>
      </c>
      <c r="M1536" s="22">
        <f t="shared" si="193"/>
        <v>6420.6</v>
      </c>
      <c r="N1536" s="1">
        <f t="shared" ca="1" si="190"/>
        <v>4</v>
      </c>
      <c r="P1536" s="1">
        <v>60.313488019164652</v>
      </c>
      <c r="Q1536" s="1">
        <f t="shared" ca="1" si="191"/>
        <v>17</v>
      </c>
      <c r="R1536" s="1">
        <v>9.9861358901398489</v>
      </c>
    </row>
    <row r="1537" spans="1:18" x14ac:dyDescent="0.3">
      <c r="A1537" s="26">
        <v>1536</v>
      </c>
      <c r="B1537" s="1">
        <v>17</v>
      </c>
      <c r="C1537" s="1">
        <f t="shared" si="187"/>
        <v>9</v>
      </c>
      <c r="D1537" s="21">
        <f t="shared" ca="1" si="186"/>
        <v>44575</v>
      </c>
      <c r="E1537" s="1" t="s">
        <v>26</v>
      </c>
      <c r="F1537" s="1" t="s">
        <v>1565</v>
      </c>
      <c r="G1537" s="1" t="s">
        <v>28</v>
      </c>
      <c r="H1537" s="1">
        <v>1635</v>
      </c>
      <c r="I1537" s="1">
        <f t="shared" si="188"/>
        <v>47</v>
      </c>
      <c r="J1537" s="1">
        <f>VLOOKUP(B1537,Cena!$A$2:$B$101,2)</f>
        <v>84</v>
      </c>
      <c r="K1537" s="1">
        <f t="shared" si="192"/>
        <v>3948</v>
      </c>
      <c r="L1537" s="1">
        <f t="shared" si="189"/>
        <v>908.04000000000008</v>
      </c>
      <c r="M1537" s="22">
        <f t="shared" si="193"/>
        <v>4856.04</v>
      </c>
      <c r="N1537" s="1">
        <f t="shared" ca="1" si="190"/>
        <v>1</v>
      </c>
      <c r="P1537" s="1">
        <v>47.881695890100673</v>
      </c>
      <c r="Q1537" s="1">
        <f t="shared" ca="1" si="191"/>
        <v>11</v>
      </c>
      <c r="R1537" s="1">
        <v>9.8140339130259235</v>
      </c>
    </row>
    <row r="1538" spans="1:18" x14ac:dyDescent="0.3">
      <c r="A1538" s="26">
        <v>1537</v>
      </c>
      <c r="B1538" s="1">
        <v>20</v>
      </c>
      <c r="C1538" s="1">
        <f t="shared" si="187"/>
        <v>9</v>
      </c>
      <c r="D1538" s="21">
        <f t="shared" ref="D1538:D1601" ca="1" si="194">DATE(2022,RANDBETWEEN(1,12),RANDBETWEEN(1,28))</f>
        <v>44655</v>
      </c>
      <c r="E1538" s="1" t="s">
        <v>26</v>
      </c>
      <c r="F1538" s="1" t="s">
        <v>1566</v>
      </c>
      <c r="G1538" s="1" t="s">
        <v>28</v>
      </c>
      <c r="H1538" s="1">
        <v>1636</v>
      </c>
      <c r="I1538" s="1">
        <f t="shared" si="188"/>
        <v>49</v>
      </c>
      <c r="J1538" s="1">
        <f>VLOOKUP(B1538,Cena!$A$2:$B$101,2)</f>
        <v>111</v>
      </c>
      <c r="K1538" s="1">
        <f t="shared" si="192"/>
        <v>5439</v>
      </c>
      <c r="L1538" s="1">
        <f t="shared" si="189"/>
        <v>1250.97</v>
      </c>
      <c r="M1538" s="22">
        <f t="shared" si="193"/>
        <v>6689.97</v>
      </c>
      <c r="N1538" s="1">
        <f t="shared" ca="1" si="190"/>
        <v>4</v>
      </c>
      <c r="P1538" s="1">
        <v>49.577221387880854</v>
      </c>
      <c r="Q1538" s="1">
        <f t="shared" ca="1" si="191"/>
        <v>25</v>
      </c>
      <c r="R1538" s="1">
        <v>9.2458185715804575</v>
      </c>
    </row>
    <row r="1539" spans="1:18" x14ac:dyDescent="0.3">
      <c r="A1539" s="26">
        <v>1538</v>
      </c>
      <c r="B1539" s="1">
        <v>13</v>
      </c>
      <c r="C1539" s="1">
        <f t="shared" ref="C1539:C1602" si="195">INT(R1539)</f>
        <v>11</v>
      </c>
      <c r="D1539" s="21">
        <f t="shared" ca="1" si="194"/>
        <v>44768</v>
      </c>
      <c r="E1539" s="1" t="s">
        <v>26</v>
      </c>
      <c r="F1539" s="1" t="s">
        <v>1567</v>
      </c>
      <c r="G1539" s="1" t="s">
        <v>28</v>
      </c>
      <c r="H1539" s="1">
        <v>1637</v>
      </c>
      <c r="I1539" s="1">
        <f t="shared" ref="I1539:I1602" si="196">INT(P1539)</f>
        <v>58</v>
      </c>
      <c r="J1539" s="1">
        <f>VLOOKUP(B1539,Cena!$A$2:$B$101,2)</f>
        <v>94</v>
      </c>
      <c r="K1539" s="1">
        <f t="shared" si="192"/>
        <v>5452</v>
      </c>
      <c r="L1539" s="1">
        <f t="shared" ref="L1539:L1602" si="197">K1539*23%</f>
        <v>1253.96</v>
      </c>
      <c r="M1539" s="22">
        <f t="shared" si="193"/>
        <v>6705.96</v>
      </c>
      <c r="N1539" s="1">
        <f t="shared" ref="N1539:N1602" ca="1" si="198">MONTH(D1539)</f>
        <v>7</v>
      </c>
      <c r="P1539" s="1">
        <v>58.382903615711257</v>
      </c>
      <c r="Q1539" s="1">
        <f t="shared" ref="Q1539:Q1602" ca="1" si="199">RANDBETWEEN(1,30)</f>
        <v>15</v>
      </c>
      <c r="R1539" s="1">
        <v>11.513632241767482</v>
      </c>
    </row>
    <row r="1540" spans="1:18" x14ac:dyDescent="0.3">
      <c r="A1540" s="26">
        <v>1539</v>
      </c>
      <c r="B1540" s="1">
        <v>10</v>
      </c>
      <c r="C1540" s="1">
        <f t="shared" si="195"/>
        <v>8</v>
      </c>
      <c r="D1540" s="21">
        <f t="shared" ca="1" si="194"/>
        <v>44860</v>
      </c>
      <c r="E1540" s="1" t="s">
        <v>26</v>
      </c>
      <c r="F1540" s="1" t="s">
        <v>1568</v>
      </c>
      <c r="G1540" s="1" t="s">
        <v>28</v>
      </c>
      <c r="H1540" s="1">
        <v>1638</v>
      </c>
      <c r="I1540" s="1">
        <f t="shared" si="196"/>
        <v>45</v>
      </c>
      <c r="J1540" s="1">
        <f>VLOOKUP(B1540,Cena!$A$2:$B$101,2)</f>
        <v>109</v>
      </c>
      <c r="K1540" s="1">
        <f t="shared" si="192"/>
        <v>4905</v>
      </c>
      <c r="L1540" s="1">
        <f t="shared" si="197"/>
        <v>1128.1500000000001</v>
      </c>
      <c r="M1540" s="22">
        <f t="shared" si="193"/>
        <v>6033.15</v>
      </c>
      <c r="N1540" s="1">
        <f t="shared" ca="1" si="198"/>
        <v>10</v>
      </c>
      <c r="P1540" s="1">
        <v>45.576331457414199</v>
      </c>
      <c r="Q1540" s="1">
        <f t="shared" ca="1" si="199"/>
        <v>10</v>
      </c>
      <c r="R1540" s="1">
        <v>8.3392001468018861</v>
      </c>
    </row>
    <row r="1541" spans="1:18" x14ac:dyDescent="0.3">
      <c r="A1541" s="26">
        <v>1540</v>
      </c>
      <c r="B1541" s="1">
        <v>14</v>
      </c>
      <c r="C1541" s="1">
        <f t="shared" si="195"/>
        <v>6</v>
      </c>
      <c r="D1541" s="21">
        <f t="shared" ca="1" si="194"/>
        <v>44754</v>
      </c>
      <c r="E1541" s="1" t="s">
        <v>26</v>
      </c>
      <c r="F1541" s="1" t="s">
        <v>1569</v>
      </c>
      <c r="G1541" s="1" t="s">
        <v>28</v>
      </c>
      <c r="H1541" s="1">
        <v>1639</v>
      </c>
      <c r="I1541" s="1">
        <f t="shared" si="196"/>
        <v>55</v>
      </c>
      <c r="J1541" s="1">
        <f>VLOOKUP(B1541,Cena!$A$2:$B$101,2)</f>
        <v>129</v>
      </c>
      <c r="K1541" s="1">
        <f t="shared" si="192"/>
        <v>7095</v>
      </c>
      <c r="L1541" s="1">
        <f t="shared" si="197"/>
        <v>1631.8500000000001</v>
      </c>
      <c r="M1541" s="22">
        <f t="shared" si="193"/>
        <v>8726.85</v>
      </c>
      <c r="N1541" s="1">
        <f t="shared" ca="1" si="198"/>
        <v>7</v>
      </c>
      <c r="P1541" s="1">
        <v>55.801916813652497</v>
      </c>
      <c r="Q1541" s="1">
        <f t="shared" ca="1" si="199"/>
        <v>15</v>
      </c>
      <c r="R1541" s="1">
        <v>6.4424318932287861</v>
      </c>
    </row>
    <row r="1542" spans="1:18" x14ac:dyDescent="0.3">
      <c r="A1542" s="26">
        <v>1541</v>
      </c>
      <c r="B1542" s="1">
        <v>24</v>
      </c>
      <c r="C1542" s="1">
        <f t="shared" si="195"/>
        <v>10</v>
      </c>
      <c r="D1542" s="21">
        <f t="shared" ca="1" si="194"/>
        <v>44807</v>
      </c>
      <c r="E1542" s="1" t="s">
        <v>26</v>
      </c>
      <c r="F1542" s="1" t="s">
        <v>1570</v>
      </c>
      <c r="G1542" s="1" t="s">
        <v>28</v>
      </c>
      <c r="H1542" s="1">
        <v>1640</v>
      </c>
      <c r="I1542" s="1">
        <f t="shared" si="196"/>
        <v>61</v>
      </c>
      <c r="J1542" s="1">
        <f>VLOOKUP(B1542,Cena!$A$2:$B$101,2)</f>
        <v>125</v>
      </c>
      <c r="K1542" s="1">
        <f t="shared" si="192"/>
        <v>7625</v>
      </c>
      <c r="L1542" s="1">
        <f t="shared" si="197"/>
        <v>1753.75</v>
      </c>
      <c r="M1542" s="22">
        <f t="shared" si="193"/>
        <v>9378.75</v>
      </c>
      <c r="N1542" s="1">
        <f t="shared" ca="1" si="198"/>
        <v>9</v>
      </c>
      <c r="P1542" s="1">
        <v>61.163092494825833</v>
      </c>
      <c r="Q1542" s="1">
        <f t="shared" ca="1" si="199"/>
        <v>25</v>
      </c>
      <c r="R1542" s="1">
        <v>10.775224862081814</v>
      </c>
    </row>
    <row r="1543" spans="1:18" x14ac:dyDescent="0.3">
      <c r="A1543" s="26">
        <v>1542</v>
      </c>
      <c r="B1543" s="1">
        <v>27</v>
      </c>
      <c r="C1543" s="1">
        <f t="shared" si="195"/>
        <v>11</v>
      </c>
      <c r="D1543" s="21">
        <f t="shared" ca="1" si="194"/>
        <v>44837</v>
      </c>
      <c r="E1543" s="1" t="s">
        <v>26</v>
      </c>
      <c r="F1543" s="1" t="s">
        <v>1571</v>
      </c>
      <c r="G1543" s="1" t="s">
        <v>28</v>
      </c>
      <c r="H1543" s="1">
        <v>1641</v>
      </c>
      <c r="I1543" s="1">
        <f t="shared" si="196"/>
        <v>41</v>
      </c>
      <c r="J1543" s="1">
        <f>VLOOKUP(B1543,Cena!$A$2:$B$101,2)</f>
        <v>87</v>
      </c>
      <c r="K1543" s="1">
        <f t="shared" si="192"/>
        <v>3567</v>
      </c>
      <c r="L1543" s="1">
        <f t="shared" si="197"/>
        <v>820.41000000000008</v>
      </c>
      <c r="M1543" s="22">
        <f t="shared" si="193"/>
        <v>4387.41</v>
      </c>
      <c r="N1543" s="1">
        <f t="shared" ca="1" si="198"/>
        <v>10</v>
      </c>
      <c r="P1543" s="1">
        <v>41.133290677680634</v>
      </c>
      <c r="Q1543" s="1">
        <f t="shared" ca="1" si="199"/>
        <v>7</v>
      </c>
      <c r="R1543" s="1">
        <v>11.911917024699505</v>
      </c>
    </row>
    <row r="1544" spans="1:18" x14ac:dyDescent="0.3">
      <c r="A1544" s="26">
        <v>1543</v>
      </c>
      <c r="B1544" s="1">
        <v>8</v>
      </c>
      <c r="C1544" s="1">
        <f t="shared" si="195"/>
        <v>13</v>
      </c>
      <c r="D1544" s="21">
        <f t="shared" ca="1" si="194"/>
        <v>44885</v>
      </c>
      <c r="E1544" s="1" t="s">
        <v>26</v>
      </c>
      <c r="F1544" s="1" t="s">
        <v>1572</v>
      </c>
      <c r="G1544" s="1" t="s">
        <v>28</v>
      </c>
      <c r="H1544" s="1">
        <v>1642</v>
      </c>
      <c r="I1544" s="1">
        <f t="shared" si="196"/>
        <v>43</v>
      </c>
      <c r="J1544" s="1">
        <f>VLOOKUP(B1544,Cena!$A$2:$B$101,2)</f>
        <v>88</v>
      </c>
      <c r="K1544" s="1">
        <f t="shared" si="192"/>
        <v>3784</v>
      </c>
      <c r="L1544" s="1">
        <f t="shared" si="197"/>
        <v>870.32</v>
      </c>
      <c r="M1544" s="22">
        <f t="shared" si="193"/>
        <v>4654.32</v>
      </c>
      <c r="N1544" s="1">
        <f t="shared" ca="1" si="198"/>
        <v>11</v>
      </c>
      <c r="P1544" s="1">
        <v>43.685196386650205</v>
      </c>
      <c r="Q1544" s="1">
        <f t="shared" ca="1" si="199"/>
        <v>23</v>
      </c>
      <c r="R1544" s="1">
        <v>13.583011221053312</v>
      </c>
    </row>
    <row r="1545" spans="1:18" x14ac:dyDescent="0.3">
      <c r="A1545" s="26">
        <v>1544</v>
      </c>
      <c r="B1545" s="1">
        <v>13</v>
      </c>
      <c r="C1545" s="1">
        <f t="shared" si="195"/>
        <v>7</v>
      </c>
      <c r="D1545" s="21">
        <f t="shared" ca="1" si="194"/>
        <v>44842</v>
      </c>
      <c r="E1545" s="1" t="s">
        <v>26</v>
      </c>
      <c r="F1545" s="1" t="s">
        <v>1573</v>
      </c>
      <c r="G1545" s="1" t="s">
        <v>28</v>
      </c>
      <c r="H1545" s="1">
        <v>1643</v>
      </c>
      <c r="I1545" s="1">
        <f t="shared" si="196"/>
        <v>48</v>
      </c>
      <c r="J1545" s="1">
        <f>VLOOKUP(B1545,Cena!$A$2:$B$101,2)</f>
        <v>94</v>
      </c>
      <c r="K1545" s="1">
        <f t="shared" si="192"/>
        <v>4512</v>
      </c>
      <c r="L1545" s="1">
        <f t="shared" si="197"/>
        <v>1037.76</v>
      </c>
      <c r="M1545" s="22">
        <f t="shared" si="193"/>
        <v>5549.76</v>
      </c>
      <c r="N1545" s="1">
        <f t="shared" ca="1" si="198"/>
        <v>10</v>
      </c>
      <c r="P1545" s="1">
        <v>48.180442162265535</v>
      </c>
      <c r="Q1545" s="1">
        <f t="shared" ca="1" si="199"/>
        <v>2</v>
      </c>
      <c r="R1545" s="1">
        <v>7.8613004714134149</v>
      </c>
    </row>
    <row r="1546" spans="1:18" x14ac:dyDescent="0.3">
      <c r="A1546" s="26">
        <v>1545</v>
      </c>
      <c r="B1546" s="1">
        <v>19</v>
      </c>
      <c r="C1546" s="1">
        <f t="shared" si="195"/>
        <v>6</v>
      </c>
      <c r="D1546" s="21">
        <f t="shared" ca="1" si="194"/>
        <v>44829</v>
      </c>
      <c r="E1546" s="1" t="s">
        <v>26</v>
      </c>
      <c r="F1546" s="1" t="s">
        <v>1574</v>
      </c>
      <c r="G1546" s="1" t="s">
        <v>28</v>
      </c>
      <c r="H1546" s="1">
        <v>1644</v>
      </c>
      <c r="I1546" s="1">
        <f t="shared" si="196"/>
        <v>57</v>
      </c>
      <c r="J1546" s="1">
        <f>VLOOKUP(B1546,Cena!$A$2:$B$101,2)</f>
        <v>84</v>
      </c>
      <c r="K1546" s="1">
        <f t="shared" si="192"/>
        <v>4788</v>
      </c>
      <c r="L1546" s="1">
        <f t="shared" si="197"/>
        <v>1101.24</v>
      </c>
      <c r="M1546" s="22">
        <f t="shared" si="193"/>
        <v>5889.24</v>
      </c>
      <c r="N1546" s="1">
        <f t="shared" ca="1" si="198"/>
        <v>9</v>
      </c>
      <c r="P1546" s="1">
        <v>57.048379302432295</v>
      </c>
      <c r="Q1546" s="1">
        <f t="shared" ca="1" si="199"/>
        <v>30</v>
      </c>
      <c r="R1546" s="1">
        <v>6.56005229553557</v>
      </c>
    </row>
    <row r="1547" spans="1:18" x14ac:dyDescent="0.3">
      <c r="A1547" s="26">
        <v>1546</v>
      </c>
      <c r="B1547" s="1">
        <v>29</v>
      </c>
      <c r="C1547" s="1">
        <f t="shared" si="195"/>
        <v>8</v>
      </c>
      <c r="D1547" s="21">
        <f t="shared" ca="1" si="194"/>
        <v>44693</v>
      </c>
      <c r="E1547" s="1" t="s">
        <v>26</v>
      </c>
      <c r="F1547" s="1" t="s">
        <v>1575</v>
      </c>
      <c r="G1547" s="1" t="s">
        <v>28</v>
      </c>
      <c r="H1547" s="1">
        <v>1645</v>
      </c>
      <c r="I1547" s="1">
        <f t="shared" si="196"/>
        <v>58</v>
      </c>
      <c r="J1547" s="1">
        <f>VLOOKUP(B1547,Cena!$A$2:$B$101,2)</f>
        <v>105</v>
      </c>
      <c r="K1547" s="1">
        <f t="shared" si="192"/>
        <v>6090</v>
      </c>
      <c r="L1547" s="1">
        <f t="shared" si="197"/>
        <v>1400.7</v>
      </c>
      <c r="M1547" s="22">
        <f t="shared" si="193"/>
        <v>7490.7</v>
      </c>
      <c r="N1547" s="1">
        <f t="shared" ca="1" si="198"/>
        <v>5</v>
      </c>
      <c r="P1547" s="1">
        <v>58.043116395128891</v>
      </c>
      <c r="Q1547" s="1">
        <f t="shared" ca="1" si="199"/>
        <v>17</v>
      </c>
      <c r="R1547" s="1">
        <v>8.6453275369058247</v>
      </c>
    </row>
    <row r="1548" spans="1:18" x14ac:dyDescent="0.3">
      <c r="A1548" s="26">
        <v>1547</v>
      </c>
      <c r="B1548" s="1">
        <v>11</v>
      </c>
      <c r="C1548" s="1">
        <f t="shared" si="195"/>
        <v>10</v>
      </c>
      <c r="D1548" s="21">
        <f t="shared" ca="1" si="194"/>
        <v>44762</v>
      </c>
      <c r="E1548" s="1" t="s">
        <v>26</v>
      </c>
      <c r="F1548" s="1" t="s">
        <v>1576</v>
      </c>
      <c r="G1548" s="1" t="s">
        <v>28</v>
      </c>
      <c r="H1548" s="1">
        <v>1646</v>
      </c>
      <c r="I1548" s="1">
        <f t="shared" si="196"/>
        <v>53</v>
      </c>
      <c r="J1548" s="1">
        <f>VLOOKUP(B1548,Cena!$A$2:$B$101,2)</f>
        <v>83</v>
      </c>
      <c r="K1548" s="1">
        <f t="shared" si="192"/>
        <v>4399</v>
      </c>
      <c r="L1548" s="1">
        <f t="shared" si="197"/>
        <v>1011.7700000000001</v>
      </c>
      <c r="M1548" s="22">
        <f t="shared" si="193"/>
        <v>5410.77</v>
      </c>
      <c r="N1548" s="1">
        <f t="shared" ca="1" si="198"/>
        <v>7</v>
      </c>
      <c r="P1548" s="1">
        <v>53.527645731082885</v>
      </c>
      <c r="Q1548" s="1">
        <f t="shared" ca="1" si="199"/>
        <v>27</v>
      </c>
      <c r="R1548" s="1">
        <v>10.49832351578516</v>
      </c>
    </row>
    <row r="1549" spans="1:18" x14ac:dyDescent="0.3">
      <c r="A1549" s="26">
        <v>1548</v>
      </c>
      <c r="B1549" s="1">
        <v>6</v>
      </c>
      <c r="C1549" s="1">
        <f t="shared" si="195"/>
        <v>12</v>
      </c>
      <c r="D1549" s="21">
        <f t="shared" ca="1" si="194"/>
        <v>44644</v>
      </c>
      <c r="E1549" s="1" t="s">
        <v>26</v>
      </c>
      <c r="F1549" s="1" t="s">
        <v>1577</v>
      </c>
      <c r="G1549" s="1" t="s">
        <v>28</v>
      </c>
      <c r="H1549" s="1">
        <v>1647</v>
      </c>
      <c r="I1549" s="1">
        <f t="shared" si="196"/>
        <v>56</v>
      </c>
      <c r="J1549" s="1">
        <f>VLOOKUP(B1549,Cena!$A$2:$B$101,2)</f>
        <v>86</v>
      </c>
      <c r="K1549" s="1">
        <f t="shared" si="192"/>
        <v>4816</v>
      </c>
      <c r="L1549" s="1">
        <f t="shared" si="197"/>
        <v>1107.68</v>
      </c>
      <c r="M1549" s="22">
        <f t="shared" si="193"/>
        <v>5923.68</v>
      </c>
      <c r="N1549" s="1">
        <f t="shared" ca="1" si="198"/>
        <v>3</v>
      </c>
      <c r="P1549" s="1">
        <v>56.395316631824244</v>
      </c>
      <c r="Q1549" s="1">
        <f t="shared" ca="1" si="199"/>
        <v>1</v>
      </c>
      <c r="R1549" s="1">
        <v>12.85223791252065</v>
      </c>
    </row>
    <row r="1550" spans="1:18" x14ac:dyDescent="0.3">
      <c r="A1550" s="26">
        <v>1549</v>
      </c>
      <c r="B1550" s="1">
        <v>16</v>
      </c>
      <c r="C1550" s="1">
        <f t="shared" si="195"/>
        <v>9</v>
      </c>
      <c r="D1550" s="21">
        <f t="shared" ca="1" si="194"/>
        <v>44633</v>
      </c>
      <c r="E1550" s="1" t="s">
        <v>26</v>
      </c>
      <c r="F1550" s="1" t="s">
        <v>1578</v>
      </c>
      <c r="G1550" s="1" t="s">
        <v>28</v>
      </c>
      <c r="H1550" s="1">
        <v>1648</v>
      </c>
      <c r="I1550" s="1">
        <f t="shared" si="196"/>
        <v>52</v>
      </c>
      <c r="J1550" s="1">
        <f>VLOOKUP(B1550,Cena!$A$2:$B$101,2)</f>
        <v>93</v>
      </c>
      <c r="K1550" s="1">
        <f t="shared" si="192"/>
        <v>4836</v>
      </c>
      <c r="L1550" s="1">
        <f t="shared" si="197"/>
        <v>1112.28</v>
      </c>
      <c r="M1550" s="22">
        <f t="shared" si="193"/>
        <v>5948.28</v>
      </c>
      <c r="N1550" s="1">
        <f t="shared" ca="1" si="198"/>
        <v>3</v>
      </c>
      <c r="P1550" s="1">
        <v>52.943954768852564</v>
      </c>
      <c r="Q1550" s="1">
        <f t="shared" ca="1" si="199"/>
        <v>6</v>
      </c>
      <c r="R1550" s="1">
        <v>9.1919992226030445</v>
      </c>
    </row>
    <row r="1551" spans="1:18" x14ac:dyDescent="0.3">
      <c r="A1551" s="26">
        <v>1550</v>
      </c>
      <c r="B1551" s="1">
        <v>30</v>
      </c>
      <c r="C1551" s="1">
        <f t="shared" si="195"/>
        <v>11</v>
      </c>
      <c r="D1551" s="21">
        <f t="shared" ca="1" si="194"/>
        <v>44818</v>
      </c>
      <c r="E1551" s="1" t="s">
        <v>26</v>
      </c>
      <c r="F1551" s="1" t="s">
        <v>1579</v>
      </c>
      <c r="G1551" s="1" t="s">
        <v>28</v>
      </c>
      <c r="H1551" s="1">
        <v>1649</v>
      </c>
      <c r="I1551" s="1">
        <f t="shared" si="196"/>
        <v>52</v>
      </c>
      <c r="J1551" s="1">
        <f>VLOOKUP(B1551,Cena!$A$2:$B$101,2)</f>
        <v>87</v>
      </c>
      <c r="K1551" s="1">
        <f t="shared" si="192"/>
        <v>4524</v>
      </c>
      <c r="L1551" s="1">
        <f t="shared" si="197"/>
        <v>1040.52</v>
      </c>
      <c r="M1551" s="22">
        <f t="shared" si="193"/>
        <v>5564.52</v>
      </c>
      <c r="N1551" s="1">
        <f t="shared" ca="1" si="198"/>
        <v>9</v>
      </c>
      <c r="P1551" s="1">
        <v>52.264823706354946</v>
      </c>
      <c r="Q1551" s="1">
        <f t="shared" ca="1" si="199"/>
        <v>30</v>
      </c>
      <c r="R1551" s="1">
        <v>11.582205300110218</v>
      </c>
    </row>
    <row r="1552" spans="1:18" x14ac:dyDescent="0.3">
      <c r="A1552" s="26">
        <v>1551</v>
      </c>
      <c r="B1552" s="1">
        <v>15</v>
      </c>
      <c r="C1552" s="1">
        <f t="shared" si="195"/>
        <v>10</v>
      </c>
      <c r="D1552" s="21">
        <f t="shared" ca="1" si="194"/>
        <v>44631</v>
      </c>
      <c r="E1552" s="1" t="s">
        <v>26</v>
      </c>
      <c r="F1552" s="1" t="s">
        <v>1580</v>
      </c>
      <c r="G1552" s="1" t="s">
        <v>28</v>
      </c>
      <c r="H1552" s="1">
        <v>1650</v>
      </c>
      <c r="I1552" s="1">
        <f t="shared" si="196"/>
        <v>64</v>
      </c>
      <c r="J1552" s="1">
        <f>VLOOKUP(B1552,Cena!$A$2:$B$101,2)</f>
        <v>85</v>
      </c>
      <c r="K1552" s="1">
        <f t="shared" si="192"/>
        <v>5440</v>
      </c>
      <c r="L1552" s="1">
        <f t="shared" si="197"/>
        <v>1251.2</v>
      </c>
      <c r="M1552" s="22">
        <f t="shared" si="193"/>
        <v>6691.2</v>
      </c>
      <c r="N1552" s="1">
        <f t="shared" ca="1" si="198"/>
        <v>3</v>
      </c>
      <c r="P1552" s="1">
        <v>64.161105355015025</v>
      </c>
      <c r="Q1552" s="1">
        <f t="shared" ca="1" si="199"/>
        <v>1</v>
      </c>
      <c r="R1552" s="1">
        <v>10.129435306917003</v>
      </c>
    </row>
    <row r="1553" spans="1:18" x14ac:dyDescent="0.3">
      <c r="A1553" s="26">
        <v>1552</v>
      </c>
      <c r="B1553" s="1">
        <v>12</v>
      </c>
      <c r="C1553" s="1">
        <f t="shared" si="195"/>
        <v>10</v>
      </c>
      <c r="D1553" s="21">
        <f t="shared" ca="1" si="194"/>
        <v>44785</v>
      </c>
      <c r="E1553" s="1" t="s">
        <v>26</v>
      </c>
      <c r="F1553" s="1" t="s">
        <v>1581</v>
      </c>
      <c r="G1553" s="1" t="s">
        <v>28</v>
      </c>
      <c r="H1553" s="1">
        <v>1651</v>
      </c>
      <c r="I1553" s="1">
        <f t="shared" si="196"/>
        <v>49</v>
      </c>
      <c r="J1553" s="1">
        <f>VLOOKUP(B1553,Cena!$A$2:$B$101,2)</f>
        <v>88</v>
      </c>
      <c r="K1553" s="1">
        <f t="shared" si="192"/>
        <v>4312</v>
      </c>
      <c r="L1553" s="1">
        <f t="shared" si="197"/>
        <v>991.76</v>
      </c>
      <c r="M1553" s="22">
        <f t="shared" si="193"/>
        <v>5303.76</v>
      </c>
      <c r="N1553" s="1">
        <f t="shared" ca="1" si="198"/>
        <v>8</v>
      </c>
      <c r="P1553" s="1">
        <v>49.035003384051379</v>
      </c>
      <c r="Q1553" s="1">
        <f t="shared" ca="1" si="199"/>
        <v>24</v>
      </c>
      <c r="R1553" s="1">
        <v>10.947551370700239</v>
      </c>
    </row>
    <row r="1554" spans="1:18" x14ac:dyDescent="0.3">
      <c r="A1554" s="26">
        <v>1553</v>
      </c>
      <c r="B1554" s="1">
        <v>12</v>
      </c>
      <c r="C1554" s="1">
        <f t="shared" si="195"/>
        <v>5</v>
      </c>
      <c r="D1554" s="21">
        <f t="shared" ca="1" si="194"/>
        <v>44776</v>
      </c>
      <c r="E1554" s="1" t="s">
        <v>26</v>
      </c>
      <c r="F1554" s="1" t="s">
        <v>1582</v>
      </c>
      <c r="G1554" s="1" t="s">
        <v>28</v>
      </c>
      <c r="H1554" s="1">
        <v>1652</v>
      </c>
      <c r="I1554" s="1">
        <f t="shared" si="196"/>
        <v>60</v>
      </c>
      <c r="J1554" s="1">
        <f>VLOOKUP(B1554,Cena!$A$2:$B$101,2)</f>
        <v>88</v>
      </c>
      <c r="K1554" s="1">
        <f t="shared" si="192"/>
        <v>5280</v>
      </c>
      <c r="L1554" s="1">
        <f t="shared" si="197"/>
        <v>1214.4000000000001</v>
      </c>
      <c r="M1554" s="22">
        <f t="shared" si="193"/>
        <v>6494.4</v>
      </c>
      <c r="N1554" s="1">
        <f t="shared" ca="1" si="198"/>
        <v>8</v>
      </c>
      <c r="P1554" s="1">
        <v>60.123949323315173</v>
      </c>
      <c r="Q1554" s="1">
        <f t="shared" ca="1" si="199"/>
        <v>8</v>
      </c>
      <c r="R1554" s="1">
        <v>5.1384552332456224</v>
      </c>
    </row>
    <row r="1555" spans="1:18" x14ac:dyDescent="0.3">
      <c r="A1555" s="26">
        <v>1554</v>
      </c>
      <c r="B1555" s="1">
        <v>27</v>
      </c>
      <c r="C1555" s="1">
        <f t="shared" si="195"/>
        <v>10</v>
      </c>
      <c r="D1555" s="21">
        <f t="shared" ca="1" si="194"/>
        <v>44789</v>
      </c>
      <c r="E1555" s="1" t="s">
        <v>26</v>
      </c>
      <c r="F1555" s="1" t="s">
        <v>1583</v>
      </c>
      <c r="G1555" s="1" t="s">
        <v>28</v>
      </c>
      <c r="H1555" s="1">
        <v>1653</v>
      </c>
      <c r="I1555" s="1">
        <f t="shared" si="196"/>
        <v>46</v>
      </c>
      <c r="J1555" s="1">
        <f>VLOOKUP(B1555,Cena!$A$2:$B$101,2)</f>
        <v>87</v>
      </c>
      <c r="K1555" s="1">
        <f t="shared" si="192"/>
        <v>4002</v>
      </c>
      <c r="L1555" s="1">
        <f t="shared" si="197"/>
        <v>920.46</v>
      </c>
      <c r="M1555" s="22">
        <f t="shared" si="193"/>
        <v>4922.46</v>
      </c>
      <c r="N1555" s="1">
        <f t="shared" ca="1" si="198"/>
        <v>8</v>
      </c>
      <c r="P1555" s="1">
        <v>46.297594861971447</v>
      </c>
      <c r="Q1555" s="1">
        <f t="shared" ca="1" si="199"/>
        <v>4</v>
      </c>
      <c r="R1555" s="1">
        <v>10.142841827255324</v>
      </c>
    </row>
    <row r="1556" spans="1:18" x14ac:dyDescent="0.3">
      <c r="A1556" s="26">
        <v>1555</v>
      </c>
      <c r="B1556" s="1">
        <v>4</v>
      </c>
      <c r="C1556" s="1">
        <f t="shared" si="195"/>
        <v>13</v>
      </c>
      <c r="D1556" s="21">
        <f t="shared" ca="1" si="194"/>
        <v>44730</v>
      </c>
      <c r="E1556" s="1" t="s">
        <v>26</v>
      </c>
      <c r="F1556" s="1" t="s">
        <v>1584</v>
      </c>
      <c r="G1556" s="1" t="s">
        <v>28</v>
      </c>
      <c r="H1556" s="1">
        <v>1654</v>
      </c>
      <c r="I1556" s="1">
        <f t="shared" si="196"/>
        <v>45</v>
      </c>
      <c r="J1556" s="1">
        <f>VLOOKUP(B1556,Cena!$A$2:$B$101,2)</f>
        <v>99</v>
      </c>
      <c r="K1556" s="1">
        <f t="shared" si="192"/>
        <v>4455</v>
      </c>
      <c r="L1556" s="1">
        <f t="shared" si="197"/>
        <v>1024.6500000000001</v>
      </c>
      <c r="M1556" s="22">
        <f t="shared" si="193"/>
        <v>5479.65</v>
      </c>
      <c r="N1556" s="1">
        <f t="shared" ca="1" si="198"/>
        <v>6</v>
      </c>
      <c r="P1556" s="1">
        <v>45.892198967339937</v>
      </c>
      <c r="Q1556" s="1">
        <f t="shared" ca="1" si="199"/>
        <v>15</v>
      </c>
      <c r="R1556" s="1">
        <v>13.326704245409928</v>
      </c>
    </row>
    <row r="1557" spans="1:18" x14ac:dyDescent="0.3">
      <c r="A1557" s="26">
        <v>1556</v>
      </c>
      <c r="B1557" s="1">
        <v>7</v>
      </c>
      <c r="C1557" s="1">
        <f t="shared" si="195"/>
        <v>8</v>
      </c>
      <c r="D1557" s="21">
        <f t="shared" ca="1" si="194"/>
        <v>44827</v>
      </c>
      <c r="E1557" s="1" t="s">
        <v>26</v>
      </c>
      <c r="F1557" s="1" t="s">
        <v>1585</v>
      </c>
      <c r="G1557" s="1" t="s">
        <v>28</v>
      </c>
      <c r="H1557" s="1">
        <v>1655</v>
      </c>
      <c r="I1557" s="1">
        <f t="shared" si="196"/>
        <v>59</v>
      </c>
      <c r="J1557" s="1">
        <f>VLOOKUP(B1557,Cena!$A$2:$B$101,2)</f>
        <v>104</v>
      </c>
      <c r="K1557" s="1">
        <f t="shared" si="192"/>
        <v>6136</v>
      </c>
      <c r="L1557" s="1">
        <f t="shared" si="197"/>
        <v>1411.28</v>
      </c>
      <c r="M1557" s="22">
        <f t="shared" si="193"/>
        <v>7547.28</v>
      </c>
      <c r="N1557" s="1">
        <f t="shared" ca="1" si="198"/>
        <v>9</v>
      </c>
      <c r="P1557" s="1">
        <v>59.79111973720137</v>
      </c>
      <c r="Q1557" s="1">
        <f t="shared" ca="1" si="199"/>
        <v>16</v>
      </c>
      <c r="R1557" s="1">
        <v>8.7619389685278293</v>
      </c>
    </row>
    <row r="1558" spans="1:18" x14ac:dyDescent="0.3">
      <c r="A1558" s="26">
        <v>1557</v>
      </c>
      <c r="B1558" s="1">
        <v>21</v>
      </c>
      <c r="C1558" s="1">
        <f t="shared" si="195"/>
        <v>9</v>
      </c>
      <c r="D1558" s="21">
        <f t="shared" ca="1" si="194"/>
        <v>44653</v>
      </c>
      <c r="E1558" s="1" t="s">
        <v>26</v>
      </c>
      <c r="F1558" s="1" t="s">
        <v>1586</v>
      </c>
      <c r="G1558" s="1" t="s">
        <v>28</v>
      </c>
      <c r="H1558" s="1">
        <v>1656</v>
      </c>
      <c r="I1558" s="1">
        <f t="shared" si="196"/>
        <v>49</v>
      </c>
      <c r="J1558" s="1">
        <f>VLOOKUP(B1558,Cena!$A$2:$B$101,2)</f>
        <v>105</v>
      </c>
      <c r="K1558" s="1">
        <f t="shared" si="192"/>
        <v>5145</v>
      </c>
      <c r="L1558" s="1">
        <f t="shared" si="197"/>
        <v>1183.3500000000001</v>
      </c>
      <c r="M1558" s="22">
        <f t="shared" si="193"/>
        <v>6328.35</v>
      </c>
      <c r="N1558" s="1">
        <f t="shared" ca="1" si="198"/>
        <v>4</v>
      </c>
      <c r="P1558" s="1">
        <v>49.388774085673504</v>
      </c>
      <c r="Q1558" s="1">
        <f t="shared" ca="1" si="199"/>
        <v>4</v>
      </c>
      <c r="R1558" s="1">
        <v>9.1552385836257599</v>
      </c>
    </row>
    <row r="1559" spans="1:18" x14ac:dyDescent="0.3">
      <c r="A1559" s="26">
        <v>1558</v>
      </c>
      <c r="B1559" s="1">
        <v>1</v>
      </c>
      <c r="C1559" s="1">
        <f t="shared" si="195"/>
        <v>6</v>
      </c>
      <c r="D1559" s="21">
        <f t="shared" ca="1" si="194"/>
        <v>44686</v>
      </c>
      <c r="E1559" s="1" t="s">
        <v>26</v>
      </c>
      <c r="F1559" s="1" t="s">
        <v>1587</v>
      </c>
      <c r="G1559" s="1" t="s">
        <v>28</v>
      </c>
      <c r="H1559" s="1">
        <v>1657</v>
      </c>
      <c r="I1559" s="1">
        <f t="shared" si="196"/>
        <v>43</v>
      </c>
      <c r="J1559" s="1">
        <f>VLOOKUP(B1559,Cena!$A$2:$B$101,2)</f>
        <v>84</v>
      </c>
      <c r="K1559" s="1">
        <f t="shared" si="192"/>
        <v>3612</v>
      </c>
      <c r="L1559" s="1">
        <f t="shared" si="197"/>
        <v>830.76</v>
      </c>
      <c r="M1559" s="22">
        <f t="shared" si="193"/>
        <v>4442.76</v>
      </c>
      <c r="N1559" s="1">
        <f t="shared" ca="1" si="198"/>
        <v>5</v>
      </c>
      <c r="P1559" s="1">
        <v>43.088249539141543</v>
      </c>
      <c r="Q1559" s="1">
        <f t="shared" ca="1" si="199"/>
        <v>14</v>
      </c>
      <c r="R1559" s="1">
        <v>6.6306290843931492</v>
      </c>
    </row>
    <row r="1560" spans="1:18" x14ac:dyDescent="0.3">
      <c r="A1560" s="26">
        <v>1559</v>
      </c>
      <c r="B1560" s="1">
        <v>24</v>
      </c>
      <c r="C1560" s="1">
        <f t="shared" si="195"/>
        <v>11</v>
      </c>
      <c r="D1560" s="21">
        <f t="shared" ca="1" si="194"/>
        <v>44757</v>
      </c>
      <c r="E1560" s="1" t="s">
        <v>26</v>
      </c>
      <c r="F1560" s="1" t="s">
        <v>1588</v>
      </c>
      <c r="G1560" s="1" t="s">
        <v>28</v>
      </c>
      <c r="H1560" s="1">
        <v>1658</v>
      </c>
      <c r="I1560" s="1">
        <f t="shared" si="196"/>
        <v>40</v>
      </c>
      <c r="J1560" s="1">
        <f>VLOOKUP(B1560,Cena!$A$2:$B$101,2)</f>
        <v>125</v>
      </c>
      <c r="K1560" s="1">
        <f t="shared" si="192"/>
        <v>5000</v>
      </c>
      <c r="L1560" s="1">
        <f t="shared" si="197"/>
        <v>1150</v>
      </c>
      <c r="M1560" s="22">
        <f t="shared" si="193"/>
        <v>6150</v>
      </c>
      <c r="N1560" s="1">
        <f t="shared" ca="1" si="198"/>
        <v>7</v>
      </c>
      <c r="P1560" s="1">
        <v>40.758692547387909</v>
      </c>
      <c r="Q1560" s="1">
        <f t="shared" ca="1" si="199"/>
        <v>6</v>
      </c>
      <c r="R1560" s="1">
        <v>11.276694661100919</v>
      </c>
    </row>
    <row r="1561" spans="1:18" x14ac:dyDescent="0.3">
      <c r="A1561" s="26">
        <v>1560</v>
      </c>
      <c r="B1561" s="1">
        <v>24</v>
      </c>
      <c r="C1561" s="1">
        <f t="shared" si="195"/>
        <v>11</v>
      </c>
      <c r="D1561" s="21">
        <f t="shared" ca="1" si="194"/>
        <v>44857</v>
      </c>
      <c r="E1561" s="1" t="s">
        <v>26</v>
      </c>
      <c r="F1561" s="1" t="s">
        <v>1589</v>
      </c>
      <c r="G1561" s="1" t="s">
        <v>28</v>
      </c>
      <c r="H1561" s="1">
        <v>1659</v>
      </c>
      <c r="I1561" s="1">
        <f t="shared" si="196"/>
        <v>43</v>
      </c>
      <c r="J1561" s="1">
        <f>VLOOKUP(B1561,Cena!$A$2:$B$101,2)</f>
        <v>125</v>
      </c>
      <c r="K1561" s="1">
        <f t="shared" si="192"/>
        <v>5375</v>
      </c>
      <c r="L1561" s="1">
        <f t="shared" si="197"/>
        <v>1236.25</v>
      </c>
      <c r="M1561" s="22">
        <f t="shared" si="193"/>
        <v>6611.25</v>
      </c>
      <c r="N1561" s="1">
        <f t="shared" ca="1" si="198"/>
        <v>10</v>
      </c>
      <c r="P1561" s="1">
        <v>43.288918176403968</v>
      </c>
      <c r="Q1561" s="1">
        <f t="shared" ca="1" si="199"/>
        <v>27</v>
      </c>
      <c r="R1561" s="1">
        <v>11.419138584424218</v>
      </c>
    </row>
    <row r="1562" spans="1:18" x14ac:dyDescent="0.3">
      <c r="A1562" s="26">
        <v>1561</v>
      </c>
      <c r="B1562" s="1">
        <v>14</v>
      </c>
      <c r="C1562" s="1">
        <f t="shared" si="195"/>
        <v>7</v>
      </c>
      <c r="D1562" s="21">
        <f t="shared" ca="1" si="194"/>
        <v>44685</v>
      </c>
      <c r="E1562" s="1" t="s">
        <v>26</v>
      </c>
      <c r="F1562" s="1" t="s">
        <v>1590</v>
      </c>
      <c r="G1562" s="1" t="s">
        <v>28</v>
      </c>
      <c r="H1562" s="1">
        <v>1660</v>
      </c>
      <c r="I1562" s="1">
        <f t="shared" si="196"/>
        <v>38</v>
      </c>
      <c r="J1562" s="1">
        <f>VLOOKUP(B1562,Cena!$A$2:$B$101,2)</f>
        <v>129</v>
      </c>
      <c r="K1562" s="1">
        <f t="shared" si="192"/>
        <v>4902</v>
      </c>
      <c r="L1562" s="1">
        <f t="shared" si="197"/>
        <v>1127.46</v>
      </c>
      <c r="M1562" s="22">
        <f t="shared" si="193"/>
        <v>6029.46</v>
      </c>
      <c r="N1562" s="1">
        <f t="shared" ca="1" si="198"/>
        <v>5</v>
      </c>
      <c r="P1562" s="1">
        <v>38.929153005301487</v>
      </c>
      <c r="Q1562" s="1">
        <f t="shared" ca="1" si="199"/>
        <v>1</v>
      </c>
      <c r="R1562" s="1">
        <v>7.8615733198239468</v>
      </c>
    </row>
    <row r="1563" spans="1:18" x14ac:dyDescent="0.3">
      <c r="A1563" s="26">
        <v>1562</v>
      </c>
      <c r="B1563" s="1">
        <v>27</v>
      </c>
      <c r="C1563" s="1">
        <f t="shared" si="195"/>
        <v>9</v>
      </c>
      <c r="D1563" s="21">
        <f t="shared" ca="1" si="194"/>
        <v>44614</v>
      </c>
      <c r="E1563" s="1" t="s">
        <v>26</v>
      </c>
      <c r="F1563" s="1" t="s">
        <v>1591</v>
      </c>
      <c r="G1563" s="1" t="s">
        <v>28</v>
      </c>
      <c r="H1563" s="1">
        <v>1661</v>
      </c>
      <c r="I1563" s="1">
        <f t="shared" si="196"/>
        <v>50</v>
      </c>
      <c r="J1563" s="1">
        <f>VLOOKUP(B1563,Cena!$A$2:$B$101,2)</f>
        <v>87</v>
      </c>
      <c r="K1563" s="1">
        <f t="shared" si="192"/>
        <v>4350</v>
      </c>
      <c r="L1563" s="1">
        <f t="shared" si="197"/>
        <v>1000.5</v>
      </c>
      <c r="M1563" s="22">
        <f t="shared" si="193"/>
        <v>5350.5</v>
      </c>
      <c r="N1563" s="1">
        <f t="shared" ca="1" si="198"/>
        <v>2</v>
      </c>
      <c r="P1563" s="1">
        <v>50.373779585061129</v>
      </c>
      <c r="Q1563" s="1">
        <f t="shared" ca="1" si="199"/>
        <v>1</v>
      </c>
      <c r="R1563" s="1">
        <v>9.7673967300215736</v>
      </c>
    </row>
    <row r="1564" spans="1:18" x14ac:dyDescent="0.3">
      <c r="A1564" s="26">
        <v>1563</v>
      </c>
      <c r="B1564" s="1">
        <v>24</v>
      </c>
      <c r="C1564" s="1">
        <f t="shared" si="195"/>
        <v>5</v>
      </c>
      <c r="D1564" s="21">
        <f t="shared" ca="1" si="194"/>
        <v>44643</v>
      </c>
      <c r="E1564" s="1" t="s">
        <v>26</v>
      </c>
      <c r="F1564" s="1" t="s">
        <v>1592</v>
      </c>
      <c r="G1564" s="1" t="s">
        <v>28</v>
      </c>
      <c r="H1564" s="1">
        <v>1662</v>
      </c>
      <c r="I1564" s="1">
        <f t="shared" si="196"/>
        <v>57</v>
      </c>
      <c r="J1564" s="1">
        <f>VLOOKUP(B1564,Cena!$A$2:$B$101,2)</f>
        <v>125</v>
      </c>
      <c r="K1564" s="1">
        <f t="shared" si="192"/>
        <v>7125</v>
      </c>
      <c r="L1564" s="1">
        <f t="shared" si="197"/>
        <v>1638.75</v>
      </c>
      <c r="M1564" s="22">
        <f t="shared" si="193"/>
        <v>8763.75</v>
      </c>
      <c r="N1564" s="1">
        <f t="shared" ca="1" si="198"/>
        <v>3</v>
      </c>
      <c r="P1564" s="1">
        <v>57.221058240247658</v>
      </c>
      <c r="Q1564" s="1">
        <f t="shared" ca="1" si="199"/>
        <v>5</v>
      </c>
      <c r="R1564" s="1">
        <v>5.4987174533016514</v>
      </c>
    </row>
    <row r="1565" spans="1:18" x14ac:dyDescent="0.3">
      <c r="A1565" s="26">
        <v>1564</v>
      </c>
      <c r="B1565" s="1">
        <v>21</v>
      </c>
      <c r="C1565" s="1">
        <f t="shared" si="195"/>
        <v>7</v>
      </c>
      <c r="D1565" s="21">
        <f t="shared" ca="1" si="194"/>
        <v>44627</v>
      </c>
      <c r="E1565" s="1" t="s">
        <v>26</v>
      </c>
      <c r="F1565" s="1" t="s">
        <v>1593</v>
      </c>
      <c r="G1565" s="1" t="s">
        <v>28</v>
      </c>
      <c r="H1565" s="1">
        <v>1663</v>
      </c>
      <c r="I1565" s="1">
        <f t="shared" si="196"/>
        <v>62</v>
      </c>
      <c r="J1565" s="1">
        <f>VLOOKUP(B1565,Cena!$A$2:$B$101,2)</f>
        <v>105</v>
      </c>
      <c r="K1565" s="1">
        <f t="shared" si="192"/>
        <v>6510</v>
      </c>
      <c r="L1565" s="1">
        <f t="shared" si="197"/>
        <v>1497.3</v>
      </c>
      <c r="M1565" s="22">
        <f t="shared" si="193"/>
        <v>8007.3</v>
      </c>
      <c r="N1565" s="1">
        <f t="shared" ca="1" si="198"/>
        <v>3</v>
      </c>
      <c r="P1565" s="1">
        <v>62.396776583045721</v>
      </c>
      <c r="Q1565" s="1">
        <f t="shared" ca="1" si="199"/>
        <v>22</v>
      </c>
      <c r="R1565" s="1">
        <v>7.7225968450511573</v>
      </c>
    </row>
    <row r="1566" spans="1:18" x14ac:dyDescent="0.3">
      <c r="A1566" s="26">
        <v>1565</v>
      </c>
      <c r="B1566" s="1">
        <v>3</v>
      </c>
      <c r="C1566" s="1">
        <f t="shared" si="195"/>
        <v>11</v>
      </c>
      <c r="D1566" s="21">
        <f t="shared" ca="1" si="194"/>
        <v>44640</v>
      </c>
      <c r="E1566" s="1" t="s">
        <v>26</v>
      </c>
      <c r="F1566" s="1" t="s">
        <v>1594</v>
      </c>
      <c r="G1566" s="1" t="s">
        <v>28</v>
      </c>
      <c r="H1566" s="1">
        <v>1664</v>
      </c>
      <c r="I1566" s="1">
        <f t="shared" si="196"/>
        <v>42</v>
      </c>
      <c r="J1566" s="1">
        <f>VLOOKUP(B1566,Cena!$A$2:$B$101,2)</f>
        <v>89</v>
      </c>
      <c r="K1566" s="1">
        <f t="shared" si="192"/>
        <v>3738</v>
      </c>
      <c r="L1566" s="1">
        <f t="shared" si="197"/>
        <v>859.74</v>
      </c>
      <c r="M1566" s="22">
        <f t="shared" si="193"/>
        <v>4597.74</v>
      </c>
      <c r="N1566" s="1">
        <f t="shared" ca="1" si="198"/>
        <v>3</v>
      </c>
      <c r="P1566" s="1">
        <v>42.097741596808191</v>
      </c>
      <c r="Q1566" s="1">
        <f t="shared" ca="1" si="199"/>
        <v>29</v>
      </c>
      <c r="R1566" s="1">
        <v>11.320466935794684</v>
      </c>
    </row>
    <row r="1567" spans="1:18" x14ac:dyDescent="0.3">
      <c r="A1567" s="26">
        <v>1566</v>
      </c>
      <c r="B1567" s="1">
        <v>16</v>
      </c>
      <c r="C1567" s="1">
        <f t="shared" si="195"/>
        <v>7</v>
      </c>
      <c r="D1567" s="21">
        <f t="shared" ca="1" si="194"/>
        <v>44837</v>
      </c>
      <c r="E1567" s="1" t="s">
        <v>26</v>
      </c>
      <c r="F1567" s="1" t="s">
        <v>1595</v>
      </c>
      <c r="G1567" s="1" t="s">
        <v>28</v>
      </c>
      <c r="H1567" s="1">
        <v>1665</v>
      </c>
      <c r="I1567" s="1">
        <f t="shared" si="196"/>
        <v>53</v>
      </c>
      <c r="J1567" s="1">
        <f>VLOOKUP(B1567,Cena!$A$2:$B$101,2)</f>
        <v>93</v>
      </c>
      <c r="K1567" s="1">
        <f t="shared" ref="K1567:K1630" si="200">I1567*J1567</f>
        <v>4929</v>
      </c>
      <c r="L1567" s="1">
        <f t="shared" si="197"/>
        <v>1133.67</v>
      </c>
      <c r="M1567" s="22">
        <f t="shared" ref="M1567:M1630" si="201">K1567+L1567</f>
        <v>6062.67</v>
      </c>
      <c r="N1567" s="1">
        <f t="shared" ca="1" si="198"/>
        <v>10</v>
      </c>
      <c r="P1567" s="1">
        <v>53.075228960369714</v>
      </c>
      <c r="Q1567" s="1">
        <f t="shared" ca="1" si="199"/>
        <v>20</v>
      </c>
      <c r="R1567" s="1">
        <v>7.160557541064918</v>
      </c>
    </row>
    <row r="1568" spans="1:18" x14ac:dyDescent="0.3">
      <c r="A1568" s="26">
        <v>1567</v>
      </c>
      <c r="B1568" s="1">
        <v>14</v>
      </c>
      <c r="C1568" s="1">
        <f t="shared" si="195"/>
        <v>12</v>
      </c>
      <c r="D1568" s="21">
        <f t="shared" ca="1" si="194"/>
        <v>44622</v>
      </c>
      <c r="E1568" s="1" t="s">
        <v>26</v>
      </c>
      <c r="F1568" s="1" t="s">
        <v>1596</v>
      </c>
      <c r="G1568" s="1" t="s">
        <v>28</v>
      </c>
      <c r="H1568" s="1">
        <v>1666</v>
      </c>
      <c r="I1568" s="1">
        <f t="shared" si="196"/>
        <v>45</v>
      </c>
      <c r="J1568" s="1">
        <f>VLOOKUP(B1568,Cena!$A$2:$B$101,2)</f>
        <v>129</v>
      </c>
      <c r="K1568" s="1">
        <f t="shared" si="200"/>
        <v>5805</v>
      </c>
      <c r="L1568" s="1">
        <f t="shared" si="197"/>
        <v>1335.15</v>
      </c>
      <c r="M1568" s="22">
        <f t="shared" si="201"/>
        <v>7140.15</v>
      </c>
      <c r="N1568" s="1">
        <f t="shared" ca="1" si="198"/>
        <v>3</v>
      </c>
      <c r="P1568" s="1">
        <v>45.341408975946251</v>
      </c>
      <c r="Q1568" s="1">
        <f t="shared" ca="1" si="199"/>
        <v>6</v>
      </c>
      <c r="R1568" s="1">
        <v>12.302715529367561</v>
      </c>
    </row>
    <row r="1569" spans="1:18" x14ac:dyDescent="0.3">
      <c r="A1569" s="26">
        <v>1568</v>
      </c>
      <c r="B1569" s="1">
        <v>16</v>
      </c>
      <c r="C1569" s="1">
        <f t="shared" si="195"/>
        <v>10</v>
      </c>
      <c r="D1569" s="21">
        <f t="shared" ca="1" si="194"/>
        <v>44623</v>
      </c>
      <c r="E1569" s="1" t="s">
        <v>26</v>
      </c>
      <c r="F1569" s="1" t="s">
        <v>1597</v>
      </c>
      <c r="G1569" s="1" t="s">
        <v>28</v>
      </c>
      <c r="H1569" s="1">
        <v>1667</v>
      </c>
      <c r="I1569" s="1">
        <f t="shared" si="196"/>
        <v>60</v>
      </c>
      <c r="J1569" s="1">
        <f>VLOOKUP(B1569,Cena!$A$2:$B$101,2)</f>
        <v>93</v>
      </c>
      <c r="K1569" s="1">
        <f t="shared" si="200"/>
        <v>5580</v>
      </c>
      <c r="L1569" s="1">
        <f t="shared" si="197"/>
        <v>1283.4000000000001</v>
      </c>
      <c r="M1569" s="22">
        <f t="shared" si="201"/>
        <v>6863.4</v>
      </c>
      <c r="N1569" s="1">
        <f t="shared" ca="1" si="198"/>
        <v>3</v>
      </c>
      <c r="P1569" s="1">
        <v>60.662188287824392</v>
      </c>
      <c r="Q1569" s="1">
        <f t="shared" ca="1" si="199"/>
        <v>29</v>
      </c>
      <c r="R1569" s="1">
        <v>10.093444896265282</v>
      </c>
    </row>
    <row r="1570" spans="1:18" x14ac:dyDescent="0.3">
      <c r="A1570" s="26">
        <v>1569</v>
      </c>
      <c r="B1570" s="1">
        <v>9</v>
      </c>
      <c r="C1570" s="1">
        <f t="shared" si="195"/>
        <v>10</v>
      </c>
      <c r="D1570" s="21">
        <f t="shared" ca="1" si="194"/>
        <v>44898</v>
      </c>
      <c r="E1570" s="1" t="s">
        <v>26</v>
      </c>
      <c r="F1570" s="1" t="s">
        <v>1598</v>
      </c>
      <c r="G1570" s="1" t="s">
        <v>28</v>
      </c>
      <c r="H1570" s="1">
        <v>1668</v>
      </c>
      <c r="I1570" s="1">
        <f t="shared" si="196"/>
        <v>54</v>
      </c>
      <c r="J1570" s="1">
        <f>VLOOKUP(B1570,Cena!$A$2:$B$101,2)</f>
        <v>96</v>
      </c>
      <c r="K1570" s="1">
        <f t="shared" si="200"/>
        <v>5184</v>
      </c>
      <c r="L1570" s="1">
        <f t="shared" si="197"/>
        <v>1192.3200000000002</v>
      </c>
      <c r="M1570" s="22">
        <f t="shared" si="201"/>
        <v>6376.32</v>
      </c>
      <c r="N1570" s="1">
        <f t="shared" ca="1" si="198"/>
        <v>12</v>
      </c>
      <c r="P1570" s="1">
        <v>54.406808784551686</v>
      </c>
      <c r="Q1570" s="1">
        <f t="shared" ca="1" si="199"/>
        <v>8</v>
      </c>
      <c r="R1570" s="1">
        <v>10.180980919139984</v>
      </c>
    </row>
    <row r="1571" spans="1:18" x14ac:dyDescent="0.3">
      <c r="A1571" s="26">
        <v>1570</v>
      </c>
      <c r="B1571" s="1">
        <v>9</v>
      </c>
      <c r="C1571" s="1">
        <f t="shared" si="195"/>
        <v>9</v>
      </c>
      <c r="D1571" s="21">
        <f t="shared" ca="1" si="194"/>
        <v>44898</v>
      </c>
      <c r="E1571" s="1" t="s">
        <v>26</v>
      </c>
      <c r="F1571" s="1" t="s">
        <v>1599</v>
      </c>
      <c r="G1571" s="1" t="s">
        <v>28</v>
      </c>
      <c r="H1571" s="1">
        <v>1669</v>
      </c>
      <c r="I1571" s="1">
        <f t="shared" si="196"/>
        <v>49</v>
      </c>
      <c r="J1571" s="1">
        <f>VLOOKUP(B1571,Cena!$A$2:$B$101,2)</f>
        <v>96</v>
      </c>
      <c r="K1571" s="1">
        <f t="shared" si="200"/>
        <v>4704</v>
      </c>
      <c r="L1571" s="1">
        <f t="shared" si="197"/>
        <v>1081.92</v>
      </c>
      <c r="M1571" s="22">
        <f t="shared" si="201"/>
        <v>5785.92</v>
      </c>
      <c r="N1571" s="1">
        <f t="shared" ca="1" si="198"/>
        <v>12</v>
      </c>
      <c r="P1571" s="1">
        <v>49.383408066933043</v>
      </c>
      <c r="Q1571" s="1">
        <f t="shared" ca="1" si="199"/>
        <v>30</v>
      </c>
      <c r="R1571" s="1">
        <v>9.7360703218873823</v>
      </c>
    </row>
    <row r="1572" spans="1:18" x14ac:dyDescent="0.3">
      <c r="A1572" s="26">
        <v>1571</v>
      </c>
      <c r="B1572" s="1">
        <v>15</v>
      </c>
      <c r="C1572" s="1">
        <f t="shared" si="195"/>
        <v>9</v>
      </c>
      <c r="D1572" s="21">
        <f t="shared" ca="1" si="194"/>
        <v>44718</v>
      </c>
      <c r="E1572" s="1" t="s">
        <v>26</v>
      </c>
      <c r="F1572" s="1" t="s">
        <v>1600</v>
      </c>
      <c r="G1572" s="1" t="s">
        <v>28</v>
      </c>
      <c r="H1572" s="1">
        <v>1670</v>
      </c>
      <c r="I1572" s="1">
        <f t="shared" si="196"/>
        <v>44</v>
      </c>
      <c r="J1572" s="1">
        <f>VLOOKUP(B1572,Cena!$A$2:$B$101,2)</f>
        <v>85</v>
      </c>
      <c r="K1572" s="1">
        <f t="shared" si="200"/>
        <v>3740</v>
      </c>
      <c r="L1572" s="1">
        <f t="shared" si="197"/>
        <v>860.2</v>
      </c>
      <c r="M1572" s="22">
        <f t="shared" si="201"/>
        <v>4600.2</v>
      </c>
      <c r="N1572" s="1">
        <f t="shared" ca="1" si="198"/>
        <v>6</v>
      </c>
      <c r="P1572" s="1">
        <v>44.46308720507659</v>
      </c>
      <c r="Q1572" s="1">
        <f t="shared" ca="1" si="199"/>
        <v>20</v>
      </c>
      <c r="R1572" s="1">
        <v>9.9842231090951827</v>
      </c>
    </row>
    <row r="1573" spans="1:18" x14ac:dyDescent="0.3">
      <c r="A1573" s="26">
        <v>1572</v>
      </c>
      <c r="B1573" s="1">
        <v>15</v>
      </c>
      <c r="C1573" s="1">
        <f t="shared" si="195"/>
        <v>7</v>
      </c>
      <c r="D1573" s="21">
        <f t="shared" ca="1" si="194"/>
        <v>44819</v>
      </c>
      <c r="E1573" s="1" t="s">
        <v>26</v>
      </c>
      <c r="F1573" s="1" t="s">
        <v>1601</v>
      </c>
      <c r="G1573" s="1" t="s">
        <v>28</v>
      </c>
      <c r="H1573" s="1">
        <v>1671</v>
      </c>
      <c r="I1573" s="1">
        <f t="shared" si="196"/>
        <v>56</v>
      </c>
      <c r="J1573" s="1">
        <f>VLOOKUP(B1573,Cena!$A$2:$B$101,2)</f>
        <v>85</v>
      </c>
      <c r="K1573" s="1">
        <f t="shared" si="200"/>
        <v>4760</v>
      </c>
      <c r="L1573" s="1">
        <f t="shared" si="197"/>
        <v>1094.8</v>
      </c>
      <c r="M1573" s="22">
        <f t="shared" si="201"/>
        <v>5854.8</v>
      </c>
      <c r="N1573" s="1">
        <f t="shared" ca="1" si="198"/>
        <v>9</v>
      </c>
      <c r="P1573" s="1">
        <v>56.990649126237258</v>
      </c>
      <c r="Q1573" s="1">
        <f t="shared" ca="1" si="199"/>
        <v>22</v>
      </c>
      <c r="R1573" s="1">
        <v>7.7016670982266078</v>
      </c>
    </row>
    <row r="1574" spans="1:18" x14ac:dyDescent="0.3">
      <c r="A1574" s="26">
        <v>1573</v>
      </c>
      <c r="B1574" s="1">
        <v>6</v>
      </c>
      <c r="C1574" s="1">
        <f t="shared" si="195"/>
        <v>9</v>
      </c>
      <c r="D1574" s="21">
        <f t="shared" ca="1" si="194"/>
        <v>44671</v>
      </c>
      <c r="E1574" s="1" t="s">
        <v>26</v>
      </c>
      <c r="F1574" s="1" t="s">
        <v>1602</v>
      </c>
      <c r="G1574" s="1" t="s">
        <v>28</v>
      </c>
      <c r="H1574" s="1">
        <v>1672</v>
      </c>
      <c r="I1574" s="1">
        <f t="shared" si="196"/>
        <v>45</v>
      </c>
      <c r="J1574" s="1">
        <f>VLOOKUP(B1574,Cena!$A$2:$B$101,2)</f>
        <v>86</v>
      </c>
      <c r="K1574" s="1">
        <f t="shared" si="200"/>
        <v>3870</v>
      </c>
      <c r="L1574" s="1">
        <f t="shared" si="197"/>
        <v>890.1</v>
      </c>
      <c r="M1574" s="22">
        <f t="shared" si="201"/>
        <v>4760.1000000000004</v>
      </c>
      <c r="N1574" s="1">
        <f t="shared" ca="1" si="198"/>
        <v>4</v>
      </c>
      <c r="P1574" s="1">
        <v>45.244832007301738</v>
      </c>
      <c r="Q1574" s="1">
        <f t="shared" ca="1" si="199"/>
        <v>21</v>
      </c>
      <c r="R1574" s="1">
        <v>9.3159832456512959</v>
      </c>
    </row>
    <row r="1575" spans="1:18" x14ac:dyDescent="0.3">
      <c r="A1575" s="26">
        <v>1574</v>
      </c>
      <c r="B1575" s="1">
        <v>11</v>
      </c>
      <c r="C1575" s="1">
        <f t="shared" si="195"/>
        <v>10</v>
      </c>
      <c r="D1575" s="21">
        <f t="shared" ca="1" si="194"/>
        <v>44690</v>
      </c>
      <c r="E1575" s="1" t="s">
        <v>26</v>
      </c>
      <c r="F1575" s="1" t="s">
        <v>1603</v>
      </c>
      <c r="G1575" s="1" t="s">
        <v>28</v>
      </c>
      <c r="H1575" s="1">
        <v>1673</v>
      </c>
      <c r="I1575" s="1">
        <f t="shared" si="196"/>
        <v>40</v>
      </c>
      <c r="J1575" s="1">
        <f>VLOOKUP(B1575,Cena!$A$2:$B$101,2)</f>
        <v>83</v>
      </c>
      <c r="K1575" s="1">
        <f t="shared" si="200"/>
        <v>3320</v>
      </c>
      <c r="L1575" s="1">
        <f t="shared" si="197"/>
        <v>763.6</v>
      </c>
      <c r="M1575" s="22">
        <f t="shared" si="201"/>
        <v>4083.6</v>
      </c>
      <c r="N1575" s="1">
        <f t="shared" ca="1" si="198"/>
        <v>5</v>
      </c>
      <c r="P1575" s="1">
        <v>40.036940289428458</v>
      </c>
      <c r="Q1575" s="1">
        <f t="shared" ca="1" si="199"/>
        <v>30</v>
      </c>
      <c r="R1575" s="1">
        <v>10.040449776861351</v>
      </c>
    </row>
    <row r="1576" spans="1:18" x14ac:dyDescent="0.3">
      <c r="A1576" s="26">
        <v>1575</v>
      </c>
      <c r="B1576" s="1">
        <v>18</v>
      </c>
      <c r="C1576" s="1">
        <f t="shared" si="195"/>
        <v>12</v>
      </c>
      <c r="D1576" s="21">
        <f t="shared" ca="1" si="194"/>
        <v>44633</v>
      </c>
      <c r="E1576" s="1" t="s">
        <v>26</v>
      </c>
      <c r="F1576" s="1" t="s">
        <v>1604</v>
      </c>
      <c r="G1576" s="1" t="s">
        <v>28</v>
      </c>
      <c r="H1576" s="1">
        <v>1674</v>
      </c>
      <c r="I1576" s="1">
        <f t="shared" si="196"/>
        <v>45</v>
      </c>
      <c r="J1576" s="1">
        <f>VLOOKUP(B1576,Cena!$A$2:$B$101,2)</f>
        <v>90</v>
      </c>
      <c r="K1576" s="1">
        <f t="shared" si="200"/>
        <v>4050</v>
      </c>
      <c r="L1576" s="1">
        <f t="shared" si="197"/>
        <v>931.5</v>
      </c>
      <c r="M1576" s="22">
        <f t="shared" si="201"/>
        <v>4981.5</v>
      </c>
      <c r="N1576" s="1">
        <f t="shared" ca="1" si="198"/>
        <v>3</v>
      </c>
      <c r="P1576" s="1">
        <v>45.906341609952506</v>
      </c>
      <c r="Q1576" s="1">
        <f t="shared" ca="1" si="199"/>
        <v>14</v>
      </c>
      <c r="R1576" s="1">
        <v>12.299793777638115</v>
      </c>
    </row>
    <row r="1577" spans="1:18" x14ac:dyDescent="0.3">
      <c r="A1577" s="26">
        <v>1576</v>
      </c>
      <c r="B1577" s="1">
        <v>20</v>
      </c>
      <c r="C1577" s="1">
        <f t="shared" si="195"/>
        <v>10</v>
      </c>
      <c r="D1577" s="21">
        <f t="shared" ca="1" si="194"/>
        <v>44806</v>
      </c>
      <c r="E1577" s="1" t="s">
        <v>26</v>
      </c>
      <c r="F1577" s="1" t="s">
        <v>1605</v>
      </c>
      <c r="G1577" s="1" t="s">
        <v>28</v>
      </c>
      <c r="H1577" s="1">
        <v>1675</v>
      </c>
      <c r="I1577" s="1">
        <f t="shared" si="196"/>
        <v>46</v>
      </c>
      <c r="J1577" s="1">
        <f>VLOOKUP(B1577,Cena!$A$2:$B$101,2)</f>
        <v>111</v>
      </c>
      <c r="K1577" s="1">
        <f t="shared" si="200"/>
        <v>5106</v>
      </c>
      <c r="L1577" s="1">
        <f t="shared" si="197"/>
        <v>1174.3800000000001</v>
      </c>
      <c r="M1577" s="22">
        <f t="shared" si="201"/>
        <v>6280.38</v>
      </c>
      <c r="N1577" s="1">
        <f t="shared" ca="1" si="198"/>
        <v>9</v>
      </c>
      <c r="P1577" s="1">
        <v>46.346707575867185</v>
      </c>
      <c r="Q1577" s="1">
        <f t="shared" ca="1" si="199"/>
        <v>8</v>
      </c>
      <c r="R1577" s="1">
        <v>10.936671540330281</v>
      </c>
    </row>
    <row r="1578" spans="1:18" x14ac:dyDescent="0.3">
      <c r="A1578" s="26">
        <v>1577</v>
      </c>
      <c r="B1578" s="1">
        <v>13</v>
      </c>
      <c r="C1578" s="1">
        <f t="shared" si="195"/>
        <v>7</v>
      </c>
      <c r="D1578" s="21">
        <f t="shared" ca="1" si="194"/>
        <v>44682</v>
      </c>
      <c r="E1578" s="1" t="s">
        <v>26</v>
      </c>
      <c r="F1578" s="1" t="s">
        <v>1606</v>
      </c>
      <c r="G1578" s="1" t="s">
        <v>28</v>
      </c>
      <c r="H1578" s="1">
        <v>1676</v>
      </c>
      <c r="I1578" s="1">
        <f t="shared" si="196"/>
        <v>34</v>
      </c>
      <c r="J1578" s="1">
        <f>VLOOKUP(B1578,Cena!$A$2:$B$101,2)</f>
        <v>94</v>
      </c>
      <c r="K1578" s="1">
        <f t="shared" si="200"/>
        <v>3196</v>
      </c>
      <c r="L1578" s="1">
        <f t="shared" si="197"/>
        <v>735.08</v>
      </c>
      <c r="M1578" s="22">
        <f t="shared" si="201"/>
        <v>3931.08</v>
      </c>
      <c r="N1578" s="1">
        <f t="shared" ca="1" si="198"/>
        <v>5</v>
      </c>
      <c r="P1578" s="1">
        <v>34.811029207776301</v>
      </c>
      <c r="Q1578" s="1">
        <f t="shared" ca="1" si="199"/>
        <v>25</v>
      </c>
      <c r="R1578" s="1">
        <v>7.2918601542914985</v>
      </c>
    </row>
    <row r="1579" spans="1:18" x14ac:dyDescent="0.3">
      <c r="A1579" s="26">
        <v>1578</v>
      </c>
      <c r="B1579" s="1">
        <v>9</v>
      </c>
      <c r="C1579" s="1">
        <f t="shared" si="195"/>
        <v>9</v>
      </c>
      <c r="D1579" s="21">
        <f t="shared" ca="1" si="194"/>
        <v>44662</v>
      </c>
      <c r="E1579" s="1" t="s">
        <v>26</v>
      </c>
      <c r="F1579" s="1" t="s">
        <v>1607</v>
      </c>
      <c r="G1579" s="1" t="s">
        <v>28</v>
      </c>
      <c r="H1579" s="1">
        <v>1677</v>
      </c>
      <c r="I1579" s="1">
        <f t="shared" si="196"/>
        <v>60</v>
      </c>
      <c r="J1579" s="1">
        <f>VLOOKUP(B1579,Cena!$A$2:$B$101,2)</f>
        <v>96</v>
      </c>
      <c r="K1579" s="1">
        <f t="shared" si="200"/>
        <v>5760</v>
      </c>
      <c r="L1579" s="1">
        <f t="shared" si="197"/>
        <v>1324.8</v>
      </c>
      <c r="M1579" s="22">
        <f t="shared" si="201"/>
        <v>7084.8</v>
      </c>
      <c r="N1579" s="1">
        <f t="shared" ca="1" si="198"/>
        <v>4</v>
      </c>
      <c r="P1579" s="1">
        <v>60.761300472950097</v>
      </c>
      <c r="Q1579" s="1">
        <f t="shared" ca="1" si="199"/>
        <v>5</v>
      </c>
      <c r="R1579" s="1">
        <v>9.5658981788437814</v>
      </c>
    </row>
    <row r="1580" spans="1:18" x14ac:dyDescent="0.3">
      <c r="A1580" s="26">
        <v>1579</v>
      </c>
      <c r="B1580" s="1">
        <v>21</v>
      </c>
      <c r="C1580" s="1">
        <f t="shared" si="195"/>
        <v>11</v>
      </c>
      <c r="D1580" s="21">
        <f t="shared" ca="1" si="194"/>
        <v>44761</v>
      </c>
      <c r="E1580" s="1" t="s">
        <v>26</v>
      </c>
      <c r="F1580" s="1" t="s">
        <v>1608</v>
      </c>
      <c r="G1580" s="1" t="s">
        <v>28</v>
      </c>
      <c r="H1580" s="1">
        <v>1678</v>
      </c>
      <c r="I1580" s="1">
        <f t="shared" si="196"/>
        <v>54</v>
      </c>
      <c r="J1580" s="1">
        <f>VLOOKUP(B1580,Cena!$A$2:$B$101,2)</f>
        <v>105</v>
      </c>
      <c r="K1580" s="1">
        <f t="shared" si="200"/>
        <v>5670</v>
      </c>
      <c r="L1580" s="1">
        <f t="shared" si="197"/>
        <v>1304.1000000000001</v>
      </c>
      <c r="M1580" s="22">
        <f t="shared" si="201"/>
        <v>6974.1</v>
      </c>
      <c r="N1580" s="1">
        <f t="shared" ca="1" si="198"/>
        <v>7</v>
      </c>
      <c r="P1580" s="1">
        <v>54.648359208658803</v>
      </c>
      <c r="Q1580" s="1">
        <f t="shared" ca="1" si="199"/>
        <v>18</v>
      </c>
      <c r="R1580" s="1">
        <v>11.419363115928718</v>
      </c>
    </row>
    <row r="1581" spans="1:18" x14ac:dyDescent="0.3">
      <c r="A1581" s="26">
        <v>1580</v>
      </c>
      <c r="B1581" s="1">
        <v>21</v>
      </c>
      <c r="C1581" s="1">
        <f t="shared" si="195"/>
        <v>9</v>
      </c>
      <c r="D1581" s="21">
        <f t="shared" ca="1" si="194"/>
        <v>44904</v>
      </c>
      <c r="E1581" s="1" t="s">
        <v>26</v>
      </c>
      <c r="F1581" s="1" t="s">
        <v>1609</v>
      </c>
      <c r="G1581" s="1" t="s">
        <v>28</v>
      </c>
      <c r="H1581" s="1">
        <v>1679</v>
      </c>
      <c r="I1581" s="1">
        <f t="shared" si="196"/>
        <v>43</v>
      </c>
      <c r="J1581" s="1">
        <f>VLOOKUP(B1581,Cena!$A$2:$B$101,2)</f>
        <v>105</v>
      </c>
      <c r="K1581" s="1">
        <f t="shared" si="200"/>
        <v>4515</v>
      </c>
      <c r="L1581" s="1">
        <f t="shared" si="197"/>
        <v>1038.45</v>
      </c>
      <c r="M1581" s="22">
        <f t="shared" si="201"/>
        <v>5553.45</v>
      </c>
      <c r="N1581" s="1">
        <f t="shared" ca="1" si="198"/>
        <v>12</v>
      </c>
      <c r="P1581" s="1">
        <v>43.431970324309077</v>
      </c>
      <c r="Q1581" s="1">
        <f t="shared" ca="1" si="199"/>
        <v>8</v>
      </c>
      <c r="R1581" s="1">
        <v>9.7750791180806118</v>
      </c>
    </row>
    <row r="1582" spans="1:18" x14ac:dyDescent="0.3">
      <c r="A1582" s="26">
        <v>1581</v>
      </c>
      <c r="B1582" s="1">
        <v>21</v>
      </c>
      <c r="C1582" s="1">
        <f t="shared" si="195"/>
        <v>11</v>
      </c>
      <c r="D1582" s="21">
        <f t="shared" ca="1" si="194"/>
        <v>44568</v>
      </c>
      <c r="E1582" s="1" t="s">
        <v>26</v>
      </c>
      <c r="F1582" s="1" t="s">
        <v>1610</v>
      </c>
      <c r="G1582" s="1" t="s">
        <v>28</v>
      </c>
      <c r="H1582" s="1">
        <v>1680</v>
      </c>
      <c r="I1582" s="1">
        <f t="shared" si="196"/>
        <v>69</v>
      </c>
      <c r="J1582" s="1">
        <f>VLOOKUP(B1582,Cena!$A$2:$B$101,2)</f>
        <v>105</v>
      </c>
      <c r="K1582" s="1">
        <f t="shared" si="200"/>
        <v>7245</v>
      </c>
      <c r="L1582" s="1">
        <f t="shared" si="197"/>
        <v>1666.3500000000001</v>
      </c>
      <c r="M1582" s="22">
        <f t="shared" si="201"/>
        <v>8911.35</v>
      </c>
      <c r="N1582" s="1">
        <f t="shared" ca="1" si="198"/>
        <v>1</v>
      </c>
      <c r="P1582" s="1">
        <v>69.198887457605451</v>
      </c>
      <c r="Q1582" s="1">
        <f t="shared" ca="1" si="199"/>
        <v>9</v>
      </c>
      <c r="R1582" s="1">
        <v>11.178949560198816</v>
      </c>
    </row>
    <row r="1583" spans="1:18" x14ac:dyDescent="0.3">
      <c r="A1583" s="26">
        <v>1582</v>
      </c>
      <c r="B1583" s="1">
        <v>24</v>
      </c>
      <c r="C1583" s="1">
        <f t="shared" si="195"/>
        <v>8</v>
      </c>
      <c r="D1583" s="21">
        <f t="shared" ca="1" si="194"/>
        <v>44644</v>
      </c>
      <c r="E1583" s="1" t="s">
        <v>26</v>
      </c>
      <c r="F1583" s="1" t="s">
        <v>1611</v>
      </c>
      <c r="G1583" s="1" t="s">
        <v>28</v>
      </c>
      <c r="H1583" s="1">
        <v>1681</v>
      </c>
      <c r="I1583" s="1">
        <f t="shared" si="196"/>
        <v>45</v>
      </c>
      <c r="J1583" s="1">
        <f>VLOOKUP(B1583,Cena!$A$2:$B$101,2)</f>
        <v>125</v>
      </c>
      <c r="K1583" s="1">
        <f t="shared" si="200"/>
        <v>5625</v>
      </c>
      <c r="L1583" s="1">
        <f t="shared" si="197"/>
        <v>1293.75</v>
      </c>
      <c r="M1583" s="22">
        <f t="shared" si="201"/>
        <v>6918.75</v>
      </c>
      <c r="N1583" s="1">
        <f t="shared" ca="1" si="198"/>
        <v>3</v>
      </c>
      <c r="P1583" s="1">
        <v>45.109919836977497</v>
      </c>
      <c r="Q1583" s="1">
        <f t="shared" ca="1" si="199"/>
        <v>12</v>
      </c>
      <c r="R1583" s="1">
        <v>8.9224818364164094</v>
      </c>
    </row>
    <row r="1584" spans="1:18" x14ac:dyDescent="0.3">
      <c r="A1584" s="26">
        <v>1583</v>
      </c>
      <c r="B1584" s="1">
        <v>2</v>
      </c>
      <c r="C1584" s="1">
        <f t="shared" si="195"/>
        <v>12</v>
      </c>
      <c r="D1584" s="21">
        <f t="shared" ca="1" si="194"/>
        <v>44782</v>
      </c>
      <c r="E1584" s="1" t="s">
        <v>26</v>
      </c>
      <c r="F1584" s="1" t="s">
        <v>1612</v>
      </c>
      <c r="G1584" s="1" t="s">
        <v>28</v>
      </c>
      <c r="H1584" s="1">
        <v>1682</v>
      </c>
      <c r="I1584" s="1">
        <f t="shared" si="196"/>
        <v>59</v>
      </c>
      <c r="J1584" s="1">
        <f>VLOOKUP(B1584,Cena!$A$2:$B$101,2)</f>
        <v>121</v>
      </c>
      <c r="K1584" s="1">
        <f t="shared" si="200"/>
        <v>7139</v>
      </c>
      <c r="L1584" s="1">
        <f t="shared" si="197"/>
        <v>1641.97</v>
      </c>
      <c r="M1584" s="22">
        <f t="shared" si="201"/>
        <v>8780.9699999999993</v>
      </c>
      <c r="N1584" s="1">
        <f t="shared" ca="1" si="198"/>
        <v>8</v>
      </c>
      <c r="P1584" s="1">
        <v>59.411473911313806</v>
      </c>
      <c r="Q1584" s="1">
        <f t="shared" ca="1" si="199"/>
        <v>12</v>
      </c>
      <c r="R1584" s="1">
        <v>12.827442813213565</v>
      </c>
    </row>
    <row r="1585" spans="1:18" x14ac:dyDescent="0.3">
      <c r="A1585" s="26">
        <v>1584</v>
      </c>
      <c r="B1585" s="1">
        <v>20</v>
      </c>
      <c r="C1585" s="1">
        <f t="shared" si="195"/>
        <v>6</v>
      </c>
      <c r="D1585" s="21">
        <f t="shared" ca="1" si="194"/>
        <v>44890</v>
      </c>
      <c r="E1585" s="1" t="s">
        <v>26</v>
      </c>
      <c r="F1585" s="1" t="s">
        <v>1613</v>
      </c>
      <c r="G1585" s="1" t="s">
        <v>28</v>
      </c>
      <c r="H1585" s="1">
        <v>1683</v>
      </c>
      <c r="I1585" s="1">
        <f t="shared" si="196"/>
        <v>40</v>
      </c>
      <c r="J1585" s="1">
        <f>VLOOKUP(B1585,Cena!$A$2:$B$101,2)</f>
        <v>111</v>
      </c>
      <c r="K1585" s="1">
        <f t="shared" si="200"/>
        <v>4440</v>
      </c>
      <c r="L1585" s="1">
        <f t="shared" si="197"/>
        <v>1021.2</v>
      </c>
      <c r="M1585" s="22">
        <f t="shared" si="201"/>
        <v>5461.2</v>
      </c>
      <c r="N1585" s="1">
        <f t="shared" ca="1" si="198"/>
        <v>11</v>
      </c>
      <c r="P1585" s="1">
        <v>40.303581398620736</v>
      </c>
      <c r="Q1585" s="1">
        <f t="shared" ca="1" si="199"/>
        <v>10</v>
      </c>
      <c r="R1585" s="1">
        <v>6.2434685585321859</v>
      </c>
    </row>
    <row r="1586" spans="1:18" x14ac:dyDescent="0.3">
      <c r="A1586" s="26">
        <v>1585</v>
      </c>
      <c r="B1586" s="1">
        <v>27</v>
      </c>
      <c r="C1586" s="1">
        <f t="shared" si="195"/>
        <v>11</v>
      </c>
      <c r="D1586" s="21">
        <f t="shared" ca="1" si="194"/>
        <v>44767</v>
      </c>
      <c r="E1586" s="1" t="s">
        <v>26</v>
      </c>
      <c r="F1586" s="1" t="s">
        <v>1614</v>
      </c>
      <c r="G1586" s="1" t="s">
        <v>28</v>
      </c>
      <c r="H1586" s="1">
        <v>1684</v>
      </c>
      <c r="I1586" s="1">
        <f t="shared" si="196"/>
        <v>51</v>
      </c>
      <c r="J1586" s="1">
        <f>VLOOKUP(B1586,Cena!$A$2:$B$101,2)</f>
        <v>87</v>
      </c>
      <c r="K1586" s="1">
        <f t="shared" si="200"/>
        <v>4437</v>
      </c>
      <c r="L1586" s="1">
        <f t="shared" si="197"/>
        <v>1020.51</v>
      </c>
      <c r="M1586" s="22">
        <f t="shared" si="201"/>
        <v>5457.51</v>
      </c>
      <c r="N1586" s="1">
        <f t="shared" ca="1" si="198"/>
        <v>7</v>
      </c>
      <c r="P1586" s="1">
        <v>51.244393388333265</v>
      </c>
      <c r="Q1586" s="1">
        <f t="shared" ca="1" si="199"/>
        <v>11</v>
      </c>
      <c r="R1586" s="1">
        <v>11.227050461238832</v>
      </c>
    </row>
    <row r="1587" spans="1:18" x14ac:dyDescent="0.3">
      <c r="A1587" s="26">
        <v>1586</v>
      </c>
      <c r="B1587" s="1">
        <v>25</v>
      </c>
      <c r="C1587" s="1">
        <f t="shared" si="195"/>
        <v>12</v>
      </c>
      <c r="D1587" s="21">
        <f t="shared" ca="1" si="194"/>
        <v>44792</v>
      </c>
      <c r="E1587" s="1" t="s">
        <v>26</v>
      </c>
      <c r="F1587" s="1" t="s">
        <v>1615</v>
      </c>
      <c r="G1587" s="1" t="s">
        <v>28</v>
      </c>
      <c r="H1587" s="1">
        <v>1685</v>
      </c>
      <c r="I1587" s="1">
        <f t="shared" si="196"/>
        <v>51</v>
      </c>
      <c r="J1587" s="1">
        <f>VLOOKUP(B1587,Cena!$A$2:$B$101,2)</f>
        <v>108</v>
      </c>
      <c r="K1587" s="1">
        <f t="shared" si="200"/>
        <v>5508</v>
      </c>
      <c r="L1587" s="1">
        <f t="shared" si="197"/>
        <v>1266.8400000000001</v>
      </c>
      <c r="M1587" s="22">
        <f t="shared" si="201"/>
        <v>6774.84</v>
      </c>
      <c r="N1587" s="1">
        <f t="shared" ca="1" si="198"/>
        <v>8</v>
      </c>
      <c r="P1587" s="1">
        <v>51.233593138749711</v>
      </c>
      <c r="Q1587" s="1">
        <f t="shared" ca="1" si="199"/>
        <v>30</v>
      </c>
      <c r="R1587" s="1">
        <v>12.063291049125837</v>
      </c>
    </row>
    <row r="1588" spans="1:18" x14ac:dyDescent="0.3">
      <c r="A1588" s="26">
        <v>1587</v>
      </c>
      <c r="B1588" s="1">
        <v>19</v>
      </c>
      <c r="C1588" s="1">
        <f t="shared" si="195"/>
        <v>8</v>
      </c>
      <c r="D1588" s="21">
        <f t="shared" ca="1" si="194"/>
        <v>44699</v>
      </c>
      <c r="E1588" s="1" t="s">
        <v>26</v>
      </c>
      <c r="F1588" s="1" t="s">
        <v>1616</v>
      </c>
      <c r="G1588" s="1" t="s">
        <v>28</v>
      </c>
      <c r="H1588" s="1">
        <v>1686</v>
      </c>
      <c r="I1588" s="1">
        <f t="shared" si="196"/>
        <v>50</v>
      </c>
      <c r="J1588" s="1">
        <f>VLOOKUP(B1588,Cena!$A$2:$B$101,2)</f>
        <v>84</v>
      </c>
      <c r="K1588" s="1">
        <f t="shared" si="200"/>
        <v>4200</v>
      </c>
      <c r="L1588" s="1">
        <f t="shared" si="197"/>
        <v>966</v>
      </c>
      <c r="M1588" s="22">
        <f t="shared" si="201"/>
        <v>5166</v>
      </c>
      <c r="N1588" s="1">
        <f t="shared" ca="1" si="198"/>
        <v>5</v>
      </c>
      <c r="P1588" s="1">
        <v>50.908903530216776</v>
      </c>
      <c r="Q1588" s="1">
        <f t="shared" ca="1" si="199"/>
        <v>15</v>
      </c>
      <c r="R1588" s="1">
        <v>8.431556491595984</v>
      </c>
    </row>
    <row r="1589" spans="1:18" x14ac:dyDescent="0.3">
      <c r="A1589" s="26">
        <v>1588</v>
      </c>
      <c r="B1589" s="1">
        <v>16</v>
      </c>
      <c r="C1589" s="1">
        <f t="shared" si="195"/>
        <v>12</v>
      </c>
      <c r="D1589" s="21">
        <f t="shared" ca="1" si="194"/>
        <v>44565</v>
      </c>
      <c r="E1589" s="1" t="s">
        <v>26</v>
      </c>
      <c r="F1589" s="1" t="s">
        <v>1617</v>
      </c>
      <c r="G1589" s="1" t="s">
        <v>28</v>
      </c>
      <c r="H1589" s="1">
        <v>1687</v>
      </c>
      <c r="I1589" s="1">
        <f t="shared" si="196"/>
        <v>58</v>
      </c>
      <c r="J1589" s="1">
        <f>VLOOKUP(B1589,Cena!$A$2:$B$101,2)</f>
        <v>93</v>
      </c>
      <c r="K1589" s="1">
        <f t="shared" si="200"/>
        <v>5394</v>
      </c>
      <c r="L1589" s="1">
        <f t="shared" si="197"/>
        <v>1240.6200000000001</v>
      </c>
      <c r="M1589" s="22">
        <f t="shared" si="201"/>
        <v>6634.62</v>
      </c>
      <c r="N1589" s="1">
        <f t="shared" ca="1" si="198"/>
        <v>1</v>
      </c>
      <c r="P1589" s="1">
        <v>58.854249244905077</v>
      </c>
      <c r="Q1589" s="1">
        <f t="shared" ca="1" si="199"/>
        <v>4</v>
      </c>
      <c r="R1589" s="1">
        <v>12.658470066307927</v>
      </c>
    </row>
    <row r="1590" spans="1:18" x14ac:dyDescent="0.3">
      <c r="A1590" s="26">
        <v>1589</v>
      </c>
      <c r="B1590" s="1">
        <v>14</v>
      </c>
      <c r="C1590" s="1">
        <f t="shared" si="195"/>
        <v>9</v>
      </c>
      <c r="D1590" s="21">
        <f t="shared" ca="1" si="194"/>
        <v>44645</v>
      </c>
      <c r="E1590" s="1" t="s">
        <v>26</v>
      </c>
      <c r="F1590" s="1" t="s">
        <v>1618</v>
      </c>
      <c r="G1590" s="1" t="s">
        <v>28</v>
      </c>
      <c r="H1590" s="1">
        <v>1688</v>
      </c>
      <c r="I1590" s="1">
        <f t="shared" si="196"/>
        <v>41</v>
      </c>
      <c r="J1590" s="1">
        <f>VLOOKUP(B1590,Cena!$A$2:$B$101,2)</f>
        <v>129</v>
      </c>
      <c r="K1590" s="1">
        <f t="shared" si="200"/>
        <v>5289</v>
      </c>
      <c r="L1590" s="1">
        <f t="shared" si="197"/>
        <v>1216.47</v>
      </c>
      <c r="M1590" s="22">
        <f t="shared" si="201"/>
        <v>6505.47</v>
      </c>
      <c r="N1590" s="1">
        <f t="shared" ca="1" si="198"/>
        <v>3</v>
      </c>
      <c r="P1590" s="1">
        <v>41.169488566811197</v>
      </c>
      <c r="Q1590" s="1">
        <f t="shared" ca="1" si="199"/>
        <v>12</v>
      </c>
      <c r="R1590" s="1">
        <v>9.739145550847752</v>
      </c>
    </row>
    <row r="1591" spans="1:18" x14ac:dyDescent="0.3">
      <c r="A1591" s="26">
        <v>1590</v>
      </c>
      <c r="B1591" s="1">
        <v>9</v>
      </c>
      <c r="C1591" s="1">
        <f t="shared" si="195"/>
        <v>13</v>
      </c>
      <c r="D1591" s="21">
        <f t="shared" ca="1" si="194"/>
        <v>44722</v>
      </c>
      <c r="E1591" s="1" t="s">
        <v>26</v>
      </c>
      <c r="F1591" s="1" t="s">
        <v>1619</v>
      </c>
      <c r="G1591" s="1" t="s">
        <v>28</v>
      </c>
      <c r="H1591" s="1">
        <v>1689</v>
      </c>
      <c r="I1591" s="1">
        <f t="shared" si="196"/>
        <v>41</v>
      </c>
      <c r="J1591" s="1">
        <f>VLOOKUP(B1591,Cena!$A$2:$B$101,2)</f>
        <v>96</v>
      </c>
      <c r="K1591" s="1">
        <f t="shared" si="200"/>
        <v>3936</v>
      </c>
      <c r="L1591" s="1">
        <f t="shared" si="197"/>
        <v>905.28000000000009</v>
      </c>
      <c r="M1591" s="22">
        <f t="shared" si="201"/>
        <v>4841.28</v>
      </c>
      <c r="N1591" s="1">
        <f t="shared" ca="1" si="198"/>
        <v>6</v>
      </c>
      <c r="P1591" s="1">
        <v>41.590982517664088</v>
      </c>
      <c r="Q1591" s="1">
        <f t="shared" ca="1" si="199"/>
        <v>9</v>
      </c>
      <c r="R1591" s="1">
        <v>13.158629624522291</v>
      </c>
    </row>
    <row r="1592" spans="1:18" x14ac:dyDescent="0.3">
      <c r="A1592" s="26">
        <v>1591</v>
      </c>
      <c r="B1592" s="1">
        <v>21</v>
      </c>
      <c r="C1592" s="1">
        <f t="shared" si="195"/>
        <v>8</v>
      </c>
      <c r="D1592" s="21">
        <f t="shared" ca="1" si="194"/>
        <v>44749</v>
      </c>
      <c r="E1592" s="1" t="s">
        <v>26</v>
      </c>
      <c r="F1592" s="1" t="s">
        <v>1620</v>
      </c>
      <c r="G1592" s="1" t="s">
        <v>28</v>
      </c>
      <c r="H1592" s="1">
        <v>1690</v>
      </c>
      <c r="I1592" s="1">
        <f t="shared" si="196"/>
        <v>70</v>
      </c>
      <c r="J1592" s="1">
        <f>VLOOKUP(B1592,Cena!$A$2:$B$101,2)</f>
        <v>105</v>
      </c>
      <c r="K1592" s="1">
        <f t="shared" si="200"/>
        <v>7350</v>
      </c>
      <c r="L1592" s="1">
        <f t="shared" si="197"/>
        <v>1690.5</v>
      </c>
      <c r="M1592" s="22">
        <f t="shared" si="201"/>
        <v>9040.5</v>
      </c>
      <c r="N1592" s="1">
        <f t="shared" ca="1" si="198"/>
        <v>7</v>
      </c>
      <c r="P1592" s="1">
        <v>70.772131392732263</v>
      </c>
      <c r="Q1592" s="1">
        <f t="shared" ca="1" si="199"/>
        <v>11</v>
      </c>
      <c r="R1592" s="1">
        <v>8.1900145940016955</v>
      </c>
    </row>
    <row r="1593" spans="1:18" x14ac:dyDescent="0.3">
      <c r="A1593" s="26">
        <v>1592</v>
      </c>
      <c r="B1593" s="1">
        <v>30</v>
      </c>
      <c r="C1593" s="1">
        <f t="shared" si="195"/>
        <v>10</v>
      </c>
      <c r="D1593" s="21">
        <f t="shared" ca="1" si="194"/>
        <v>44846</v>
      </c>
      <c r="E1593" s="1" t="s">
        <v>26</v>
      </c>
      <c r="F1593" s="1" t="s">
        <v>1621</v>
      </c>
      <c r="G1593" s="1" t="s">
        <v>28</v>
      </c>
      <c r="H1593" s="1">
        <v>1691</v>
      </c>
      <c r="I1593" s="1">
        <f t="shared" si="196"/>
        <v>69</v>
      </c>
      <c r="J1593" s="1">
        <f>VLOOKUP(B1593,Cena!$A$2:$B$101,2)</f>
        <v>87</v>
      </c>
      <c r="K1593" s="1">
        <f t="shared" si="200"/>
        <v>6003</v>
      </c>
      <c r="L1593" s="1">
        <f t="shared" si="197"/>
        <v>1380.69</v>
      </c>
      <c r="M1593" s="22">
        <f t="shared" si="201"/>
        <v>7383.6900000000005</v>
      </c>
      <c r="N1593" s="1">
        <f t="shared" ca="1" si="198"/>
        <v>10</v>
      </c>
      <c r="P1593" s="1">
        <v>69.141225493513048</v>
      </c>
      <c r="Q1593" s="1">
        <f t="shared" ca="1" si="199"/>
        <v>2</v>
      </c>
      <c r="R1593" s="1">
        <v>10.622668494543177</v>
      </c>
    </row>
    <row r="1594" spans="1:18" x14ac:dyDescent="0.3">
      <c r="A1594" s="26">
        <v>1593</v>
      </c>
      <c r="B1594" s="1">
        <v>9</v>
      </c>
      <c r="C1594" s="1">
        <f t="shared" si="195"/>
        <v>12</v>
      </c>
      <c r="D1594" s="21">
        <f t="shared" ca="1" si="194"/>
        <v>44725</v>
      </c>
      <c r="E1594" s="1" t="s">
        <v>26</v>
      </c>
      <c r="F1594" s="1" t="s">
        <v>1622</v>
      </c>
      <c r="G1594" s="1" t="s">
        <v>28</v>
      </c>
      <c r="H1594" s="1">
        <v>1692</v>
      </c>
      <c r="I1594" s="1">
        <f t="shared" si="196"/>
        <v>39</v>
      </c>
      <c r="J1594" s="1">
        <f>VLOOKUP(B1594,Cena!$A$2:$B$101,2)</f>
        <v>96</v>
      </c>
      <c r="K1594" s="1">
        <f t="shared" si="200"/>
        <v>3744</v>
      </c>
      <c r="L1594" s="1">
        <f t="shared" si="197"/>
        <v>861.12</v>
      </c>
      <c r="M1594" s="22">
        <f t="shared" si="201"/>
        <v>4605.12</v>
      </c>
      <c r="N1594" s="1">
        <f t="shared" ca="1" si="198"/>
        <v>6</v>
      </c>
      <c r="P1594" s="1">
        <v>39.867114891239908</v>
      </c>
      <c r="Q1594" s="1">
        <f t="shared" ca="1" si="199"/>
        <v>10</v>
      </c>
      <c r="R1594" s="1">
        <v>12.806518750730902</v>
      </c>
    </row>
    <row r="1595" spans="1:18" x14ac:dyDescent="0.3">
      <c r="A1595" s="26">
        <v>1594</v>
      </c>
      <c r="B1595" s="1">
        <v>2</v>
      </c>
      <c r="C1595" s="1">
        <f t="shared" si="195"/>
        <v>15</v>
      </c>
      <c r="D1595" s="21">
        <f t="shared" ca="1" si="194"/>
        <v>44655</v>
      </c>
      <c r="E1595" s="1" t="s">
        <v>26</v>
      </c>
      <c r="F1595" s="1" t="s">
        <v>1623</v>
      </c>
      <c r="G1595" s="1" t="s">
        <v>28</v>
      </c>
      <c r="H1595" s="1">
        <v>1693</v>
      </c>
      <c r="I1595" s="1">
        <f t="shared" si="196"/>
        <v>40</v>
      </c>
      <c r="J1595" s="1">
        <f>VLOOKUP(B1595,Cena!$A$2:$B$101,2)</f>
        <v>121</v>
      </c>
      <c r="K1595" s="1">
        <f t="shared" si="200"/>
        <v>4840</v>
      </c>
      <c r="L1595" s="1">
        <f t="shared" si="197"/>
        <v>1113.2</v>
      </c>
      <c r="M1595" s="22">
        <f t="shared" si="201"/>
        <v>5953.2</v>
      </c>
      <c r="N1595" s="1">
        <f t="shared" ca="1" si="198"/>
        <v>4</v>
      </c>
      <c r="P1595" s="1">
        <v>40.168021213321481</v>
      </c>
      <c r="Q1595" s="1">
        <f t="shared" ca="1" si="199"/>
        <v>14</v>
      </c>
      <c r="R1595" s="1">
        <v>15.724450602428988</v>
      </c>
    </row>
    <row r="1596" spans="1:18" x14ac:dyDescent="0.3">
      <c r="A1596" s="26">
        <v>1595</v>
      </c>
      <c r="B1596" s="1">
        <v>16</v>
      </c>
      <c r="C1596" s="1">
        <f t="shared" si="195"/>
        <v>8</v>
      </c>
      <c r="D1596" s="21">
        <f t="shared" ca="1" si="194"/>
        <v>44725</v>
      </c>
      <c r="E1596" s="1" t="s">
        <v>26</v>
      </c>
      <c r="F1596" s="1" t="s">
        <v>1624</v>
      </c>
      <c r="G1596" s="1" t="s">
        <v>28</v>
      </c>
      <c r="H1596" s="1">
        <v>1694</v>
      </c>
      <c r="I1596" s="1">
        <f t="shared" si="196"/>
        <v>62</v>
      </c>
      <c r="J1596" s="1">
        <f>VLOOKUP(B1596,Cena!$A$2:$B$101,2)</f>
        <v>93</v>
      </c>
      <c r="K1596" s="1">
        <f t="shared" si="200"/>
        <v>5766</v>
      </c>
      <c r="L1596" s="1">
        <f t="shared" si="197"/>
        <v>1326.18</v>
      </c>
      <c r="M1596" s="22">
        <f t="shared" si="201"/>
        <v>7092.18</v>
      </c>
      <c r="N1596" s="1">
        <f t="shared" ca="1" si="198"/>
        <v>6</v>
      </c>
      <c r="P1596" s="1">
        <v>62.202826837892644</v>
      </c>
      <c r="Q1596" s="1">
        <f t="shared" ca="1" si="199"/>
        <v>16</v>
      </c>
      <c r="R1596" s="1">
        <v>8.509503029708867</v>
      </c>
    </row>
    <row r="1597" spans="1:18" x14ac:dyDescent="0.3">
      <c r="A1597" s="26">
        <v>1596</v>
      </c>
      <c r="B1597" s="1">
        <v>13</v>
      </c>
      <c r="C1597" s="1">
        <f t="shared" si="195"/>
        <v>10</v>
      </c>
      <c r="D1597" s="21">
        <f t="shared" ca="1" si="194"/>
        <v>44611</v>
      </c>
      <c r="E1597" s="1" t="s">
        <v>26</v>
      </c>
      <c r="F1597" s="1" t="s">
        <v>1625</v>
      </c>
      <c r="G1597" s="1" t="s">
        <v>28</v>
      </c>
      <c r="H1597" s="1">
        <v>1695</v>
      </c>
      <c r="I1597" s="1">
        <f t="shared" si="196"/>
        <v>55</v>
      </c>
      <c r="J1597" s="1">
        <f>VLOOKUP(B1597,Cena!$A$2:$B$101,2)</f>
        <v>94</v>
      </c>
      <c r="K1597" s="1">
        <f t="shared" si="200"/>
        <v>5170</v>
      </c>
      <c r="L1597" s="1">
        <f t="shared" si="197"/>
        <v>1189.1000000000001</v>
      </c>
      <c r="M1597" s="22">
        <f t="shared" si="201"/>
        <v>6359.1</v>
      </c>
      <c r="N1597" s="1">
        <f t="shared" ca="1" si="198"/>
        <v>2</v>
      </c>
      <c r="P1597" s="1">
        <v>55.49415517525631</v>
      </c>
      <c r="Q1597" s="1">
        <f t="shared" ca="1" si="199"/>
        <v>28</v>
      </c>
      <c r="R1597" s="1">
        <v>10.960307033892605</v>
      </c>
    </row>
    <row r="1598" spans="1:18" x14ac:dyDescent="0.3">
      <c r="A1598" s="26">
        <v>1597</v>
      </c>
      <c r="B1598" s="1">
        <v>18</v>
      </c>
      <c r="C1598" s="1">
        <f t="shared" si="195"/>
        <v>12</v>
      </c>
      <c r="D1598" s="21">
        <f t="shared" ca="1" si="194"/>
        <v>44852</v>
      </c>
      <c r="E1598" s="1" t="s">
        <v>26</v>
      </c>
      <c r="F1598" s="1" t="s">
        <v>1626</v>
      </c>
      <c r="G1598" s="1" t="s">
        <v>28</v>
      </c>
      <c r="H1598" s="1">
        <v>1696</v>
      </c>
      <c r="I1598" s="1">
        <f t="shared" si="196"/>
        <v>31</v>
      </c>
      <c r="J1598" s="1">
        <f>VLOOKUP(B1598,Cena!$A$2:$B$101,2)</f>
        <v>90</v>
      </c>
      <c r="K1598" s="1">
        <f t="shared" si="200"/>
        <v>2790</v>
      </c>
      <c r="L1598" s="1">
        <f t="shared" si="197"/>
        <v>641.70000000000005</v>
      </c>
      <c r="M1598" s="22">
        <f t="shared" si="201"/>
        <v>3431.7</v>
      </c>
      <c r="N1598" s="1">
        <f t="shared" ca="1" si="198"/>
        <v>10</v>
      </c>
      <c r="P1598" s="1">
        <v>31.201017362764105</v>
      </c>
      <c r="Q1598" s="1">
        <f t="shared" ca="1" si="199"/>
        <v>16</v>
      </c>
      <c r="R1598" s="1">
        <v>12.215546146544511</v>
      </c>
    </row>
    <row r="1599" spans="1:18" x14ac:dyDescent="0.3">
      <c r="A1599" s="26">
        <v>1598</v>
      </c>
      <c r="B1599" s="1">
        <v>15</v>
      </c>
      <c r="C1599" s="1">
        <f t="shared" si="195"/>
        <v>4</v>
      </c>
      <c r="D1599" s="21">
        <f t="shared" ca="1" si="194"/>
        <v>44852</v>
      </c>
      <c r="E1599" s="1" t="s">
        <v>26</v>
      </c>
      <c r="F1599" s="1" t="s">
        <v>1627</v>
      </c>
      <c r="G1599" s="1" t="s">
        <v>28</v>
      </c>
      <c r="H1599" s="1">
        <v>1697</v>
      </c>
      <c r="I1599" s="1">
        <f t="shared" si="196"/>
        <v>62</v>
      </c>
      <c r="J1599" s="1">
        <f>VLOOKUP(B1599,Cena!$A$2:$B$101,2)</f>
        <v>85</v>
      </c>
      <c r="K1599" s="1">
        <f t="shared" si="200"/>
        <v>5270</v>
      </c>
      <c r="L1599" s="1">
        <f t="shared" si="197"/>
        <v>1212.1000000000001</v>
      </c>
      <c r="M1599" s="22">
        <f t="shared" si="201"/>
        <v>6482.1</v>
      </c>
      <c r="N1599" s="1">
        <f t="shared" ca="1" si="198"/>
        <v>10</v>
      </c>
      <c r="P1599" s="1">
        <v>62.730242815450765</v>
      </c>
      <c r="Q1599" s="1">
        <f t="shared" ca="1" si="199"/>
        <v>1</v>
      </c>
      <c r="R1599" s="1">
        <v>4.3903731036698446</v>
      </c>
    </row>
    <row r="1600" spans="1:18" x14ac:dyDescent="0.3">
      <c r="A1600" s="26">
        <v>1599</v>
      </c>
      <c r="B1600" s="1">
        <v>18</v>
      </c>
      <c r="C1600" s="1">
        <f t="shared" si="195"/>
        <v>8</v>
      </c>
      <c r="D1600" s="21">
        <f t="shared" ca="1" si="194"/>
        <v>44885</v>
      </c>
      <c r="E1600" s="1" t="s">
        <v>26</v>
      </c>
      <c r="F1600" s="1" t="s">
        <v>1628</v>
      </c>
      <c r="G1600" s="1" t="s">
        <v>28</v>
      </c>
      <c r="H1600" s="1">
        <v>1698</v>
      </c>
      <c r="I1600" s="1">
        <f t="shared" si="196"/>
        <v>57</v>
      </c>
      <c r="J1600" s="1">
        <f>VLOOKUP(B1600,Cena!$A$2:$B$101,2)</f>
        <v>90</v>
      </c>
      <c r="K1600" s="1">
        <f t="shared" si="200"/>
        <v>5130</v>
      </c>
      <c r="L1600" s="1">
        <f t="shared" si="197"/>
        <v>1179.9000000000001</v>
      </c>
      <c r="M1600" s="22">
        <f t="shared" si="201"/>
        <v>6309.9</v>
      </c>
      <c r="N1600" s="1">
        <f t="shared" ca="1" si="198"/>
        <v>11</v>
      </c>
      <c r="P1600" s="1">
        <v>57.359767550951801</v>
      </c>
      <c r="Q1600" s="1">
        <f t="shared" ca="1" si="199"/>
        <v>26</v>
      </c>
      <c r="R1600" s="1">
        <v>8.0672669153136667</v>
      </c>
    </row>
    <row r="1601" spans="1:18" x14ac:dyDescent="0.3">
      <c r="A1601" s="26">
        <v>1600</v>
      </c>
      <c r="B1601" s="1">
        <v>20</v>
      </c>
      <c r="C1601" s="1">
        <f t="shared" si="195"/>
        <v>6</v>
      </c>
      <c r="D1601" s="21">
        <f t="shared" ca="1" si="194"/>
        <v>44725</v>
      </c>
      <c r="E1601" s="1" t="s">
        <v>26</v>
      </c>
      <c r="F1601" s="1" t="s">
        <v>1629</v>
      </c>
      <c r="G1601" s="1" t="s">
        <v>28</v>
      </c>
      <c r="H1601" s="1">
        <v>1699</v>
      </c>
      <c r="I1601" s="1">
        <f t="shared" si="196"/>
        <v>44</v>
      </c>
      <c r="J1601" s="1">
        <f>VLOOKUP(B1601,Cena!$A$2:$B$101,2)</f>
        <v>111</v>
      </c>
      <c r="K1601" s="1">
        <f t="shared" si="200"/>
        <v>4884</v>
      </c>
      <c r="L1601" s="1">
        <f t="shared" si="197"/>
        <v>1123.32</v>
      </c>
      <c r="M1601" s="22">
        <f t="shared" si="201"/>
        <v>6007.32</v>
      </c>
      <c r="N1601" s="1">
        <f t="shared" ca="1" si="198"/>
        <v>6</v>
      </c>
      <c r="P1601" s="1">
        <v>44.961945048999041</v>
      </c>
      <c r="Q1601" s="1">
        <f t="shared" ca="1" si="199"/>
        <v>24</v>
      </c>
      <c r="R1601" s="1">
        <v>6.0389914122060873</v>
      </c>
    </row>
    <row r="1602" spans="1:18" x14ac:dyDescent="0.3">
      <c r="A1602" s="26">
        <v>1601</v>
      </c>
      <c r="B1602" s="1">
        <v>21</v>
      </c>
      <c r="C1602" s="1">
        <f t="shared" si="195"/>
        <v>4</v>
      </c>
      <c r="D1602" s="21">
        <f t="shared" ref="D1602:D1665" ca="1" si="202">DATE(2022,RANDBETWEEN(1,12),RANDBETWEEN(1,28))</f>
        <v>44614</v>
      </c>
      <c r="E1602" s="1" t="s">
        <v>26</v>
      </c>
      <c r="F1602" s="1" t="s">
        <v>1630</v>
      </c>
      <c r="G1602" s="1" t="s">
        <v>28</v>
      </c>
      <c r="H1602" s="1">
        <v>1700</v>
      </c>
      <c r="I1602" s="1">
        <f t="shared" si="196"/>
        <v>26</v>
      </c>
      <c r="J1602" s="1">
        <f>VLOOKUP(B1602,Cena!$A$2:$B$101,2)</f>
        <v>105</v>
      </c>
      <c r="K1602" s="1">
        <f t="shared" si="200"/>
        <v>2730</v>
      </c>
      <c r="L1602" s="1">
        <f t="shared" si="197"/>
        <v>627.9</v>
      </c>
      <c r="M1602" s="22">
        <f t="shared" si="201"/>
        <v>3357.9</v>
      </c>
      <c r="N1602" s="1">
        <f t="shared" ca="1" si="198"/>
        <v>2</v>
      </c>
      <c r="P1602" s="1">
        <v>26.740218698978424</v>
      </c>
      <c r="Q1602" s="1">
        <f t="shared" ca="1" si="199"/>
        <v>3</v>
      </c>
      <c r="R1602" s="1">
        <v>4.9993707559769973</v>
      </c>
    </row>
    <row r="1603" spans="1:18" x14ac:dyDescent="0.3">
      <c r="A1603" s="26">
        <v>1602</v>
      </c>
      <c r="B1603" s="1">
        <v>15</v>
      </c>
      <c r="C1603" s="1">
        <f t="shared" ref="C1603:C1666" si="203">INT(R1603)</f>
        <v>10</v>
      </c>
      <c r="D1603" s="21">
        <f t="shared" ca="1" si="202"/>
        <v>44757</v>
      </c>
      <c r="E1603" s="1" t="s">
        <v>26</v>
      </c>
      <c r="F1603" s="1" t="s">
        <v>1631</v>
      </c>
      <c r="G1603" s="1" t="s">
        <v>28</v>
      </c>
      <c r="H1603" s="1">
        <v>1701</v>
      </c>
      <c r="I1603" s="1">
        <f t="shared" ref="I1603:I1666" si="204">INT(P1603)</f>
        <v>39</v>
      </c>
      <c r="J1603" s="1">
        <f>VLOOKUP(B1603,Cena!$A$2:$B$101,2)</f>
        <v>85</v>
      </c>
      <c r="K1603" s="1">
        <f t="shared" si="200"/>
        <v>3315</v>
      </c>
      <c r="L1603" s="1">
        <f t="shared" ref="L1603:L1666" si="205">K1603*23%</f>
        <v>762.45</v>
      </c>
      <c r="M1603" s="22">
        <f t="shared" si="201"/>
        <v>4077.45</v>
      </c>
      <c r="N1603" s="1">
        <f t="shared" ref="N1603:N1666" ca="1" si="206">MONTH(D1603)</f>
        <v>7</v>
      </c>
      <c r="P1603" s="1">
        <v>39.589673532464076</v>
      </c>
      <c r="Q1603" s="1">
        <f t="shared" ref="Q1603:Q1666" ca="1" si="207">RANDBETWEEN(1,30)</f>
        <v>19</v>
      </c>
      <c r="R1603" s="1">
        <v>10.863821014718269</v>
      </c>
    </row>
    <row r="1604" spans="1:18" x14ac:dyDescent="0.3">
      <c r="A1604" s="26">
        <v>1603</v>
      </c>
      <c r="B1604" s="1">
        <v>25</v>
      </c>
      <c r="C1604" s="1">
        <f t="shared" si="203"/>
        <v>13</v>
      </c>
      <c r="D1604" s="21">
        <f t="shared" ca="1" si="202"/>
        <v>44706</v>
      </c>
      <c r="E1604" s="1" t="s">
        <v>26</v>
      </c>
      <c r="F1604" s="1" t="s">
        <v>1632</v>
      </c>
      <c r="G1604" s="1" t="s">
        <v>28</v>
      </c>
      <c r="H1604" s="1">
        <v>1702</v>
      </c>
      <c r="I1604" s="1">
        <f t="shared" si="204"/>
        <v>62</v>
      </c>
      <c r="J1604" s="1">
        <f>VLOOKUP(B1604,Cena!$A$2:$B$101,2)</f>
        <v>108</v>
      </c>
      <c r="K1604" s="1">
        <f t="shared" si="200"/>
        <v>6696</v>
      </c>
      <c r="L1604" s="1">
        <f t="shared" si="205"/>
        <v>1540.0800000000002</v>
      </c>
      <c r="M1604" s="22">
        <f t="shared" si="201"/>
        <v>8236.08</v>
      </c>
      <c r="N1604" s="1">
        <f t="shared" ca="1" si="206"/>
        <v>5</v>
      </c>
      <c r="P1604" s="1">
        <v>62.478017197281588</v>
      </c>
      <c r="Q1604" s="1">
        <f t="shared" ca="1" si="207"/>
        <v>17</v>
      </c>
      <c r="R1604" s="1">
        <v>13.937702786060981</v>
      </c>
    </row>
    <row r="1605" spans="1:18" x14ac:dyDescent="0.3">
      <c r="A1605" s="26">
        <v>1604</v>
      </c>
      <c r="B1605" s="1">
        <v>20</v>
      </c>
      <c r="C1605" s="1">
        <f t="shared" si="203"/>
        <v>6</v>
      </c>
      <c r="D1605" s="21">
        <f t="shared" ca="1" si="202"/>
        <v>44670</v>
      </c>
      <c r="E1605" s="1" t="s">
        <v>26</v>
      </c>
      <c r="F1605" s="1" t="s">
        <v>1633</v>
      </c>
      <c r="G1605" s="1" t="s">
        <v>28</v>
      </c>
      <c r="H1605" s="1">
        <v>1703</v>
      </c>
      <c r="I1605" s="1">
        <f t="shared" si="204"/>
        <v>67</v>
      </c>
      <c r="J1605" s="1">
        <f>VLOOKUP(B1605,Cena!$A$2:$B$101,2)</f>
        <v>111</v>
      </c>
      <c r="K1605" s="1">
        <f t="shared" si="200"/>
        <v>7437</v>
      </c>
      <c r="L1605" s="1">
        <f t="shared" si="205"/>
        <v>1710.51</v>
      </c>
      <c r="M1605" s="22">
        <f t="shared" si="201"/>
        <v>9147.51</v>
      </c>
      <c r="N1605" s="1">
        <f t="shared" ca="1" si="206"/>
        <v>4</v>
      </c>
      <c r="P1605" s="1">
        <v>67.781394490157254</v>
      </c>
      <c r="Q1605" s="1">
        <f t="shared" ca="1" si="207"/>
        <v>17</v>
      </c>
      <c r="R1605" s="1">
        <v>6.0160039336187765</v>
      </c>
    </row>
    <row r="1606" spans="1:18" x14ac:dyDescent="0.3">
      <c r="A1606" s="26">
        <v>1605</v>
      </c>
      <c r="B1606" s="1">
        <v>21</v>
      </c>
      <c r="C1606" s="1">
        <f t="shared" si="203"/>
        <v>11</v>
      </c>
      <c r="D1606" s="21">
        <f t="shared" ca="1" si="202"/>
        <v>44757</v>
      </c>
      <c r="E1606" s="1" t="s">
        <v>26</v>
      </c>
      <c r="F1606" s="1" t="s">
        <v>1634</v>
      </c>
      <c r="G1606" s="1" t="s">
        <v>28</v>
      </c>
      <c r="H1606" s="1">
        <v>1704</v>
      </c>
      <c r="I1606" s="1">
        <f t="shared" si="204"/>
        <v>70</v>
      </c>
      <c r="J1606" s="1">
        <f>VLOOKUP(B1606,Cena!$A$2:$B$101,2)</f>
        <v>105</v>
      </c>
      <c r="K1606" s="1">
        <f t="shared" si="200"/>
        <v>7350</v>
      </c>
      <c r="L1606" s="1">
        <f t="shared" si="205"/>
        <v>1690.5</v>
      </c>
      <c r="M1606" s="22">
        <f t="shared" si="201"/>
        <v>9040.5</v>
      </c>
      <c r="N1606" s="1">
        <f t="shared" ca="1" si="206"/>
        <v>7</v>
      </c>
      <c r="P1606" s="1">
        <v>70.885909179924056</v>
      </c>
      <c r="Q1606" s="1">
        <f t="shared" ca="1" si="207"/>
        <v>17</v>
      </c>
      <c r="R1606" s="1">
        <v>11.360211854262161</v>
      </c>
    </row>
    <row r="1607" spans="1:18" x14ac:dyDescent="0.3">
      <c r="A1607" s="26">
        <v>1606</v>
      </c>
      <c r="B1607" s="1">
        <v>29</v>
      </c>
      <c r="C1607" s="1">
        <f t="shared" si="203"/>
        <v>16</v>
      </c>
      <c r="D1607" s="21">
        <f t="shared" ca="1" si="202"/>
        <v>44564</v>
      </c>
      <c r="E1607" s="1" t="s">
        <v>26</v>
      </c>
      <c r="F1607" s="1" t="s">
        <v>1635</v>
      </c>
      <c r="G1607" s="1" t="s">
        <v>28</v>
      </c>
      <c r="H1607" s="1">
        <v>1705</v>
      </c>
      <c r="I1607" s="1">
        <f t="shared" si="204"/>
        <v>46</v>
      </c>
      <c r="J1607" s="1">
        <f>VLOOKUP(B1607,Cena!$A$2:$B$101,2)</f>
        <v>105</v>
      </c>
      <c r="K1607" s="1">
        <f t="shared" si="200"/>
        <v>4830</v>
      </c>
      <c r="L1607" s="1">
        <f t="shared" si="205"/>
        <v>1110.9000000000001</v>
      </c>
      <c r="M1607" s="22">
        <f t="shared" si="201"/>
        <v>5940.9</v>
      </c>
      <c r="N1607" s="1">
        <f t="shared" ca="1" si="206"/>
        <v>1</v>
      </c>
      <c r="P1607" s="1">
        <v>46.083727182849543</v>
      </c>
      <c r="Q1607" s="1">
        <f t="shared" ca="1" si="207"/>
        <v>26</v>
      </c>
      <c r="R1607" s="1">
        <v>16.476329872384667</v>
      </c>
    </row>
    <row r="1608" spans="1:18" x14ac:dyDescent="0.3">
      <c r="A1608" s="26">
        <v>1607</v>
      </c>
      <c r="B1608" s="1">
        <v>23</v>
      </c>
      <c r="C1608" s="1">
        <f t="shared" si="203"/>
        <v>8</v>
      </c>
      <c r="D1608" s="21">
        <f t="shared" ca="1" si="202"/>
        <v>44905</v>
      </c>
      <c r="E1608" s="1" t="s">
        <v>26</v>
      </c>
      <c r="F1608" s="1" t="s">
        <v>1636</v>
      </c>
      <c r="G1608" s="1" t="s">
        <v>28</v>
      </c>
      <c r="H1608" s="1">
        <v>1706</v>
      </c>
      <c r="I1608" s="1">
        <f t="shared" si="204"/>
        <v>41</v>
      </c>
      <c r="J1608" s="1">
        <f>VLOOKUP(B1608,Cena!$A$2:$B$101,2)</f>
        <v>132</v>
      </c>
      <c r="K1608" s="1">
        <f t="shared" si="200"/>
        <v>5412</v>
      </c>
      <c r="L1608" s="1">
        <f t="shared" si="205"/>
        <v>1244.76</v>
      </c>
      <c r="M1608" s="22">
        <f t="shared" si="201"/>
        <v>6656.76</v>
      </c>
      <c r="N1608" s="1">
        <f t="shared" ca="1" si="206"/>
        <v>12</v>
      </c>
      <c r="P1608" s="1">
        <v>41.066215443424881</v>
      </c>
      <c r="Q1608" s="1">
        <f t="shared" ca="1" si="207"/>
        <v>28</v>
      </c>
      <c r="R1608" s="1">
        <v>8.3948299586700159</v>
      </c>
    </row>
    <row r="1609" spans="1:18" x14ac:dyDescent="0.3">
      <c r="A1609" s="26">
        <v>1608</v>
      </c>
      <c r="B1609" s="1">
        <v>17</v>
      </c>
      <c r="C1609" s="1">
        <f t="shared" si="203"/>
        <v>3</v>
      </c>
      <c r="D1609" s="21">
        <f t="shared" ca="1" si="202"/>
        <v>44869</v>
      </c>
      <c r="E1609" s="1" t="s">
        <v>26</v>
      </c>
      <c r="F1609" s="1" t="s">
        <v>1637</v>
      </c>
      <c r="G1609" s="1" t="s">
        <v>28</v>
      </c>
      <c r="H1609" s="1">
        <v>1707</v>
      </c>
      <c r="I1609" s="1">
        <f t="shared" si="204"/>
        <v>56</v>
      </c>
      <c r="J1609" s="1">
        <f>VLOOKUP(B1609,Cena!$A$2:$B$101,2)</f>
        <v>84</v>
      </c>
      <c r="K1609" s="1">
        <f t="shared" si="200"/>
        <v>4704</v>
      </c>
      <c r="L1609" s="1">
        <f t="shared" si="205"/>
        <v>1081.92</v>
      </c>
      <c r="M1609" s="22">
        <f t="shared" si="201"/>
        <v>5785.92</v>
      </c>
      <c r="N1609" s="1">
        <f t="shared" ca="1" si="206"/>
        <v>11</v>
      </c>
      <c r="P1609" s="1">
        <v>56.333493729471229</v>
      </c>
      <c r="Q1609" s="1">
        <f t="shared" ca="1" si="207"/>
        <v>16</v>
      </c>
      <c r="R1609" s="1">
        <v>3.0585545371286571</v>
      </c>
    </row>
    <row r="1610" spans="1:18" x14ac:dyDescent="0.3">
      <c r="A1610" s="26">
        <v>1609</v>
      </c>
      <c r="B1610" s="1">
        <v>23</v>
      </c>
      <c r="C1610" s="1">
        <f t="shared" si="203"/>
        <v>12</v>
      </c>
      <c r="D1610" s="21">
        <f t="shared" ca="1" si="202"/>
        <v>44777</v>
      </c>
      <c r="E1610" s="1" t="s">
        <v>26</v>
      </c>
      <c r="F1610" s="1" t="s">
        <v>1638</v>
      </c>
      <c r="G1610" s="1" t="s">
        <v>28</v>
      </c>
      <c r="H1610" s="1">
        <v>1708</v>
      </c>
      <c r="I1610" s="1">
        <f t="shared" si="204"/>
        <v>57</v>
      </c>
      <c r="J1610" s="1">
        <f>VLOOKUP(B1610,Cena!$A$2:$B$101,2)</f>
        <v>132</v>
      </c>
      <c r="K1610" s="1">
        <f t="shared" si="200"/>
        <v>7524</v>
      </c>
      <c r="L1610" s="1">
        <f t="shared" si="205"/>
        <v>1730.52</v>
      </c>
      <c r="M1610" s="22">
        <f t="shared" si="201"/>
        <v>9254.52</v>
      </c>
      <c r="N1610" s="1">
        <f t="shared" ca="1" si="206"/>
        <v>8</v>
      </c>
      <c r="P1610" s="1">
        <v>57.206176633189898</v>
      </c>
      <c r="Q1610" s="1">
        <f t="shared" ca="1" si="207"/>
        <v>13</v>
      </c>
      <c r="R1610" s="1">
        <v>12.865476744773332</v>
      </c>
    </row>
    <row r="1611" spans="1:18" x14ac:dyDescent="0.3">
      <c r="A1611" s="26">
        <v>1610</v>
      </c>
      <c r="B1611" s="1">
        <v>9</v>
      </c>
      <c r="C1611" s="1">
        <f t="shared" si="203"/>
        <v>8</v>
      </c>
      <c r="D1611" s="21">
        <f t="shared" ca="1" si="202"/>
        <v>44641</v>
      </c>
      <c r="E1611" s="1" t="s">
        <v>26</v>
      </c>
      <c r="F1611" s="1" t="s">
        <v>1639</v>
      </c>
      <c r="G1611" s="1" t="s">
        <v>28</v>
      </c>
      <c r="H1611" s="1">
        <v>1709</v>
      </c>
      <c r="I1611" s="1">
        <f t="shared" si="204"/>
        <v>50</v>
      </c>
      <c r="J1611" s="1">
        <f>VLOOKUP(B1611,Cena!$A$2:$B$101,2)</f>
        <v>96</v>
      </c>
      <c r="K1611" s="1">
        <f t="shared" si="200"/>
        <v>4800</v>
      </c>
      <c r="L1611" s="1">
        <f t="shared" si="205"/>
        <v>1104</v>
      </c>
      <c r="M1611" s="22">
        <f t="shared" si="201"/>
        <v>5904</v>
      </c>
      <c r="N1611" s="1">
        <f t="shared" ca="1" si="206"/>
        <v>3</v>
      </c>
      <c r="P1611" s="1">
        <v>50.274280864687171</v>
      </c>
      <c r="Q1611" s="1">
        <f t="shared" ca="1" si="207"/>
        <v>19</v>
      </c>
      <c r="R1611" s="1">
        <v>8.8833138786503696</v>
      </c>
    </row>
    <row r="1612" spans="1:18" x14ac:dyDescent="0.3">
      <c r="A1612" s="26">
        <v>1611</v>
      </c>
      <c r="B1612" s="1">
        <v>27</v>
      </c>
      <c r="C1612" s="1">
        <f t="shared" si="203"/>
        <v>7</v>
      </c>
      <c r="D1612" s="21">
        <f t="shared" ca="1" si="202"/>
        <v>44780</v>
      </c>
      <c r="E1612" s="1" t="s">
        <v>26</v>
      </c>
      <c r="F1612" s="1" t="s">
        <v>1640</v>
      </c>
      <c r="G1612" s="1" t="s">
        <v>28</v>
      </c>
      <c r="H1612" s="1">
        <v>1710</v>
      </c>
      <c r="I1612" s="1">
        <f t="shared" si="204"/>
        <v>54</v>
      </c>
      <c r="J1612" s="1">
        <f>VLOOKUP(B1612,Cena!$A$2:$B$101,2)</f>
        <v>87</v>
      </c>
      <c r="K1612" s="1">
        <f t="shared" si="200"/>
        <v>4698</v>
      </c>
      <c r="L1612" s="1">
        <f t="shared" si="205"/>
        <v>1080.54</v>
      </c>
      <c r="M1612" s="22">
        <f t="shared" si="201"/>
        <v>5778.54</v>
      </c>
      <c r="N1612" s="1">
        <f t="shared" ca="1" si="206"/>
        <v>8</v>
      </c>
      <c r="P1612" s="1">
        <v>54.419462129590102</v>
      </c>
      <c r="Q1612" s="1">
        <f t="shared" ca="1" si="207"/>
        <v>12</v>
      </c>
      <c r="R1612" s="1">
        <v>7.6755702846276108</v>
      </c>
    </row>
    <row r="1613" spans="1:18" x14ac:dyDescent="0.3">
      <c r="A1613" s="26">
        <v>1612</v>
      </c>
      <c r="B1613" s="1">
        <v>27</v>
      </c>
      <c r="C1613" s="1">
        <f t="shared" si="203"/>
        <v>8</v>
      </c>
      <c r="D1613" s="21">
        <f t="shared" ca="1" si="202"/>
        <v>44897</v>
      </c>
      <c r="E1613" s="1" t="s">
        <v>26</v>
      </c>
      <c r="F1613" s="1" t="s">
        <v>1641</v>
      </c>
      <c r="G1613" s="1" t="s">
        <v>28</v>
      </c>
      <c r="H1613" s="1">
        <v>1711</v>
      </c>
      <c r="I1613" s="1">
        <f t="shared" si="204"/>
        <v>59</v>
      </c>
      <c r="J1613" s="1">
        <f>VLOOKUP(B1613,Cena!$A$2:$B$101,2)</f>
        <v>87</v>
      </c>
      <c r="K1613" s="1">
        <f t="shared" si="200"/>
        <v>5133</v>
      </c>
      <c r="L1613" s="1">
        <f t="shared" si="205"/>
        <v>1180.5900000000001</v>
      </c>
      <c r="M1613" s="22">
        <f t="shared" si="201"/>
        <v>6313.59</v>
      </c>
      <c r="N1613" s="1">
        <f t="shared" ca="1" si="206"/>
        <v>12</v>
      </c>
      <c r="P1613" s="1">
        <v>59.491577657172456</v>
      </c>
      <c r="Q1613" s="1">
        <f t="shared" ca="1" si="207"/>
        <v>26</v>
      </c>
      <c r="R1613" s="1">
        <v>8.4554676757397829</v>
      </c>
    </row>
    <row r="1614" spans="1:18" x14ac:dyDescent="0.3">
      <c r="A1614" s="26">
        <v>1613</v>
      </c>
      <c r="B1614" s="1">
        <v>26</v>
      </c>
      <c r="C1614" s="1">
        <f t="shared" si="203"/>
        <v>11</v>
      </c>
      <c r="D1614" s="21">
        <f t="shared" ca="1" si="202"/>
        <v>44754</v>
      </c>
      <c r="E1614" s="1" t="s">
        <v>26</v>
      </c>
      <c r="F1614" s="1" t="s">
        <v>1642</v>
      </c>
      <c r="G1614" s="1" t="s">
        <v>28</v>
      </c>
      <c r="H1614" s="1">
        <v>1712</v>
      </c>
      <c r="I1614" s="1">
        <f t="shared" si="204"/>
        <v>48</v>
      </c>
      <c r="J1614" s="1">
        <f>VLOOKUP(B1614,Cena!$A$2:$B$101,2)</f>
        <v>99</v>
      </c>
      <c r="K1614" s="1">
        <f t="shared" si="200"/>
        <v>4752</v>
      </c>
      <c r="L1614" s="1">
        <f t="shared" si="205"/>
        <v>1092.96</v>
      </c>
      <c r="M1614" s="22">
        <f t="shared" si="201"/>
        <v>5844.96</v>
      </c>
      <c r="N1614" s="1">
        <f t="shared" ca="1" si="206"/>
        <v>7</v>
      </c>
      <c r="P1614" s="1">
        <v>48.3954694471322</v>
      </c>
      <c r="Q1614" s="1">
        <f t="shared" ca="1" si="207"/>
        <v>12</v>
      </c>
      <c r="R1614" s="1">
        <v>11.947725536410871</v>
      </c>
    </row>
    <row r="1615" spans="1:18" x14ac:dyDescent="0.3">
      <c r="A1615" s="26">
        <v>1614</v>
      </c>
      <c r="B1615" s="1">
        <v>6</v>
      </c>
      <c r="C1615" s="1">
        <f t="shared" si="203"/>
        <v>8</v>
      </c>
      <c r="D1615" s="21">
        <f t="shared" ca="1" si="202"/>
        <v>44828</v>
      </c>
      <c r="E1615" s="1" t="s">
        <v>26</v>
      </c>
      <c r="F1615" s="1" t="s">
        <v>1643</v>
      </c>
      <c r="G1615" s="1" t="s">
        <v>28</v>
      </c>
      <c r="H1615" s="1">
        <v>1713</v>
      </c>
      <c r="I1615" s="1">
        <f t="shared" si="204"/>
        <v>62</v>
      </c>
      <c r="J1615" s="1">
        <f>VLOOKUP(B1615,Cena!$A$2:$B$101,2)</f>
        <v>86</v>
      </c>
      <c r="K1615" s="1">
        <f t="shared" si="200"/>
        <v>5332</v>
      </c>
      <c r="L1615" s="1">
        <f t="shared" si="205"/>
        <v>1226.3600000000001</v>
      </c>
      <c r="M1615" s="22">
        <f t="shared" si="201"/>
        <v>6558.3600000000006</v>
      </c>
      <c r="N1615" s="1">
        <f t="shared" ca="1" si="206"/>
        <v>9</v>
      </c>
      <c r="P1615" s="1">
        <v>62.173882169008721</v>
      </c>
      <c r="Q1615" s="1">
        <f t="shared" ca="1" si="207"/>
        <v>11</v>
      </c>
      <c r="R1615" s="1">
        <v>8.3714928930567112</v>
      </c>
    </row>
    <row r="1616" spans="1:18" x14ac:dyDescent="0.3">
      <c r="A1616" s="26">
        <v>1615</v>
      </c>
      <c r="B1616" s="1">
        <v>23</v>
      </c>
      <c r="C1616" s="1">
        <f t="shared" si="203"/>
        <v>7</v>
      </c>
      <c r="D1616" s="21">
        <f t="shared" ca="1" si="202"/>
        <v>44759</v>
      </c>
      <c r="E1616" s="1" t="s">
        <v>26</v>
      </c>
      <c r="F1616" s="1" t="s">
        <v>1644</v>
      </c>
      <c r="G1616" s="1" t="s">
        <v>28</v>
      </c>
      <c r="H1616" s="1">
        <v>1714</v>
      </c>
      <c r="I1616" s="1">
        <f t="shared" si="204"/>
        <v>53</v>
      </c>
      <c r="J1616" s="1">
        <f>VLOOKUP(B1616,Cena!$A$2:$B$101,2)</f>
        <v>132</v>
      </c>
      <c r="K1616" s="1">
        <f t="shared" si="200"/>
        <v>6996</v>
      </c>
      <c r="L1616" s="1">
        <f t="shared" si="205"/>
        <v>1609.0800000000002</v>
      </c>
      <c r="M1616" s="22">
        <f t="shared" si="201"/>
        <v>8605.08</v>
      </c>
      <c r="N1616" s="1">
        <f t="shared" ca="1" si="206"/>
        <v>7</v>
      </c>
      <c r="P1616" s="1">
        <v>53.889033450832358</v>
      </c>
      <c r="Q1616" s="1">
        <f t="shared" ca="1" si="207"/>
        <v>10</v>
      </c>
      <c r="R1616" s="1">
        <v>7.1066813486686442</v>
      </c>
    </row>
    <row r="1617" spans="1:18" x14ac:dyDescent="0.3">
      <c r="A1617" s="26">
        <v>1616</v>
      </c>
      <c r="B1617" s="1">
        <v>7</v>
      </c>
      <c r="C1617" s="1">
        <f t="shared" si="203"/>
        <v>7</v>
      </c>
      <c r="D1617" s="21">
        <f t="shared" ca="1" si="202"/>
        <v>44608</v>
      </c>
      <c r="E1617" s="1" t="s">
        <v>26</v>
      </c>
      <c r="F1617" s="1" t="s">
        <v>1645</v>
      </c>
      <c r="G1617" s="1" t="s">
        <v>28</v>
      </c>
      <c r="H1617" s="1">
        <v>1715</v>
      </c>
      <c r="I1617" s="1">
        <f t="shared" si="204"/>
        <v>54</v>
      </c>
      <c r="J1617" s="1">
        <f>VLOOKUP(B1617,Cena!$A$2:$B$101,2)</f>
        <v>104</v>
      </c>
      <c r="K1617" s="1">
        <f t="shared" si="200"/>
        <v>5616</v>
      </c>
      <c r="L1617" s="1">
        <f t="shared" si="205"/>
        <v>1291.68</v>
      </c>
      <c r="M1617" s="22">
        <f t="shared" si="201"/>
        <v>6907.68</v>
      </c>
      <c r="N1617" s="1">
        <f t="shared" ca="1" si="206"/>
        <v>2</v>
      </c>
      <c r="P1617" s="1">
        <v>54.576054379867855</v>
      </c>
      <c r="Q1617" s="1">
        <f t="shared" ca="1" si="207"/>
        <v>17</v>
      </c>
      <c r="R1617" s="1">
        <v>7.1134002407779917</v>
      </c>
    </row>
    <row r="1618" spans="1:18" x14ac:dyDescent="0.3">
      <c r="A1618" s="26">
        <v>1617</v>
      </c>
      <c r="B1618" s="1">
        <v>5</v>
      </c>
      <c r="C1618" s="1">
        <f t="shared" si="203"/>
        <v>9</v>
      </c>
      <c r="D1618" s="21">
        <f t="shared" ca="1" si="202"/>
        <v>44732</v>
      </c>
      <c r="E1618" s="1" t="s">
        <v>26</v>
      </c>
      <c r="F1618" s="1" t="s">
        <v>1646</v>
      </c>
      <c r="G1618" s="1" t="s">
        <v>28</v>
      </c>
      <c r="H1618" s="1">
        <v>1716</v>
      </c>
      <c r="I1618" s="1">
        <f t="shared" si="204"/>
        <v>39</v>
      </c>
      <c r="J1618" s="1">
        <f>VLOOKUP(B1618,Cena!$A$2:$B$101,2)</f>
        <v>91</v>
      </c>
      <c r="K1618" s="1">
        <f t="shared" si="200"/>
        <v>3549</v>
      </c>
      <c r="L1618" s="1">
        <f t="shared" si="205"/>
        <v>816.27</v>
      </c>
      <c r="M1618" s="22">
        <f t="shared" si="201"/>
        <v>4365.2700000000004</v>
      </c>
      <c r="N1618" s="1">
        <f t="shared" ca="1" si="206"/>
        <v>6</v>
      </c>
      <c r="P1618" s="1">
        <v>39.386310517147649</v>
      </c>
      <c r="Q1618" s="1">
        <f t="shared" ca="1" si="207"/>
        <v>28</v>
      </c>
      <c r="R1618" s="1">
        <v>9.3461130998184672</v>
      </c>
    </row>
    <row r="1619" spans="1:18" x14ac:dyDescent="0.3">
      <c r="A1619" s="26">
        <v>1618</v>
      </c>
      <c r="B1619" s="1">
        <v>16</v>
      </c>
      <c r="C1619" s="1">
        <f t="shared" si="203"/>
        <v>5</v>
      </c>
      <c r="D1619" s="21">
        <f t="shared" ca="1" si="202"/>
        <v>44800</v>
      </c>
      <c r="E1619" s="1" t="s">
        <v>26</v>
      </c>
      <c r="F1619" s="1" t="s">
        <v>1647</v>
      </c>
      <c r="G1619" s="1" t="s">
        <v>28</v>
      </c>
      <c r="H1619" s="1">
        <v>1717</v>
      </c>
      <c r="I1619" s="1">
        <f t="shared" si="204"/>
        <v>39</v>
      </c>
      <c r="J1619" s="1">
        <f>VLOOKUP(B1619,Cena!$A$2:$B$101,2)</f>
        <v>93</v>
      </c>
      <c r="K1619" s="1">
        <f t="shared" si="200"/>
        <v>3627</v>
      </c>
      <c r="L1619" s="1">
        <f t="shared" si="205"/>
        <v>834.21</v>
      </c>
      <c r="M1619" s="22">
        <f t="shared" si="201"/>
        <v>4461.21</v>
      </c>
      <c r="N1619" s="1">
        <f t="shared" ca="1" si="206"/>
        <v>8</v>
      </c>
      <c r="P1619" s="1">
        <v>39.80169948481489</v>
      </c>
      <c r="Q1619" s="1">
        <f t="shared" ca="1" si="207"/>
        <v>18</v>
      </c>
      <c r="R1619" s="1">
        <v>5.6315150484442711</v>
      </c>
    </row>
    <row r="1620" spans="1:18" x14ac:dyDescent="0.3">
      <c r="A1620" s="26">
        <v>1619</v>
      </c>
      <c r="B1620" s="1">
        <v>14</v>
      </c>
      <c r="C1620" s="1">
        <f t="shared" si="203"/>
        <v>9</v>
      </c>
      <c r="D1620" s="21">
        <f t="shared" ca="1" si="202"/>
        <v>44768</v>
      </c>
      <c r="E1620" s="1" t="s">
        <v>26</v>
      </c>
      <c r="F1620" s="1" t="s">
        <v>1648</v>
      </c>
      <c r="G1620" s="1" t="s">
        <v>28</v>
      </c>
      <c r="H1620" s="1">
        <v>1718</v>
      </c>
      <c r="I1620" s="1">
        <f t="shared" si="204"/>
        <v>43</v>
      </c>
      <c r="J1620" s="1">
        <f>VLOOKUP(B1620,Cena!$A$2:$B$101,2)</f>
        <v>129</v>
      </c>
      <c r="K1620" s="1">
        <f t="shared" si="200"/>
        <v>5547</v>
      </c>
      <c r="L1620" s="1">
        <f t="shared" si="205"/>
        <v>1275.81</v>
      </c>
      <c r="M1620" s="22">
        <f t="shared" si="201"/>
        <v>6822.8099999999995</v>
      </c>
      <c r="N1620" s="1">
        <f t="shared" ca="1" si="206"/>
        <v>7</v>
      </c>
      <c r="P1620" s="1">
        <v>43.488813743169885</v>
      </c>
      <c r="Q1620" s="1">
        <f t="shared" ca="1" si="207"/>
        <v>13</v>
      </c>
      <c r="R1620" s="1">
        <v>9.1782857478028745</v>
      </c>
    </row>
    <row r="1621" spans="1:18" x14ac:dyDescent="0.3">
      <c r="A1621" s="26">
        <v>1620</v>
      </c>
      <c r="B1621" s="1">
        <v>11</v>
      </c>
      <c r="C1621" s="1">
        <f t="shared" si="203"/>
        <v>7</v>
      </c>
      <c r="D1621" s="21">
        <f t="shared" ca="1" si="202"/>
        <v>44648</v>
      </c>
      <c r="E1621" s="1" t="s">
        <v>26</v>
      </c>
      <c r="F1621" s="1" t="s">
        <v>1649</v>
      </c>
      <c r="G1621" s="1" t="s">
        <v>28</v>
      </c>
      <c r="H1621" s="1">
        <v>1719</v>
      </c>
      <c r="I1621" s="1">
        <f t="shared" si="204"/>
        <v>64</v>
      </c>
      <c r="J1621" s="1">
        <f>VLOOKUP(B1621,Cena!$A$2:$B$101,2)</f>
        <v>83</v>
      </c>
      <c r="K1621" s="1">
        <f t="shared" si="200"/>
        <v>5312</v>
      </c>
      <c r="L1621" s="1">
        <f t="shared" si="205"/>
        <v>1221.76</v>
      </c>
      <c r="M1621" s="22">
        <f t="shared" si="201"/>
        <v>6533.76</v>
      </c>
      <c r="N1621" s="1">
        <f t="shared" ca="1" si="206"/>
        <v>3</v>
      </c>
      <c r="P1621" s="1">
        <v>64.867191566736437</v>
      </c>
      <c r="Q1621" s="1">
        <f t="shared" ca="1" si="207"/>
        <v>14</v>
      </c>
      <c r="R1621" s="1">
        <v>7.4798470248060767</v>
      </c>
    </row>
    <row r="1622" spans="1:18" x14ac:dyDescent="0.3">
      <c r="A1622" s="26">
        <v>1621</v>
      </c>
      <c r="B1622" s="1">
        <v>27</v>
      </c>
      <c r="C1622" s="1">
        <f t="shared" si="203"/>
        <v>8</v>
      </c>
      <c r="D1622" s="21">
        <f t="shared" ca="1" si="202"/>
        <v>44672</v>
      </c>
      <c r="E1622" s="1" t="s">
        <v>26</v>
      </c>
      <c r="F1622" s="1" t="s">
        <v>1650</v>
      </c>
      <c r="G1622" s="1" t="s">
        <v>28</v>
      </c>
      <c r="H1622" s="1">
        <v>1720</v>
      </c>
      <c r="I1622" s="1">
        <f t="shared" si="204"/>
        <v>45</v>
      </c>
      <c r="J1622" s="1">
        <f>VLOOKUP(B1622,Cena!$A$2:$B$101,2)</f>
        <v>87</v>
      </c>
      <c r="K1622" s="1">
        <f t="shared" si="200"/>
        <v>3915</v>
      </c>
      <c r="L1622" s="1">
        <f t="shared" si="205"/>
        <v>900.45</v>
      </c>
      <c r="M1622" s="22">
        <f t="shared" si="201"/>
        <v>4815.45</v>
      </c>
      <c r="N1622" s="1">
        <f t="shared" ca="1" si="206"/>
        <v>4</v>
      </c>
      <c r="P1622" s="1">
        <v>45.003599906340241</v>
      </c>
      <c r="Q1622" s="1">
        <f t="shared" ca="1" si="207"/>
        <v>20</v>
      </c>
      <c r="R1622" s="1">
        <v>8.5390957135678036</v>
      </c>
    </row>
    <row r="1623" spans="1:18" x14ac:dyDescent="0.3">
      <c r="A1623" s="26">
        <v>1622</v>
      </c>
      <c r="B1623" s="1">
        <v>5</v>
      </c>
      <c r="C1623" s="1">
        <f t="shared" si="203"/>
        <v>10</v>
      </c>
      <c r="D1623" s="21">
        <f t="shared" ca="1" si="202"/>
        <v>44725</v>
      </c>
      <c r="E1623" s="1" t="s">
        <v>26</v>
      </c>
      <c r="F1623" s="1" t="s">
        <v>1651</v>
      </c>
      <c r="G1623" s="1" t="s">
        <v>28</v>
      </c>
      <c r="H1623" s="1">
        <v>1721</v>
      </c>
      <c r="I1623" s="1">
        <f t="shared" si="204"/>
        <v>48</v>
      </c>
      <c r="J1623" s="1">
        <f>VLOOKUP(B1623,Cena!$A$2:$B$101,2)</f>
        <v>91</v>
      </c>
      <c r="K1623" s="1">
        <f t="shared" si="200"/>
        <v>4368</v>
      </c>
      <c r="L1623" s="1">
        <f t="shared" si="205"/>
        <v>1004.6400000000001</v>
      </c>
      <c r="M1623" s="22">
        <f t="shared" si="201"/>
        <v>5372.64</v>
      </c>
      <c r="N1623" s="1">
        <f t="shared" ca="1" si="206"/>
        <v>6</v>
      </c>
      <c r="P1623" s="1">
        <v>48.002817847009283</v>
      </c>
      <c r="Q1623" s="1">
        <f t="shared" ca="1" si="207"/>
        <v>25</v>
      </c>
      <c r="R1623" s="1">
        <v>10.195939264813205</v>
      </c>
    </row>
    <row r="1624" spans="1:18" x14ac:dyDescent="0.3">
      <c r="A1624" s="26">
        <v>1623</v>
      </c>
      <c r="B1624" s="1">
        <v>8</v>
      </c>
      <c r="C1624" s="1">
        <f t="shared" si="203"/>
        <v>8</v>
      </c>
      <c r="D1624" s="21">
        <f t="shared" ca="1" si="202"/>
        <v>44568</v>
      </c>
      <c r="E1624" s="1" t="s">
        <v>26</v>
      </c>
      <c r="F1624" s="1" t="s">
        <v>1652</v>
      </c>
      <c r="G1624" s="1" t="s">
        <v>28</v>
      </c>
      <c r="H1624" s="1">
        <v>1722</v>
      </c>
      <c r="I1624" s="1">
        <f t="shared" si="204"/>
        <v>50</v>
      </c>
      <c r="J1624" s="1">
        <f>VLOOKUP(B1624,Cena!$A$2:$B$101,2)</f>
        <v>88</v>
      </c>
      <c r="K1624" s="1">
        <f t="shared" si="200"/>
        <v>4400</v>
      </c>
      <c r="L1624" s="1">
        <f t="shared" si="205"/>
        <v>1012</v>
      </c>
      <c r="M1624" s="22">
        <f t="shared" si="201"/>
        <v>5412</v>
      </c>
      <c r="N1624" s="1">
        <f t="shared" ca="1" si="206"/>
        <v>1</v>
      </c>
      <c r="P1624" s="1">
        <v>50.753834683564492</v>
      </c>
      <c r="Q1624" s="1">
        <f t="shared" ca="1" si="207"/>
        <v>25</v>
      </c>
      <c r="R1624" s="1">
        <v>8.2457410396818887</v>
      </c>
    </row>
    <row r="1625" spans="1:18" x14ac:dyDescent="0.3">
      <c r="A1625" s="26">
        <v>1624</v>
      </c>
      <c r="B1625" s="1">
        <v>15</v>
      </c>
      <c r="C1625" s="1">
        <f t="shared" si="203"/>
        <v>8</v>
      </c>
      <c r="D1625" s="21">
        <f t="shared" ca="1" si="202"/>
        <v>44768</v>
      </c>
      <c r="E1625" s="1" t="s">
        <v>26</v>
      </c>
      <c r="F1625" s="1" t="s">
        <v>1653</v>
      </c>
      <c r="G1625" s="1" t="s">
        <v>28</v>
      </c>
      <c r="H1625" s="1">
        <v>1723</v>
      </c>
      <c r="I1625" s="1">
        <f t="shared" si="204"/>
        <v>59</v>
      </c>
      <c r="J1625" s="1">
        <f>VLOOKUP(B1625,Cena!$A$2:$B$101,2)</f>
        <v>85</v>
      </c>
      <c r="K1625" s="1">
        <f t="shared" si="200"/>
        <v>5015</v>
      </c>
      <c r="L1625" s="1">
        <f t="shared" si="205"/>
        <v>1153.45</v>
      </c>
      <c r="M1625" s="22">
        <f t="shared" si="201"/>
        <v>6168.45</v>
      </c>
      <c r="N1625" s="1">
        <f t="shared" ca="1" si="206"/>
        <v>7</v>
      </c>
      <c r="P1625" s="1">
        <v>59.680525181465782</v>
      </c>
      <c r="Q1625" s="1">
        <f t="shared" ca="1" si="207"/>
        <v>12</v>
      </c>
      <c r="R1625" s="1">
        <v>8.21354776941007</v>
      </c>
    </row>
    <row r="1626" spans="1:18" x14ac:dyDescent="0.3">
      <c r="A1626" s="26">
        <v>1625</v>
      </c>
      <c r="B1626" s="1">
        <v>8</v>
      </c>
      <c r="C1626" s="1">
        <f t="shared" si="203"/>
        <v>12</v>
      </c>
      <c r="D1626" s="21">
        <f t="shared" ca="1" si="202"/>
        <v>44853</v>
      </c>
      <c r="E1626" s="1" t="s">
        <v>26</v>
      </c>
      <c r="F1626" s="1" t="s">
        <v>1654</v>
      </c>
      <c r="G1626" s="1" t="s">
        <v>28</v>
      </c>
      <c r="H1626" s="1">
        <v>1724</v>
      </c>
      <c r="I1626" s="1">
        <f t="shared" si="204"/>
        <v>53</v>
      </c>
      <c r="J1626" s="1">
        <f>VLOOKUP(B1626,Cena!$A$2:$B$101,2)</f>
        <v>88</v>
      </c>
      <c r="K1626" s="1">
        <f t="shared" si="200"/>
        <v>4664</v>
      </c>
      <c r="L1626" s="1">
        <f t="shared" si="205"/>
        <v>1072.72</v>
      </c>
      <c r="M1626" s="22">
        <f t="shared" si="201"/>
        <v>5736.72</v>
      </c>
      <c r="N1626" s="1">
        <f t="shared" ca="1" si="206"/>
        <v>10</v>
      </c>
      <c r="P1626" s="1">
        <v>53.194145392626524</v>
      </c>
      <c r="Q1626" s="1">
        <f t="shared" ca="1" si="207"/>
        <v>27</v>
      </c>
      <c r="R1626" s="1">
        <v>12.111255525960587</v>
      </c>
    </row>
    <row r="1627" spans="1:18" x14ac:dyDescent="0.3">
      <c r="A1627" s="26">
        <v>1626</v>
      </c>
      <c r="B1627" s="1">
        <v>9</v>
      </c>
      <c r="C1627" s="1">
        <f t="shared" si="203"/>
        <v>7</v>
      </c>
      <c r="D1627" s="21">
        <f t="shared" ca="1" si="202"/>
        <v>44818</v>
      </c>
      <c r="E1627" s="1" t="s">
        <v>26</v>
      </c>
      <c r="F1627" s="1" t="s">
        <v>1655</v>
      </c>
      <c r="G1627" s="1" t="s">
        <v>28</v>
      </c>
      <c r="H1627" s="1">
        <v>1725</v>
      </c>
      <c r="I1627" s="1">
        <f t="shared" si="204"/>
        <v>60</v>
      </c>
      <c r="J1627" s="1">
        <f>VLOOKUP(B1627,Cena!$A$2:$B$101,2)</f>
        <v>96</v>
      </c>
      <c r="K1627" s="1">
        <f t="shared" si="200"/>
        <v>5760</v>
      </c>
      <c r="L1627" s="1">
        <f t="shared" si="205"/>
        <v>1324.8</v>
      </c>
      <c r="M1627" s="22">
        <f t="shared" si="201"/>
        <v>7084.8</v>
      </c>
      <c r="N1627" s="1">
        <f t="shared" ca="1" si="206"/>
        <v>9</v>
      </c>
      <c r="P1627" s="1">
        <v>60.704161468311213</v>
      </c>
      <c r="Q1627" s="1">
        <f t="shared" ca="1" si="207"/>
        <v>10</v>
      </c>
      <c r="R1627" s="1">
        <v>7.5460355017276015</v>
      </c>
    </row>
    <row r="1628" spans="1:18" x14ac:dyDescent="0.3">
      <c r="A1628" s="26">
        <v>1627</v>
      </c>
      <c r="B1628" s="1">
        <v>17</v>
      </c>
      <c r="C1628" s="1">
        <f t="shared" si="203"/>
        <v>8</v>
      </c>
      <c r="D1628" s="21">
        <f t="shared" ca="1" si="202"/>
        <v>44920</v>
      </c>
      <c r="E1628" s="1" t="s">
        <v>26</v>
      </c>
      <c r="F1628" s="1" t="s">
        <v>1656</v>
      </c>
      <c r="G1628" s="1" t="s">
        <v>28</v>
      </c>
      <c r="H1628" s="1">
        <v>1726</v>
      </c>
      <c r="I1628" s="1">
        <f t="shared" si="204"/>
        <v>55</v>
      </c>
      <c r="J1628" s="1">
        <f>VLOOKUP(B1628,Cena!$A$2:$B$101,2)</f>
        <v>84</v>
      </c>
      <c r="K1628" s="1">
        <f t="shared" si="200"/>
        <v>4620</v>
      </c>
      <c r="L1628" s="1">
        <f t="shared" si="205"/>
        <v>1062.6000000000001</v>
      </c>
      <c r="M1628" s="22">
        <f t="shared" si="201"/>
        <v>5682.6</v>
      </c>
      <c r="N1628" s="1">
        <f t="shared" ca="1" si="206"/>
        <v>12</v>
      </c>
      <c r="P1628" s="1">
        <v>55.059769137005787</v>
      </c>
      <c r="Q1628" s="1">
        <f t="shared" ca="1" si="207"/>
        <v>25</v>
      </c>
      <c r="R1628" s="1">
        <v>8.6837053711496992</v>
      </c>
    </row>
    <row r="1629" spans="1:18" x14ac:dyDescent="0.3">
      <c r="A1629" s="26">
        <v>1628</v>
      </c>
      <c r="B1629" s="1">
        <v>14</v>
      </c>
      <c r="C1629" s="1">
        <f t="shared" si="203"/>
        <v>10</v>
      </c>
      <c r="D1629" s="21">
        <f t="shared" ca="1" si="202"/>
        <v>44899</v>
      </c>
      <c r="E1629" s="1" t="s">
        <v>26</v>
      </c>
      <c r="F1629" s="1" t="s">
        <v>1657</v>
      </c>
      <c r="G1629" s="1" t="s">
        <v>28</v>
      </c>
      <c r="H1629" s="1">
        <v>1727</v>
      </c>
      <c r="I1629" s="1">
        <f t="shared" si="204"/>
        <v>28</v>
      </c>
      <c r="J1629" s="1">
        <f>VLOOKUP(B1629,Cena!$A$2:$B$101,2)</f>
        <v>129</v>
      </c>
      <c r="K1629" s="1">
        <f t="shared" si="200"/>
        <v>3612</v>
      </c>
      <c r="L1629" s="1">
        <f t="shared" si="205"/>
        <v>830.76</v>
      </c>
      <c r="M1629" s="22">
        <f t="shared" si="201"/>
        <v>4442.76</v>
      </c>
      <c r="N1629" s="1">
        <f t="shared" ca="1" si="206"/>
        <v>12</v>
      </c>
      <c r="P1629" s="1">
        <v>28.461346472613513</v>
      </c>
      <c r="Q1629" s="1">
        <f t="shared" ca="1" si="207"/>
        <v>12</v>
      </c>
      <c r="R1629" s="1">
        <v>10.505542629980482</v>
      </c>
    </row>
    <row r="1630" spans="1:18" x14ac:dyDescent="0.3">
      <c r="A1630" s="26">
        <v>1629</v>
      </c>
      <c r="B1630" s="1">
        <v>4</v>
      </c>
      <c r="C1630" s="1">
        <f t="shared" si="203"/>
        <v>6</v>
      </c>
      <c r="D1630" s="21">
        <f t="shared" ca="1" si="202"/>
        <v>44749</v>
      </c>
      <c r="E1630" s="1" t="s">
        <v>26</v>
      </c>
      <c r="F1630" s="1" t="s">
        <v>1658</v>
      </c>
      <c r="G1630" s="1" t="s">
        <v>28</v>
      </c>
      <c r="H1630" s="1">
        <v>1728</v>
      </c>
      <c r="I1630" s="1">
        <f t="shared" si="204"/>
        <v>57</v>
      </c>
      <c r="J1630" s="1">
        <f>VLOOKUP(B1630,Cena!$A$2:$B$101,2)</f>
        <v>99</v>
      </c>
      <c r="K1630" s="1">
        <f t="shared" si="200"/>
        <v>5643</v>
      </c>
      <c r="L1630" s="1">
        <f t="shared" si="205"/>
        <v>1297.8900000000001</v>
      </c>
      <c r="M1630" s="22">
        <f t="shared" si="201"/>
        <v>6940.89</v>
      </c>
      <c r="N1630" s="1">
        <f t="shared" ca="1" si="206"/>
        <v>7</v>
      </c>
      <c r="P1630" s="1">
        <v>57.49787432141602</v>
      </c>
      <c r="Q1630" s="1">
        <f t="shared" ca="1" si="207"/>
        <v>16</v>
      </c>
      <c r="R1630" s="1">
        <v>6.6977043186489027</v>
      </c>
    </row>
    <row r="1631" spans="1:18" x14ac:dyDescent="0.3">
      <c r="A1631" s="26">
        <v>1630</v>
      </c>
      <c r="B1631" s="1">
        <v>26</v>
      </c>
      <c r="C1631" s="1">
        <f t="shared" si="203"/>
        <v>11</v>
      </c>
      <c r="D1631" s="21">
        <f t="shared" ca="1" si="202"/>
        <v>44860</v>
      </c>
      <c r="E1631" s="1" t="s">
        <v>26</v>
      </c>
      <c r="F1631" s="1" t="s">
        <v>1659</v>
      </c>
      <c r="G1631" s="1" t="s">
        <v>28</v>
      </c>
      <c r="H1631" s="1">
        <v>1729</v>
      </c>
      <c r="I1631" s="1">
        <f t="shared" si="204"/>
        <v>41</v>
      </c>
      <c r="J1631" s="1">
        <f>VLOOKUP(B1631,Cena!$A$2:$B$101,2)</f>
        <v>99</v>
      </c>
      <c r="K1631" s="1">
        <f t="shared" ref="K1631:K1694" si="208">I1631*J1631</f>
        <v>4059</v>
      </c>
      <c r="L1631" s="1">
        <f t="shared" si="205"/>
        <v>933.57</v>
      </c>
      <c r="M1631" s="22">
        <f t="shared" ref="M1631:M1694" si="209">K1631+L1631</f>
        <v>4992.57</v>
      </c>
      <c r="N1631" s="1">
        <f t="shared" ca="1" si="206"/>
        <v>10</v>
      </c>
      <c r="P1631" s="1">
        <v>41.272966326505411</v>
      </c>
      <c r="Q1631" s="1">
        <f t="shared" ca="1" si="207"/>
        <v>30</v>
      </c>
      <c r="R1631" s="1">
        <v>11.431965301890159</v>
      </c>
    </row>
    <row r="1632" spans="1:18" x14ac:dyDescent="0.3">
      <c r="A1632" s="26">
        <v>1631</v>
      </c>
      <c r="B1632" s="1">
        <v>2</v>
      </c>
      <c r="C1632" s="1">
        <f t="shared" si="203"/>
        <v>7</v>
      </c>
      <c r="D1632" s="21">
        <f t="shared" ca="1" si="202"/>
        <v>44760</v>
      </c>
      <c r="E1632" s="1" t="s">
        <v>26</v>
      </c>
      <c r="F1632" s="1" t="s">
        <v>1660</v>
      </c>
      <c r="G1632" s="1" t="s">
        <v>28</v>
      </c>
      <c r="H1632" s="1">
        <v>1730</v>
      </c>
      <c r="I1632" s="1">
        <f t="shared" si="204"/>
        <v>57</v>
      </c>
      <c r="J1632" s="1">
        <f>VLOOKUP(B1632,Cena!$A$2:$B$101,2)</f>
        <v>121</v>
      </c>
      <c r="K1632" s="1">
        <f t="shared" si="208"/>
        <v>6897</v>
      </c>
      <c r="L1632" s="1">
        <f t="shared" si="205"/>
        <v>1586.3100000000002</v>
      </c>
      <c r="M1632" s="22">
        <f t="shared" si="209"/>
        <v>8483.31</v>
      </c>
      <c r="N1632" s="1">
        <f t="shared" ca="1" si="206"/>
        <v>7</v>
      </c>
      <c r="P1632" s="1">
        <v>57.569997251266614</v>
      </c>
      <c r="Q1632" s="1">
        <f t="shared" ca="1" si="207"/>
        <v>1</v>
      </c>
      <c r="R1632" s="1">
        <v>7.5981381794554181</v>
      </c>
    </row>
    <row r="1633" spans="1:18" x14ac:dyDescent="0.3">
      <c r="A1633" s="26">
        <v>1632</v>
      </c>
      <c r="B1633" s="1">
        <v>9</v>
      </c>
      <c r="C1633" s="1">
        <f t="shared" si="203"/>
        <v>13</v>
      </c>
      <c r="D1633" s="21">
        <f t="shared" ca="1" si="202"/>
        <v>44854</v>
      </c>
      <c r="E1633" s="1" t="s">
        <v>26</v>
      </c>
      <c r="F1633" s="1" t="s">
        <v>1661</v>
      </c>
      <c r="G1633" s="1" t="s">
        <v>28</v>
      </c>
      <c r="H1633" s="1">
        <v>1731</v>
      </c>
      <c r="I1633" s="1">
        <f t="shared" si="204"/>
        <v>43</v>
      </c>
      <c r="J1633" s="1">
        <f>VLOOKUP(B1633,Cena!$A$2:$B$101,2)</f>
        <v>96</v>
      </c>
      <c r="K1633" s="1">
        <f t="shared" si="208"/>
        <v>4128</v>
      </c>
      <c r="L1633" s="1">
        <f t="shared" si="205"/>
        <v>949.44</v>
      </c>
      <c r="M1633" s="22">
        <f t="shared" si="209"/>
        <v>5077.4400000000005</v>
      </c>
      <c r="N1633" s="1">
        <f t="shared" ca="1" si="206"/>
        <v>10</v>
      </c>
      <c r="P1633" s="1">
        <v>43.973915479728021</v>
      </c>
      <c r="Q1633" s="1">
        <f t="shared" ca="1" si="207"/>
        <v>17</v>
      </c>
      <c r="R1633" s="1">
        <v>13.477293830655981</v>
      </c>
    </row>
    <row r="1634" spans="1:18" x14ac:dyDescent="0.3">
      <c r="A1634" s="26">
        <v>1633</v>
      </c>
      <c r="B1634" s="1">
        <v>19</v>
      </c>
      <c r="C1634" s="1">
        <f t="shared" si="203"/>
        <v>10</v>
      </c>
      <c r="D1634" s="21">
        <f t="shared" ca="1" si="202"/>
        <v>44694</v>
      </c>
      <c r="E1634" s="1" t="s">
        <v>26</v>
      </c>
      <c r="F1634" s="1" t="s">
        <v>1662</v>
      </c>
      <c r="G1634" s="1" t="s">
        <v>28</v>
      </c>
      <c r="H1634" s="1">
        <v>1732</v>
      </c>
      <c r="I1634" s="1">
        <f t="shared" si="204"/>
        <v>42</v>
      </c>
      <c r="J1634" s="1">
        <f>VLOOKUP(B1634,Cena!$A$2:$B$101,2)</f>
        <v>84</v>
      </c>
      <c r="K1634" s="1">
        <f t="shared" si="208"/>
        <v>3528</v>
      </c>
      <c r="L1634" s="1">
        <f t="shared" si="205"/>
        <v>811.44</v>
      </c>
      <c r="M1634" s="22">
        <f t="shared" si="209"/>
        <v>4339.4400000000005</v>
      </c>
      <c r="N1634" s="1">
        <f t="shared" ca="1" si="206"/>
        <v>5</v>
      </c>
      <c r="P1634" s="1">
        <v>42.746143107069656</v>
      </c>
      <c r="Q1634" s="1">
        <f t="shared" ca="1" si="207"/>
        <v>12</v>
      </c>
      <c r="R1634" s="1">
        <v>10.93380094767781</v>
      </c>
    </row>
    <row r="1635" spans="1:18" x14ac:dyDescent="0.3">
      <c r="A1635" s="26">
        <v>1634</v>
      </c>
      <c r="B1635" s="1">
        <v>24</v>
      </c>
      <c r="C1635" s="1">
        <f t="shared" si="203"/>
        <v>7</v>
      </c>
      <c r="D1635" s="21">
        <f t="shared" ca="1" si="202"/>
        <v>44609</v>
      </c>
      <c r="E1635" s="1" t="s">
        <v>26</v>
      </c>
      <c r="F1635" s="1" t="s">
        <v>1663</v>
      </c>
      <c r="G1635" s="1" t="s">
        <v>28</v>
      </c>
      <c r="H1635" s="1">
        <v>1733</v>
      </c>
      <c r="I1635" s="1">
        <f t="shared" si="204"/>
        <v>61</v>
      </c>
      <c r="J1635" s="1">
        <f>VLOOKUP(B1635,Cena!$A$2:$B$101,2)</f>
        <v>125</v>
      </c>
      <c r="K1635" s="1">
        <f t="shared" si="208"/>
        <v>7625</v>
      </c>
      <c r="L1635" s="1">
        <f t="shared" si="205"/>
        <v>1753.75</v>
      </c>
      <c r="M1635" s="22">
        <f t="shared" si="209"/>
        <v>9378.75</v>
      </c>
      <c r="N1635" s="1">
        <f t="shared" ca="1" si="206"/>
        <v>2</v>
      </c>
      <c r="P1635" s="1">
        <v>61.484053175081499</v>
      </c>
      <c r="Q1635" s="1">
        <f t="shared" ca="1" si="207"/>
        <v>4</v>
      </c>
      <c r="R1635" s="1">
        <v>7.5314437961060321</v>
      </c>
    </row>
    <row r="1636" spans="1:18" x14ac:dyDescent="0.3">
      <c r="A1636" s="26">
        <v>1635</v>
      </c>
      <c r="B1636" s="1">
        <v>5</v>
      </c>
      <c r="C1636" s="1">
        <f t="shared" si="203"/>
        <v>7</v>
      </c>
      <c r="D1636" s="21">
        <f t="shared" ca="1" si="202"/>
        <v>44644</v>
      </c>
      <c r="E1636" s="1" t="s">
        <v>26</v>
      </c>
      <c r="F1636" s="1" t="s">
        <v>1664</v>
      </c>
      <c r="G1636" s="1" t="s">
        <v>28</v>
      </c>
      <c r="H1636" s="1">
        <v>1734</v>
      </c>
      <c r="I1636" s="1">
        <f t="shared" si="204"/>
        <v>42</v>
      </c>
      <c r="J1636" s="1">
        <f>VLOOKUP(B1636,Cena!$A$2:$B$101,2)</f>
        <v>91</v>
      </c>
      <c r="K1636" s="1">
        <f t="shared" si="208"/>
        <v>3822</v>
      </c>
      <c r="L1636" s="1">
        <f t="shared" si="205"/>
        <v>879.06000000000006</v>
      </c>
      <c r="M1636" s="22">
        <f t="shared" si="209"/>
        <v>4701.0600000000004</v>
      </c>
      <c r="N1636" s="1">
        <f t="shared" ca="1" si="206"/>
        <v>3</v>
      </c>
      <c r="P1636" s="1">
        <v>42.493007994198706</v>
      </c>
      <c r="Q1636" s="1">
        <f t="shared" ca="1" si="207"/>
        <v>18</v>
      </c>
      <c r="R1636" s="1">
        <v>7.1859267589024967</v>
      </c>
    </row>
    <row r="1637" spans="1:18" x14ac:dyDescent="0.3">
      <c r="A1637" s="26">
        <v>1636</v>
      </c>
      <c r="B1637" s="1">
        <v>16</v>
      </c>
      <c r="C1637" s="1">
        <f t="shared" si="203"/>
        <v>8</v>
      </c>
      <c r="D1637" s="21">
        <f t="shared" ca="1" si="202"/>
        <v>44602</v>
      </c>
      <c r="E1637" s="1" t="s">
        <v>26</v>
      </c>
      <c r="F1637" s="1" t="s">
        <v>1665</v>
      </c>
      <c r="G1637" s="1" t="s">
        <v>28</v>
      </c>
      <c r="H1637" s="1">
        <v>1735</v>
      </c>
      <c r="I1637" s="1">
        <f t="shared" si="204"/>
        <v>45</v>
      </c>
      <c r="J1637" s="1">
        <f>VLOOKUP(B1637,Cena!$A$2:$B$101,2)</f>
        <v>93</v>
      </c>
      <c r="K1637" s="1">
        <f t="shared" si="208"/>
        <v>4185</v>
      </c>
      <c r="L1637" s="1">
        <f t="shared" si="205"/>
        <v>962.55000000000007</v>
      </c>
      <c r="M1637" s="22">
        <f t="shared" si="209"/>
        <v>5147.55</v>
      </c>
      <c r="N1637" s="1">
        <f t="shared" ca="1" si="206"/>
        <v>2</v>
      </c>
      <c r="P1637" s="1">
        <v>45.52311464867671</v>
      </c>
      <c r="Q1637" s="1">
        <f t="shared" ca="1" si="207"/>
        <v>26</v>
      </c>
      <c r="R1637" s="1">
        <v>8.9029333846701775</v>
      </c>
    </row>
    <row r="1638" spans="1:18" x14ac:dyDescent="0.3">
      <c r="A1638" s="26">
        <v>1637</v>
      </c>
      <c r="B1638" s="1">
        <v>21</v>
      </c>
      <c r="C1638" s="1">
        <f t="shared" si="203"/>
        <v>14</v>
      </c>
      <c r="D1638" s="21">
        <f t="shared" ca="1" si="202"/>
        <v>44913</v>
      </c>
      <c r="E1638" s="1" t="s">
        <v>26</v>
      </c>
      <c r="F1638" s="1" t="s">
        <v>1666</v>
      </c>
      <c r="G1638" s="1" t="s">
        <v>28</v>
      </c>
      <c r="H1638" s="1">
        <v>1736</v>
      </c>
      <c r="I1638" s="1">
        <f t="shared" si="204"/>
        <v>38</v>
      </c>
      <c r="J1638" s="1">
        <f>VLOOKUP(B1638,Cena!$A$2:$B$101,2)</f>
        <v>105</v>
      </c>
      <c r="K1638" s="1">
        <f t="shared" si="208"/>
        <v>3990</v>
      </c>
      <c r="L1638" s="1">
        <f t="shared" si="205"/>
        <v>917.7</v>
      </c>
      <c r="M1638" s="22">
        <f t="shared" si="209"/>
        <v>4907.7</v>
      </c>
      <c r="N1638" s="1">
        <f t="shared" ca="1" si="206"/>
        <v>12</v>
      </c>
      <c r="P1638" s="1">
        <v>38.636409398168325</v>
      </c>
      <c r="Q1638" s="1">
        <f t="shared" ca="1" si="207"/>
        <v>26</v>
      </c>
      <c r="R1638" s="1">
        <v>14.012156296084868</v>
      </c>
    </row>
    <row r="1639" spans="1:18" x14ac:dyDescent="0.3">
      <c r="A1639" s="26">
        <v>1638</v>
      </c>
      <c r="B1639" s="1">
        <v>29</v>
      </c>
      <c r="C1639" s="1">
        <f t="shared" si="203"/>
        <v>9</v>
      </c>
      <c r="D1639" s="21">
        <f t="shared" ca="1" si="202"/>
        <v>44913</v>
      </c>
      <c r="E1639" s="1" t="s">
        <v>26</v>
      </c>
      <c r="F1639" s="1" t="s">
        <v>1667</v>
      </c>
      <c r="G1639" s="1" t="s">
        <v>28</v>
      </c>
      <c r="H1639" s="1">
        <v>1737</v>
      </c>
      <c r="I1639" s="1">
        <f t="shared" si="204"/>
        <v>41</v>
      </c>
      <c r="J1639" s="1">
        <f>VLOOKUP(B1639,Cena!$A$2:$B$101,2)</f>
        <v>105</v>
      </c>
      <c r="K1639" s="1">
        <f t="shared" si="208"/>
        <v>4305</v>
      </c>
      <c r="L1639" s="1">
        <f t="shared" si="205"/>
        <v>990.15000000000009</v>
      </c>
      <c r="M1639" s="22">
        <f t="shared" si="209"/>
        <v>5295.15</v>
      </c>
      <c r="N1639" s="1">
        <f t="shared" ca="1" si="206"/>
        <v>12</v>
      </c>
      <c r="P1639" s="1">
        <v>41.635559126734734</v>
      </c>
      <c r="Q1639" s="1">
        <f t="shared" ca="1" si="207"/>
        <v>3</v>
      </c>
      <c r="R1639" s="1">
        <v>9.0608671396330465</v>
      </c>
    </row>
    <row r="1640" spans="1:18" x14ac:dyDescent="0.3">
      <c r="A1640" s="26">
        <v>1639</v>
      </c>
      <c r="B1640" s="1">
        <v>14</v>
      </c>
      <c r="C1640" s="1">
        <f t="shared" si="203"/>
        <v>7</v>
      </c>
      <c r="D1640" s="21">
        <f t="shared" ca="1" si="202"/>
        <v>44636</v>
      </c>
      <c r="E1640" s="1" t="s">
        <v>26</v>
      </c>
      <c r="F1640" s="1" t="s">
        <v>1668</v>
      </c>
      <c r="G1640" s="1" t="s">
        <v>28</v>
      </c>
      <c r="H1640" s="1">
        <v>1738</v>
      </c>
      <c r="I1640" s="1">
        <f t="shared" si="204"/>
        <v>55</v>
      </c>
      <c r="J1640" s="1">
        <f>VLOOKUP(B1640,Cena!$A$2:$B$101,2)</f>
        <v>129</v>
      </c>
      <c r="K1640" s="1">
        <f t="shared" si="208"/>
        <v>7095</v>
      </c>
      <c r="L1640" s="1">
        <f t="shared" si="205"/>
        <v>1631.8500000000001</v>
      </c>
      <c r="M1640" s="22">
        <f t="shared" si="209"/>
        <v>8726.85</v>
      </c>
      <c r="N1640" s="1">
        <f t="shared" ca="1" si="206"/>
        <v>3</v>
      </c>
      <c r="P1640" s="1">
        <v>55.232686817180365</v>
      </c>
      <c r="Q1640" s="1">
        <f t="shared" ca="1" si="207"/>
        <v>26</v>
      </c>
      <c r="R1640" s="1">
        <v>7.5432501742034219</v>
      </c>
    </row>
    <row r="1641" spans="1:18" x14ac:dyDescent="0.3">
      <c r="A1641" s="26">
        <v>1640</v>
      </c>
      <c r="B1641" s="1">
        <v>13</v>
      </c>
      <c r="C1641" s="1">
        <f t="shared" si="203"/>
        <v>11</v>
      </c>
      <c r="D1641" s="21">
        <f t="shared" ca="1" si="202"/>
        <v>44568</v>
      </c>
      <c r="E1641" s="1" t="s">
        <v>26</v>
      </c>
      <c r="F1641" s="1" t="s">
        <v>1669</v>
      </c>
      <c r="G1641" s="1" t="s">
        <v>28</v>
      </c>
      <c r="H1641" s="1">
        <v>1739</v>
      </c>
      <c r="I1641" s="1">
        <f t="shared" si="204"/>
        <v>37</v>
      </c>
      <c r="J1641" s="1">
        <f>VLOOKUP(B1641,Cena!$A$2:$B$101,2)</f>
        <v>94</v>
      </c>
      <c r="K1641" s="1">
        <f t="shared" si="208"/>
        <v>3478</v>
      </c>
      <c r="L1641" s="1">
        <f t="shared" si="205"/>
        <v>799.94</v>
      </c>
      <c r="M1641" s="22">
        <f t="shared" si="209"/>
        <v>4277.9400000000005</v>
      </c>
      <c r="N1641" s="1">
        <f t="shared" ca="1" si="206"/>
        <v>1</v>
      </c>
      <c r="P1641" s="1">
        <v>37.779438015422784</v>
      </c>
      <c r="Q1641" s="1">
        <f t="shared" ca="1" si="207"/>
        <v>13</v>
      </c>
      <c r="R1641" s="1">
        <v>11.70928444731544</v>
      </c>
    </row>
    <row r="1642" spans="1:18" x14ac:dyDescent="0.3">
      <c r="A1642" s="26">
        <v>1641</v>
      </c>
      <c r="B1642" s="1">
        <v>16</v>
      </c>
      <c r="C1642" s="1">
        <f t="shared" si="203"/>
        <v>6</v>
      </c>
      <c r="D1642" s="21">
        <f t="shared" ca="1" si="202"/>
        <v>44694</v>
      </c>
      <c r="E1642" s="1" t="s">
        <v>26</v>
      </c>
      <c r="F1642" s="1" t="s">
        <v>1670</v>
      </c>
      <c r="G1642" s="1" t="s">
        <v>28</v>
      </c>
      <c r="H1642" s="1">
        <v>1740</v>
      </c>
      <c r="I1642" s="1">
        <f t="shared" si="204"/>
        <v>49</v>
      </c>
      <c r="J1642" s="1">
        <f>VLOOKUP(B1642,Cena!$A$2:$B$101,2)</f>
        <v>93</v>
      </c>
      <c r="K1642" s="1">
        <f t="shared" si="208"/>
        <v>4557</v>
      </c>
      <c r="L1642" s="1">
        <f t="shared" si="205"/>
        <v>1048.1100000000001</v>
      </c>
      <c r="M1642" s="22">
        <f t="shared" si="209"/>
        <v>5605.1100000000006</v>
      </c>
      <c r="N1642" s="1">
        <f t="shared" ca="1" si="206"/>
        <v>5</v>
      </c>
      <c r="P1642" s="1">
        <v>49.349688550864812</v>
      </c>
      <c r="Q1642" s="1">
        <f t="shared" ca="1" si="207"/>
        <v>22</v>
      </c>
      <c r="R1642" s="1">
        <v>6.470637597667519</v>
      </c>
    </row>
    <row r="1643" spans="1:18" x14ac:dyDescent="0.3">
      <c r="A1643" s="26">
        <v>1642</v>
      </c>
      <c r="B1643" s="1">
        <v>23</v>
      </c>
      <c r="C1643" s="1">
        <f t="shared" si="203"/>
        <v>12</v>
      </c>
      <c r="D1643" s="21">
        <f t="shared" ca="1" si="202"/>
        <v>44801</v>
      </c>
      <c r="E1643" s="1" t="s">
        <v>26</v>
      </c>
      <c r="F1643" s="1" t="s">
        <v>1671</v>
      </c>
      <c r="G1643" s="1" t="s">
        <v>28</v>
      </c>
      <c r="H1643" s="1">
        <v>1741</v>
      </c>
      <c r="I1643" s="1">
        <f t="shared" si="204"/>
        <v>39</v>
      </c>
      <c r="J1643" s="1">
        <f>VLOOKUP(B1643,Cena!$A$2:$B$101,2)</f>
        <v>132</v>
      </c>
      <c r="K1643" s="1">
        <f t="shared" si="208"/>
        <v>5148</v>
      </c>
      <c r="L1643" s="1">
        <f t="shared" si="205"/>
        <v>1184.04</v>
      </c>
      <c r="M1643" s="22">
        <f t="shared" si="209"/>
        <v>6332.04</v>
      </c>
      <c r="N1643" s="1">
        <f t="shared" ca="1" si="206"/>
        <v>8</v>
      </c>
      <c r="P1643" s="1">
        <v>39.699517755070701</v>
      </c>
      <c r="Q1643" s="1">
        <f t="shared" ca="1" si="207"/>
        <v>28</v>
      </c>
      <c r="R1643" s="1">
        <v>12.729558445935254</v>
      </c>
    </row>
    <row r="1644" spans="1:18" x14ac:dyDescent="0.3">
      <c r="A1644" s="26">
        <v>1643</v>
      </c>
      <c r="B1644" s="1">
        <v>2</v>
      </c>
      <c r="C1644" s="1">
        <f t="shared" si="203"/>
        <v>10</v>
      </c>
      <c r="D1644" s="21">
        <f t="shared" ca="1" si="202"/>
        <v>44566</v>
      </c>
      <c r="E1644" s="1" t="s">
        <v>26</v>
      </c>
      <c r="F1644" s="1" t="s">
        <v>1672</v>
      </c>
      <c r="G1644" s="1" t="s">
        <v>28</v>
      </c>
      <c r="H1644" s="1">
        <v>1742</v>
      </c>
      <c r="I1644" s="1">
        <f t="shared" si="204"/>
        <v>53</v>
      </c>
      <c r="J1644" s="1">
        <f>VLOOKUP(B1644,Cena!$A$2:$B$101,2)</f>
        <v>121</v>
      </c>
      <c r="K1644" s="1">
        <f t="shared" si="208"/>
        <v>6413</v>
      </c>
      <c r="L1644" s="1">
        <f t="shared" si="205"/>
        <v>1474.99</v>
      </c>
      <c r="M1644" s="22">
        <f t="shared" si="209"/>
        <v>7887.99</v>
      </c>
      <c r="N1644" s="1">
        <f t="shared" ca="1" si="206"/>
        <v>1</v>
      </c>
      <c r="P1644" s="1">
        <v>53.684385774249677</v>
      </c>
      <c r="Q1644" s="1">
        <f t="shared" ca="1" si="207"/>
        <v>10</v>
      </c>
      <c r="R1644" s="1">
        <v>10.476882178190863</v>
      </c>
    </row>
    <row r="1645" spans="1:18" x14ac:dyDescent="0.3">
      <c r="A1645" s="26">
        <v>1644</v>
      </c>
      <c r="B1645" s="1">
        <v>5</v>
      </c>
      <c r="C1645" s="1">
        <f t="shared" si="203"/>
        <v>11</v>
      </c>
      <c r="D1645" s="21">
        <f t="shared" ca="1" si="202"/>
        <v>44850</v>
      </c>
      <c r="E1645" s="1" t="s">
        <v>26</v>
      </c>
      <c r="F1645" s="1" t="s">
        <v>1673</v>
      </c>
      <c r="G1645" s="1" t="s">
        <v>28</v>
      </c>
      <c r="H1645" s="1">
        <v>1743</v>
      </c>
      <c r="I1645" s="1">
        <f t="shared" si="204"/>
        <v>52</v>
      </c>
      <c r="J1645" s="1">
        <f>VLOOKUP(B1645,Cena!$A$2:$B$101,2)</f>
        <v>91</v>
      </c>
      <c r="K1645" s="1">
        <f t="shared" si="208"/>
        <v>4732</v>
      </c>
      <c r="L1645" s="1">
        <f t="shared" si="205"/>
        <v>1088.3600000000001</v>
      </c>
      <c r="M1645" s="22">
        <f t="shared" si="209"/>
        <v>5820.3600000000006</v>
      </c>
      <c r="N1645" s="1">
        <f t="shared" ca="1" si="206"/>
        <v>10</v>
      </c>
      <c r="P1645" s="1">
        <v>52.959927769552451</v>
      </c>
      <c r="Q1645" s="1">
        <f t="shared" ca="1" si="207"/>
        <v>26</v>
      </c>
      <c r="R1645" s="1">
        <v>11.296342588830157</v>
      </c>
    </row>
    <row r="1646" spans="1:18" x14ac:dyDescent="0.3">
      <c r="A1646" s="26">
        <v>1645</v>
      </c>
      <c r="B1646" s="1">
        <v>28</v>
      </c>
      <c r="C1646" s="1">
        <f t="shared" si="203"/>
        <v>11</v>
      </c>
      <c r="D1646" s="21">
        <f t="shared" ca="1" si="202"/>
        <v>44888</v>
      </c>
      <c r="E1646" s="1" t="s">
        <v>26</v>
      </c>
      <c r="F1646" s="1" t="s">
        <v>1674</v>
      </c>
      <c r="G1646" s="1" t="s">
        <v>28</v>
      </c>
      <c r="H1646" s="1">
        <v>1744</v>
      </c>
      <c r="I1646" s="1">
        <f t="shared" si="204"/>
        <v>57</v>
      </c>
      <c r="J1646" s="1">
        <f>VLOOKUP(B1646,Cena!$A$2:$B$101,2)</f>
        <v>59</v>
      </c>
      <c r="K1646" s="1">
        <f t="shared" si="208"/>
        <v>3363</v>
      </c>
      <c r="L1646" s="1">
        <f t="shared" si="205"/>
        <v>773.49</v>
      </c>
      <c r="M1646" s="22">
        <f t="shared" si="209"/>
        <v>4136.49</v>
      </c>
      <c r="N1646" s="1">
        <f t="shared" ca="1" si="206"/>
        <v>11</v>
      </c>
      <c r="P1646" s="1">
        <v>57.77640707383398</v>
      </c>
      <c r="Q1646" s="1">
        <f t="shared" ca="1" si="207"/>
        <v>19</v>
      </c>
      <c r="R1646" s="1">
        <v>11.226402446263819</v>
      </c>
    </row>
    <row r="1647" spans="1:18" x14ac:dyDescent="0.3">
      <c r="A1647" s="26">
        <v>1646</v>
      </c>
      <c r="B1647" s="1">
        <v>4</v>
      </c>
      <c r="C1647" s="1">
        <f t="shared" si="203"/>
        <v>11</v>
      </c>
      <c r="D1647" s="21">
        <f t="shared" ca="1" si="202"/>
        <v>44606</v>
      </c>
      <c r="E1647" s="1" t="s">
        <v>26</v>
      </c>
      <c r="F1647" s="1" t="s">
        <v>1675</v>
      </c>
      <c r="G1647" s="1" t="s">
        <v>28</v>
      </c>
      <c r="H1647" s="1">
        <v>1745</v>
      </c>
      <c r="I1647" s="1">
        <f t="shared" si="204"/>
        <v>43</v>
      </c>
      <c r="J1647" s="1">
        <f>VLOOKUP(B1647,Cena!$A$2:$B$101,2)</f>
        <v>99</v>
      </c>
      <c r="K1647" s="1">
        <f t="shared" si="208"/>
        <v>4257</v>
      </c>
      <c r="L1647" s="1">
        <f t="shared" si="205"/>
        <v>979.11</v>
      </c>
      <c r="M1647" s="22">
        <f t="shared" si="209"/>
        <v>5236.1099999999997</v>
      </c>
      <c r="N1647" s="1">
        <f t="shared" ca="1" si="206"/>
        <v>2</v>
      </c>
      <c r="P1647" s="1">
        <v>43.035703482746612</v>
      </c>
      <c r="Q1647" s="1">
        <f t="shared" ca="1" si="207"/>
        <v>19</v>
      </c>
      <c r="R1647" s="1">
        <v>11.45863623401965</v>
      </c>
    </row>
    <row r="1648" spans="1:18" x14ac:dyDescent="0.3">
      <c r="A1648" s="26">
        <v>1647</v>
      </c>
      <c r="B1648" s="1">
        <v>18</v>
      </c>
      <c r="C1648" s="1">
        <f t="shared" si="203"/>
        <v>13</v>
      </c>
      <c r="D1648" s="21">
        <f t="shared" ca="1" si="202"/>
        <v>44830</v>
      </c>
      <c r="E1648" s="1" t="s">
        <v>26</v>
      </c>
      <c r="F1648" s="1" t="s">
        <v>1676</v>
      </c>
      <c r="G1648" s="1" t="s">
        <v>28</v>
      </c>
      <c r="H1648" s="1">
        <v>1746</v>
      </c>
      <c r="I1648" s="1">
        <f t="shared" si="204"/>
        <v>61</v>
      </c>
      <c r="J1648" s="1">
        <f>VLOOKUP(B1648,Cena!$A$2:$B$101,2)</f>
        <v>90</v>
      </c>
      <c r="K1648" s="1">
        <f t="shared" si="208"/>
        <v>5490</v>
      </c>
      <c r="L1648" s="1">
        <f t="shared" si="205"/>
        <v>1262.7</v>
      </c>
      <c r="M1648" s="22">
        <f t="shared" si="209"/>
        <v>6752.7</v>
      </c>
      <c r="N1648" s="1">
        <f t="shared" ca="1" si="206"/>
        <v>9</v>
      </c>
      <c r="P1648" s="1">
        <v>61.145993994432501</v>
      </c>
      <c r="Q1648" s="1">
        <f t="shared" ca="1" si="207"/>
        <v>16</v>
      </c>
      <c r="R1648" s="1">
        <v>13.133300197077915</v>
      </c>
    </row>
    <row r="1649" spans="1:18" x14ac:dyDescent="0.3">
      <c r="A1649" s="26">
        <v>1648</v>
      </c>
      <c r="B1649" s="1">
        <v>23</v>
      </c>
      <c r="C1649" s="1">
        <f t="shared" si="203"/>
        <v>8</v>
      </c>
      <c r="D1649" s="21">
        <f t="shared" ca="1" si="202"/>
        <v>44852</v>
      </c>
      <c r="E1649" s="1" t="s">
        <v>26</v>
      </c>
      <c r="F1649" s="1" t="s">
        <v>1677</v>
      </c>
      <c r="G1649" s="1" t="s">
        <v>28</v>
      </c>
      <c r="H1649" s="1">
        <v>1747</v>
      </c>
      <c r="I1649" s="1">
        <f t="shared" si="204"/>
        <v>59</v>
      </c>
      <c r="J1649" s="1">
        <f>VLOOKUP(B1649,Cena!$A$2:$B$101,2)</f>
        <v>132</v>
      </c>
      <c r="K1649" s="1">
        <f t="shared" si="208"/>
        <v>7788</v>
      </c>
      <c r="L1649" s="1">
        <f t="shared" si="205"/>
        <v>1791.24</v>
      </c>
      <c r="M1649" s="22">
        <f t="shared" si="209"/>
        <v>9579.24</v>
      </c>
      <c r="N1649" s="1">
        <f t="shared" ca="1" si="206"/>
        <v>10</v>
      </c>
      <c r="P1649" s="1">
        <v>59.406721801497042</v>
      </c>
      <c r="Q1649" s="1">
        <f t="shared" ca="1" si="207"/>
        <v>28</v>
      </c>
      <c r="R1649" s="1">
        <v>8.0801305810018675</v>
      </c>
    </row>
    <row r="1650" spans="1:18" x14ac:dyDescent="0.3">
      <c r="A1650" s="26">
        <v>1649</v>
      </c>
      <c r="B1650" s="1">
        <v>20</v>
      </c>
      <c r="C1650" s="1">
        <f t="shared" si="203"/>
        <v>7</v>
      </c>
      <c r="D1650" s="21">
        <f t="shared" ca="1" si="202"/>
        <v>44831</v>
      </c>
      <c r="E1650" s="1" t="s">
        <v>26</v>
      </c>
      <c r="F1650" s="1" t="s">
        <v>1678</v>
      </c>
      <c r="G1650" s="1" t="s">
        <v>28</v>
      </c>
      <c r="H1650" s="1">
        <v>1748</v>
      </c>
      <c r="I1650" s="1">
        <f t="shared" si="204"/>
        <v>46</v>
      </c>
      <c r="J1650" s="1">
        <f>VLOOKUP(B1650,Cena!$A$2:$B$101,2)</f>
        <v>111</v>
      </c>
      <c r="K1650" s="1">
        <f t="shared" si="208"/>
        <v>5106</v>
      </c>
      <c r="L1650" s="1">
        <f t="shared" si="205"/>
        <v>1174.3800000000001</v>
      </c>
      <c r="M1650" s="22">
        <f t="shared" si="209"/>
        <v>6280.38</v>
      </c>
      <c r="N1650" s="1">
        <f t="shared" ca="1" si="206"/>
        <v>9</v>
      </c>
      <c r="P1650" s="1">
        <v>46.838039351132466</v>
      </c>
      <c r="Q1650" s="1">
        <f t="shared" ca="1" si="207"/>
        <v>29</v>
      </c>
      <c r="R1650" s="1">
        <v>7.8950199874816462</v>
      </c>
    </row>
    <row r="1651" spans="1:18" x14ac:dyDescent="0.3">
      <c r="A1651" s="26">
        <v>1650</v>
      </c>
      <c r="B1651" s="1">
        <v>23</v>
      </c>
      <c r="C1651" s="1">
        <f t="shared" si="203"/>
        <v>9</v>
      </c>
      <c r="D1651" s="21">
        <f t="shared" ca="1" si="202"/>
        <v>44577</v>
      </c>
      <c r="E1651" s="1" t="s">
        <v>26</v>
      </c>
      <c r="F1651" s="1" t="s">
        <v>1679</v>
      </c>
      <c r="G1651" s="1" t="s">
        <v>28</v>
      </c>
      <c r="H1651" s="1">
        <v>1749</v>
      </c>
      <c r="I1651" s="1">
        <f t="shared" si="204"/>
        <v>40</v>
      </c>
      <c r="J1651" s="1">
        <f>VLOOKUP(B1651,Cena!$A$2:$B$101,2)</f>
        <v>132</v>
      </c>
      <c r="K1651" s="1">
        <f t="shared" si="208"/>
        <v>5280</v>
      </c>
      <c r="L1651" s="1">
        <f t="shared" si="205"/>
        <v>1214.4000000000001</v>
      </c>
      <c r="M1651" s="22">
        <f t="shared" si="209"/>
        <v>6494.4</v>
      </c>
      <c r="N1651" s="1">
        <f t="shared" ca="1" si="206"/>
        <v>1</v>
      </c>
      <c r="P1651" s="1">
        <v>40.776268532499671</v>
      </c>
      <c r="Q1651" s="1">
        <f t="shared" ca="1" si="207"/>
        <v>3</v>
      </c>
      <c r="R1651" s="1">
        <v>9.125412841749494</v>
      </c>
    </row>
    <row r="1652" spans="1:18" x14ac:dyDescent="0.3">
      <c r="A1652" s="26">
        <v>1651</v>
      </c>
      <c r="B1652" s="1">
        <v>3</v>
      </c>
      <c r="C1652" s="1">
        <f t="shared" si="203"/>
        <v>7</v>
      </c>
      <c r="D1652" s="21">
        <f t="shared" ca="1" si="202"/>
        <v>44632</v>
      </c>
      <c r="E1652" s="1" t="s">
        <v>26</v>
      </c>
      <c r="F1652" s="1" t="s">
        <v>1680</v>
      </c>
      <c r="G1652" s="1" t="s">
        <v>28</v>
      </c>
      <c r="H1652" s="1">
        <v>1750</v>
      </c>
      <c r="I1652" s="1">
        <f t="shared" si="204"/>
        <v>56</v>
      </c>
      <c r="J1652" s="1">
        <f>VLOOKUP(B1652,Cena!$A$2:$B$101,2)</f>
        <v>89</v>
      </c>
      <c r="K1652" s="1">
        <f t="shared" si="208"/>
        <v>4984</v>
      </c>
      <c r="L1652" s="1">
        <f t="shared" si="205"/>
        <v>1146.32</v>
      </c>
      <c r="M1652" s="22">
        <f t="shared" si="209"/>
        <v>6130.32</v>
      </c>
      <c r="N1652" s="1">
        <f t="shared" ca="1" si="206"/>
        <v>3</v>
      </c>
      <c r="P1652" s="1">
        <v>56.138361641205847</v>
      </c>
      <c r="Q1652" s="1">
        <f t="shared" ca="1" si="207"/>
        <v>19</v>
      </c>
      <c r="R1652" s="1">
        <v>7.5051480305410223</v>
      </c>
    </row>
    <row r="1653" spans="1:18" x14ac:dyDescent="0.3">
      <c r="A1653" s="26">
        <v>1652</v>
      </c>
      <c r="B1653" s="1">
        <v>30</v>
      </c>
      <c r="C1653" s="1">
        <f t="shared" si="203"/>
        <v>11</v>
      </c>
      <c r="D1653" s="21">
        <f t="shared" ca="1" si="202"/>
        <v>44730</v>
      </c>
      <c r="E1653" s="1" t="s">
        <v>26</v>
      </c>
      <c r="F1653" s="1" t="s">
        <v>1681</v>
      </c>
      <c r="G1653" s="1" t="s">
        <v>28</v>
      </c>
      <c r="H1653" s="1">
        <v>1751</v>
      </c>
      <c r="I1653" s="1">
        <f t="shared" si="204"/>
        <v>57</v>
      </c>
      <c r="J1653" s="1">
        <f>VLOOKUP(B1653,Cena!$A$2:$B$101,2)</f>
        <v>87</v>
      </c>
      <c r="K1653" s="1">
        <f t="shared" si="208"/>
        <v>4959</v>
      </c>
      <c r="L1653" s="1">
        <f t="shared" si="205"/>
        <v>1140.57</v>
      </c>
      <c r="M1653" s="22">
        <f t="shared" si="209"/>
        <v>6099.57</v>
      </c>
      <c r="N1653" s="1">
        <f t="shared" ca="1" si="206"/>
        <v>6</v>
      </c>
      <c r="P1653" s="1">
        <v>57.289736458915286</v>
      </c>
      <c r="Q1653" s="1">
        <f t="shared" ca="1" si="207"/>
        <v>17</v>
      </c>
      <c r="R1653" s="1">
        <v>11.053643927662051</v>
      </c>
    </row>
    <row r="1654" spans="1:18" x14ac:dyDescent="0.3">
      <c r="A1654" s="26">
        <v>1653</v>
      </c>
      <c r="B1654" s="1">
        <v>21</v>
      </c>
      <c r="C1654" s="1">
        <f t="shared" si="203"/>
        <v>11</v>
      </c>
      <c r="D1654" s="21">
        <f t="shared" ca="1" si="202"/>
        <v>44746</v>
      </c>
      <c r="E1654" s="1" t="s">
        <v>26</v>
      </c>
      <c r="F1654" s="1" t="s">
        <v>1682</v>
      </c>
      <c r="G1654" s="1" t="s">
        <v>28</v>
      </c>
      <c r="H1654" s="1">
        <v>1752</v>
      </c>
      <c r="I1654" s="1">
        <f t="shared" si="204"/>
        <v>46</v>
      </c>
      <c r="J1654" s="1">
        <f>VLOOKUP(B1654,Cena!$A$2:$B$101,2)</f>
        <v>105</v>
      </c>
      <c r="K1654" s="1">
        <f t="shared" si="208"/>
        <v>4830</v>
      </c>
      <c r="L1654" s="1">
        <f t="shared" si="205"/>
        <v>1110.9000000000001</v>
      </c>
      <c r="M1654" s="22">
        <f t="shared" si="209"/>
        <v>5940.9</v>
      </c>
      <c r="N1654" s="1">
        <f t="shared" ca="1" si="206"/>
        <v>7</v>
      </c>
      <c r="P1654" s="1">
        <v>46.634710441867355</v>
      </c>
      <c r="Q1654" s="1">
        <f t="shared" ca="1" si="207"/>
        <v>18</v>
      </c>
      <c r="R1654" s="1">
        <v>11.506521130067995</v>
      </c>
    </row>
    <row r="1655" spans="1:18" x14ac:dyDescent="0.3">
      <c r="A1655" s="26">
        <v>1654</v>
      </c>
      <c r="B1655" s="1">
        <v>10</v>
      </c>
      <c r="C1655" s="1">
        <f t="shared" si="203"/>
        <v>10</v>
      </c>
      <c r="D1655" s="21">
        <f t="shared" ca="1" si="202"/>
        <v>44675</v>
      </c>
      <c r="E1655" s="1" t="s">
        <v>26</v>
      </c>
      <c r="F1655" s="1" t="s">
        <v>1683</v>
      </c>
      <c r="G1655" s="1" t="s">
        <v>28</v>
      </c>
      <c r="H1655" s="1">
        <v>1753</v>
      </c>
      <c r="I1655" s="1">
        <f t="shared" si="204"/>
        <v>51</v>
      </c>
      <c r="J1655" s="1">
        <f>VLOOKUP(B1655,Cena!$A$2:$B$101,2)</f>
        <v>109</v>
      </c>
      <c r="K1655" s="1">
        <f t="shared" si="208"/>
        <v>5559</v>
      </c>
      <c r="L1655" s="1">
        <f t="shared" si="205"/>
        <v>1278.5700000000002</v>
      </c>
      <c r="M1655" s="22">
        <f t="shared" si="209"/>
        <v>6837.57</v>
      </c>
      <c r="N1655" s="1">
        <f t="shared" ca="1" si="206"/>
        <v>4</v>
      </c>
      <c r="P1655" s="1">
        <v>51.489945589128183</v>
      </c>
      <c r="Q1655" s="1">
        <f t="shared" ca="1" si="207"/>
        <v>6</v>
      </c>
      <c r="R1655" s="1">
        <v>10.346014417118568</v>
      </c>
    </row>
    <row r="1656" spans="1:18" x14ac:dyDescent="0.3">
      <c r="A1656" s="26">
        <v>1655</v>
      </c>
      <c r="B1656" s="1">
        <v>10</v>
      </c>
      <c r="C1656" s="1">
        <f t="shared" si="203"/>
        <v>8</v>
      </c>
      <c r="D1656" s="21">
        <f t="shared" ca="1" si="202"/>
        <v>44911</v>
      </c>
      <c r="E1656" s="1" t="s">
        <v>26</v>
      </c>
      <c r="F1656" s="1" t="s">
        <v>1684</v>
      </c>
      <c r="G1656" s="1" t="s">
        <v>28</v>
      </c>
      <c r="H1656" s="1">
        <v>1754</v>
      </c>
      <c r="I1656" s="1">
        <f t="shared" si="204"/>
        <v>38</v>
      </c>
      <c r="J1656" s="1">
        <f>VLOOKUP(B1656,Cena!$A$2:$B$101,2)</f>
        <v>109</v>
      </c>
      <c r="K1656" s="1">
        <f t="shared" si="208"/>
        <v>4142</v>
      </c>
      <c r="L1656" s="1">
        <f t="shared" si="205"/>
        <v>952.66000000000008</v>
      </c>
      <c r="M1656" s="22">
        <f t="shared" si="209"/>
        <v>5094.66</v>
      </c>
      <c r="N1656" s="1">
        <f t="shared" ca="1" si="206"/>
        <v>12</v>
      </c>
      <c r="P1656" s="1">
        <v>38.086801749886945</v>
      </c>
      <c r="Q1656" s="1">
        <f t="shared" ca="1" si="207"/>
        <v>3</v>
      </c>
      <c r="R1656" s="1">
        <v>8.5250099143740954</v>
      </c>
    </row>
    <row r="1657" spans="1:18" x14ac:dyDescent="0.3">
      <c r="A1657" s="26">
        <v>1656</v>
      </c>
      <c r="B1657" s="1">
        <v>9</v>
      </c>
      <c r="C1657" s="1">
        <f t="shared" si="203"/>
        <v>7</v>
      </c>
      <c r="D1657" s="21">
        <f t="shared" ca="1" si="202"/>
        <v>44720</v>
      </c>
      <c r="E1657" s="1" t="s">
        <v>26</v>
      </c>
      <c r="F1657" s="1" t="s">
        <v>1685</v>
      </c>
      <c r="G1657" s="1" t="s">
        <v>28</v>
      </c>
      <c r="H1657" s="1">
        <v>1755</v>
      </c>
      <c r="I1657" s="1">
        <f t="shared" si="204"/>
        <v>41</v>
      </c>
      <c r="J1657" s="1">
        <f>VLOOKUP(B1657,Cena!$A$2:$B$101,2)</f>
        <v>96</v>
      </c>
      <c r="K1657" s="1">
        <f t="shared" si="208"/>
        <v>3936</v>
      </c>
      <c r="L1657" s="1">
        <f t="shared" si="205"/>
        <v>905.28000000000009</v>
      </c>
      <c r="M1657" s="22">
        <f t="shared" si="209"/>
        <v>4841.28</v>
      </c>
      <c r="N1657" s="1">
        <f t="shared" ca="1" si="206"/>
        <v>6</v>
      </c>
      <c r="P1657" s="1">
        <v>41.876279636926483</v>
      </c>
      <c r="Q1657" s="1">
        <f t="shared" ca="1" si="207"/>
        <v>12</v>
      </c>
      <c r="R1657" s="1">
        <v>7.8676328282745089</v>
      </c>
    </row>
    <row r="1658" spans="1:18" x14ac:dyDescent="0.3">
      <c r="A1658" s="26">
        <v>1657</v>
      </c>
      <c r="B1658" s="1">
        <v>2</v>
      </c>
      <c r="C1658" s="1">
        <f t="shared" si="203"/>
        <v>10</v>
      </c>
      <c r="D1658" s="21">
        <f t="shared" ca="1" si="202"/>
        <v>44891</v>
      </c>
      <c r="E1658" s="1" t="s">
        <v>26</v>
      </c>
      <c r="F1658" s="1" t="s">
        <v>1686</v>
      </c>
      <c r="G1658" s="1" t="s">
        <v>28</v>
      </c>
      <c r="H1658" s="1">
        <v>1756</v>
      </c>
      <c r="I1658" s="1">
        <f t="shared" si="204"/>
        <v>54</v>
      </c>
      <c r="J1658" s="1">
        <f>VLOOKUP(B1658,Cena!$A$2:$B$101,2)</f>
        <v>121</v>
      </c>
      <c r="K1658" s="1">
        <f t="shared" si="208"/>
        <v>6534</v>
      </c>
      <c r="L1658" s="1">
        <f t="shared" si="205"/>
        <v>1502.8200000000002</v>
      </c>
      <c r="M1658" s="22">
        <f t="shared" si="209"/>
        <v>8036.82</v>
      </c>
      <c r="N1658" s="1">
        <f t="shared" ca="1" si="206"/>
        <v>11</v>
      </c>
      <c r="P1658" s="1">
        <v>54.501430339587387</v>
      </c>
      <c r="Q1658" s="1">
        <f t="shared" ca="1" si="207"/>
        <v>5</v>
      </c>
      <c r="R1658" s="1">
        <v>10.294338065032207</v>
      </c>
    </row>
    <row r="1659" spans="1:18" x14ac:dyDescent="0.3">
      <c r="A1659" s="26">
        <v>1658</v>
      </c>
      <c r="B1659" s="1">
        <v>26</v>
      </c>
      <c r="C1659" s="1">
        <f t="shared" si="203"/>
        <v>10</v>
      </c>
      <c r="D1659" s="21">
        <f t="shared" ca="1" si="202"/>
        <v>44876</v>
      </c>
      <c r="E1659" s="1" t="s">
        <v>26</v>
      </c>
      <c r="F1659" s="1" t="s">
        <v>1687</v>
      </c>
      <c r="G1659" s="1" t="s">
        <v>28</v>
      </c>
      <c r="H1659" s="1">
        <v>1757</v>
      </c>
      <c r="I1659" s="1">
        <f t="shared" si="204"/>
        <v>48</v>
      </c>
      <c r="J1659" s="1">
        <f>VLOOKUP(B1659,Cena!$A$2:$B$101,2)</f>
        <v>99</v>
      </c>
      <c r="K1659" s="1">
        <f t="shared" si="208"/>
        <v>4752</v>
      </c>
      <c r="L1659" s="1">
        <f t="shared" si="205"/>
        <v>1092.96</v>
      </c>
      <c r="M1659" s="22">
        <f t="shared" si="209"/>
        <v>5844.96</v>
      </c>
      <c r="N1659" s="1">
        <f t="shared" ca="1" si="206"/>
        <v>11</v>
      </c>
      <c r="P1659" s="1">
        <v>48.984276317059994</v>
      </c>
      <c r="Q1659" s="1">
        <f t="shared" ca="1" si="207"/>
        <v>29</v>
      </c>
      <c r="R1659" s="1">
        <v>10.426726387559029</v>
      </c>
    </row>
    <row r="1660" spans="1:18" x14ac:dyDescent="0.3">
      <c r="A1660" s="26">
        <v>1659</v>
      </c>
      <c r="B1660" s="1">
        <v>19</v>
      </c>
      <c r="C1660" s="1">
        <f t="shared" si="203"/>
        <v>10</v>
      </c>
      <c r="D1660" s="21">
        <f t="shared" ca="1" si="202"/>
        <v>44770</v>
      </c>
      <c r="E1660" s="1" t="s">
        <v>26</v>
      </c>
      <c r="F1660" s="1" t="s">
        <v>1688</v>
      </c>
      <c r="G1660" s="1" t="s">
        <v>28</v>
      </c>
      <c r="H1660" s="1">
        <v>1758</v>
      </c>
      <c r="I1660" s="1">
        <f t="shared" si="204"/>
        <v>60</v>
      </c>
      <c r="J1660" s="1">
        <f>VLOOKUP(B1660,Cena!$A$2:$B$101,2)</f>
        <v>84</v>
      </c>
      <c r="K1660" s="1">
        <f t="shared" si="208"/>
        <v>5040</v>
      </c>
      <c r="L1660" s="1">
        <f t="shared" si="205"/>
        <v>1159.2</v>
      </c>
      <c r="M1660" s="22">
        <f t="shared" si="209"/>
        <v>6199.2</v>
      </c>
      <c r="N1660" s="1">
        <f t="shared" ca="1" si="206"/>
        <v>7</v>
      </c>
      <c r="P1660" s="1">
        <v>60.374878911534324</v>
      </c>
      <c r="Q1660" s="1">
        <f t="shared" ca="1" si="207"/>
        <v>26</v>
      </c>
      <c r="R1660" s="1">
        <v>10.700111968399142</v>
      </c>
    </row>
    <row r="1661" spans="1:18" x14ac:dyDescent="0.3">
      <c r="A1661" s="26">
        <v>1660</v>
      </c>
      <c r="B1661" s="1">
        <v>10</v>
      </c>
      <c r="C1661" s="1">
        <f t="shared" si="203"/>
        <v>11</v>
      </c>
      <c r="D1661" s="21">
        <f t="shared" ca="1" si="202"/>
        <v>44596</v>
      </c>
      <c r="E1661" s="1" t="s">
        <v>26</v>
      </c>
      <c r="F1661" s="1" t="s">
        <v>1689</v>
      </c>
      <c r="G1661" s="1" t="s">
        <v>28</v>
      </c>
      <c r="H1661" s="1">
        <v>1759</v>
      </c>
      <c r="I1661" s="1">
        <f t="shared" si="204"/>
        <v>33</v>
      </c>
      <c r="J1661" s="1">
        <f>VLOOKUP(B1661,Cena!$A$2:$B$101,2)</f>
        <v>109</v>
      </c>
      <c r="K1661" s="1">
        <f t="shared" si="208"/>
        <v>3597</v>
      </c>
      <c r="L1661" s="1">
        <f t="shared" si="205"/>
        <v>827.31000000000006</v>
      </c>
      <c r="M1661" s="22">
        <f t="shared" si="209"/>
        <v>4424.3100000000004</v>
      </c>
      <c r="N1661" s="1">
        <f t="shared" ca="1" si="206"/>
        <v>2</v>
      </c>
      <c r="P1661" s="1">
        <v>33.559291649726219</v>
      </c>
      <c r="Q1661" s="1">
        <f t="shared" ca="1" si="207"/>
        <v>23</v>
      </c>
      <c r="R1661" s="1">
        <v>11.408142225045594</v>
      </c>
    </row>
    <row r="1662" spans="1:18" x14ac:dyDescent="0.3">
      <c r="A1662" s="26">
        <v>1661</v>
      </c>
      <c r="B1662" s="1">
        <v>4</v>
      </c>
      <c r="C1662" s="1">
        <f t="shared" si="203"/>
        <v>10</v>
      </c>
      <c r="D1662" s="21">
        <f t="shared" ca="1" si="202"/>
        <v>44729</v>
      </c>
      <c r="E1662" s="1" t="s">
        <v>26</v>
      </c>
      <c r="F1662" s="1" t="s">
        <v>1690</v>
      </c>
      <c r="G1662" s="1" t="s">
        <v>28</v>
      </c>
      <c r="H1662" s="1">
        <v>1760</v>
      </c>
      <c r="I1662" s="1">
        <f t="shared" si="204"/>
        <v>71</v>
      </c>
      <c r="J1662" s="1">
        <f>VLOOKUP(B1662,Cena!$A$2:$B$101,2)</f>
        <v>99</v>
      </c>
      <c r="K1662" s="1">
        <f t="shared" si="208"/>
        <v>7029</v>
      </c>
      <c r="L1662" s="1">
        <f t="shared" si="205"/>
        <v>1616.67</v>
      </c>
      <c r="M1662" s="22">
        <f t="shared" si="209"/>
        <v>8645.67</v>
      </c>
      <c r="N1662" s="1">
        <f t="shared" ca="1" si="206"/>
        <v>6</v>
      </c>
      <c r="P1662" s="1">
        <v>71.625055524054915</v>
      </c>
      <c r="Q1662" s="1">
        <f t="shared" ca="1" si="207"/>
        <v>17</v>
      </c>
      <c r="R1662" s="1">
        <v>10.459948523712228</v>
      </c>
    </row>
    <row r="1663" spans="1:18" x14ac:dyDescent="0.3">
      <c r="A1663" s="26">
        <v>1662</v>
      </c>
      <c r="B1663" s="1">
        <v>26</v>
      </c>
      <c r="C1663" s="1">
        <f t="shared" si="203"/>
        <v>9</v>
      </c>
      <c r="D1663" s="21">
        <f t="shared" ca="1" si="202"/>
        <v>44847</v>
      </c>
      <c r="E1663" s="1" t="s">
        <v>26</v>
      </c>
      <c r="F1663" s="1" t="s">
        <v>1691</v>
      </c>
      <c r="G1663" s="1" t="s">
        <v>28</v>
      </c>
      <c r="H1663" s="1">
        <v>1761</v>
      </c>
      <c r="I1663" s="1">
        <f t="shared" si="204"/>
        <v>38</v>
      </c>
      <c r="J1663" s="1">
        <f>VLOOKUP(B1663,Cena!$A$2:$B$101,2)</f>
        <v>99</v>
      </c>
      <c r="K1663" s="1">
        <f t="shared" si="208"/>
        <v>3762</v>
      </c>
      <c r="L1663" s="1">
        <f t="shared" si="205"/>
        <v>865.26</v>
      </c>
      <c r="M1663" s="22">
        <f t="shared" si="209"/>
        <v>4627.26</v>
      </c>
      <c r="N1663" s="1">
        <f t="shared" ca="1" si="206"/>
        <v>10</v>
      </c>
      <c r="P1663" s="1">
        <v>38.674244377762079</v>
      </c>
      <c r="Q1663" s="1">
        <f t="shared" ca="1" si="207"/>
        <v>30</v>
      </c>
      <c r="R1663" s="1">
        <v>9.3984147295122966</v>
      </c>
    </row>
    <row r="1664" spans="1:18" x14ac:dyDescent="0.3">
      <c r="A1664" s="26">
        <v>1663</v>
      </c>
      <c r="B1664" s="1">
        <v>19</v>
      </c>
      <c r="C1664" s="1">
        <f t="shared" si="203"/>
        <v>9</v>
      </c>
      <c r="D1664" s="21">
        <f t="shared" ca="1" si="202"/>
        <v>44587</v>
      </c>
      <c r="E1664" s="1" t="s">
        <v>26</v>
      </c>
      <c r="F1664" s="1" t="s">
        <v>1692</v>
      </c>
      <c r="G1664" s="1" t="s">
        <v>28</v>
      </c>
      <c r="H1664" s="1">
        <v>1762</v>
      </c>
      <c r="I1664" s="1">
        <f t="shared" si="204"/>
        <v>55</v>
      </c>
      <c r="J1664" s="1">
        <f>VLOOKUP(B1664,Cena!$A$2:$B$101,2)</f>
        <v>84</v>
      </c>
      <c r="K1664" s="1">
        <f t="shared" si="208"/>
        <v>4620</v>
      </c>
      <c r="L1664" s="1">
        <f t="shared" si="205"/>
        <v>1062.6000000000001</v>
      </c>
      <c r="M1664" s="22">
        <f t="shared" si="209"/>
        <v>5682.6</v>
      </c>
      <c r="N1664" s="1">
        <f t="shared" ca="1" si="206"/>
        <v>1</v>
      </c>
      <c r="P1664" s="1">
        <v>55.308277195581468</v>
      </c>
      <c r="Q1664" s="1">
        <f t="shared" ca="1" si="207"/>
        <v>14</v>
      </c>
      <c r="R1664" s="1">
        <v>9.5231178218091372</v>
      </c>
    </row>
    <row r="1665" spans="1:18" x14ac:dyDescent="0.3">
      <c r="A1665" s="26">
        <v>1664</v>
      </c>
      <c r="B1665" s="1">
        <v>10</v>
      </c>
      <c r="C1665" s="1">
        <f t="shared" si="203"/>
        <v>6</v>
      </c>
      <c r="D1665" s="21">
        <f t="shared" ca="1" si="202"/>
        <v>44770</v>
      </c>
      <c r="E1665" s="1" t="s">
        <v>26</v>
      </c>
      <c r="F1665" s="1" t="s">
        <v>1693</v>
      </c>
      <c r="G1665" s="1" t="s">
        <v>28</v>
      </c>
      <c r="H1665" s="1">
        <v>1763</v>
      </c>
      <c r="I1665" s="1">
        <f t="shared" si="204"/>
        <v>63</v>
      </c>
      <c r="J1665" s="1">
        <f>VLOOKUP(B1665,Cena!$A$2:$B$101,2)</f>
        <v>109</v>
      </c>
      <c r="K1665" s="1">
        <f t="shared" si="208"/>
        <v>6867</v>
      </c>
      <c r="L1665" s="1">
        <f t="shared" si="205"/>
        <v>1579.41</v>
      </c>
      <c r="M1665" s="22">
        <f t="shared" si="209"/>
        <v>8446.41</v>
      </c>
      <c r="N1665" s="1">
        <f t="shared" ca="1" si="206"/>
        <v>7</v>
      </c>
      <c r="P1665" s="1">
        <v>63.897124517825432</v>
      </c>
      <c r="Q1665" s="1">
        <f t="shared" ca="1" si="207"/>
        <v>15</v>
      </c>
      <c r="R1665" s="1">
        <v>6.4461153467709664</v>
      </c>
    </row>
    <row r="1666" spans="1:18" x14ac:dyDescent="0.3">
      <c r="A1666" s="26">
        <v>1665</v>
      </c>
      <c r="B1666" s="1">
        <v>9</v>
      </c>
      <c r="C1666" s="1">
        <f t="shared" si="203"/>
        <v>11</v>
      </c>
      <c r="D1666" s="21">
        <f t="shared" ref="D1666:D1729" ca="1" si="210">DATE(2022,RANDBETWEEN(1,12),RANDBETWEEN(1,28))</f>
        <v>44888</v>
      </c>
      <c r="E1666" s="1" t="s">
        <v>26</v>
      </c>
      <c r="F1666" s="1" t="s">
        <v>1694</v>
      </c>
      <c r="G1666" s="1" t="s">
        <v>28</v>
      </c>
      <c r="H1666" s="1">
        <v>1764</v>
      </c>
      <c r="I1666" s="1">
        <f t="shared" si="204"/>
        <v>37</v>
      </c>
      <c r="J1666" s="1">
        <f>VLOOKUP(B1666,Cena!$A$2:$B$101,2)</f>
        <v>96</v>
      </c>
      <c r="K1666" s="1">
        <f t="shared" si="208"/>
        <v>3552</v>
      </c>
      <c r="L1666" s="1">
        <f t="shared" si="205"/>
        <v>816.96</v>
      </c>
      <c r="M1666" s="22">
        <f t="shared" si="209"/>
        <v>4368.96</v>
      </c>
      <c r="N1666" s="1">
        <f t="shared" ca="1" si="206"/>
        <v>11</v>
      </c>
      <c r="P1666" s="1">
        <v>37.488581609795801</v>
      </c>
      <c r="Q1666" s="1">
        <f t="shared" ca="1" si="207"/>
        <v>22</v>
      </c>
      <c r="R1666" s="1">
        <v>11.392481863149442</v>
      </c>
    </row>
    <row r="1667" spans="1:18" x14ac:dyDescent="0.3">
      <c r="A1667" s="26">
        <v>1666</v>
      </c>
      <c r="B1667" s="1">
        <v>14</v>
      </c>
      <c r="C1667" s="1">
        <f t="shared" ref="C1667:C1730" si="211">INT(R1667)</f>
        <v>9</v>
      </c>
      <c r="D1667" s="21">
        <f t="shared" ca="1" si="210"/>
        <v>44645</v>
      </c>
      <c r="E1667" s="1" t="s">
        <v>26</v>
      </c>
      <c r="F1667" s="1" t="s">
        <v>1695</v>
      </c>
      <c r="G1667" s="1" t="s">
        <v>28</v>
      </c>
      <c r="H1667" s="1">
        <v>1765</v>
      </c>
      <c r="I1667" s="1">
        <f t="shared" ref="I1667:I1730" si="212">INT(P1667)</f>
        <v>52</v>
      </c>
      <c r="J1667" s="1">
        <f>VLOOKUP(B1667,Cena!$A$2:$B$101,2)</f>
        <v>129</v>
      </c>
      <c r="K1667" s="1">
        <f t="shared" si="208"/>
        <v>6708</v>
      </c>
      <c r="L1667" s="1">
        <f t="shared" ref="L1667:L1730" si="213">K1667*23%</f>
        <v>1542.8400000000001</v>
      </c>
      <c r="M1667" s="22">
        <f t="shared" si="209"/>
        <v>8250.84</v>
      </c>
      <c r="N1667" s="1">
        <f t="shared" ref="N1667:N1730" ca="1" si="214">MONTH(D1667)</f>
        <v>3</v>
      </c>
      <c r="P1667" s="1">
        <v>52.884894456656184</v>
      </c>
      <c r="Q1667" s="1">
        <f t="shared" ref="Q1667:Q1730" ca="1" si="215">RANDBETWEEN(1,30)</f>
        <v>24</v>
      </c>
      <c r="R1667" s="1">
        <v>9.0128742410888663</v>
      </c>
    </row>
    <row r="1668" spans="1:18" x14ac:dyDescent="0.3">
      <c r="A1668" s="26">
        <v>1667</v>
      </c>
      <c r="B1668" s="1">
        <v>24</v>
      </c>
      <c r="C1668" s="1">
        <f t="shared" si="211"/>
        <v>9</v>
      </c>
      <c r="D1668" s="21">
        <f t="shared" ca="1" si="210"/>
        <v>44666</v>
      </c>
      <c r="E1668" s="1" t="s">
        <v>26</v>
      </c>
      <c r="F1668" s="1" t="s">
        <v>1696</v>
      </c>
      <c r="G1668" s="1" t="s">
        <v>28</v>
      </c>
      <c r="H1668" s="1">
        <v>1766</v>
      </c>
      <c r="I1668" s="1">
        <f t="shared" si="212"/>
        <v>53</v>
      </c>
      <c r="J1668" s="1">
        <f>VLOOKUP(B1668,Cena!$A$2:$B$101,2)</f>
        <v>125</v>
      </c>
      <c r="K1668" s="1">
        <f t="shared" si="208"/>
        <v>6625</v>
      </c>
      <c r="L1668" s="1">
        <f t="shared" si="213"/>
        <v>1523.75</v>
      </c>
      <c r="M1668" s="22">
        <f t="shared" si="209"/>
        <v>8148.75</v>
      </c>
      <c r="N1668" s="1">
        <f t="shared" ca="1" si="214"/>
        <v>4</v>
      </c>
      <c r="P1668" s="1">
        <v>53.956779437430669</v>
      </c>
      <c r="Q1668" s="1">
        <f t="shared" ca="1" si="215"/>
        <v>11</v>
      </c>
      <c r="R1668" s="1">
        <v>9.2646110058558406</v>
      </c>
    </row>
    <row r="1669" spans="1:18" x14ac:dyDescent="0.3">
      <c r="A1669" s="26">
        <v>1668</v>
      </c>
      <c r="B1669" s="1">
        <v>5</v>
      </c>
      <c r="C1669" s="1">
        <f t="shared" si="211"/>
        <v>8</v>
      </c>
      <c r="D1669" s="21">
        <f t="shared" ca="1" si="210"/>
        <v>44721</v>
      </c>
      <c r="E1669" s="1" t="s">
        <v>26</v>
      </c>
      <c r="F1669" s="1" t="s">
        <v>1697</v>
      </c>
      <c r="G1669" s="1" t="s">
        <v>28</v>
      </c>
      <c r="H1669" s="1">
        <v>1767</v>
      </c>
      <c r="I1669" s="1">
        <f t="shared" si="212"/>
        <v>22</v>
      </c>
      <c r="J1669" s="1">
        <f>VLOOKUP(B1669,Cena!$A$2:$B$101,2)</f>
        <v>91</v>
      </c>
      <c r="K1669" s="1">
        <f t="shared" si="208"/>
        <v>2002</v>
      </c>
      <c r="L1669" s="1">
        <f t="shared" si="213"/>
        <v>460.46000000000004</v>
      </c>
      <c r="M1669" s="22">
        <f t="shared" si="209"/>
        <v>2462.46</v>
      </c>
      <c r="N1669" s="1">
        <f t="shared" ca="1" si="214"/>
        <v>6</v>
      </c>
      <c r="P1669" s="1">
        <v>22.545629134401679</v>
      </c>
      <c r="Q1669" s="1">
        <f t="shared" ca="1" si="215"/>
        <v>2</v>
      </c>
      <c r="R1669" s="1">
        <v>8.5655563250475097</v>
      </c>
    </row>
    <row r="1670" spans="1:18" x14ac:dyDescent="0.3">
      <c r="A1670" s="26">
        <v>1669</v>
      </c>
      <c r="B1670" s="1">
        <v>1</v>
      </c>
      <c r="C1670" s="1">
        <f t="shared" si="211"/>
        <v>10</v>
      </c>
      <c r="D1670" s="21">
        <f t="shared" ca="1" si="210"/>
        <v>44767</v>
      </c>
      <c r="E1670" s="1" t="s">
        <v>26</v>
      </c>
      <c r="F1670" s="1" t="s">
        <v>1698</v>
      </c>
      <c r="G1670" s="1" t="s">
        <v>28</v>
      </c>
      <c r="H1670" s="1">
        <v>1768</v>
      </c>
      <c r="I1670" s="1">
        <f t="shared" si="212"/>
        <v>51</v>
      </c>
      <c r="J1670" s="1">
        <f>VLOOKUP(B1670,Cena!$A$2:$B$101,2)</f>
        <v>84</v>
      </c>
      <c r="K1670" s="1">
        <f t="shared" si="208"/>
        <v>4284</v>
      </c>
      <c r="L1670" s="1">
        <f t="shared" si="213"/>
        <v>985.32</v>
      </c>
      <c r="M1670" s="22">
        <f t="shared" si="209"/>
        <v>5269.32</v>
      </c>
      <c r="N1670" s="1">
        <f t="shared" ca="1" si="214"/>
        <v>7</v>
      </c>
      <c r="P1670" s="1">
        <v>51.362434431939619</v>
      </c>
      <c r="Q1670" s="1">
        <f t="shared" ca="1" si="215"/>
        <v>2</v>
      </c>
      <c r="R1670" s="1">
        <v>10.12732925824821</v>
      </c>
    </row>
    <row r="1671" spans="1:18" x14ac:dyDescent="0.3">
      <c r="A1671" s="26">
        <v>1670</v>
      </c>
      <c r="B1671" s="1">
        <v>3</v>
      </c>
      <c r="C1671" s="1">
        <f t="shared" si="211"/>
        <v>10</v>
      </c>
      <c r="D1671" s="21">
        <f t="shared" ca="1" si="210"/>
        <v>44817</v>
      </c>
      <c r="E1671" s="1" t="s">
        <v>26</v>
      </c>
      <c r="F1671" s="1" t="s">
        <v>1699</v>
      </c>
      <c r="G1671" s="1" t="s">
        <v>28</v>
      </c>
      <c r="H1671" s="1">
        <v>1769</v>
      </c>
      <c r="I1671" s="1">
        <f t="shared" si="212"/>
        <v>51</v>
      </c>
      <c r="J1671" s="1">
        <f>VLOOKUP(B1671,Cena!$A$2:$B$101,2)</f>
        <v>89</v>
      </c>
      <c r="K1671" s="1">
        <f t="shared" si="208"/>
        <v>4539</v>
      </c>
      <c r="L1671" s="1">
        <f t="shared" si="213"/>
        <v>1043.97</v>
      </c>
      <c r="M1671" s="22">
        <f t="shared" si="209"/>
        <v>5582.97</v>
      </c>
      <c r="N1671" s="1">
        <f t="shared" ca="1" si="214"/>
        <v>9</v>
      </c>
      <c r="P1671" s="1">
        <v>51.932460236275801</v>
      </c>
      <c r="Q1671" s="1">
        <f t="shared" ca="1" si="215"/>
        <v>8</v>
      </c>
      <c r="R1671" s="1">
        <v>10.617345108366862</v>
      </c>
    </row>
    <row r="1672" spans="1:18" x14ac:dyDescent="0.3">
      <c r="A1672" s="26">
        <v>1671</v>
      </c>
      <c r="B1672" s="1">
        <v>28</v>
      </c>
      <c r="C1672" s="1">
        <f t="shared" si="211"/>
        <v>11</v>
      </c>
      <c r="D1672" s="21">
        <f t="shared" ca="1" si="210"/>
        <v>44787</v>
      </c>
      <c r="E1672" s="1" t="s">
        <v>26</v>
      </c>
      <c r="F1672" s="1" t="s">
        <v>1700</v>
      </c>
      <c r="G1672" s="1" t="s">
        <v>28</v>
      </c>
      <c r="H1672" s="1">
        <v>1770</v>
      </c>
      <c r="I1672" s="1">
        <f t="shared" si="212"/>
        <v>51</v>
      </c>
      <c r="J1672" s="1">
        <f>VLOOKUP(B1672,Cena!$A$2:$B$101,2)</f>
        <v>59</v>
      </c>
      <c r="K1672" s="1">
        <f t="shared" si="208"/>
        <v>3009</v>
      </c>
      <c r="L1672" s="1">
        <f t="shared" si="213"/>
        <v>692.07</v>
      </c>
      <c r="M1672" s="22">
        <f t="shared" si="209"/>
        <v>3701.07</v>
      </c>
      <c r="N1672" s="1">
        <f t="shared" ca="1" si="214"/>
        <v>8</v>
      </c>
      <c r="P1672" s="1">
        <v>51.642513325350592</v>
      </c>
      <c r="Q1672" s="1">
        <f t="shared" ca="1" si="215"/>
        <v>1</v>
      </c>
      <c r="R1672" s="1">
        <v>11.539905269964947</v>
      </c>
    </row>
    <row r="1673" spans="1:18" x14ac:dyDescent="0.3">
      <c r="A1673" s="26">
        <v>1672</v>
      </c>
      <c r="B1673" s="1">
        <v>17</v>
      </c>
      <c r="C1673" s="1">
        <f t="shared" si="211"/>
        <v>10</v>
      </c>
      <c r="D1673" s="21">
        <f t="shared" ca="1" si="210"/>
        <v>44872</v>
      </c>
      <c r="E1673" s="1" t="s">
        <v>26</v>
      </c>
      <c r="F1673" s="1" t="s">
        <v>1701</v>
      </c>
      <c r="G1673" s="1" t="s">
        <v>28</v>
      </c>
      <c r="H1673" s="1">
        <v>1771</v>
      </c>
      <c r="I1673" s="1">
        <f t="shared" si="212"/>
        <v>54</v>
      </c>
      <c r="J1673" s="1">
        <f>VLOOKUP(B1673,Cena!$A$2:$B$101,2)</f>
        <v>84</v>
      </c>
      <c r="K1673" s="1">
        <f t="shared" si="208"/>
        <v>4536</v>
      </c>
      <c r="L1673" s="1">
        <f t="shared" si="213"/>
        <v>1043.28</v>
      </c>
      <c r="M1673" s="22">
        <f t="shared" si="209"/>
        <v>5579.28</v>
      </c>
      <c r="N1673" s="1">
        <f t="shared" ca="1" si="214"/>
        <v>11</v>
      </c>
      <c r="P1673" s="1">
        <v>54.712387635663617</v>
      </c>
      <c r="Q1673" s="1">
        <f t="shared" ca="1" si="215"/>
        <v>20</v>
      </c>
      <c r="R1673" s="1">
        <v>10.246819809035514</v>
      </c>
    </row>
    <row r="1674" spans="1:18" x14ac:dyDescent="0.3">
      <c r="A1674" s="26">
        <v>1673</v>
      </c>
      <c r="B1674" s="1">
        <v>17</v>
      </c>
      <c r="C1674" s="1">
        <f t="shared" si="211"/>
        <v>6</v>
      </c>
      <c r="D1674" s="21">
        <f t="shared" ca="1" si="210"/>
        <v>44823</v>
      </c>
      <c r="E1674" s="1" t="s">
        <v>26</v>
      </c>
      <c r="F1674" s="1" t="s">
        <v>1702</v>
      </c>
      <c r="G1674" s="1" t="s">
        <v>28</v>
      </c>
      <c r="H1674" s="1">
        <v>1772</v>
      </c>
      <c r="I1674" s="1">
        <f t="shared" si="212"/>
        <v>59</v>
      </c>
      <c r="J1674" s="1">
        <f>VLOOKUP(B1674,Cena!$A$2:$B$101,2)</f>
        <v>84</v>
      </c>
      <c r="K1674" s="1">
        <f t="shared" si="208"/>
        <v>4956</v>
      </c>
      <c r="L1674" s="1">
        <f t="shared" si="213"/>
        <v>1139.8800000000001</v>
      </c>
      <c r="M1674" s="22">
        <f t="shared" si="209"/>
        <v>6095.88</v>
      </c>
      <c r="N1674" s="1">
        <f t="shared" ca="1" si="214"/>
        <v>9</v>
      </c>
      <c r="P1674" s="1">
        <v>59.907921594276559</v>
      </c>
      <c r="Q1674" s="1">
        <f t="shared" ca="1" si="215"/>
        <v>14</v>
      </c>
      <c r="R1674" s="1">
        <v>6.4105654726154171</v>
      </c>
    </row>
    <row r="1675" spans="1:18" x14ac:dyDescent="0.3">
      <c r="A1675" s="26">
        <v>1674</v>
      </c>
      <c r="B1675" s="1">
        <v>1</v>
      </c>
      <c r="C1675" s="1">
        <f t="shared" si="211"/>
        <v>8</v>
      </c>
      <c r="D1675" s="21">
        <f t="shared" ca="1" si="210"/>
        <v>44796</v>
      </c>
      <c r="E1675" s="1" t="s">
        <v>26</v>
      </c>
      <c r="F1675" s="1" t="s">
        <v>1703</v>
      </c>
      <c r="G1675" s="1" t="s">
        <v>28</v>
      </c>
      <c r="H1675" s="1">
        <v>1773</v>
      </c>
      <c r="I1675" s="1">
        <f t="shared" si="212"/>
        <v>36</v>
      </c>
      <c r="J1675" s="1">
        <f>VLOOKUP(B1675,Cena!$A$2:$B$101,2)</f>
        <v>84</v>
      </c>
      <c r="K1675" s="1">
        <f t="shared" si="208"/>
        <v>3024</v>
      </c>
      <c r="L1675" s="1">
        <f t="shared" si="213"/>
        <v>695.52</v>
      </c>
      <c r="M1675" s="22">
        <f t="shared" si="209"/>
        <v>3719.52</v>
      </c>
      <c r="N1675" s="1">
        <f t="shared" ca="1" si="214"/>
        <v>8</v>
      </c>
      <c r="P1675" s="1">
        <v>36.803641149890609</v>
      </c>
      <c r="Q1675" s="1">
        <f t="shared" ca="1" si="215"/>
        <v>24</v>
      </c>
      <c r="R1675" s="1">
        <v>8.8404624673421495</v>
      </c>
    </row>
    <row r="1676" spans="1:18" x14ac:dyDescent="0.3">
      <c r="A1676" s="26">
        <v>1675</v>
      </c>
      <c r="B1676" s="1">
        <v>24</v>
      </c>
      <c r="C1676" s="1">
        <f t="shared" si="211"/>
        <v>8</v>
      </c>
      <c r="D1676" s="21">
        <f t="shared" ca="1" si="210"/>
        <v>44572</v>
      </c>
      <c r="E1676" s="1" t="s">
        <v>26</v>
      </c>
      <c r="F1676" s="1" t="s">
        <v>1704</v>
      </c>
      <c r="G1676" s="1" t="s">
        <v>28</v>
      </c>
      <c r="H1676" s="1">
        <v>1774</v>
      </c>
      <c r="I1676" s="1">
        <f t="shared" si="212"/>
        <v>63</v>
      </c>
      <c r="J1676" s="1">
        <f>VLOOKUP(B1676,Cena!$A$2:$B$101,2)</f>
        <v>125</v>
      </c>
      <c r="K1676" s="1">
        <f t="shared" si="208"/>
        <v>7875</v>
      </c>
      <c r="L1676" s="1">
        <f t="shared" si="213"/>
        <v>1811.25</v>
      </c>
      <c r="M1676" s="22">
        <f t="shared" si="209"/>
        <v>9686.25</v>
      </c>
      <c r="N1676" s="1">
        <f t="shared" ca="1" si="214"/>
        <v>1</v>
      </c>
      <c r="P1676" s="1">
        <v>63.388853403739631</v>
      </c>
      <c r="Q1676" s="1">
        <f t="shared" ca="1" si="215"/>
        <v>25</v>
      </c>
      <c r="R1676" s="1">
        <v>8.7380988386576064</v>
      </c>
    </row>
    <row r="1677" spans="1:18" x14ac:dyDescent="0.3">
      <c r="A1677" s="26">
        <v>1676</v>
      </c>
      <c r="B1677" s="1">
        <v>12</v>
      </c>
      <c r="C1677" s="1">
        <f t="shared" si="211"/>
        <v>12</v>
      </c>
      <c r="D1677" s="21">
        <f t="shared" ca="1" si="210"/>
        <v>44738</v>
      </c>
      <c r="E1677" s="1" t="s">
        <v>26</v>
      </c>
      <c r="F1677" s="1" t="s">
        <v>1705</v>
      </c>
      <c r="G1677" s="1" t="s">
        <v>28</v>
      </c>
      <c r="H1677" s="1">
        <v>1775</v>
      </c>
      <c r="I1677" s="1">
        <f t="shared" si="212"/>
        <v>65</v>
      </c>
      <c r="J1677" s="1">
        <f>VLOOKUP(B1677,Cena!$A$2:$B$101,2)</f>
        <v>88</v>
      </c>
      <c r="K1677" s="1">
        <f t="shared" si="208"/>
        <v>5720</v>
      </c>
      <c r="L1677" s="1">
        <f t="shared" si="213"/>
        <v>1315.6000000000001</v>
      </c>
      <c r="M1677" s="22">
        <f t="shared" si="209"/>
        <v>7035.6</v>
      </c>
      <c r="N1677" s="1">
        <f t="shared" ca="1" si="214"/>
        <v>6</v>
      </c>
      <c r="P1677" s="1">
        <v>65.009618437034078</v>
      </c>
      <c r="Q1677" s="1">
        <f t="shared" ca="1" si="215"/>
        <v>8</v>
      </c>
      <c r="R1677" s="1">
        <v>12.303005430803751</v>
      </c>
    </row>
    <row r="1678" spans="1:18" x14ac:dyDescent="0.3">
      <c r="A1678" s="26">
        <v>1677</v>
      </c>
      <c r="B1678" s="1">
        <v>8</v>
      </c>
      <c r="C1678" s="1">
        <f t="shared" si="211"/>
        <v>9</v>
      </c>
      <c r="D1678" s="21">
        <f t="shared" ca="1" si="210"/>
        <v>44765</v>
      </c>
      <c r="E1678" s="1" t="s">
        <v>26</v>
      </c>
      <c r="F1678" s="1" t="s">
        <v>1706</v>
      </c>
      <c r="G1678" s="1" t="s">
        <v>28</v>
      </c>
      <c r="H1678" s="1">
        <v>1776</v>
      </c>
      <c r="I1678" s="1">
        <f t="shared" si="212"/>
        <v>45</v>
      </c>
      <c r="J1678" s="1">
        <f>VLOOKUP(B1678,Cena!$A$2:$B$101,2)</f>
        <v>88</v>
      </c>
      <c r="K1678" s="1">
        <f t="shared" si="208"/>
        <v>3960</v>
      </c>
      <c r="L1678" s="1">
        <f t="shared" si="213"/>
        <v>910.80000000000007</v>
      </c>
      <c r="M1678" s="22">
        <f t="shared" si="209"/>
        <v>4870.8</v>
      </c>
      <c r="N1678" s="1">
        <f t="shared" ca="1" si="214"/>
        <v>7</v>
      </c>
      <c r="P1678" s="1">
        <v>45.16674051847076</v>
      </c>
      <c r="Q1678" s="1">
        <f t="shared" ca="1" si="215"/>
        <v>27</v>
      </c>
      <c r="R1678" s="1">
        <v>9.6470336327547557</v>
      </c>
    </row>
    <row r="1679" spans="1:18" x14ac:dyDescent="0.3">
      <c r="A1679" s="26">
        <v>1678</v>
      </c>
      <c r="B1679" s="1">
        <v>12</v>
      </c>
      <c r="C1679" s="1">
        <f t="shared" si="211"/>
        <v>12</v>
      </c>
      <c r="D1679" s="21">
        <f t="shared" ca="1" si="210"/>
        <v>44603</v>
      </c>
      <c r="E1679" s="1" t="s">
        <v>26</v>
      </c>
      <c r="F1679" s="1" t="s">
        <v>1707</v>
      </c>
      <c r="G1679" s="1" t="s">
        <v>28</v>
      </c>
      <c r="H1679" s="1">
        <v>1777</v>
      </c>
      <c r="I1679" s="1">
        <f t="shared" si="212"/>
        <v>55</v>
      </c>
      <c r="J1679" s="1">
        <f>VLOOKUP(B1679,Cena!$A$2:$B$101,2)</f>
        <v>88</v>
      </c>
      <c r="K1679" s="1">
        <f t="shared" si="208"/>
        <v>4840</v>
      </c>
      <c r="L1679" s="1">
        <f t="shared" si="213"/>
        <v>1113.2</v>
      </c>
      <c r="M1679" s="22">
        <f t="shared" si="209"/>
        <v>5953.2</v>
      </c>
      <c r="N1679" s="1">
        <f t="shared" ca="1" si="214"/>
        <v>2</v>
      </c>
      <c r="P1679" s="1">
        <v>55.510173650691286</v>
      </c>
      <c r="Q1679" s="1">
        <f t="shared" ca="1" si="215"/>
        <v>21</v>
      </c>
      <c r="R1679" s="1">
        <v>12.477293037372874</v>
      </c>
    </row>
    <row r="1680" spans="1:18" x14ac:dyDescent="0.3">
      <c r="A1680" s="26">
        <v>1679</v>
      </c>
      <c r="B1680" s="1">
        <v>12</v>
      </c>
      <c r="C1680" s="1">
        <f t="shared" si="211"/>
        <v>6</v>
      </c>
      <c r="D1680" s="21">
        <f t="shared" ca="1" si="210"/>
        <v>44839</v>
      </c>
      <c r="E1680" s="1" t="s">
        <v>26</v>
      </c>
      <c r="F1680" s="1" t="s">
        <v>1708</v>
      </c>
      <c r="G1680" s="1" t="s">
        <v>28</v>
      </c>
      <c r="H1680" s="1">
        <v>1778</v>
      </c>
      <c r="I1680" s="1">
        <f t="shared" si="212"/>
        <v>56</v>
      </c>
      <c r="J1680" s="1">
        <f>VLOOKUP(B1680,Cena!$A$2:$B$101,2)</f>
        <v>88</v>
      </c>
      <c r="K1680" s="1">
        <f t="shared" si="208"/>
        <v>4928</v>
      </c>
      <c r="L1680" s="1">
        <f t="shared" si="213"/>
        <v>1133.44</v>
      </c>
      <c r="M1680" s="22">
        <f t="shared" si="209"/>
        <v>6061.4400000000005</v>
      </c>
      <c r="N1680" s="1">
        <f t="shared" ca="1" si="214"/>
        <v>10</v>
      </c>
      <c r="P1680" s="1">
        <v>56.078448677726556</v>
      </c>
      <c r="Q1680" s="1">
        <f t="shared" ca="1" si="215"/>
        <v>22</v>
      </c>
      <c r="R1680" s="1">
        <v>6.5327447171148378</v>
      </c>
    </row>
    <row r="1681" spans="1:18" x14ac:dyDescent="0.3">
      <c r="A1681" s="26">
        <v>1680</v>
      </c>
      <c r="B1681" s="1">
        <v>5</v>
      </c>
      <c r="C1681" s="1">
        <f t="shared" si="211"/>
        <v>13</v>
      </c>
      <c r="D1681" s="21">
        <f t="shared" ca="1" si="210"/>
        <v>44769</v>
      </c>
      <c r="E1681" s="1" t="s">
        <v>26</v>
      </c>
      <c r="F1681" s="1" t="s">
        <v>1709</v>
      </c>
      <c r="G1681" s="1" t="s">
        <v>28</v>
      </c>
      <c r="H1681" s="1">
        <v>1779</v>
      </c>
      <c r="I1681" s="1">
        <f t="shared" si="212"/>
        <v>37</v>
      </c>
      <c r="J1681" s="1">
        <f>VLOOKUP(B1681,Cena!$A$2:$B$101,2)</f>
        <v>91</v>
      </c>
      <c r="K1681" s="1">
        <f t="shared" si="208"/>
        <v>3367</v>
      </c>
      <c r="L1681" s="1">
        <f t="shared" si="213"/>
        <v>774.41000000000008</v>
      </c>
      <c r="M1681" s="22">
        <f t="shared" si="209"/>
        <v>4141.41</v>
      </c>
      <c r="N1681" s="1">
        <f t="shared" ca="1" si="214"/>
        <v>7</v>
      </c>
      <c r="P1681" s="1">
        <v>37.578439686330967</v>
      </c>
      <c r="Q1681" s="1">
        <f t="shared" ca="1" si="215"/>
        <v>9</v>
      </c>
      <c r="R1681" s="1">
        <v>13.427180672588293</v>
      </c>
    </row>
    <row r="1682" spans="1:18" x14ac:dyDescent="0.3">
      <c r="A1682" s="26">
        <v>1681</v>
      </c>
      <c r="B1682" s="1">
        <v>10</v>
      </c>
      <c r="C1682" s="1">
        <f t="shared" si="211"/>
        <v>11</v>
      </c>
      <c r="D1682" s="21">
        <f t="shared" ca="1" si="210"/>
        <v>44566</v>
      </c>
      <c r="E1682" s="1" t="s">
        <v>26</v>
      </c>
      <c r="F1682" s="1" t="s">
        <v>1710</v>
      </c>
      <c r="G1682" s="1" t="s">
        <v>28</v>
      </c>
      <c r="H1682" s="1">
        <v>1780</v>
      </c>
      <c r="I1682" s="1">
        <f t="shared" si="212"/>
        <v>30</v>
      </c>
      <c r="J1682" s="1">
        <f>VLOOKUP(B1682,Cena!$A$2:$B$101,2)</f>
        <v>109</v>
      </c>
      <c r="K1682" s="1">
        <f t="shared" si="208"/>
        <v>3270</v>
      </c>
      <c r="L1682" s="1">
        <f t="shared" si="213"/>
        <v>752.1</v>
      </c>
      <c r="M1682" s="22">
        <f t="shared" si="209"/>
        <v>4022.1</v>
      </c>
      <c r="N1682" s="1">
        <f t="shared" ca="1" si="214"/>
        <v>1</v>
      </c>
      <c r="P1682" s="1">
        <v>30.048050929326564</v>
      </c>
      <c r="Q1682" s="1">
        <f t="shared" ca="1" si="215"/>
        <v>11</v>
      </c>
      <c r="R1682" s="1">
        <v>11.146773342952656</v>
      </c>
    </row>
    <row r="1683" spans="1:18" x14ac:dyDescent="0.3">
      <c r="A1683" s="26">
        <v>1682</v>
      </c>
      <c r="B1683" s="1">
        <v>24</v>
      </c>
      <c r="C1683" s="1">
        <f t="shared" si="211"/>
        <v>8</v>
      </c>
      <c r="D1683" s="21">
        <f t="shared" ca="1" si="210"/>
        <v>44792</v>
      </c>
      <c r="E1683" s="1" t="s">
        <v>26</v>
      </c>
      <c r="F1683" s="1" t="s">
        <v>1711</v>
      </c>
      <c r="G1683" s="1" t="s">
        <v>28</v>
      </c>
      <c r="H1683" s="1">
        <v>1781</v>
      </c>
      <c r="I1683" s="1">
        <f t="shared" si="212"/>
        <v>50</v>
      </c>
      <c r="J1683" s="1">
        <f>VLOOKUP(B1683,Cena!$A$2:$B$101,2)</f>
        <v>125</v>
      </c>
      <c r="K1683" s="1">
        <f t="shared" si="208"/>
        <v>6250</v>
      </c>
      <c r="L1683" s="1">
        <f t="shared" si="213"/>
        <v>1437.5</v>
      </c>
      <c r="M1683" s="22">
        <f t="shared" si="209"/>
        <v>7687.5</v>
      </c>
      <c r="N1683" s="1">
        <f t="shared" ca="1" si="214"/>
        <v>8</v>
      </c>
      <c r="P1683" s="1">
        <v>50.907368757907534</v>
      </c>
      <c r="Q1683" s="1">
        <f t="shared" ca="1" si="215"/>
        <v>12</v>
      </c>
      <c r="R1683" s="1">
        <v>8.5138401825679466</v>
      </c>
    </row>
    <row r="1684" spans="1:18" x14ac:dyDescent="0.3">
      <c r="A1684" s="26">
        <v>1683</v>
      </c>
      <c r="B1684" s="1">
        <v>21</v>
      </c>
      <c r="C1684" s="1">
        <f t="shared" si="211"/>
        <v>8</v>
      </c>
      <c r="D1684" s="21">
        <f t="shared" ca="1" si="210"/>
        <v>44702</v>
      </c>
      <c r="E1684" s="1" t="s">
        <v>26</v>
      </c>
      <c r="F1684" s="1" t="s">
        <v>1712</v>
      </c>
      <c r="G1684" s="1" t="s">
        <v>28</v>
      </c>
      <c r="H1684" s="1">
        <v>1782</v>
      </c>
      <c r="I1684" s="1">
        <f t="shared" si="212"/>
        <v>49</v>
      </c>
      <c r="J1684" s="1">
        <f>VLOOKUP(B1684,Cena!$A$2:$B$101,2)</f>
        <v>105</v>
      </c>
      <c r="K1684" s="1">
        <f t="shared" si="208"/>
        <v>5145</v>
      </c>
      <c r="L1684" s="1">
        <f t="shared" si="213"/>
        <v>1183.3500000000001</v>
      </c>
      <c r="M1684" s="22">
        <f t="shared" si="209"/>
        <v>6328.35</v>
      </c>
      <c r="N1684" s="1">
        <f t="shared" ca="1" si="214"/>
        <v>5</v>
      </c>
      <c r="P1684" s="1">
        <v>49.039619069662876</v>
      </c>
      <c r="Q1684" s="1">
        <f t="shared" ca="1" si="215"/>
        <v>17</v>
      </c>
      <c r="R1684" s="1">
        <v>8.9907109920750372</v>
      </c>
    </row>
    <row r="1685" spans="1:18" x14ac:dyDescent="0.3">
      <c r="A1685" s="26">
        <v>1684</v>
      </c>
      <c r="B1685" s="1">
        <v>14</v>
      </c>
      <c r="C1685" s="1">
        <f t="shared" si="211"/>
        <v>9</v>
      </c>
      <c r="D1685" s="21">
        <f t="shared" ca="1" si="210"/>
        <v>44570</v>
      </c>
      <c r="E1685" s="1" t="s">
        <v>26</v>
      </c>
      <c r="F1685" s="1" t="s">
        <v>1713</v>
      </c>
      <c r="G1685" s="1" t="s">
        <v>28</v>
      </c>
      <c r="H1685" s="1">
        <v>1783</v>
      </c>
      <c r="I1685" s="1">
        <f t="shared" si="212"/>
        <v>33</v>
      </c>
      <c r="J1685" s="1">
        <f>VLOOKUP(B1685,Cena!$A$2:$B$101,2)</f>
        <v>129</v>
      </c>
      <c r="K1685" s="1">
        <f t="shared" si="208"/>
        <v>4257</v>
      </c>
      <c r="L1685" s="1">
        <f t="shared" si="213"/>
        <v>979.11</v>
      </c>
      <c r="M1685" s="22">
        <f t="shared" si="209"/>
        <v>5236.1099999999997</v>
      </c>
      <c r="N1685" s="1">
        <f t="shared" ca="1" si="214"/>
        <v>1</v>
      </c>
      <c r="P1685" s="1">
        <v>33.290399541147053</v>
      </c>
      <c r="Q1685" s="1">
        <f t="shared" ca="1" si="215"/>
        <v>30</v>
      </c>
      <c r="R1685" s="1">
        <v>9.896795088716317</v>
      </c>
    </row>
    <row r="1686" spans="1:18" x14ac:dyDescent="0.3">
      <c r="A1686" s="26">
        <v>1685</v>
      </c>
      <c r="B1686" s="1">
        <v>12</v>
      </c>
      <c r="C1686" s="1">
        <f t="shared" si="211"/>
        <v>11</v>
      </c>
      <c r="D1686" s="21">
        <f t="shared" ca="1" si="210"/>
        <v>44622</v>
      </c>
      <c r="E1686" s="1" t="s">
        <v>26</v>
      </c>
      <c r="F1686" s="1" t="s">
        <v>1714</v>
      </c>
      <c r="G1686" s="1" t="s">
        <v>28</v>
      </c>
      <c r="H1686" s="1">
        <v>1784</v>
      </c>
      <c r="I1686" s="1">
        <f t="shared" si="212"/>
        <v>48</v>
      </c>
      <c r="J1686" s="1">
        <f>VLOOKUP(B1686,Cena!$A$2:$B$101,2)</f>
        <v>88</v>
      </c>
      <c r="K1686" s="1">
        <f t="shared" si="208"/>
        <v>4224</v>
      </c>
      <c r="L1686" s="1">
        <f t="shared" si="213"/>
        <v>971.5200000000001</v>
      </c>
      <c r="M1686" s="22">
        <f t="shared" si="209"/>
        <v>5195.5200000000004</v>
      </c>
      <c r="N1686" s="1">
        <f t="shared" ca="1" si="214"/>
        <v>3</v>
      </c>
      <c r="P1686" s="1">
        <v>48.263592715375125</v>
      </c>
      <c r="Q1686" s="1">
        <f t="shared" ca="1" si="215"/>
        <v>3</v>
      </c>
      <c r="R1686" s="1">
        <v>11.508354330326256</v>
      </c>
    </row>
    <row r="1687" spans="1:18" x14ac:dyDescent="0.3">
      <c r="A1687" s="26">
        <v>1686</v>
      </c>
      <c r="B1687" s="1">
        <v>12</v>
      </c>
      <c r="C1687" s="1">
        <f t="shared" si="211"/>
        <v>9</v>
      </c>
      <c r="D1687" s="21">
        <f t="shared" ca="1" si="210"/>
        <v>44732</v>
      </c>
      <c r="E1687" s="1" t="s">
        <v>26</v>
      </c>
      <c r="F1687" s="1" t="s">
        <v>1715</v>
      </c>
      <c r="G1687" s="1" t="s">
        <v>28</v>
      </c>
      <c r="H1687" s="1">
        <v>1785</v>
      </c>
      <c r="I1687" s="1">
        <f t="shared" si="212"/>
        <v>54</v>
      </c>
      <c r="J1687" s="1">
        <f>VLOOKUP(B1687,Cena!$A$2:$B$101,2)</f>
        <v>88</v>
      </c>
      <c r="K1687" s="1">
        <f t="shared" si="208"/>
        <v>4752</v>
      </c>
      <c r="L1687" s="1">
        <f t="shared" si="213"/>
        <v>1092.96</v>
      </c>
      <c r="M1687" s="22">
        <f t="shared" si="209"/>
        <v>5844.96</v>
      </c>
      <c r="N1687" s="1">
        <f t="shared" ca="1" si="214"/>
        <v>6</v>
      </c>
      <c r="P1687" s="1">
        <v>54.514117790677119</v>
      </c>
      <c r="Q1687" s="1">
        <f t="shared" ca="1" si="215"/>
        <v>3</v>
      </c>
      <c r="R1687" s="1">
        <v>9.6044834915664978</v>
      </c>
    </row>
    <row r="1688" spans="1:18" x14ac:dyDescent="0.3">
      <c r="A1688" s="26">
        <v>1687</v>
      </c>
      <c r="B1688" s="1">
        <v>3</v>
      </c>
      <c r="C1688" s="1">
        <f t="shared" si="211"/>
        <v>7</v>
      </c>
      <c r="D1688" s="21">
        <f t="shared" ca="1" si="210"/>
        <v>44581</v>
      </c>
      <c r="E1688" s="1" t="s">
        <v>26</v>
      </c>
      <c r="F1688" s="1" t="s">
        <v>1716</v>
      </c>
      <c r="G1688" s="1" t="s">
        <v>28</v>
      </c>
      <c r="H1688" s="1">
        <v>1786</v>
      </c>
      <c r="I1688" s="1">
        <f t="shared" si="212"/>
        <v>58</v>
      </c>
      <c r="J1688" s="1">
        <f>VLOOKUP(B1688,Cena!$A$2:$B$101,2)</f>
        <v>89</v>
      </c>
      <c r="K1688" s="1">
        <f t="shared" si="208"/>
        <v>5162</v>
      </c>
      <c r="L1688" s="1">
        <f t="shared" si="213"/>
        <v>1187.26</v>
      </c>
      <c r="M1688" s="22">
        <f t="shared" si="209"/>
        <v>6349.26</v>
      </c>
      <c r="N1688" s="1">
        <f t="shared" ca="1" si="214"/>
        <v>1</v>
      </c>
      <c r="P1688" s="1">
        <v>58.958886610344052</v>
      </c>
      <c r="Q1688" s="1">
        <f t="shared" ca="1" si="215"/>
        <v>18</v>
      </c>
      <c r="R1688" s="1">
        <v>7.7691174990468426</v>
      </c>
    </row>
    <row r="1689" spans="1:18" x14ac:dyDescent="0.3">
      <c r="A1689" s="26">
        <v>1688</v>
      </c>
      <c r="B1689" s="1">
        <v>29</v>
      </c>
      <c r="C1689" s="1">
        <f t="shared" si="211"/>
        <v>7</v>
      </c>
      <c r="D1689" s="21">
        <f t="shared" ca="1" si="210"/>
        <v>44697</v>
      </c>
      <c r="E1689" s="1" t="s">
        <v>26</v>
      </c>
      <c r="F1689" s="1" t="s">
        <v>1717</v>
      </c>
      <c r="G1689" s="1" t="s">
        <v>28</v>
      </c>
      <c r="H1689" s="1">
        <v>1787</v>
      </c>
      <c r="I1689" s="1">
        <f t="shared" si="212"/>
        <v>38</v>
      </c>
      <c r="J1689" s="1">
        <f>VLOOKUP(B1689,Cena!$A$2:$B$101,2)</f>
        <v>105</v>
      </c>
      <c r="K1689" s="1">
        <f t="shared" si="208"/>
        <v>3990</v>
      </c>
      <c r="L1689" s="1">
        <f t="shared" si="213"/>
        <v>917.7</v>
      </c>
      <c r="M1689" s="22">
        <f t="shared" si="209"/>
        <v>4907.7</v>
      </c>
      <c r="N1689" s="1">
        <f t="shared" ca="1" si="214"/>
        <v>5</v>
      </c>
      <c r="P1689" s="1">
        <v>38.552849572442938</v>
      </c>
      <c r="Q1689" s="1">
        <f t="shared" ca="1" si="215"/>
        <v>2</v>
      </c>
      <c r="R1689" s="1">
        <v>7.8736809680412989</v>
      </c>
    </row>
    <row r="1690" spans="1:18" x14ac:dyDescent="0.3">
      <c r="A1690" s="26">
        <v>1689</v>
      </c>
      <c r="B1690" s="1">
        <v>25</v>
      </c>
      <c r="C1690" s="1">
        <f t="shared" si="211"/>
        <v>7</v>
      </c>
      <c r="D1690" s="21">
        <f t="shared" ca="1" si="210"/>
        <v>44564</v>
      </c>
      <c r="E1690" s="1" t="s">
        <v>26</v>
      </c>
      <c r="F1690" s="1" t="s">
        <v>1718</v>
      </c>
      <c r="G1690" s="1" t="s">
        <v>28</v>
      </c>
      <c r="H1690" s="1">
        <v>1788</v>
      </c>
      <c r="I1690" s="1">
        <f t="shared" si="212"/>
        <v>49</v>
      </c>
      <c r="J1690" s="1">
        <f>VLOOKUP(B1690,Cena!$A$2:$B$101,2)</f>
        <v>108</v>
      </c>
      <c r="K1690" s="1">
        <f t="shared" si="208"/>
        <v>5292</v>
      </c>
      <c r="L1690" s="1">
        <f t="shared" si="213"/>
        <v>1217.1600000000001</v>
      </c>
      <c r="M1690" s="22">
        <f t="shared" si="209"/>
        <v>6509.16</v>
      </c>
      <c r="N1690" s="1">
        <f t="shared" ca="1" si="214"/>
        <v>1</v>
      </c>
      <c r="P1690" s="1">
        <v>49.048077370389365</v>
      </c>
      <c r="Q1690" s="1">
        <f t="shared" ca="1" si="215"/>
        <v>23</v>
      </c>
      <c r="R1690" s="1">
        <v>7.8466462380310986</v>
      </c>
    </row>
    <row r="1691" spans="1:18" x14ac:dyDescent="0.3">
      <c r="A1691" s="26">
        <v>1690</v>
      </c>
      <c r="B1691" s="1">
        <v>23</v>
      </c>
      <c r="C1691" s="1">
        <f t="shared" si="211"/>
        <v>7</v>
      </c>
      <c r="D1691" s="21">
        <f t="shared" ca="1" si="210"/>
        <v>44718</v>
      </c>
      <c r="E1691" s="1" t="s">
        <v>26</v>
      </c>
      <c r="F1691" s="1" t="s">
        <v>1719</v>
      </c>
      <c r="G1691" s="1" t="s">
        <v>28</v>
      </c>
      <c r="H1691" s="1">
        <v>1789</v>
      </c>
      <c r="I1691" s="1">
        <f t="shared" si="212"/>
        <v>56</v>
      </c>
      <c r="J1691" s="1">
        <f>VLOOKUP(B1691,Cena!$A$2:$B$101,2)</f>
        <v>132</v>
      </c>
      <c r="K1691" s="1">
        <f t="shared" si="208"/>
        <v>7392</v>
      </c>
      <c r="L1691" s="1">
        <f t="shared" si="213"/>
        <v>1700.16</v>
      </c>
      <c r="M1691" s="22">
        <f t="shared" si="209"/>
        <v>9092.16</v>
      </c>
      <c r="N1691" s="1">
        <f t="shared" ca="1" si="214"/>
        <v>6</v>
      </c>
      <c r="P1691" s="1">
        <v>56.249570105865132</v>
      </c>
      <c r="Q1691" s="1">
        <f t="shared" ca="1" si="215"/>
        <v>25</v>
      </c>
      <c r="R1691" s="1">
        <v>7.8171217662747949</v>
      </c>
    </row>
    <row r="1692" spans="1:18" x14ac:dyDescent="0.3">
      <c r="A1692" s="26">
        <v>1691</v>
      </c>
      <c r="B1692" s="1">
        <v>16</v>
      </c>
      <c r="C1692" s="1">
        <f t="shared" si="211"/>
        <v>9</v>
      </c>
      <c r="D1692" s="21">
        <f t="shared" ca="1" si="210"/>
        <v>44916</v>
      </c>
      <c r="E1692" s="1" t="s">
        <v>26</v>
      </c>
      <c r="F1692" s="1" t="s">
        <v>1720</v>
      </c>
      <c r="G1692" s="1" t="s">
        <v>28</v>
      </c>
      <c r="H1692" s="1">
        <v>1790</v>
      </c>
      <c r="I1692" s="1">
        <f t="shared" si="212"/>
        <v>45</v>
      </c>
      <c r="J1692" s="1">
        <f>VLOOKUP(B1692,Cena!$A$2:$B$101,2)</f>
        <v>93</v>
      </c>
      <c r="K1692" s="1">
        <f t="shared" si="208"/>
        <v>4185</v>
      </c>
      <c r="L1692" s="1">
        <f t="shared" si="213"/>
        <v>962.55000000000007</v>
      </c>
      <c r="M1692" s="22">
        <f t="shared" si="209"/>
        <v>5147.55</v>
      </c>
      <c r="N1692" s="1">
        <f t="shared" ca="1" si="214"/>
        <v>12</v>
      </c>
      <c r="P1692" s="1">
        <v>45.076268533011898</v>
      </c>
      <c r="Q1692" s="1">
        <f t="shared" ca="1" si="215"/>
        <v>17</v>
      </c>
      <c r="R1692" s="1">
        <v>9.9559150865025003</v>
      </c>
    </row>
    <row r="1693" spans="1:18" x14ac:dyDescent="0.3">
      <c r="A1693" s="26">
        <v>1692</v>
      </c>
      <c r="B1693" s="1">
        <v>23</v>
      </c>
      <c r="C1693" s="1">
        <f t="shared" si="211"/>
        <v>9</v>
      </c>
      <c r="D1693" s="21">
        <f t="shared" ca="1" si="210"/>
        <v>44911</v>
      </c>
      <c r="E1693" s="1" t="s">
        <v>26</v>
      </c>
      <c r="F1693" s="1" t="s">
        <v>1721</v>
      </c>
      <c r="G1693" s="1" t="s">
        <v>28</v>
      </c>
      <c r="H1693" s="1">
        <v>1791</v>
      </c>
      <c r="I1693" s="1">
        <f t="shared" si="212"/>
        <v>41</v>
      </c>
      <c r="J1693" s="1">
        <f>VLOOKUP(B1693,Cena!$A$2:$B$101,2)</f>
        <v>132</v>
      </c>
      <c r="K1693" s="1">
        <f t="shared" si="208"/>
        <v>5412</v>
      </c>
      <c r="L1693" s="1">
        <f t="shared" si="213"/>
        <v>1244.76</v>
      </c>
      <c r="M1693" s="22">
        <f t="shared" si="209"/>
        <v>6656.76</v>
      </c>
      <c r="N1693" s="1">
        <f t="shared" ca="1" si="214"/>
        <v>12</v>
      </c>
      <c r="P1693" s="1">
        <v>41.752224559604656</v>
      </c>
      <c r="Q1693" s="1">
        <f t="shared" ca="1" si="215"/>
        <v>19</v>
      </c>
      <c r="R1693" s="1">
        <v>9.6605481555889128</v>
      </c>
    </row>
    <row r="1694" spans="1:18" x14ac:dyDescent="0.3">
      <c r="A1694" s="26">
        <v>1693</v>
      </c>
      <c r="B1694" s="1">
        <v>23</v>
      </c>
      <c r="C1694" s="1">
        <f t="shared" si="211"/>
        <v>8</v>
      </c>
      <c r="D1694" s="21">
        <f t="shared" ca="1" si="210"/>
        <v>44823</v>
      </c>
      <c r="E1694" s="1" t="s">
        <v>26</v>
      </c>
      <c r="F1694" s="1" t="s">
        <v>1722</v>
      </c>
      <c r="G1694" s="1" t="s">
        <v>28</v>
      </c>
      <c r="H1694" s="1">
        <v>1792</v>
      </c>
      <c r="I1694" s="1">
        <f t="shared" si="212"/>
        <v>56</v>
      </c>
      <c r="J1694" s="1">
        <f>VLOOKUP(B1694,Cena!$A$2:$B$101,2)</f>
        <v>132</v>
      </c>
      <c r="K1694" s="1">
        <f t="shared" si="208"/>
        <v>7392</v>
      </c>
      <c r="L1694" s="1">
        <f t="shared" si="213"/>
        <v>1700.16</v>
      </c>
      <c r="M1694" s="22">
        <f t="shared" si="209"/>
        <v>9092.16</v>
      </c>
      <c r="N1694" s="1">
        <f t="shared" ca="1" si="214"/>
        <v>9</v>
      </c>
      <c r="P1694" s="1">
        <v>56.304537691903533</v>
      </c>
      <c r="Q1694" s="1">
        <f t="shared" ca="1" si="215"/>
        <v>4</v>
      </c>
      <c r="R1694" s="1">
        <v>8.7684191182779614</v>
      </c>
    </row>
    <row r="1695" spans="1:18" x14ac:dyDescent="0.3">
      <c r="A1695" s="26">
        <v>1694</v>
      </c>
      <c r="B1695" s="1">
        <v>26</v>
      </c>
      <c r="C1695" s="1">
        <f t="shared" si="211"/>
        <v>7</v>
      </c>
      <c r="D1695" s="21">
        <f t="shared" ca="1" si="210"/>
        <v>44690</v>
      </c>
      <c r="E1695" s="1" t="s">
        <v>26</v>
      </c>
      <c r="F1695" s="1" t="s">
        <v>1723</v>
      </c>
      <c r="G1695" s="1" t="s">
        <v>28</v>
      </c>
      <c r="H1695" s="1">
        <v>1793</v>
      </c>
      <c r="I1695" s="1">
        <f t="shared" si="212"/>
        <v>56</v>
      </c>
      <c r="J1695" s="1">
        <f>VLOOKUP(B1695,Cena!$A$2:$B$101,2)</f>
        <v>99</v>
      </c>
      <c r="K1695" s="1">
        <f t="shared" ref="K1695:K1758" si="216">I1695*J1695</f>
        <v>5544</v>
      </c>
      <c r="L1695" s="1">
        <f t="shared" si="213"/>
        <v>1275.1200000000001</v>
      </c>
      <c r="M1695" s="22">
        <f t="shared" ref="M1695:M1758" si="217">K1695+L1695</f>
        <v>6819.12</v>
      </c>
      <c r="N1695" s="1">
        <f t="shared" ca="1" si="214"/>
        <v>5</v>
      </c>
      <c r="P1695" s="1">
        <v>56.612708602915518</v>
      </c>
      <c r="Q1695" s="1">
        <f t="shared" ca="1" si="215"/>
        <v>6</v>
      </c>
      <c r="R1695" s="1">
        <v>7.385884853429161</v>
      </c>
    </row>
    <row r="1696" spans="1:18" x14ac:dyDescent="0.3">
      <c r="A1696" s="26">
        <v>1695</v>
      </c>
      <c r="B1696" s="1">
        <v>24</v>
      </c>
      <c r="C1696" s="1">
        <f t="shared" si="211"/>
        <v>5</v>
      </c>
      <c r="D1696" s="21">
        <f t="shared" ca="1" si="210"/>
        <v>44702</v>
      </c>
      <c r="E1696" s="1" t="s">
        <v>26</v>
      </c>
      <c r="F1696" s="1" t="s">
        <v>1724</v>
      </c>
      <c r="G1696" s="1" t="s">
        <v>28</v>
      </c>
      <c r="H1696" s="1">
        <v>1794</v>
      </c>
      <c r="I1696" s="1">
        <f t="shared" si="212"/>
        <v>55</v>
      </c>
      <c r="J1696" s="1">
        <f>VLOOKUP(B1696,Cena!$A$2:$B$101,2)</f>
        <v>125</v>
      </c>
      <c r="K1696" s="1">
        <f t="shared" si="216"/>
        <v>6875</v>
      </c>
      <c r="L1696" s="1">
        <f t="shared" si="213"/>
        <v>1581.25</v>
      </c>
      <c r="M1696" s="22">
        <f t="shared" si="217"/>
        <v>8456.25</v>
      </c>
      <c r="N1696" s="1">
        <f t="shared" ca="1" si="214"/>
        <v>5</v>
      </c>
      <c r="P1696" s="1">
        <v>55.051083462603856</v>
      </c>
      <c r="Q1696" s="1">
        <f t="shared" ca="1" si="215"/>
        <v>15</v>
      </c>
      <c r="R1696" s="1">
        <v>5.1485506244353019</v>
      </c>
    </row>
    <row r="1697" spans="1:18" x14ac:dyDescent="0.3">
      <c r="A1697" s="26">
        <v>1696</v>
      </c>
      <c r="B1697" s="1">
        <v>26</v>
      </c>
      <c r="C1697" s="1">
        <f t="shared" si="211"/>
        <v>11</v>
      </c>
      <c r="D1697" s="21">
        <f t="shared" ca="1" si="210"/>
        <v>44604</v>
      </c>
      <c r="E1697" s="1" t="s">
        <v>26</v>
      </c>
      <c r="F1697" s="1" t="s">
        <v>1725</v>
      </c>
      <c r="G1697" s="1" t="s">
        <v>28</v>
      </c>
      <c r="H1697" s="1">
        <v>1795</v>
      </c>
      <c r="I1697" s="1">
        <f t="shared" si="212"/>
        <v>34</v>
      </c>
      <c r="J1697" s="1">
        <f>VLOOKUP(B1697,Cena!$A$2:$B$101,2)</f>
        <v>99</v>
      </c>
      <c r="K1697" s="1">
        <f t="shared" si="216"/>
        <v>3366</v>
      </c>
      <c r="L1697" s="1">
        <f t="shared" si="213"/>
        <v>774.18000000000006</v>
      </c>
      <c r="M1697" s="22">
        <f t="shared" si="217"/>
        <v>4140.18</v>
      </c>
      <c r="N1697" s="1">
        <f t="shared" ca="1" si="214"/>
        <v>2</v>
      </c>
      <c r="P1697" s="1">
        <v>34.338501235470176</v>
      </c>
      <c r="Q1697" s="1">
        <f t="shared" ca="1" si="215"/>
        <v>30</v>
      </c>
      <c r="R1697" s="1">
        <v>11.104444891097955</v>
      </c>
    </row>
    <row r="1698" spans="1:18" x14ac:dyDescent="0.3">
      <c r="A1698" s="26">
        <v>1697</v>
      </c>
      <c r="B1698" s="1">
        <v>15</v>
      </c>
      <c r="C1698" s="1">
        <f t="shared" si="211"/>
        <v>6</v>
      </c>
      <c r="D1698" s="21">
        <f t="shared" ca="1" si="210"/>
        <v>44761</v>
      </c>
      <c r="E1698" s="1" t="s">
        <v>26</v>
      </c>
      <c r="F1698" s="1" t="s">
        <v>1726</v>
      </c>
      <c r="G1698" s="1" t="s">
        <v>28</v>
      </c>
      <c r="H1698" s="1">
        <v>1796</v>
      </c>
      <c r="I1698" s="1">
        <f t="shared" si="212"/>
        <v>47</v>
      </c>
      <c r="J1698" s="1">
        <f>VLOOKUP(B1698,Cena!$A$2:$B$101,2)</f>
        <v>85</v>
      </c>
      <c r="K1698" s="1">
        <f t="shared" si="216"/>
        <v>3995</v>
      </c>
      <c r="L1698" s="1">
        <f t="shared" si="213"/>
        <v>918.85</v>
      </c>
      <c r="M1698" s="22">
        <f t="shared" si="217"/>
        <v>4913.8500000000004</v>
      </c>
      <c r="N1698" s="1">
        <f t="shared" ca="1" si="214"/>
        <v>7</v>
      </c>
      <c r="P1698" s="1">
        <v>47.93722054164391</v>
      </c>
      <c r="Q1698" s="1">
        <f t="shared" ca="1" si="215"/>
        <v>23</v>
      </c>
      <c r="R1698" s="1">
        <v>6.2039623824239243</v>
      </c>
    </row>
    <row r="1699" spans="1:18" x14ac:dyDescent="0.3">
      <c r="A1699" s="26">
        <v>1698</v>
      </c>
      <c r="B1699" s="1">
        <v>29</v>
      </c>
      <c r="C1699" s="1">
        <f t="shared" si="211"/>
        <v>13</v>
      </c>
      <c r="D1699" s="21">
        <f t="shared" ca="1" si="210"/>
        <v>44660</v>
      </c>
      <c r="E1699" s="1" t="s">
        <v>26</v>
      </c>
      <c r="F1699" s="1" t="s">
        <v>1727</v>
      </c>
      <c r="G1699" s="1" t="s">
        <v>28</v>
      </c>
      <c r="H1699" s="1">
        <v>1797</v>
      </c>
      <c r="I1699" s="1">
        <f t="shared" si="212"/>
        <v>42</v>
      </c>
      <c r="J1699" s="1">
        <f>VLOOKUP(B1699,Cena!$A$2:$B$101,2)</f>
        <v>105</v>
      </c>
      <c r="K1699" s="1">
        <f t="shared" si="216"/>
        <v>4410</v>
      </c>
      <c r="L1699" s="1">
        <f t="shared" si="213"/>
        <v>1014.3000000000001</v>
      </c>
      <c r="M1699" s="22">
        <f t="shared" si="217"/>
        <v>5424.3</v>
      </c>
      <c r="N1699" s="1">
        <f t="shared" ca="1" si="214"/>
        <v>4</v>
      </c>
      <c r="P1699" s="1">
        <v>42.715243024576921</v>
      </c>
      <c r="Q1699" s="1">
        <f t="shared" ca="1" si="215"/>
        <v>25</v>
      </c>
      <c r="R1699" s="1">
        <v>13.270076831540791</v>
      </c>
    </row>
    <row r="1700" spans="1:18" x14ac:dyDescent="0.3">
      <c r="A1700" s="26">
        <v>1699</v>
      </c>
      <c r="B1700" s="1">
        <v>2</v>
      </c>
      <c r="C1700" s="1">
        <f t="shared" si="211"/>
        <v>12</v>
      </c>
      <c r="D1700" s="21">
        <f t="shared" ca="1" si="210"/>
        <v>44706</v>
      </c>
      <c r="E1700" s="1" t="s">
        <v>26</v>
      </c>
      <c r="F1700" s="1" t="s">
        <v>1728</v>
      </c>
      <c r="G1700" s="1" t="s">
        <v>28</v>
      </c>
      <c r="H1700" s="1">
        <v>1798</v>
      </c>
      <c r="I1700" s="1">
        <f t="shared" si="212"/>
        <v>59</v>
      </c>
      <c r="J1700" s="1">
        <f>VLOOKUP(B1700,Cena!$A$2:$B$101,2)</f>
        <v>121</v>
      </c>
      <c r="K1700" s="1">
        <f t="shared" si="216"/>
        <v>7139</v>
      </c>
      <c r="L1700" s="1">
        <f t="shared" si="213"/>
        <v>1641.97</v>
      </c>
      <c r="M1700" s="22">
        <f t="shared" si="217"/>
        <v>8780.9699999999993</v>
      </c>
      <c r="N1700" s="1">
        <f t="shared" ca="1" si="214"/>
        <v>5</v>
      </c>
      <c r="P1700" s="1">
        <v>59.302448233938776</v>
      </c>
      <c r="Q1700" s="1">
        <f t="shared" ca="1" si="215"/>
        <v>17</v>
      </c>
      <c r="R1700" s="1">
        <v>12.191291059716605</v>
      </c>
    </row>
    <row r="1701" spans="1:18" x14ac:dyDescent="0.3">
      <c r="A1701" s="26">
        <v>1700</v>
      </c>
      <c r="B1701" s="1">
        <v>23</v>
      </c>
      <c r="C1701" s="1">
        <f t="shared" si="211"/>
        <v>12</v>
      </c>
      <c r="D1701" s="21">
        <f t="shared" ca="1" si="210"/>
        <v>44723</v>
      </c>
      <c r="E1701" s="1" t="s">
        <v>26</v>
      </c>
      <c r="F1701" s="1" t="s">
        <v>1729</v>
      </c>
      <c r="G1701" s="1" t="s">
        <v>28</v>
      </c>
      <c r="H1701" s="1">
        <v>1799</v>
      </c>
      <c r="I1701" s="1">
        <f t="shared" si="212"/>
        <v>44</v>
      </c>
      <c r="J1701" s="1">
        <f>VLOOKUP(B1701,Cena!$A$2:$B$101,2)</f>
        <v>132</v>
      </c>
      <c r="K1701" s="1">
        <f t="shared" si="216"/>
        <v>5808</v>
      </c>
      <c r="L1701" s="1">
        <f t="shared" si="213"/>
        <v>1335.8400000000001</v>
      </c>
      <c r="M1701" s="22">
        <f t="shared" si="217"/>
        <v>7143.84</v>
      </c>
      <c r="N1701" s="1">
        <f t="shared" ca="1" si="214"/>
        <v>6</v>
      </c>
      <c r="P1701" s="1">
        <v>44.662630342645571</v>
      </c>
      <c r="Q1701" s="1">
        <f t="shared" ca="1" si="215"/>
        <v>16</v>
      </c>
      <c r="R1701" s="1">
        <v>12.584238245617598</v>
      </c>
    </row>
    <row r="1702" spans="1:18" x14ac:dyDescent="0.3">
      <c r="A1702" s="26">
        <v>1701</v>
      </c>
      <c r="B1702" s="1">
        <v>10</v>
      </c>
      <c r="C1702" s="1">
        <f t="shared" si="211"/>
        <v>12</v>
      </c>
      <c r="D1702" s="21">
        <f t="shared" ca="1" si="210"/>
        <v>44750</v>
      </c>
      <c r="E1702" s="1" t="s">
        <v>26</v>
      </c>
      <c r="F1702" s="1" t="s">
        <v>1730</v>
      </c>
      <c r="G1702" s="1" t="s">
        <v>28</v>
      </c>
      <c r="H1702" s="1">
        <v>1800</v>
      </c>
      <c r="I1702" s="1">
        <f t="shared" si="212"/>
        <v>52</v>
      </c>
      <c r="J1702" s="1">
        <f>VLOOKUP(B1702,Cena!$A$2:$B$101,2)</f>
        <v>109</v>
      </c>
      <c r="K1702" s="1">
        <f t="shared" si="216"/>
        <v>5668</v>
      </c>
      <c r="L1702" s="1">
        <f t="shared" si="213"/>
        <v>1303.6400000000001</v>
      </c>
      <c r="M1702" s="22">
        <f t="shared" si="217"/>
        <v>6971.64</v>
      </c>
      <c r="N1702" s="1">
        <f t="shared" ca="1" si="214"/>
        <v>7</v>
      </c>
      <c r="P1702" s="1">
        <v>52.270326149300672</v>
      </c>
      <c r="Q1702" s="1">
        <f t="shared" ca="1" si="215"/>
        <v>11</v>
      </c>
      <c r="R1702" s="1">
        <v>12.854437752830563</v>
      </c>
    </row>
    <row r="1703" spans="1:18" x14ac:dyDescent="0.3">
      <c r="A1703" s="26">
        <v>1702</v>
      </c>
      <c r="B1703" s="1">
        <v>20</v>
      </c>
      <c r="C1703" s="1">
        <f t="shared" si="211"/>
        <v>10</v>
      </c>
      <c r="D1703" s="21">
        <f t="shared" ca="1" si="210"/>
        <v>44854</v>
      </c>
      <c r="E1703" s="1" t="s">
        <v>26</v>
      </c>
      <c r="F1703" s="1" t="s">
        <v>1731</v>
      </c>
      <c r="G1703" s="1" t="s">
        <v>28</v>
      </c>
      <c r="H1703" s="1">
        <v>1801</v>
      </c>
      <c r="I1703" s="1">
        <f t="shared" si="212"/>
        <v>56</v>
      </c>
      <c r="J1703" s="1">
        <f>VLOOKUP(B1703,Cena!$A$2:$B$101,2)</f>
        <v>111</v>
      </c>
      <c r="K1703" s="1">
        <f t="shared" si="216"/>
        <v>6216</v>
      </c>
      <c r="L1703" s="1">
        <f t="shared" si="213"/>
        <v>1429.68</v>
      </c>
      <c r="M1703" s="22">
        <f t="shared" si="217"/>
        <v>7645.68</v>
      </c>
      <c r="N1703" s="1">
        <f t="shared" ca="1" si="214"/>
        <v>10</v>
      </c>
      <c r="P1703" s="1">
        <v>56.283084985625464</v>
      </c>
      <c r="Q1703" s="1">
        <f t="shared" ca="1" si="215"/>
        <v>15</v>
      </c>
      <c r="R1703" s="1">
        <v>10.957425072556362</v>
      </c>
    </row>
    <row r="1704" spans="1:18" x14ac:dyDescent="0.3">
      <c r="A1704" s="26">
        <v>1703</v>
      </c>
      <c r="B1704" s="1">
        <v>16</v>
      </c>
      <c r="C1704" s="1">
        <f t="shared" si="211"/>
        <v>9</v>
      </c>
      <c r="D1704" s="21">
        <f t="shared" ca="1" si="210"/>
        <v>44889</v>
      </c>
      <c r="E1704" s="1" t="s">
        <v>26</v>
      </c>
      <c r="F1704" s="1" t="s">
        <v>1732</v>
      </c>
      <c r="G1704" s="1" t="s">
        <v>28</v>
      </c>
      <c r="H1704" s="1">
        <v>1802</v>
      </c>
      <c r="I1704" s="1">
        <f t="shared" si="212"/>
        <v>43</v>
      </c>
      <c r="J1704" s="1">
        <f>VLOOKUP(B1704,Cena!$A$2:$B$101,2)</f>
        <v>93</v>
      </c>
      <c r="K1704" s="1">
        <f t="shared" si="216"/>
        <v>3999</v>
      </c>
      <c r="L1704" s="1">
        <f t="shared" si="213"/>
        <v>919.7700000000001</v>
      </c>
      <c r="M1704" s="22">
        <f t="shared" si="217"/>
        <v>4918.7700000000004</v>
      </c>
      <c r="N1704" s="1">
        <f t="shared" ca="1" si="214"/>
        <v>11</v>
      </c>
      <c r="P1704" s="1">
        <v>43.156097843893804</v>
      </c>
      <c r="Q1704" s="1">
        <f t="shared" ca="1" si="215"/>
        <v>9</v>
      </c>
      <c r="R1704" s="1">
        <v>9.6759839859805652</v>
      </c>
    </row>
    <row r="1705" spans="1:18" x14ac:dyDescent="0.3">
      <c r="A1705" s="26">
        <v>1704</v>
      </c>
      <c r="B1705" s="1">
        <v>18</v>
      </c>
      <c r="C1705" s="1">
        <f t="shared" si="211"/>
        <v>7</v>
      </c>
      <c r="D1705" s="21">
        <f t="shared" ca="1" si="210"/>
        <v>44703</v>
      </c>
      <c r="E1705" s="1" t="s">
        <v>26</v>
      </c>
      <c r="F1705" s="1" t="s">
        <v>1733</v>
      </c>
      <c r="G1705" s="1" t="s">
        <v>28</v>
      </c>
      <c r="H1705" s="1">
        <v>1803</v>
      </c>
      <c r="I1705" s="1">
        <f t="shared" si="212"/>
        <v>44</v>
      </c>
      <c r="J1705" s="1">
        <f>VLOOKUP(B1705,Cena!$A$2:$B$101,2)</f>
        <v>90</v>
      </c>
      <c r="K1705" s="1">
        <f t="shared" si="216"/>
        <v>3960</v>
      </c>
      <c r="L1705" s="1">
        <f t="shared" si="213"/>
        <v>910.80000000000007</v>
      </c>
      <c r="M1705" s="22">
        <f t="shared" si="217"/>
        <v>4870.8</v>
      </c>
      <c r="N1705" s="1">
        <f t="shared" ca="1" si="214"/>
        <v>5</v>
      </c>
      <c r="P1705" s="1">
        <v>44.914992385020014</v>
      </c>
      <c r="Q1705" s="1">
        <f t="shared" ca="1" si="215"/>
        <v>7</v>
      </c>
      <c r="R1705" s="1">
        <v>7.5242701566457981</v>
      </c>
    </row>
    <row r="1706" spans="1:18" x14ac:dyDescent="0.3">
      <c r="A1706" s="26">
        <v>1705</v>
      </c>
      <c r="B1706" s="1">
        <v>3</v>
      </c>
      <c r="C1706" s="1">
        <f t="shared" si="211"/>
        <v>11</v>
      </c>
      <c r="D1706" s="21">
        <f t="shared" ca="1" si="210"/>
        <v>44855</v>
      </c>
      <c r="E1706" s="1" t="s">
        <v>26</v>
      </c>
      <c r="F1706" s="1" t="s">
        <v>1734</v>
      </c>
      <c r="G1706" s="1" t="s">
        <v>28</v>
      </c>
      <c r="H1706" s="1">
        <v>1804</v>
      </c>
      <c r="I1706" s="1">
        <f t="shared" si="212"/>
        <v>50</v>
      </c>
      <c r="J1706" s="1">
        <f>VLOOKUP(B1706,Cena!$A$2:$B$101,2)</f>
        <v>89</v>
      </c>
      <c r="K1706" s="1">
        <f t="shared" si="216"/>
        <v>4450</v>
      </c>
      <c r="L1706" s="1">
        <f t="shared" si="213"/>
        <v>1023.5</v>
      </c>
      <c r="M1706" s="22">
        <f t="shared" si="217"/>
        <v>5473.5</v>
      </c>
      <c r="N1706" s="1">
        <f t="shared" ca="1" si="214"/>
        <v>10</v>
      </c>
      <c r="P1706" s="1">
        <v>50.91581568995025</v>
      </c>
      <c r="Q1706" s="1">
        <f t="shared" ca="1" si="215"/>
        <v>24</v>
      </c>
      <c r="R1706" s="1">
        <v>11.431061491530272</v>
      </c>
    </row>
    <row r="1707" spans="1:18" x14ac:dyDescent="0.3">
      <c r="A1707" s="26">
        <v>1706</v>
      </c>
      <c r="B1707" s="1">
        <v>28</v>
      </c>
      <c r="C1707" s="1">
        <f t="shared" si="211"/>
        <v>9</v>
      </c>
      <c r="D1707" s="21">
        <f t="shared" ca="1" si="210"/>
        <v>44615</v>
      </c>
      <c r="E1707" s="1" t="s">
        <v>26</v>
      </c>
      <c r="F1707" s="1" t="s">
        <v>1735</v>
      </c>
      <c r="G1707" s="1" t="s">
        <v>28</v>
      </c>
      <c r="H1707" s="1">
        <v>1805</v>
      </c>
      <c r="I1707" s="1">
        <f t="shared" si="212"/>
        <v>51</v>
      </c>
      <c r="J1707" s="1">
        <f>VLOOKUP(B1707,Cena!$A$2:$B$101,2)</f>
        <v>59</v>
      </c>
      <c r="K1707" s="1">
        <f t="shared" si="216"/>
        <v>3009</v>
      </c>
      <c r="L1707" s="1">
        <f t="shared" si="213"/>
        <v>692.07</v>
      </c>
      <c r="M1707" s="22">
        <f t="shared" si="217"/>
        <v>3701.07</v>
      </c>
      <c r="N1707" s="1">
        <f t="shared" ca="1" si="214"/>
        <v>2</v>
      </c>
      <c r="P1707" s="1">
        <v>51.405692273692694</v>
      </c>
      <c r="Q1707" s="1">
        <f t="shared" ca="1" si="215"/>
        <v>1</v>
      </c>
      <c r="R1707" s="1">
        <v>9.3393799968544045</v>
      </c>
    </row>
    <row r="1708" spans="1:18" x14ac:dyDescent="0.3">
      <c r="A1708" s="26">
        <v>1707</v>
      </c>
      <c r="B1708" s="1">
        <v>28</v>
      </c>
      <c r="C1708" s="1">
        <f t="shared" si="211"/>
        <v>10</v>
      </c>
      <c r="D1708" s="21">
        <f t="shared" ca="1" si="210"/>
        <v>44807</v>
      </c>
      <c r="E1708" s="1" t="s">
        <v>26</v>
      </c>
      <c r="F1708" s="1" t="s">
        <v>1736</v>
      </c>
      <c r="G1708" s="1" t="s">
        <v>28</v>
      </c>
      <c r="H1708" s="1">
        <v>1806</v>
      </c>
      <c r="I1708" s="1">
        <f t="shared" si="212"/>
        <v>34</v>
      </c>
      <c r="J1708" s="1">
        <f>VLOOKUP(B1708,Cena!$A$2:$B$101,2)</f>
        <v>59</v>
      </c>
      <c r="K1708" s="1">
        <f t="shared" si="216"/>
        <v>2006</v>
      </c>
      <c r="L1708" s="1">
        <f t="shared" si="213"/>
        <v>461.38</v>
      </c>
      <c r="M1708" s="22">
        <f t="shared" si="217"/>
        <v>2467.38</v>
      </c>
      <c r="N1708" s="1">
        <f t="shared" ca="1" si="214"/>
        <v>9</v>
      </c>
      <c r="P1708" s="1">
        <v>34.589112500543706</v>
      </c>
      <c r="Q1708" s="1">
        <f t="shared" ca="1" si="215"/>
        <v>28</v>
      </c>
      <c r="R1708" s="1">
        <v>10.282207679447311</v>
      </c>
    </row>
    <row r="1709" spans="1:18" x14ac:dyDescent="0.3">
      <c r="A1709" s="26">
        <v>1708</v>
      </c>
      <c r="B1709" s="1">
        <v>13</v>
      </c>
      <c r="C1709" s="1">
        <f t="shared" si="211"/>
        <v>9</v>
      </c>
      <c r="D1709" s="21">
        <f t="shared" ca="1" si="210"/>
        <v>44915</v>
      </c>
      <c r="E1709" s="1" t="s">
        <v>26</v>
      </c>
      <c r="F1709" s="1" t="s">
        <v>1737</v>
      </c>
      <c r="G1709" s="1" t="s">
        <v>28</v>
      </c>
      <c r="H1709" s="1">
        <v>1807</v>
      </c>
      <c r="I1709" s="1">
        <f t="shared" si="212"/>
        <v>43</v>
      </c>
      <c r="J1709" s="1">
        <f>VLOOKUP(B1709,Cena!$A$2:$B$101,2)</f>
        <v>94</v>
      </c>
      <c r="K1709" s="1">
        <f t="shared" si="216"/>
        <v>4042</v>
      </c>
      <c r="L1709" s="1">
        <f t="shared" si="213"/>
        <v>929.66000000000008</v>
      </c>
      <c r="M1709" s="22">
        <f t="shared" si="217"/>
        <v>4971.66</v>
      </c>
      <c r="N1709" s="1">
        <f t="shared" ca="1" si="214"/>
        <v>12</v>
      </c>
      <c r="P1709" s="1">
        <v>43.269739206880331</v>
      </c>
      <c r="Q1709" s="1">
        <f t="shared" ca="1" si="215"/>
        <v>25</v>
      </c>
      <c r="R1709" s="1">
        <v>9.1300853707798524</v>
      </c>
    </row>
    <row r="1710" spans="1:18" x14ac:dyDescent="0.3">
      <c r="A1710" s="26">
        <v>1709</v>
      </c>
      <c r="B1710" s="1">
        <v>6</v>
      </c>
      <c r="C1710" s="1">
        <f t="shared" si="211"/>
        <v>7</v>
      </c>
      <c r="D1710" s="21">
        <f t="shared" ca="1" si="210"/>
        <v>44794</v>
      </c>
      <c r="E1710" s="1" t="s">
        <v>26</v>
      </c>
      <c r="F1710" s="1" t="s">
        <v>1738</v>
      </c>
      <c r="G1710" s="1" t="s">
        <v>28</v>
      </c>
      <c r="H1710" s="1">
        <v>1808</v>
      </c>
      <c r="I1710" s="1">
        <f t="shared" si="212"/>
        <v>61</v>
      </c>
      <c r="J1710" s="1">
        <f>VLOOKUP(B1710,Cena!$A$2:$B$101,2)</f>
        <v>86</v>
      </c>
      <c r="K1710" s="1">
        <f t="shared" si="216"/>
        <v>5246</v>
      </c>
      <c r="L1710" s="1">
        <f t="shared" si="213"/>
        <v>1206.5800000000002</v>
      </c>
      <c r="M1710" s="22">
        <f t="shared" si="217"/>
        <v>6452.58</v>
      </c>
      <c r="N1710" s="1">
        <f t="shared" ca="1" si="214"/>
        <v>8</v>
      </c>
      <c r="P1710" s="1">
        <v>61.357769835740328</v>
      </c>
      <c r="Q1710" s="1">
        <f t="shared" ca="1" si="215"/>
        <v>29</v>
      </c>
      <c r="R1710" s="1">
        <v>7.1204601934005041</v>
      </c>
    </row>
    <row r="1711" spans="1:18" x14ac:dyDescent="0.3">
      <c r="A1711" s="26">
        <v>1710</v>
      </c>
      <c r="B1711" s="1">
        <v>1</v>
      </c>
      <c r="C1711" s="1">
        <f t="shared" si="211"/>
        <v>10</v>
      </c>
      <c r="D1711" s="21">
        <f t="shared" ca="1" si="210"/>
        <v>44604</v>
      </c>
      <c r="E1711" s="1" t="s">
        <v>26</v>
      </c>
      <c r="F1711" s="1" t="s">
        <v>1739</v>
      </c>
      <c r="G1711" s="1" t="s">
        <v>28</v>
      </c>
      <c r="H1711" s="1">
        <v>1809</v>
      </c>
      <c r="I1711" s="1">
        <f t="shared" si="212"/>
        <v>30</v>
      </c>
      <c r="J1711" s="1">
        <f>VLOOKUP(B1711,Cena!$A$2:$B$101,2)</f>
        <v>84</v>
      </c>
      <c r="K1711" s="1">
        <f t="shared" si="216"/>
        <v>2520</v>
      </c>
      <c r="L1711" s="1">
        <f t="shared" si="213"/>
        <v>579.6</v>
      </c>
      <c r="M1711" s="22">
        <f t="shared" si="217"/>
        <v>3099.6</v>
      </c>
      <c r="N1711" s="1">
        <f t="shared" ca="1" si="214"/>
        <v>2</v>
      </c>
      <c r="P1711" s="1">
        <v>30.415122990962118</v>
      </c>
      <c r="Q1711" s="1">
        <f t="shared" ca="1" si="215"/>
        <v>25</v>
      </c>
      <c r="R1711" s="1">
        <v>10.881706796462822</v>
      </c>
    </row>
    <row r="1712" spans="1:18" x14ac:dyDescent="0.3">
      <c r="A1712" s="26">
        <v>1711</v>
      </c>
      <c r="B1712" s="1">
        <v>1</v>
      </c>
      <c r="C1712" s="1">
        <f t="shared" si="211"/>
        <v>12</v>
      </c>
      <c r="D1712" s="21">
        <f t="shared" ca="1" si="210"/>
        <v>44640</v>
      </c>
      <c r="E1712" s="1" t="s">
        <v>26</v>
      </c>
      <c r="F1712" s="1" t="s">
        <v>1740</v>
      </c>
      <c r="G1712" s="1" t="s">
        <v>28</v>
      </c>
      <c r="H1712" s="1">
        <v>1810</v>
      </c>
      <c r="I1712" s="1">
        <f t="shared" si="212"/>
        <v>43</v>
      </c>
      <c r="J1712" s="1">
        <f>VLOOKUP(B1712,Cena!$A$2:$B$101,2)</f>
        <v>84</v>
      </c>
      <c r="K1712" s="1">
        <f t="shared" si="216"/>
        <v>3612</v>
      </c>
      <c r="L1712" s="1">
        <f t="shared" si="213"/>
        <v>830.76</v>
      </c>
      <c r="M1712" s="22">
        <f t="shared" si="217"/>
        <v>4442.76</v>
      </c>
      <c r="N1712" s="1">
        <f t="shared" ca="1" si="214"/>
        <v>3</v>
      </c>
      <c r="P1712" s="1">
        <v>43.820017607504269</v>
      </c>
      <c r="Q1712" s="1">
        <f t="shared" ca="1" si="215"/>
        <v>8</v>
      </c>
      <c r="R1712" s="1">
        <v>12.768769036265439</v>
      </c>
    </row>
    <row r="1713" spans="1:18" x14ac:dyDescent="0.3">
      <c r="A1713" s="26">
        <v>1712</v>
      </c>
      <c r="B1713" s="1">
        <v>3</v>
      </c>
      <c r="C1713" s="1">
        <f t="shared" si="211"/>
        <v>13</v>
      </c>
      <c r="D1713" s="21">
        <f t="shared" ca="1" si="210"/>
        <v>44731</v>
      </c>
      <c r="E1713" s="1" t="s">
        <v>26</v>
      </c>
      <c r="F1713" s="1" t="s">
        <v>1741</v>
      </c>
      <c r="G1713" s="1" t="s">
        <v>28</v>
      </c>
      <c r="H1713" s="1">
        <v>1811</v>
      </c>
      <c r="I1713" s="1">
        <f t="shared" si="212"/>
        <v>54</v>
      </c>
      <c r="J1713" s="1">
        <f>VLOOKUP(B1713,Cena!$A$2:$B$101,2)</f>
        <v>89</v>
      </c>
      <c r="K1713" s="1">
        <f t="shared" si="216"/>
        <v>4806</v>
      </c>
      <c r="L1713" s="1">
        <f t="shared" si="213"/>
        <v>1105.3800000000001</v>
      </c>
      <c r="M1713" s="22">
        <f t="shared" si="217"/>
        <v>5911.38</v>
      </c>
      <c r="N1713" s="1">
        <f t="shared" ca="1" si="214"/>
        <v>6</v>
      </c>
      <c r="P1713" s="1">
        <v>54.25557118433062</v>
      </c>
      <c r="Q1713" s="1">
        <f t="shared" ca="1" si="215"/>
        <v>19</v>
      </c>
      <c r="R1713" s="1">
        <v>13.476287702142145</v>
      </c>
    </row>
    <row r="1714" spans="1:18" x14ac:dyDescent="0.3">
      <c r="A1714" s="26">
        <v>1713</v>
      </c>
      <c r="B1714" s="1">
        <v>19</v>
      </c>
      <c r="C1714" s="1">
        <f t="shared" si="211"/>
        <v>13</v>
      </c>
      <c r="D1714" s="21">
        <f t="shared" ca="1" si="210"/>
        <v>44609</v>
      </c>
      <c r="E1714" s="1" t="s">
        <v>26</v>
      </c>
      <c r="F1714" s="1" t="s">
        <v>1742</v>
      </c>
      <c r="G1714" s="1" t="s">
        <v>28</v>
      </c>
      <c r="H1714" s="1">
        <v>1812</v>
      </c>
      <c r="I1714" s="1">
        <f t="shared" si="212"/>
        <v>62</v>
      </c>
      <c r="J1714" s="1">
        <f>VLOOKUP(B1714,Cena!$A$2:$B$101,2)</f>
        <v>84</v>
      </c>
      <c r="K1714" s="1">
        <f t="shared" si="216"/>
        <v>5208</v>
      </c>
      <c r="L1714" s="1">
        <f t="shared" si="213"/>
        <v>1197.8400000000001</v>
      </c>
      <c r="M1714" s="22">
        <f t="shared" si="217"/>
        <v>6405.84</v>
      </c>
      <c r="N1714" s="1">
        <f t="shared" ca="1" si="214"/>
        <v>2</v>
      </c>
      <c r="P1714" s="1">
        <v>62.55839379155077</v>
      </c>
      <c r="Q1714" s="1">
        <f t="shared" ca="1" si="215"/>
        <v>29</v>
      </c>
      <c r="R1714" s="1">
        <v>13.845843821181916</v>
      </c>
    </row>
    <row r="1715" spans="1:18" x14ac:dyDescent="0.3">
      <c r="A1715" s="26">
        <v>1714</v>
      </c>
      <c r="B1715" s="1">
        <v>24</v>
      </c>
      <c r="C1715" s="1">
        <f t="shared" si="211"/>
        <v>11</v>
      </c>
      <c r="D1715" s="21">
        <f t="shared" ca="1" si="210"/>
        <v>44588</v>
      </c>
      <c r="E1715" s="1" t="s">
        <v>26</v>
      </c>
      <c r="F1715" s="1" t="s">
        <v>1743</v>
      </c>
      <c r="G1715" s="1" t="s">
        <v>28</v>
      </c>
      <c r="H1715" s="1">
        <v>1813</v>
      </c>
      <c r="I1715" s="1">
        <f t="shared" si="212"/>
        <v>33</v>
      </c>
      <c r="J1715" s="1">
        <f>VLOOKUP(B1715,Cena!$A$2:$B$101,2)</f>
        <v>125</v>
      </c>
      <c r="K1715" s="1">
        <f t="shared" si="216"/>
        <v>4125</v>
      </c>
      <c r="L1715" s="1">
        <f t="shared" si="213"/>
        <v>948.75</v>
      </c>
      <c r="M1715" s="22">
        <f t="shared" si="217"/>
        <v>5073.75</v>
      </c>
      <c r="N1715" s="1">
        <f t="shared" ca="1" si="214"/>
        <v>1</v>
      </c>
      <c r="P1715" s="1">
        <v>33.391535351984203</v>
      </c>
      <c r="Q1715" s="1">
        <f t="shared" ca="1" si="215"/>
        <v>14</v>
      </c>
      <c r="R1715" s="1">
        <v>11.291095941269305</v>
      </c>
    </row>
    <row r="1716" spans="1:18" x14ac:dyDescent="0.3">
      <c r="A1716" s="26">
        <v>1715</v>
      </c>
      <c r="B1716" s="1">
        <v>15</v>
      </c>
      <c r="C1716" s="1">
        <f t="shared" si="211"/>
        <v>9</v>
      </c>
      <c r="D1716" s="21">
        <f t="shared" ca="1" si="210"/>
        <v>44625</v>
      </c>
      <c r="E1716" s="1" t="s">
        <v>26</v>
      </c>
      <c r="F1716" s="1" t="s">
        <v>1744</v>
      </c>
      <c r="G1716" s="1" t="s">
        <v>28</v>
      </c>
      <c r="H1716" s="1">
        <v>1814</v>
      </c>
      <c r="I1716" s="1">
        <f t="shared" si="212"/>
        <v>42</v>
      </c>
      <c r="J1716" s="1">
        <f>VLOOKUP(B1716,Cena!$A$2:$B$101,2)</f>
        <v>85</v>
      </c>
      <c r="K1716" s="1">
        <f t="shared" si="216"/>
        <v>3570</v>
      </c>
      <c r="L1716" s="1">
        <f t="shared" si="213"/>
        <v>821.1</v>
      </c>
      <c r="M1716" s="22">
        <f t="shared" si="217"/>
        <v>4391.1000000000004</v>
      </c>
      <c r="N1716" s="1">
        <f t="shared" ca="1" si="214"/>
        <v>3</v>
      </c>
      <c r="P1716" s="1">
        <v>42.939842741179746</v>
      </c>
      <c r="Q1716" s="1">
        <f t="shared" ca="1" si="215"/>
        <v>4</v>
      </c>
      <c r="R1716" s="1">
        <v>9.4868431940631126</v>
      </c>
    </row>
    <row r="1717" spans="1:18" x14ac:dyDescent="0.3">
      <c r="A1717" s="26">
        <v>1716</v>
      </c>
      <c r="B1717" s="1">
        <v>13</v>
      </c>
      <c r="C1717" s="1">
        <f t="shared" si="211"/>
        <v>9</v>
      </c>
      <c r="D1717" s="21">
        <f t="shared" ca="1" si="210"/>
        <v>44908</v>
      </c>
      <c r="E1717" s="1" t="s">
        <v>26</v>
      </c>
      <c r="F1717" s="1" t="s">
        <v>1745</v>
      </c>
      <c r="G1717" s="1" t="s">
        <v>28</v>
      </c>
      <c r="H1717" s="1">
        <v>1815</v>
      </c>
      <c r="I1717" s="1">
        <f t="shared" si="212"/>
        <v>54</v>
      </c>
      <c r="J1717" s="1">
        <f>VLOOKUP(B1717,Cena!$A$2:$B$101,2)</f>
        <v>94</v>
      </c>
      <c r="K1717" s="1">
        <f t="shared" si="216"/>
        <v>5076</v>
      </c>
      <c r="L1717" s="1">
        <f t="shared" si="213"/>
        <v>1167.48</v>
      </c>
      <c r="M1717" s="22">
        <f t="shared" si="217"/>
        <v>6243.48</v>
      </c>
      <c r="N1717" s="1">
        <f t="shared" ca="1" si="214"/>
        <v>12</v>
      </c>
      <c r="P1717" s="1">
        <v>54.062064817844657</v>
      </c>
      <c r="Q1717" s="1">
        <f t="shared" ca="1" si="215"/>
        <v>24</v>
      </c>
      <c r="R1717" s="1">
        <v>9.2452160313405329</v>
      </c>
    </row>
    <row r="1718" spans="1:18" x14ac:dyDescent="0.3">
      <c r="A1718" s="26">
        <v>1717</v>
      </c>
      <c r="B1718" s="1">
        <v>5</v>
      </c>
      <c r="C1718" s="1">
        <f t="shared" si="211"/>
        <v>8</v>
      </c>
      <c r="D1718" s="21">
        <f t="shared" ca="1" si="210"/>
        <v>44620</v>
      </c>
      <c r="E1718" s="1" t="s">
        <v>26</v>
      </c>
      <c r="F1718" s="1" t="s">
        <v>1746</v>
      </c>
      <c r="G1718" s="1" t="s">
        <v>28</v>
      </c>
      <c r="H1718" s="1">
        <v>1816</v>
      </c>
      <c r="I1718" s="1">
        <f t="shared" si="212"/>
        <v>36</v>
      </c>
      <c r="J1718" s="1">
        <f>VLOOKUP(B1718,Cena!$A$2:$B$101,2)</f>
        <v>91</v>
      </c>
      <c r="K1718" s="1">
        <f t="shared" si="216"/>
        <v>3276</v>
      </c>
      <c r="L1718" s="1">
        <f t="shared" si="213"/>
        <v>753.48</v>
      </c>
      <c r="M1718" s="22">
        <f t="shared" si="217"/>
        <v>4029.48</v>
      </c>
      <c r="N1718" s="1">
        <f t="shared" ca="1" si="214"/>
        <v>2</v>
      </c>
      <c r="P1718" s="1">
        <v>36.72096808149945</v>
      </c>
      <c r="Q1718" s="1">
        <f t="shared" ca="1" si="215"/>
        <v>26</v>
      </c>
      <c r="R1718" s="1">
        <v>8.2211932092468487</v>
      </c>
    </row>
    <row r="1719" spans="1:18" x14ac:dyDescent="0.3">
      <c r="A1719" s="26">
        <v>1718</v>
      </c>
      <c r="B1719" s="1">
        <v>26</v>
      </c>
      <c r="C1719" s="1">
        <f t="shared" si="211"/>
        <v>10</v>
      </c>
      <c r="D1719" s="21">
        <f t="shared" ca="1" si="210"/>
        <v>44716</v>
      </c>
      <c r="E1719" s="1" t="s">
        <v>26</v>
      </c>
      <c r="F1719" s="1" t="s">
        <v>1747</v>
      </c>
      <c r="G1719" s="1" t="s">
        <v>28</v>
      </c>
      <c r="H1719" s="1">
        <v>1817</v>
      </c>
      <c r="I1719" s="1">
        <f t="shared" si="212"/>
        <v>42</v>
      </c>
      <c r="J1719" s="1">
        <f>VLOOKUP(B1719,Cena!$A$2:$B$101,2)</f>
        <v>99</v>
      </c>
      <c r="K1719" s="1">
        <f t="shared" si="216"/>
        <v>4158</v>
      </c>
      <c r="L1719" s="1">
        <f t="shared" si="213"/>
        <v>956.34</v>
      </c>
      <c r="M1719" s="22">
        <f t="shared" si="217"/>
        <v>5114.34</v>
      </c>
      <c r="N1719" s="1">
        <f t="shared" ca="1" si="214"/>
        <v>6</v>
      </c>
      <c r="P1719" s="1">
        <v>42.635230228188448</v>
      </c>
      <c r="Q1719" s="1">
        <f t="shared" ca="1" si="215"/>
        <v>17</v>
      </c>
      <c r="R1719" s="1">
        <v>10.331925775753916</v>
      </c>
    </row>
    <row r="1720" spans="1:18" x14ac:dyDescent="0.3">
      <c r="A1720" s="26">
        <v>1719</v>
      </c>
      <c r="B1720" s="1">
        <v>3</v>
      </c>
      <c r="C1720" s="1">
        <f t="shared" si="211"/>
        <v>6</v>
      </c>
      <c r="D1720" s="21">
        <f t="shared" ca="1" si="210"/>
        <v>44824</v>
      </c>
      <c r="E1720" s="1" t="s">
        <v>26</v>
      </c>
      <c r="F1720" s="1" t="s">
        <v>1748</v>
      </c>
      <c r="G1720" s="1" t="s">
        <v>28</v>
      </c>
      <c r="H1720" s="1">
        <v>1818</v>
      </c>
      <c r="I1720" s="1">
        <f t="shared" si="212"/>
        <v>49</v>
      </c>
      <c r="J1720" s="1">
        <f>VLOOKUP(B1720,Cena!$A$2:$B$101,2)</f>
        <v>89</v>
      </c>
      <c r="K1720" s="1">
        <f t="shared" si="216"/>
        <v>4361</v>
      </c>
      <c r="L1720" s="1">
        <f t="shared" si="213"/>
        <v>1003.0300000000001</v>
      </c>
      <c r="M1720" s="22">
        <f t="shared" si="217"/>
        <v>5364.03</v>
      </c>
      <c r="N1720" s="1">
        <f t="shared" ca="1" si="214"/>
        <v>9</v>
      </c>
      <c r="P1720" s="1">
        <v>49.47153810353484</v>
      </c>
      <c r="Q1720" s="1">
        <f t="shared" ca="1" si="215"/>
        <v>17</v>
      </c>
      <c r="R1720" s="1">
        <v>6.6663324357796228</v>
      </c>
    </row>
    <row r="1721" spans="1:18" x14ac:dyDescent="0.3">
      <c r="A1721" s="26">
        <v>1720</v>
      </c>
      <c r="B1721" s="1">
        <v>27</v>
      </c>
      <c r="C1721" s="1">
        <f t="shared" si="211"/>
        <v>7</v>
      </c>
      <c r="D1721" s="21">
        <f t="shared" ca="1" si="210"/>
        <v>44670</v>
      </c>
      <c r="E1721" s="1" t="s">
        <v>26</v>
      </c>
      <c r="F1721" s="1" t="s">
        <v>1749</v>
      </c>
      <c r="G1721" s="1" t="s">
        <v>28</v>
      </c>
      <c r="H1721" s="1">
        <v>1819</v>
      </c>
      <c r="I1721" s="1">
        <f t="shared" si="212"/>
        <v>43</v>
      </c>
      <c r="J1721" s="1">
        <f>VLOOKUP(B1721,Cena!$A$2:$B$101,2)</f>
        <v>87</v>
      </c>
      <c r="K1721" s="1">
        <f t="shared" si="216"/>
        <v>3741</v>
      </c>
      <c r="L1721" s="1">
        <f t="shared" si="213"/>
        <v>860.43000000000006</v>
      </c>
      <c r="M1721" s="22">
        <f t="shared" si="217"/>
        <v>4601.43</v>
      </c>
      <c r="N1721" s="1">
        <f t="shared" ca="1" si="214"/>
        <v>4</v>
      </c>
      <c r="P1721" s="1">
        <v>43.95923850897816</v>
      </c>
      <c r="Q1721" s="1">
        <f t="shared" ca="1" si="215"/>
        <v>7</v>
      </c>
      <c r="R1721" s="1">
        <v>7.0197507082048105</v>
      </c>
    </row>
    <row r="1722" spans="1:18" x14ac:dyDescent="0.3">
      <c r="A1722" s="26">
        <v>1721</v>
      </c>
      <c r="B1722" s="1">
        <v>2</v>
      </c>
      <c r="C1722" s="1">
        <f t="shared" si="211"/>
        <v>9</v>
      </c>
      <c r="D1722" s="21">
        <f t="shared" ca="1" si="210"/>
        <v>44901</v>
      </c>
      <c r="E1722" s="1" t="s">
        <v>26</v>
      </c>
      <c r="F1722" s="1" t="s">
        <v>1750</v>
      </c>
      <c r="G1722" s="1" t="s">
        <v>28</v>
      </c>
      <c r="H1722" s="1">
        <v>1820</v>
      </c>
      <c r="I1722" s="1">
        <f t="shared" si="212"/>
        <v>40</v>
      </c>
      <c r="J1722" s="1">
        <f>VLOOKUP(B1722,Cena!$A$2:$B$101,2)</f>
        <v>121</v>
      </c>
      <c r="K1722" s="1">
        <f t="shared" si="216"/>
        <v>4840</v>
      </c>
      <c r="L1722" s="1">
        <f t="shared" si="213"/>
        <v>1113.2</v>
      </c>
      <c r="M1722" s="22">
        <f t="shared" si="217"/>
        <v>5953.2</v>
      </c>
      <c r="N1722" s="1">
        <f t="shared" ca="1" si="214"/>
        <v>12</v>
      </c>
      <c r="P1722" s="1">
        <v>40.963124218978919</v>
      </c>
      <c r="Q1722" s="1">
        <f t="shared" ca="1" si="215"/>
        <v>17</v>
      </c>
      <c r="R1722" s="1">
        <v>9.1189042702899314</v>
      </c>
    </row>
    <row r="1723" spans="1:18" x14ac:dyDescent="0.3">
      <c r="A1723" s="26">
        <v>1722</v>
      </c>
      <c r="B1723" s="1">
        <v>12</v>
      </c>
      <c r="C1723" s="1">
        <f t="shared" si="211"/>
        <v>9</v>
      </c>
      <c r="D1723" s="21">
        <f t="shared" ca="1" si="210"/>
        <v>44818</v>
      </c>
      <c r="E1723" s="1" t="s">
        <v>26</v>
      </c>
      <c r="F1723" s="1" t="s">
        <v>1751</v>
      </c>
      <c r="G1723" s="1" t="s">
        <v>28</v>
      </c>
      <c r="H1723" s="1">
        <v>1821</v>
      </c>
      <c r="I1723" s="1">
        <f t="shared" si="212"/>
        <v>46</v>
      </c>
      <c r="J1723" s="1">
        <f>VLOOKUP(B1723,Cena!$A$2:$B$101,2)</f>
        <v>88</v>
      </c>
      <c r="K1723" s="1">
        <f t="shared" si="216"/>
        <v>4048</v>
      </c>
      <c r="L1723" s="1">
        <f t="shared" si="213"/>
        <v>931.04000000000008</v>
      </c>
      <c r="M1723" s="22">
        <f t="shared" si="217"/>
        <v>4979.04</v>
      </c>
      <c r="N1723" s="1">
        <f t="shared" ca="1" si="214"/>
        <v>9</v>
      </c>
      <c r="P1723" s="1">
        <v>46.232793364470126</v>
      </c>
      <c r="Q1723" s="1">
        <f t="shared" ca="1" si="215"/>
        <v>17</v>
      </c>
      <c r="R1723" s="1">
        <v>9.5497745430839132</v>
      </c>
    </row>
    <row r="1724" spans="1:18" x14ac:dyDescent="0.3">
      <c r="A1724" s="26">
        <v>1723</v>
      </c>
      <c r="B1724" s="1">
        <v>29</v>
      </c>
      <c r="C1724" s="1">
        <f t="shared" si="211"/>
        <v>4</v>
      </c>
      <c r="D1724" s="21">
        <f t="shared" ca="1" si="210"/>
        <v>44626</v>
      </c>
      <c r="E1724" s="1" t="s">
        <v>26</v>
      </c>
      <c r="F1724" s="1" t="s">
        <v>1752</v>
      </c>
      <c r="G1724" s="1" t="s">
        <v>28</v>
      </c>
      <c r="H1724" s="1">
        <v>1822</v>
      </c>
      <c r="I1724" s="1">
        <f t="shared" si="212"/>
        <v>45</v>
      </c>
      <c r="J1724" s="1">
        <f>VLOOKUP(B1724,Cena!$A$2:$B$101,2)</f>
        <v>105</v>
      </c>
      <c r="K1724" s="1">
        <f t="shared" si="216"/>
        <v>4725</v>
      </c>
      <c r="L1724" s="1">
        <f t="shared" si="213"/>
        <v>1086.75</v>
      </c>
      <c r="M1724" s="22">
        <f t="shared" si="217"/>
        <v>5811.75</v>
      </c>
      <c r="N1724" s="1">
        <f t="shared" ca="1" si="214"/>
        <v>3</v>
      </c>
      <c r="P1724" s="1">
        <v>45.047755874111317</v>
      </c>
      <c r="Q1724" s="1">
        <f t="shared" ca="1" si="215"/>
        <v>12</v>
      </c>
      <c r="R1724" s="1">
        <v>4.4345290714409202</v>
      </c>
    </row>
    <row r="1725" spans="1:18" x14ac:dyDescent="0.3">
      <c r="A1725" s="26">
        <v>1724</v>
      </c>
      <c r="B1725" s="1">
        <v>20</v>
      </c>
      <c r="C1725" s="1">
        <f t="shared" si="211"/>
        <v>12</v>
      </c>
      <c r="D1725" s="21">
        <f t="shared" ca="1" si="210"/>
        <v>44620</v>
      </c>
      <c r="E1725" s="1" t="s">
        <v>26</v>
      </c>
      <c r="F1725" s="1" t="s">
        <v>1753</v>
      </c>
      <c r="G1725" s="1" t="s">
        <v>28</v>
      </c>
      <c r="H1725" s="1">
        <v>1823</v>
      </c>
      <c r="I1725" s="1">
        <f t="shared" si="212"/>
        <v>31</v>
      </c>
      <c r="J1725" s="1">
        <f>VLOOKUP(B1725,Cena!$A$2:$B$101,2)</f>
        <v>111</v>
      </c>
      <c r="K1725" s="1">
        <f t="shared" si="216"/>
        <v>3441</v>
      </c>
      <c r="L1725" s="1">
        <f t="shared" si="213"/>
        <v>791.43000000000006</v>
      </c>
      <c r="M1725" s="22">
        <f t="shared" si="217"/>
        <v>4232.43</v>
      </c>
      <c r="N1725" s="1">
        <f t="shared" ca="1" si="214"/>
        <v>2</v>
      </c>
      <c r="P1725" s="1">
        <v>31.000200932612643</v>
      </c>
      <c r="Q1725" s="1">
        <f t="shared" ca="1" si="215"/>
        <v>11</v>
      </c>
      <c r="R1725" s="1">
        <v>12.395199771854095</v>
      </c>
    </row>
    <row r="1726" spans="1:18" x14ac:dyDescent="0.3">
      <c r="A1726" s="26">
        <v>1725</v>
      </c>
      <c r="B1726" s="1">
        <v>8</v>
      </c>
      <c r="C1726" s="1">
        <f t="shared" si="211"/>
        <v>9</v>
      </c>
      <c r="D1726" s="21">
        <f t="shared" ca="1" si="210"/>
        <v>44578</v>
      </c>
      <c r="E1726" s="1" t="s">
        <v>26</v>
      </c>
      <c r="F1726" s="1" t="s">
        <v>1754</v>
      </c>
      <c r="G1726" s="1" t="s">
        <v>28</v>
      </c>
      <c r="H1726" s="1">
        <v>1824</v>
      </c>
      <c r="I1726" s="1">
        <f t="shared" si="212"/>
        <v>53</v>
      </c>
      <c r="J1726" s="1">
        <f>VLOOKUP(B1726,Cena!$A$2:$B$101,2)</f>
        <v>88</v>
      </c>
      <c r="K1726" s="1">
        <f t="shared" si="216"/>
        <v>4664</v>
      </c>
      <c r="L1726" s="1">
        <f t="shared" si="213"/>
        <v>1072.72</v>
      </c>
      <c r="M1726" s="22">
        <f t="shared" si="217"/>
        <v>5736.72</v>
      </c>
      <c r="N1726" s="1">
        <f t="shared" ca="1" si="214"/>
        <v>1</v>
      </c>
      <c r="P1726" s="1">
        <v>53.301397555333097</v>
      </c>
      <c r="Q1726" s="1">
        <f t="shared" ca="1" si="215"/>
        <v>2</v>
      </c>
      <c r="R1726" s="1">
        <v>9.3591643487889087</v>
      </c>
    </row>
    <row r="1727" spans="1:18" x14ac:dyDescent="0.3">
      <c r="A1727" s="26">
        <v>1726</v>
      </c>
      <c r="B1727" s="1">
        <v>23</v>
      </c>
      <c r="C1727" s="1">
        <f t="shared" si="211"/>
        <v>13</v>
      </c>
      <c r="D1727" s="21">
        <f t="shared" ca="1" si="210"/>
        <v>44906</v>
      </c>
      <c r="E1727" s="1" t="s">
        <v>26</v>
      </c>
      <c r="F1727" s="1" t="s">
        <v>1755</v>
      </c>
      <c r="G1727" s="1" t="s">
        <v>28</v>
      </c>
      <c r="H1727" s="1">
        <v>1825</v>
      </c>
      <c r="I1727" s="1">
        <f t="shared" si="212"/>
        <v>49</v>
      </c>
      <c r="J1727" s="1">
        <f>VLOOKUP(B1727,Cena!$A$2:$B$101,2)</f>
        <v>132</v>
      </c>
      <c r="K1727" s="1">
        <f t="shared" si="216"/>
        <v>6468</v>
      </c>
      <c r="L1727" s="1">
        <f t="shared" si="213"/>
        <v>1487.64</v>
      </c>
      <c r="M1727" s="22">
        <f t="shared" si="217"/>
        <v>7955.64</v>
      </c>
      <c r="N1727" s="1">
        <f t="shared" ca="1" si="214"/>
        <v>12</v>
      </c>
      <c r="P1727" s="1">
        <v>49.604779077344574</v>
      </c>
      <c r="Q1727" s="1">
        <f t="shared" ca="1" si="215"/>
        <v>4</v>
      </c>
      <c r="R1727" s="1">
        <v>13.552304406184703</v>
      </c>
    </row>
    <row r="1728" spans="1:18" x14ac:dyDescent="0.3">
      <c r="A1728" s="26">
        <v>1727</v>
      </c>
      <c r="B1728" s="1">
        <v>25</v>
      </c>
      <c r="C1728" s="1">
        <f t="shared" si="211"/>
        <v>8</v>
      </c>
      <c r="D1728" s="21">
        <f t="shared" ca="1" si="210"/>
        <v>44632</v>
      </c>
      <c r="E1728" s="1" t="s">
        <v>26</v>
      </c>
      <c r="F1728" s="1" t="s">
        <v>1756</v>
      </c>
      <c r="G1728" s="1" t="s">
        <v>28</v>
      </c>
      <c r="H1728" s="1">
        <v>1826</v>
      </c>
      <c r="I1728" s="1">
        <f t="shared" si="212"/>
        <v>54</v>
      </c>
      <c r="J1728" s="1">
        <f>VLOOKUP(B1728,Cena!$A$2:$B$101,2)</f>
        <v>108</v>
      </c>
      <c r="K1728" s="1">
        <f t="shared" si="216"/>
        <v>5832</v>
      </c>
      <c r="L1728" s="1">
        <f t="shared" si="213"/>
        <v>1341.3600000000001</v>
      </c>
      <c r="M1728" s="22">
        <f t="shared" si="217"/>
        <v>7173.3600000000006</v>
      </c>
      <c r="N1728" s="1">
        <f t="shared" ca="1" si="214"/>
        <v>3</v>
      </c>
      <c r="P1728" s="1">
        <v>54.498042471823283</v>
      </c>
      <c r="Q1728" s="1">
        <f t="shared" ca="1" si="215"/>
        <v>18</v>
      </c>
      <c r="R1728" s="1">
        <v>8.6406749030720675</v>
      </c>
    </row>
    <row r="1729" spans="1:18" x14ac:dyDescent="0.3">
      <c r="A1729" s="26">
        <v>1728</v>
      </c>
      <c r="B1729" s="1">
        <v>14</v>
      </c>
      <c r="C1729" s="1">
        <f t="shared" si="211"/>
        <v>15</v>
      </c>
      <c r="D1729" s="21">
        <f t="shared" ca="1" si="210"/>
        <v>44756</v>
      </c>
      <c r="E1729" s="1" t="s">
        <v>26</v>
      </c>
      <c r="F1729" s="1" t="s">
        <v>1757</v>
      </c>
      <c r="G1729" s="1" t="s">
        <v>28</v>
      </c>
      <c r="H1729" s="1">
        <v>1827</v>
      </c>
      <c r="I1729" s="1">
        <f t="shared" si="212"/>
        <v>40</v>
      </c>
      <c r="J1729" s="1">
        <f>VLOOKUP(B1729,Cena!$A$2:$B$101,2)</f>
        <v>129</v>
      </c>
      <c r="K1729" s="1">
        <f t="shared" si="216"/>
        <v>5160</v>
      </c>
      <c r="L1729" s="1">
        <f t="shared" si="213"/>
        <v>1186.8</v>
      </c>
      <c r="M1729" s="22">
        <f t="shared" si="217"/>
        <v>6346.8</v>
      </c>
      <c r="N1729" s="1">
        <f t="shared" ca="1" si="214"/>
        <v>7</v>
      </c>
      <c r="P1729" s="1">
        <v>40.508422342827544</v>
      </c>
      <c r="Q1729" s="1">
        <f t="shared" ca="1" si="215"/>
        <v>9</v>
      </c>
      <c r="R1729" s="1">
        <v>15.680612957803532</v>
      </c>
    </row>
    <row r="1730" spans="1:18" x14ac:dyDescent="0.3">
      <c r="A1730" s="26">
        <v>1729</v>
      </c>
      <c r="B1730" s="1">
        <v>11</v>
      </c>
      <c r="C1730" s="1">
        <f t="shared" si="211"/>
        <v>6</v>
      </c>
      <c r="D1730" s="21">
        <f t="shared" ref="D1730:D1793" ca="1" si="218">DATE(2022,RANDBETWEEN(1,12),RANDBETWEEN(1,28))</f>
        <v>44879</v>
      </c>
      <c r="E1730" s="1" t="s">
        <v>26</v>
      </c>
      <c r="F1730" s="1" t="s">
        <v>1758</v>
      </c>
      <c r="G1730" s="1" t="s">
        <v>28</v>
      </c>
      <c r="H1730" s="1">
        <v>1828</v>
      </c>
      <c r="I1730" s="1">
        <f t="shared" si="212"/>
        <v>78</v>
      </c>
      <c r="J1730" s="1">
        <f>VLOOKUP(B1730,Cena!$A$2:$B$101,2)</f>
        <v>83</v>
      </c>
      <c r="K1730" s="1">
        <f t="shared" si="216"/>
        <v>6474</v>
      </c>
      <c r="L1730" s="1">
        <f t="shared" si="213"/>
        <v>1489.02</v>
      </c>
      <c r="M1730" s="22">
        <f t="shared" si="217"/>
        <v>7963.02</v>
      </c>
      <c r="N1730" s="1">
        <f t="shared" ca="1" si="214"/>
        <v>11</v>
      </c>
      <c r="P1730" s="1">
        <v>78.758950065821409</v>
      </c>
      <c r="Q1730" s="1">
        <f t="shared" ca="1" si="215"/>
        <v>5</v>
      </c>
      <c r="R1730" s="1">
        <v>6.5146344038657844</v>
      </c>
    </row>
    <row r="1731" spans="1:18" x14ac:dyDescent="0.3">
      <c r="A1731" s="26">
        <v>1730</v>
      </c>
      <c r="B1731" s="1">
        <v>2</v>
      </c>
      <c r="C1731" s="1">
        <f t="shared" ref="C1731:C1794" si="219">INT(R1731)</f>
        <v>14</v>
      </c>
      <c r="D1731" s="21">
        <f t="shared" ca="1" si="218"/>
        <v>44693</v>
      </c>
      <c r="E1731" s="1" t="s">
        <v>26</v>
      </c>
      <c r="F1731" s="1" t="s">
        <v>1759</v>
      </c>
      <c r="G1731" s="1" t="s">
        <v>28</v>
      </c>
      <c r="H1731" s="1">
        <v>1829</v>
      </c>
      <c r="I1731" s="1">
        <f t="shared" ref="I1731:I1794" si="220">INT(P1731)</f>
        <v>50</v>
      </c>
      <c r="J1731" s="1">
        <f>VLOOKUP(B1731,Cena!$A$2:$B$101,2)</f>
        <v>121</v>
      </c>
      <c r="K1731" s="1">
        <f t="shared" si="216"/>
        <v>6050</v>
      </c>
      <c r="L1731" s="1">
        <f t="shared" ref="L1731:L1794" si="221">K1731*23%</f>
        <v>1391.5</v>
      </c>
      <c r="M1731" s="22">
        <f t="shared" si="217"/>
        <v>7441.5</v>
      </c>
      <c r="N1731" s="1">
        <f t="shared" ref="N1731:N1794" ca="1" si="222">MONTH(D1731)</f>
        <v>5</v>
      </c>
      <c r="P1731" s="1">
        <v>50.180159531737445</v>
      </c>
      <c r="Q1731" s="1">
        <f t="shared" ref="Q1731:Q1794" ca="1" si="223">RANDBETWEEN(1,30)</f>
        <v>5</v>
      </c>
      <c r="R1731" s="1">
        <v>14.300568434700835</v>
      </c>
    </row>
    <row r="1732" spans="1:18" x14ac:dyDescent="0.3">
      <c r="A1732" s="26">
        <v>1731</v>
      </c>
      <c r="B1732" s="1">
        <v>19</v>
      </c>
      <c r="C1732" s="1">
        <f t="shared" si="219"/>
        <v>8</v>
      </c>
      <c r="D1732" s="21">
        <f t="shared" ca="1" si="218"/>
        <v>44898</v>
      </c>
      <c r="E1732" s="1" t="s">
        <v>26</v>
      </c>
      <c r="F1732" s="1" t="s">
        <v>1760</v>
      </c>
      <c r="G1732" s="1" t="s">
        <v>28</v>
      </c>
      <c r="H1732" s="1">
        <v>1830</v>
      </c>
      <c r="I1732" s="1">
        <f t="shared" si="220"/>
        <v>54</v>
      </c>
      <c r="J1732" s="1">
        <f>VLOOKUP(B1732,Cena!$A$2:$B$101,2)</f>
        <v>84</v>
      </c>
      <c r="K1732" s="1">
        <f t="shared" si="216"/>
        <v>4536</v>
      </c>
      <c r="L1732" s="1">
        <f t="shared" si="221"/>
        <v>1043.28</v>
      </c>
      <c r="M1732" s="22">
        <f t="shared" si="217"/>
        <v>5579.28</v>
      </c>
      <c r="N1732" s="1">
        <f t="shared" ca="1" si="222"/>
        <v>12</v>
      </c>
      <c r="P1732" s="1">
        <v>54.274011189409066</v>
      </c>
      <c r="Q1732" s="1">
        <f t="shared" ca="1" si="223"/>
        <v>15</v>
      </c>
      <c r="R1732" s="1">
        <v>8.6309092037117807</v>
      </c>
    </row>
    <row r="1733" spans="1:18" x14ac:dyDescent="0.3">
      <c r="A1733" s="26">
        <v>1732</v>
      </c>
      <c r="B1733" s="1">
        <v>2</v>
      </c>
      <c r="C1733" s="1">
        <f t="shared" si="219"/>
        <v>10</v>
      </c>
      <c r="D1733" s="21">
        <f t="shared" ca="1" si="218"/>
        <v>44612</v>
      </c>
      <c r="E1733" s="1" t="s">
        <v>26</v>
      </c>
      <c r="F1733" s="1" t="s">
        <v>1761</v>
      </c>
      <c r="G1733" s="1" t="s">
        <v>28</v>
      </c>
      <c r="H1733" s="1">
        <v>1831</v>
      </c>
      <c r="I1733" s="1">
        <f t="shared" si="220"/>
        <v>54</v>
      </c>
      <c r="J1733" s="1">
        <f>VLOOKUP(B1733,Cena!$A$2:$B$101,2)</f>
        <v>121</v>
      </c>
      <c r="K1733" s="1">
        <f t="shared" si="216"/>
        <v>6534</v>
      </c>
      <c r="L1733" s="1">
        <f t="shared" si="221"/>
        <v>1502.8200000000002</v>
      </c>
      <c r="M1733" s="22">
        <f t="shared" si="217"/>
        <v>8036.82</v>
      </c>
      <c r="N1733" s="1">
        <f t="shared" ca="1" si="222"/>
        <v>2</v>
      </c>
      <c r="P1733" s="1">
        <v>54.439709755388321</v>
      </c>
      <c r="Q1733" s="1">
        <f t="shared" ca="1" si="223"/>
        <v>5</v>
      </c>
      <c r="R1733" s="1">
        <v>10.772215003053134</v>
      </c>
    </row>
    <row r="1734" spans="1:18" x14ac:dyDescent="0.3">
      <c r="A1734" s="26">
        <v>1733</v>
      </c>
      <c r="B1734" s="1">
        <v>9</v>
      </c>
      <c r="C1734" s="1">
        <f t="shared" si="219"/>
        <v>9</v>
      </c>
      <c r="D1734" s="21">
        <f t="shared" ca="1" si="218"/>
        <v>44842</v>
      </c>
      <c r="E1734" s="1" t="s">
        <v>26</v>
      </c>
      <c r="F1734" s="1" t="s">
        <v>1762</v>
      </c>
      <c r="G1734" s="1" t="s">
        <v>28</v>
      </c>
      <c r="H1734" s="1">
        <v>1832</v>
      </c>
      <c r="I1734" s="1">
        <f t="shared" si="220"/>
        <v>36</v>
      </c>
      <c r="J1734" s="1">
        <f>VLOOKUP(B1734,Cena!$A$2:$B$101,2)</f>
        <v>96</v>
      </c>
      <c r="K1734" s="1">
        <f t="shared" si="216"/>
        <v>3456</v>
      </c>
      <c r="L1734" s="1">
        <f t="shared" si="221"/>
        <v>794.88</v>
      </c>
      <c r="M1734" s="22">
        <f t="shared" si="217"/>
        <v>4250.88</v>
      </c>
      <c r="N1734" s="1">
        <f t="shared" ca="1" si="222"/>
        <v>10</v>
      </c>
      <c r="P1734" s="1">
        <v>36.914281180361286</v>
      </c>
      <c r="Q1734" s="1">
        <f t="shared" ca="1" si="223"/>
        <v>9</v>
      </c>
      <c r="R1734" s="1">
        <v>9.8640532794524916</v>
      </c>
    </row>
    <row r="1735" spans="1:18" x14ac:dyDescent="0.3">
      <c r="A1735" s="26">
        <v>1734</v>
      </c>
      <c r="B1735" s="1">
        <v>30</v>
      </c>
      <c r="C1735" s="1">
        <f t="shared" si="219"/>
        <v>8</v>
      </c>
      <c r="D1735" s="21">
        <f t="shared" ca="1" si="218"/>
        <v>44748</v>
      </c>
      <c r="E1735" s="1" t="s">
        <v>26</v>
      </c>
      <c r="F1735" s="1" t="s">
        <v>1763</v>
      </c>
      <c r="G1735" s="1" t="s">
        <v>28</v>
      </c>
      <c r="H1735" s="1">
        <v>1833</v>
      </c>
      <c r="I1735" s="1">
        <f t="shared" si="220"/>
        <v>46</v>
      </c>
      <c r="J1735" s="1">
        <f>VLOOKUP(B1735,Cena!$A$2:$B$101,2)</f>
        <v>87</v>
      </c>
      <c r="K1735" s="1">
        <f t="shared" si="216"/>
        <v>4002</v>
      </c>
      <c r="L1735" s="1">
        <f t="shared" si="221"/>
        <v>920.46</v>
      </c>
      <c r="M1735" s="22">
        <f t="shared" si="217"/>
        <v>4922.46</v>
      </c>
      <c r="N1735" s="1">
        <f t="shared" ca="1" si="222"/>
        <v>7</v>
      </c>
      <c r="P1735" s="1">
        <v>46.015083070233231</v>
      </c>
      <c r="Q1735" s="1">
        <f t="shared" ca="1" si="223"/>
        <v>3</v>
      </c>
      <c r="R1735" s="1">
        <v>8.9465663929877337</v>
      </c>
    </row>
    <row r="1736" spans="1:18" x14ac:dyDescent="0.3">
      <c r="A1736" s="26">
        <v>1735</v>
      </c>
      <c r="B1736" s="1">
        <v>26</v>
      </c>
      <c r="C1736" s="1">
        <f t="shared" si="219"/>
        <v>6</v>
      </c>
      <c r="D1736" s="21">
        <f t="shared" ca="1" si="218"/>
        <v>44776</v>
      </c>
      <c r="E1736" s="1" t="s">
        <v>26</v>
      </c>
      <c r="F1736" s="1" t="s">
        <v>1764</v>
      </c>
      <c r="G1736" s="1" t="s">
        <v>28</v>
      </c>
      <c r="H1736" s="1">
        <v>1834</v>
      </c>
      <c r="I1736" s="1">
        <f t="shared" si="220"/>
        <v>73</v>
      </c>
      <c r="J1736" s="1">
        <f>VLOOKUP(B1736,Cena!$A$2:$B$101,2)</f>
        <v>99</v>
      </c>
      <c r="K1736" s="1">
        <f t="shared" si="216"/>
        <v>7227</v>
      </c>
      <c r="L1736" s="1">
        <f t="shared" si="221"/>
        <v>1662.21</v>
      </c>
      <c r="M1736" s="22">
        <f t="shared" si="217"/>
        <v>8889.2099999999991</v>
      </c>
      <c r="N1736" s="1">
        <f t="shared" ca="1" si="222"/>
        <v>8</v>
      </c>
      <c r="P1736" s="1">
        <v>73.236862034536898</v>
      </c>
      <c r="Q1736" s="1">
        <f t="shared" ca="1" si="223"/>
        <v>23</v>
      </c>
      <c r="R1736" s="1">
        <v>6.48815673936042</v>
      </c>
    </row>
    <row r="1737" spans="1:18" x14ac:dyDescent="0.3">
      <c r="A1737" s="26">
        <v>1736</v>
      </c>
      <c r="B1737" s="1">
        <v>15</v>
      </c>
      <c r="C1737" s="1">
        <f t="shared" si="219"/>
        <v>10</v>
      </c>
      <c r="D1737" s="21">
        <f t="shared" ca="1" si="218"/>
        <v>44566</v>
      </c>
      <c r="E1737" s="1" t="s">
        <v>26</v>
      </c>
      <c r="F1737" s="1" t="s">
        <v>1765</v>
      </c>
      <c r="G1737" s="1" t="s">
        <v>28</v>
      </c>
      <c r="H1737" s="1">
        <v>1835</v>
      </c>
      <c r="I1737" s="1">
        <f t="shared" si="220"/>
        <v>49</v>
      </c>
      <c r="J1737" s="1">
        <f>VLOOKUP(B1737,Cena!$A$2:$B$101,2)</f>
        <v>85</v>
      </c>
      <c r="K1737" s="1">
        <f t="shared" si="216"/>
        <v>4165</v>
      </c>
      <c r="L1737" s="1">
        <f t="shared" si="221"/>
        <v>957.95</v>
      </c>
      <c r="M1737" s="22">
        <f t="shared" si="217"/>
        <v>5122.95</v>
      </c>
      <c r="N1737" s="1">
        <f t="shared" ca="1" si="222"/>
        <v>1</v>
      </c>
      <c r="P1737" s="1">
        <v>49.942247086437419</v>
      </c>
      <c r="Q1737" s="1">
        <f t="shared" ca="1" si="223"/>
        <v>10</v>
      </c>
      <c r="R1737" s="1">
        <v>10.462671323475661</v>
      </c>
    </row>
    <row r="1738" spans="1:18" x14ac:dyDescent="0.3">
      <c r="A1738" s="26">
        <v>1737</v>
      </c>
      <c r="B1738" s="1">
        <v>24</v>
      </c>
      <c r="C1738" s="1">
        <f t="shared" si="219"/>
        <v>9</v>
      </c>
      <c r="D1738" s="21">
        <f t="shared" ca="1" si="218"/>
        <v>44569</v>
      </c>
      <c r="E1738" s="1" t="s">
        <v>26</v>
      </c>
      <c r="F1738" s="1" t="s">
        <v>1766</v>
      </c>
      <c r="G1738" s="1" t="s">
        <v>28</v>
      </c>
      <c r="H1738" s="1">
        <v>1836</v>
      </c>
      <c r="I1738" s="1">
        <f t="shared" si="220"/>
        <v>44</v>
      </c>
      <c r="J1738" s="1">
        <f>VLOOKUP(B1738,Cena!$A$2:$B$101,2)</f>
        <v>125</v>
      </c>
      <c r="K1738" s="1">
        <f t="shared" si="216"/>
        <v>5500</v>
      </c>
      <c r="L1738" s="1">
        <f t="shared" si="221"/>
        <v>1265</v>
      </c>
      <c r="M1738" s="22">
        <f t="shared" si="217"/>
        <v>6765</v>
      </c>
      <c r="N1738" s="1">
        <f t="shared" ca="1" si="222"/>
        <v>1</v>
      </c>
      <c r="P1738" s="1">
        <v>44.008749126805924</v>
      </c>
      <c r="Q1738" s="1">
        <f t="shared" ca="1" si="223"/>
        <v>7</v>
      </c>
      <c r="R1738" s="1">
        <v>9.2749906141398242</v>
      </c>
    </row>
    <row r="1739" spans="1:18" x14ac:dyDescent="0.3">
      <c r="A1739" s="26">
        <v>1738</v>
      </c>
      <c r="B1739" s="1">
        <v>11</v>
      </c>
      <c r="C1739" s="1">
        <f t="shared" si="219"/>
        <v>7</v>
      </c>
      <c r="D1739" s="21">
        <f t="shared" ca="1" si="218"/>
        <v>44904</v>
      </c>
      <c r="E1739" s="1" t="s">
        <v>26</v>
      </c>
      <c r="F1739" s="1" t="s">
        <v>1767</v>
      </c>
      <c r="G1739" s="1" t="s">
        <v>28</v>
      </c>
      <c r="H1739" s="1">
        <v>1837</v>
      </c>
      <c r="I1739" s="1">
        <f t="shared" si="220"/>
        <v>54</v>
      </c>
      <c r="J1739" s="1">
        <f>VLOOKUP(B1739,Cena!$A$2:$B$101,2)</f>
        <v>83</v>
      </c>
      <c r="K1739" s="1">
        <f t="shared" si="216"/>
        <v>4482</v>
      </c>
      <c r="L1739" s="1">
        <f t="shared" si="221"/>
        <v>1030.8600000000001</v>
      </c>
      <c r="M1739" s="22">
        <f t="shared" si="217"/>
        <v>5512.8600000000006</v>
      </c>
      <c r="N1739" s="1">
        <f t="shared" ca="1" si="222"/>
        <v>12</v>
      </c>
      <c r="P1739" s="1">
        <v>54.233811523590703</v>
      </c>
      <c r="Q1739" s="1">
        <f t="shared" ca="1" si="223"/>
        <v>26</v>
      </c>
      <c r="R1739" s="1">
        <v>7.7462437072972534</v>
      </c>
    </row>
    <row r="1740" spans="1:18" x14ac:dyDescent="0.3">
      <c r="A1740" s="26">
        <v>1739</v>
      </c>
      <c r="B1740" s="1">
        <v>15</v>
      </c>
      <c r="C1740" s="1">
        <f t="shared" si="219"/>
        <v>8</v>
      </c>
      <c r="D1740" s="21">
        <f t="shared" ca="1" si="218"/>
        <v>44738</v>
      </c>
      <c r="E1740" s="1" t="s">
        <v>26</v>
      </c>
      <c r="F1740" s="1" t="s">
        <v>1768</v>
      </c>
      <c r="G1740" s="1" t="s">
        <v>28</v>
      </c>
      <c r="H1740" s="1">
        <v>1838</v>
      </c>
      <c r="I1740" s="1">
        <f t="shared" si="220"/>
        <v>69</v>
      </c>
      <c r="J1740" s="1">
        <f>VLOOKUP(B1740,Cena!$A$2:$B$101,2)</f>
        <v>85</v>
      </c>
      <c r="K1740" s="1">
        <f t="shared" si="216"/>
        <v>5865</v>
      </c>
      <c r="L1740" s="1">
        <f t="shared" si="221"/>
        <v>1348.95</v>
      </c>
      <c r="M1740" s="22">
        <f t="shared" si="217"/>
        <v>7213.95</v>
      </c>
      <c r="N1740" s="1">
        <f t="shared" ca="1" si="222"/>
        <v>6</v>
      </c>
      <c r="P1740" s="1">
        <v>69.410890672588721</v>
      </c>
      <c r="Q1740" s="1">
        <f t="shared" ca="1" si="223"/>
        <v>5</v>
      </c>
      <c r="R1740" s="1">
        <v>8.2837039169680793</v>
      </c>
    </row>
    <row r="1741" spans="1:18" x14ac:dyDescent="0.3">
      <c r="A1741" s="26">
        <v>1740</v>
      </c>
      <c r="B1741" s="1">
        <v>10</v>
      </c>
      <c r="C1741" s="1">
        <f t="shared" si="219"/>
        <v>11</v>
      </c>
      <c r="D1741" s="21">
        <f t="shared" ca="1" si="218"/>
        <v>44725</v>
      </c>
      <c r="E1741" s="1" t="s">
        <v>26</v>
      </c>
      <c r="F1741" s="1" t="s">
        <v>1769</v>
      </c>
      <c r="G1741" s="1" t="s">
        <v>28</v>
      </c>
      <c r="H1741" s="1">
        <v>1839</v>
      </c>
      <c r="I1741" s="1">
        <f t="shared" si="220"/>
        <v>41</v>
      </c>
      <c r="J1741" s="1">
        <f>VLOOKUP(B1741,Cena!$A$2:$B$101,2)</f>
        <v>109</v>
      </c>
      <c r="K1741" s="1">
        <f t="shared" si="216"/>
        <v>4469</v>
      </c>
      <c r="L1741" s="1">
        <f t="shared" si="221"/>
        <v>1027.8700000000001</v>
      </c>
      <c r="M1741" s="22">
        <f t="shared" si="217"/>
        <v>5496.87</v>
      </c>
      <c r="N1741" s="1">
        <f t="shared" ca="1" si="222"/>
        <v>6</v>
      </c>
      <c r="P1741" s="1">
        <v>41.406525623460766</v>
      </c>
      <c r="Q1741" s="1">
        <f t="shared" ca="1" si="223"/>
        <v>30</v>
      </c>
      <c r="R1741" s="1">
        <v>11.356664824925247</v>
      </c>
    </row>
    <row r="1742" spans="1:18" x14ac:dyDescent="0.3">
      <c r="A1742" s="26">
        <v>1741</v>
      </c>
      <c r="B1742" s="1">
        <v>2</v>
      </c>
      <c r="C1742" s="1">
        <f t="shared" si="219"/>
        <v>12</v>
      </c>
      <c r="D1742" s="21">
        <f t="shared" ca="1" si="218"/>
        <v>44849</v>
      </c>
      <c r="E1742" s="1" t="s">
        <v>26</v>
      </c>
      <c r="F1742" s="1" t="s">
        <v>1770</v>
      </c>
      <c r="G1742" s="1" t="s">
        <v>28</v>
      </c>
      <c r="H1742" s="1">
        <v>1840</v>
      </c>
      <c r="I1742" s="1">
        <f t="shared" si="220"/>
        <v>59</v>
      </c>
      <c r="J1742" s="1">
        <f>VLOOKUP(B1742,Cena!$A$2:$B$101,2)</f>
        <v>121</v>
      </c>
      <c r="K1742" s="1">
        <f t="shared" si="216"/>
        <v>7139</v>
      </c>
      <c r="L1742" s="1">
        <f t="shared" si="221"/>
        <v>1641.97</v>
      </c>
      <c r="M1742" s="22">
        <f t="shared" si="217"/>
        <v>8780.9699999999993</v>
      </c>
      <c r="N1742" s="1">
        <f t="shared" ca="1" si="222"/>
        <v>10</v>
      </c>
      <c r="P1742" s="1">
        <v>59.253039934264962</v>
      </c>
      <c r="Q1742" s="1">
        <f t="shared" ca="1" si="223"/>
        <v>10</v>
      </c>
      <c r="R1742" s="1">
        <v>12.459233883200795</v>
      </c>
    </row>
    <row r="1743" spans="1:18" x14ac:dyDescent="0.3">
      <c r="A1743" s="26">
        <v>1742</v>
      </c>
      <c r="B1743" s="1">
        <v>1</v>
      </c>
      <c r="C1743" s="1">
        <f t="shared" si="219"/>
        <v>5</v>
      </c>
      <c r="D1743" s="21">
        <f t="shared" ca="1" si="218"/>
        <v>44662</v>
      </c>
      <c r="E1743" s="1" t="s">
        <v>26</v>
      </c>
      <c r="F1743" s="1" t="s">
        <v>1771</v>
      </c>
      <c r="G1743" s="1" t="s">
        <v>28</v>
      </c>
      <c r="H1743" s="1">
        <v>1841</v>
      </c>
      <c r="I1743" s="1">
        <f t="shared" si="220"/>
        <v>45</v>
      </c>
      <c r="J1743" s="1">
        <f>VLOOKUP(B1743,Cena!$A$2:$B$101,2)</f>
        <v>84</v>
      </c>
      <c r="K1743" s="1">
        <f t="shared" si="216"/>
        <v>3780</v>
      </c>
      <c r="L1743" s="1">
        <f t="shared" si="221"/>
        <v>869.40000000000009</v>
      </c>
      <c r="M1743" s="22">
        <f t="shared" si="217"/>
        <v>4649.3999999999996</v>
      </c>
      <c r="N1743" s="1">
        <f t="shared" ca="1" si="222"/>
        <v>4</v>
      </c>
      <c r="P1743" s="1">
        <v>45.754478732123971</v>
      </c>
      <c r="Q1743" s="1">
        <f t="shared" ca="1" si="223"/>
        <v>26</v>
      </c>
      <c r="R1743" s="1">
        <v>5.7945306050532963</v>
      </c>
    </row>
    <row r="1744" spans="1:18" x14ac:dyDescent="0.3">
      <c r="A1744" s="26">
        <v>1743</v>
      </c>
      <c r="B1744" s="1">
        <v>12</v>
      </c>
      <c r="C1744" s="1">
        <f t="shared" si="219"/>
        <v>11</v>
      </c>
      <c r="D1744" s="21">
        <f t="shared" ca="1" si="218"/>
        <v>44810</v>
      </c>
      <c r="E1744" s="1" t="s">
        <v>26</v>
      </c>
      <c r="F1744" s="1" t="s">
        <v>1772</v>
      </c>
      <c r="G1744" s="1" t="s">
        <v>28</v>
      </c>
      <c r="H1744" s="1">
        <v>1842</v>
      </c>
      <c r="I1744" s="1">
        <f t="shared" si="220"/>
        <v>44</v>
      </c>
      <c r="J1744" s="1">
        <f>VLOOKUP(B1744,Cena!$A$2:$B$101,2)</f>
        <v>88</v>
      </c>
      <c r="K1744" s="1">
        <f t="shared" si="216"/>
        <v>3872</v>
      </c>
      <c r="L1744" s="1">
        <f t="shared" si="221"/>
        <v>890.56000000000006</v>
      </c>
      <c r="M1744" s="22">
        <f t="shared" si="217"/>
        <v>4762.5600000000004</v>
      </c>
      <c r="N1744" s="1">
        <f t="shared" ca="1" si="222"/>
        <v>9</v>
      </c>
      <c r="P1744" s="1">
        <v>44.843483364093117</v>
      </c>
      <c r="Q1744" s="1">
        <f t="shared" ca="1" si="223"/>
        <v>24</v>
      </c>
      <c r="R1744" s="1">
        <v>11.345381406281376</v>
      </c>
    </row>
    <row r="1745" spans="1:18" x14ac:dyDescent="0.3">
      <c r="A1745" s="26">
        <v>1744</v>
      </c>
      <c r="B1745" s="1">
        <v>27</v>
      </c>
      <c r="C1745" s="1">
        <f t="shared" si="219"/>
        <v>6</v>
      </c>
      <c r="D1745" s="21">
        <f t="shared" ca="1" si="218"/>
        <v>44568</v>
      </c>
      <c r="E1745" s="1" t="s">
        <v>26</v>
      </c>
      <c r="F1745" s="1" t="s">
        <v>1773</v>
      </c>
      <c r="G1745" s="1" t="s">
        <v>28</v>
      </c>
      <c r="H1745" s="1">
        <v>1843</v>
      </c>
      <c r="I1745" s="1">
        <f t="shared" si="220"/>
        <v>44</v>
      </c>
      <c r="J1745" s="1">
        <f>VLOOKUP(B1745,Cena!$A$2:$B$101,2)</f>
        <v>87</v>
      </c>
      <c r="K1745" s="1">
        <f t="shared" si="216"/>
        <v>3828</v>
      </c>
      <c r="L1745" s="1">
        <f t="shared" si="221"/>
        <v>880.44</v>
      </c>
      <c r="M1745" s="22">
        <f t="shared" si="217"/>
        <v>4708.4400000000005</v>
      </c>
      <c r="N1745" s="1">
        <f t="shared" ca="1" si="222"/>
        <v>1</v>
      </c>
      <c r="P1745" s="1">
        <v>44.829499883053359</v>
      </c>
      <c r="Q1745" s="1">
        <f t="shared" ca="1" si="223"/>
        <v>9</v>
      </c>
      <c r="R1745" s="1">
        <v>6.7918995480431477</v>
      </c>
    </row>
    <row r="1746" spans="1:18" x14ac:dyDescent="0.3">
      <c r="A1746" s="26">
        <v>1745</v>
      </c>
      <c r="B1746" s="1">
        <v>12</v>
      </c>
      <c r="C1746" s="1">
        <f t="shared" si="219"/>
        <v>10</v>
      </c>
      <c r="D1746" s="21">
        <f t="shared" ca="1" si="218"/>
        <v>44828</v>
      </c>
      <c r="E1746" s="1" t="s">
        <v>26</v>
      </c>
      <c r="F1746" s="1" t="s">
        <v>1774</v>
      </c>
      <c r="G1746" s="1" t="s">
        <v>28</v>
      </c>
      <c r="H1746" s="1">
        <v>1844</v>
      </c>
      <c r="I1746" s="1">
        <f t="shared" si="220"/>
        <v>59</v>
      </c>
      <c r="J1746" s="1">
        <f>VLOOKUP(B1746,Cena!$A$2:$B$101,2)</f>
        <v>88</v>
      </c>
      <c r="K1746" s="1">
        <f t="shared" si="216"/>
        <v>5192</v>
      </c>
      <c r="L1746" s="1">
        <f t="shared" si="221"/>
        <v>1194.1600000000001</v>
      </c>
      <c r="M1746" s="22">
        <f t="shared" si="217"/>
        <v>6386.16</v>
      </c>
      <c r="N1746" s="1">
        <f t="shared" ca="1" si="222"/>
        <v>9</v>
      </c>
      <c r="P1746" s="1">
        <v>59.704990588943474</v>
      </c>
      <c r="Q1746" s="1">
        <f t="shared" ca="1" si="223"/>
        <v>20</v>
      </c>
      <c r="R1746" s="1">
        <v>10.799542476670467</v>
      </c>
    </row>
    <row r="1747" spans="1:18" x14ac:dyDescent="0.3">
      <c r="A1747" s="26">
        <v>1746</v>
      </c>
      <c r="B1747" s="1">
        <v>15</v>
      </c>
      <c r="C1747" s="1">
        <f t="shared" si="219"/>
        <v>14</v>
      </c>
      <c r="D1747" s="21">
        <f t="shared" ca="1" si="218"/>
        <v>44872</v>
      </c>
      <c r="E1747" s="1" t="s">
        <v>26</v>
      </c>
      <c r="F1747" s="1" t="s">
        <v>1775</v>
      </c>
      <c r="G1747" s="1" t="s">
        <v>28</v>
      </c>
      <c r="H1747" s="1">
        <v>1845</v>
      </c>
      <c r="I1747" s="1">
        <f t="shared" si="220"/>
        <v>48</v>
      </c>
      <c r="J1747" s="1">
        <f>VLOOKUP(B1747,Cena!$A$2:$B$101,2)</f>
        <v>85</v>
      </c>
      <c r="K1747" s="1">
        <f t="shared" si="216"/>
        <v>4080</v>
      </c>
      <c r="L1747" s="1">
        <f t="shared" si="221"/>
        <v>938.40000000000009</v>
      </c>
      <c r="M1747" s="22">
        <f t="shared" si="217"/>
        <v>5018.3999999999996</v>
      </c>
      <c r="N1747" s="1">
        <f t="shared" ca="1" si="222"/>
        <v>11</v>
      </c>
      <c r="P1747" s="1">
        <v>48.533257894450799</v>
      </c>
      <c r="Q1747" s="1">
        <f t="shared" ca="1" si="223"/>
        <v>26</v>
      </c>
      <c r="R1747" s="1">
        <v>14.135506515012821</v>
      </c>
    </row>
    <row r="1748" spans="1:18" x14ac:dyDescent="0.3">
      <c r="A1748" s="26">
        <v>1747</v>
      </c>
      <c r="B1748" s="1">
        <v>23</v>
      </c>
      <c r="C1748" s="1">
        <f t="shared" si="219"/>
        <v>11</v>
      </c>
      <c r="D1748" s="21">
        <f t="shared" ca="1" si="218"/>
        <v>44800</v>
      </c>
      <c r="E1748" s="1" t="s">
        <v>26</v>
      </c>
      <c r="F1748" s="1" t="s">
        <v>1776</v>
      </c>
      <c r="G1748" s="1" t="s">
        <v>28</v>
      </c>
      <c r="H1748" s="1">
        <v>1846</v>
      </c>
      <c r="I1748" s="1">
        <f t="shared" si="220"/>
        <v>38</v>
      </c>
      <c r="J1748" s="1">
        <f>VLOOKUP(B1748,Cena!$A$2:$B$101,2)</f>
        <v>132</v>
      </c>
      <c r="K1748" s="1">
        <f t="shared" si="216"/>
        <v>5016</v>
      </c>
      <c r="L1748" s="1">
        <f t="shared" si="221"/>
        <v>1153.68</v>
      </c>
      <c r="M1748" s="22">
        <f t="shared" si="217"/>
        <v>6169.68</v>
      </c>
      <c r="N1748" s="1">
        <f t="shared" ca="1" si="222"/>
        <v>8</v>
      </c>
      <c r="P1748" s="1">
        <v>38.968602337990887</v>
      </c>
      <c r="Q1748" s="1">
        <f t="shared" ca="1" si="223"/>
        <v>7</v>
      </c>
      <c r="R1748" s="1">
        <v>11.046748820954235</v>
      </c>
    </row>
    <row r="1749" spans="1:18" x14ac:dyDescent="0.3">
      <c r="A1749" s="26">
        <v>1748</v>
      </c>
      <c r="B1749" s="1">
        <v>29</v>
      </c>
      <c r="C1749" s="1">
        <f t="shared" si="219"/>
        <v>11</v>
      </c>
      <c r="D1749" s="21">
        <f t="shared" ca="1" si="218"/>
        <v>44787</v>
      </c>
      <c r="E1749" s="1" t="s">
        <v>26</v>
      </c>
      <c r="F1749" s="1" t="s">
        <v>1777</v>
      </c>
      <c r="G1749" s="1" t="s">
        <v>28</v>
      </c>
      <c r="H1749" s="1">
        <v>1847</v>
      </c>
      <c r="I1749" s="1">
        <f t="shared" si="220"/>
        <v>53</v>
      </c>
      <c r="J1749" s="1">
        <f>VLOOKUP(B1749,Cena!$A$2:$B$101,2)</f>
        <v>105</v>
      </c>
      <c r="K1749" s="1">
        <f t="shared" si="216"/>
        <v>5565</v>
      </c>
      <c r="L1749" s="1">
        <f t="shared" si="221"/>
        <v>1279.95</v>
      </c>
      <c r="M1749" s="22">
        <f t="shared" si="217"/>
        <v>6844.95</v>
      </c>
      <c r="N1749" s="1">
        <f t="shared" ca="1" si="222"/>
        <v>8</v>
      </c>
      <c r="P1749" s="1">
        <v>53.561854100553319</v>
      </c>
      <c r="Q1749" s="1">
        <f t="shared" ca="1" si="223"/>
        <v>2</v>
      </c>
      <c r="R1749" s="1">
        <v>11.905004864966031</v>
      </c>
    </row>
    <row r="1750" spans="1:18" x14ac:dyDescent="0.3">
      <c r="A1750" s="26">
        <v>1749</v>
      </c>
      <c r="B1750" s="1">
        <v>8</v>
      </c>
      <c r="C1750" s="1">
        <f t="shared" si="219"/>
        <v>8</v>
      </c>
      <c r="D1750" s="21">
        <f t="shared" ca="1" si="218"/>
        <v>44752</v>
      </c>
      <c r="E1750" s="1" t="s">
        <v>26</v>
      </c>
      <c r="F1750" s="1" t="s">
        <v>1778</v>
      </c>
      <c r="G1750" s="1" t="s">
        <v>28</v>
      </c>
      <c r="H1750" s="1">
        <v>1848</v>
      </c>
      <c r="I1750" s="1">
        <f t="shared" si="220"/>
        <v>49</v>
      </c>
      <c r="J1750" s="1">
        <f>VLOOKUP(B1750,Cena!$A$2:$B$101,2)</f>
        <v>88</v>
      </c>
      <c r="K1750" s="1">
        <f t="shared" si="216"/>
        <v>4312</v>
      </c>
      <c r="L1750" s="1">
        <f t="shared" si="221"/>
        <v>991.76</v>
      </c>
      <c r="M1750" s="22">
        <f t="shared" si="217"/>
        <v>5303.76</v>
      </c>
      <c r="N1750" s="1">
        <f t="shared" ca="1" si="222"/>
        <v>7</v>
      </c>
      <c r="P1750" s="1">
        <v>49.438591657963116</v>
      </c>
      <c r="Q1750" s="1">
        <f t="shared" ca="1" si="223"/>
        <v>26</v>
      </c>
      <c r="R1750" s="1">
        <v>8.3200723363552243</v>
      </c>
    </row>
    <row r="1751" spans="1:18" x14ac:dyDescent="0.3">
      <c r="A1751" s="26">
        <v>1750</v>
      </c>
      <c r="B1751" s="1">
        <v>20</v>
      </c>
      <c r="C1751" s="1">
        <f t="shared" si="219"/>
        <v>7</v>
      </c>
      <c r="D1751" s="21">
        <f t="shared" ca="1" si="218"/>
        <v>44679</v>
      </c>
      <c r="E1751" s="1" t="s">
        <v>26</v>
      </c>
      <c r="F1751" s="1" t="s">
        <v>1779</v>
      </c>
      <c r="G1751" s="1" t="s">
        <v>28</v>
      </c>
      <c r="H1751" s="1">
        <v>1849</v>
      </c>
      <c r="I1751" s="1">
        <f t="shared" si="220"/>
        <v>37</v>
      </c>
      <c r="J1751" s="1">
        <f>VLOOKUP(B1751,Cena!$A$2:$B$101,2)</f>
        <v>111</v>
      </c>
      <c r="K1751" s="1">
        <f t="shared" si="216"/>
        <v>4107</v>
      </c>
      <c r="L1751" s="1">
        <f t="shared" si="221"/>
        <v>944.61</v>
      </c>
      <c r="M1751" s="22">
        <f t="shared" si="217"/>
        <v>5051.6099999999997</v>
      </c>
      <c r="N1751" s="1">
        <f t="shared" ca="1" si="222"/>
        <v>4</v>
      </c>
      <c r="P1751" s="1">
        <v>37.202363627147861</v>
      </c>
      <c r="Q1751" s="1">
        <f t="shared" ca="1" si="223"/>
        <v>6</v>
      </c>
      <c r="R1751" s="1">
        <v>7.7450954702362651</v>
      </c>
    </row>
    <row r="1752" spans="1:18" x14ac:dyDescent="0.3">
      <c r="A1752" s="26">
        <v>1751</v>
      </c>
      <c r="B1752" s="1">
        <v>29</v>
      </c>
      <c r="C1752" s="1">
        <f t="shared" si="219"/>
        <v>9</v>
      </c>
      <c r="D1752" s="21">
        <f t="shared" ca="1" si="218"/>
        <v>44628</v>
      </c>
      <c r="E1752" s="1" t="s">
        <v>26</v>
      </c>
      <c r="F1752" s="1" t="s">
        <v>1780</v>
      </c>
      <c r="G1752" s="1" t="s">
        <v>28</v>
      </c>
      <c r="H1752" s="1">
        <v>1850</v>
      </c>
      <c r="I1752" s="1">
        <f t="shared" si="220"/>
        <v>56</v>
      </c>
      <c r="J1752" s="1">
        <f>VLOOKUP(B1752,Cena!$A$2:$B$101,2)</f>
        <v>105</v>
      </c>
      <c r="K1752" s="1">
        <f t="shared" si="216"/>
        <v>5880</v>
      </c>
      <c r="L1752" s="1">
        <f t="shared" si="221"/>
        <v>1352.4</v>
      </c>
      <c r="M1752" s="22">
        <f t="shared" si="217"/>
        <v>7232.4</v>
      </c>
      <c r="N1752" s="1">
        <f t="shared" ca="1" si="222"/>
        <v>3</v>
      </c>
      <c r="P1752" s="1">
        <v>56.589880285901017</v>
      </c>
      <c r="Q1752" s="1">
        <f t="shared" ca="1" si="223"/>
        <v>20</v>
      </c>
      <c r="R1752" s="1">
        <v>9.3560010125293047</v>
      </c>
    </row>
    <row r="1753" spans="1:18" x14ac:dyDescent="0.3">
      <c r="A1753" s="26">
        <v>1752</v>
      </c>
      <c r="B1753" s="1">
        <v>17</v>
      </c>
      <c r="C1753" s="1">
        <f t="shared" si="219"/>
        <v>15</v>
      </c>
      <c r="D1753" s="21">
        <f t="shared" ca="1" si="218"/>
        <v>44910</v>
      </c>
      <c r="E1753" s="1" t="s">
        <v>26</v>
      </c>
      <c r="F1753" s="1" t="s">
        <v>1781</v>
      </c>
      <c r="G1753" s="1" t="s">
        <v>28</v>
      </c>
      <c r="H1753" s="1">
        <v>1851</v>
      </c>
      <c r="I1753" s="1">
        <f t="shared" si="220"/>
        <v>73</v>
      </c>
      <c r="J1753" s="1">
        <f>VLOOKUP(B1753,Cena!$A$2:$B$101,2)</f>
        <v>84</v>
      </c>
      <c r="K1753" s="1">
        <f t="shared" si="216"/>
        <v>6132</v>
      </c>
      <c r="L1753" s="1">
        <f t="shared" si="221"/>
        <v>1410.3600000000001</v>
      </c>
      <c r="M1753" s="22">
        <f t="shared" si="217"/>
        <v>7542.3600000000006</v>
      </c>
      <c r="N1753" s="1">
        <f t="shared" ca="1" si="222"/>
        <v>12</v>
      </c>
      <c r="P1753" s="1">
        <v>73.458778741769493</v>
      </c>
      <c r="Q1753" s="1">
        <f t="shared" ca="1" si="223"/>
        <v>30</v>
      </c>
      <c r="R1753" s="1">
        <v>15.616766429739073</v>
      </c>
    </row>
    <row r="1754" spans="1:18" x14ac:dyDescent="0.3">
      <c r="A1754" s="26">
        <v>1753</v>
      </c>
      <c r="B1754" s="1">
        <v>12</v>
      </c>
      <c r="C1754" s="1">
        <f t="shared" si="219"/>
        <v>7</v>
      </c>
      <c r="D1754" s="21">
        <f t="shared" ca="1" si="218"/>
        <v>44676</v>
      </c>
      <c r="E1754" s="1" t="s">
        <v>26</v>
      </c>
      <c r="F1754" s="1" t="s">
        <v>1782</v>
      </c>
      <c r="G1754" s="1" t="s">
        <v>28</v>
      </c>
      <c r="H1754" s="1">
        <v>1852</v>
      </c>
      <c r="I1754" s="1">
        <f t="shared" si="220"/>
        <v>34</v>
      </c>
      <c r="J1754" s="1">
        <f>VLOOKUP(B1754,Cena!$A$2:$B$101,2)</f>
        <v>88</v>
      </c>
      <c r="K1754" s="1">
        <f t="shared" si="216"/>
        <v>2992</v>
      </c>
      <c r="L1754" s="1">
        <f t="shared" si="221"/>
        <v>688.16000000000008</v>
      </c>
      <c r="M1754" s="22">
        <f t="shared" si="217"/>
        <v>3680.16</v>
      </c>
      <c r="N1754" s="1">
        <f t="shared" ca="1" si="222"/>
        <v>4</v>
      </c>
      <c r="P1754" s="1">
        <v>34.498163030366413</v>
      </c>
      <c r="Q1754" s="1">
        <f t="shared" ca="1" si="223"/>
        <v>6</v>
      </c>
      <c r="R1754" s="1">
        <v>7.8931100486079231</v>
      </c>
    </row>
    <row r="1755" spans="1:18" x14ac:dyDescent="0.3">
      <c r="A1755" s="26">
        <v>1754</v>
      </c>
      <c r="B1755" s="1">
        <v>17</v>
      </c>
      <c r="C1755" s="1">
        <f t="shared" si="219"/>
        <v>6</v>
      </c>
      <c r="D1755" s="21">
        <f t="shared" ca="1" si="218"/>
        <v>44890</v>
      </c>
      <c r="E1755" s="1" t="s">
        <v>26</v>
      </c>
      <c r="F1755" s="1" t="s">
        <v>1783</v>
      </c>
      <c r="G1755" s="1" t="s">
        <v>28</v>
      </c>
      <c r="H1755" s="1">
        <v>1853</v>
      </c>
      <c r="I1755" s="1">
        <f t="shared" si="220"/>
        <v>62</v>
      </c>
      <c r="J1755" s="1">
        <f>VLOOKUP(B1755,Cena!$A$2:$B$101,2)</f>
        <v>84</v>
      </c>
      <c r="K1755" s="1">
        <f t="shared" si="216"/>
        <v>5208</v>
      </c>
      <c r="L1755" s="1">
        <f t="shared" si="221"/>
        <v>1197.8400000000001</v>
      </c>
      <c r="M1755" s="22">
        <f t="shared" si="217"/>
        <v>6405.84</v>
      </c>
      <c r="N1755" s="1">
        <f t="shared" ca="1" si="222"/>
        <v>11</v>
      </c>
      <c r="P1755" s="1">
        <v>62.566829354909714</v>
      </c>
      <c r="Q1755" s="1">
        <f t="shared" ca="1" si="223"/>
        <v>28</v>
      </c>
      <c r="R1755" s="1">
        <v>6.4963535603601485</v>
      </c>
    </row>
    <row r="1756" spans="1:18" x14ac:dyDescent="0.3">
      <c r="A1756" s="26">
        <v>1755</v>
      </c>
      <c r="B1756" s="1">
        <v>9</v>
      </c>
      <c r="C1756" s="1">
        <f t="shared" si="219"/>
        <v>4</v>
      </c>
      <c r="D1756" s="21">
        <f t="shared" ca="1" si="218"/>
        <v>44768</v>
      </c>
      <c r="E1756" s="1" t="s">
        <v>26</v>
      </c>
      <c r="F1756" s="1" t="s">
        <v>1784</v>
      </c>
      <c r="G1756" s="1" t="s">
        <v>28</v>
      </c>
      <c r="H1756" s="1">
        <v>1854</v>
      </c>
      <c r="I1756" s="1">
        <f t="shared" si="220"/>
        <v>46</v>
      </c>
      <c r="J1756" s="1">
        <f>VLOOKUP(B1756,Cena!$A$2:$B$101,2)</f>
        <v>96</v>
      </c>
      <c r="K1756" s="1">
        <f t="shared" si="216"/>
        <v>4416</v>
      </c>
      <c r="L1756" s="1">
        <f t="shared" si="221"/>
        <v>1015.6800000000001</v>
      </c>
      <c r="M1756" s="22">
        <f t="shared" si="217"/>
        <v>5431.68</v>
      </c>
      <c r="N1756" s="1">
        <f t="shared" ca="1" si="222"/>
        <v>7</v>
      </c>
      <c r="P1756" s="1">
        <v>46.469910001906101</v>
      </c>
      <c r="Q1756" s="1">
        <f t="shared" ca="1" si="223"/>
        <v>25</v>
      </c>
      <c r="R1756" s="1">
        <v>4.719496498873923</v>
      </c>
    </row>
    <row r="1757" spans="1:18" x14ac:dyDescent="0.3">
      <c r="A1757" s="26">
        <v>1756</v>
      </c>
      <c r="B1757" s="1">
        <v>11</v>
      </c>
      <c r="C1757" s="1">
        <f t="shared" si="219"/>
        <v>10</v>
      </c>
      <c r="D1757" s="21">
        <f t="shared" ca="1" si="218"/>
        <v>44571</v>
      </c>
      <c r="E1757" s="1" t="s">
        <v>26</v>
      </c>
      <c r="F1757" s="1" t="s">
        <v>1785</v>
      </c>
      <c r="G1757" s="1" t="s">
        <v>28</v>
      </c>
      <c r="H1757" s="1">
        <v>1855</v>
      </c>
      <c r="I1757" s="1">
        <f t="shared" si="220"/>
        <v>42</v>
      </c>
      <c r="J1757" s="1">
        <f>VLOOKUP(B1757,Cena!$A$2:$B$101,2)</f>
        <v>83</v>
      </c>
      <c r="K1757" s="1">
        <f t="shared" si="216"/>
        <v>3486</v>
      </c>
      <c r="L1757" s="1">
        <f t="shared" si="221"/>
        <v>801.78000000000009</v>
      </c>
      <c r="M1757" s="22">
        <f t="shared" si="217"/>
        <v>4287.78</v>
      </c>
      <c r="N1757" s="1">
        <f t="shared" ca="1" si="222"/>
        <v>1</v>
      </c>
      <c r="P1757" s="1">
        <v>42.523385117237922</v>
      </c>
      <c r="Q1757" s="1">
        <f t="shared" ca="1" si="223"/>
        <v>16</v>
      </c>
      <c r="R1757" s="1">
        <v>10.489350782117981</v>
      </c>
    </row>
    <row r="1758" spans="1:18" x14ac:dyDescent="0.3">
      <c r="A1758" s="26">
        <v>1757</v>
      </c>
      <c r="B1758" s="1">
        <v>11</v>
      </c>
      <c r="C1758" s="1">
        <f t="shared" si="219"/>
        <v>14</v>
      </c>
      <c r="D1758" s="21">
        <f t="shared" ca="1" si="218"/>
        <v>44646</v>
      </c>
      <c r="E1758" s="1" t="s">
        <v>26</v>
      </c>
      <c r="F1758" s="1" t="s">
        <v>1786</v>
      </c>
      <c r="G1758" s="1" t="s">
        <v>28</v>
      </c>
      <c r="H1758" s="1">
        <v>1856</v>
      </c>
      <c r="I1758" s="1">
        <f t="shared" si="220"/>
        <v>58</v>
      </c>
      <c r="J1758" s="1">
        <f>VLOOKUP(B1758,Cena!$A$2:$B$101,2)</f>
        <v>83</v>
      </c>
      <c r="K1758" s="1">
        <f t="shared" si="216"/>
        <v>4814</v>
      </c>
      <c r="L1758" s="1">
        <f t="shared" si="221"/>
        <v>1107.22</v>
      </c>
      <c r="M1758" s="22">
        <f t="shared" si="217"/>
        <v>5921.22</v>
      </c>
      <c r="N1758" s="1">
        <f t="shared" ca="1" si="222"/>
        <v>3</v>
      </c>
      <c r="P1758" s="1">
        <v>58.395954864681698</v>
      </c>
      <c r="Q1758" s="1">
        <f t="shared" ca="1" si="223"/>
        <v>10</v>
      </c>
      <c r="R1758" s="1">
        <v>14.331980107963318</v>
      </c>
    </row>
    <row r="1759" spans="1:18" x14ac:dyDescent="0.3">
      <c r="A1759" s="26">
        <v>1758</v>
      </c>
      <c r="B1759" s="1">
        <v>21</v>
      </c>
      <c r="C1759" s="1">
        <f t="shared" si="219"/>
        <v>10</v>
      </c>
      <c r="D1759" s="21">
        <f t="shared" ca="1" si="218"/>
        <v>44832</v>
      </c>
      <c r="E1759" s="1" t="s">
        <v>26</v>
      </c>
      <c r="F1759" s="1" t="s">
        <v>1787</v>
      </c>
      <c r="G1759" s="1" t="s">
        <v>28</v>
      </c>
      <c r="H1759" s="1">
        <v>1857</v>
      </c>
      <c r="I1759" s="1">
        <f t="shared" si="220"/>
        <v>41</v>
      </c>
      <c r="J1759" s="1">
        <f>VLOOKUP(B1759,Cena!$A$2:$B$101,2)</f>
        <v>105</v>
      </c>
      <c r="K1759" s="1">
        <f t="shared" ref="K1759:K1822" si="224">I1759*J1759</f>
        <v>4305</v>
      </c>
      <c r="L1759" s="1">
        <f t="shared" si="221"/>
        <v>990.15000000000009</v>
      </c>
      <c r="M1759" s="22">
        <f t="shared" ref="M1759:M1822" si="225">K1759+L1759</f>
        <v>5295.15</v>
      </c>
      <c r="N1759" s="1">
        <f t="shared" ca="1" si="222"/>
        <v>9</v>
      </c>
      <c r="P1759" s="1">
        <v>41.294203027791809</v>
      </c>
      <c r="Q1759" s="1">
        <f t="shared" ca="1" si="223"/>
        <v>11</v>
      </c>
      <c r="R1759" s="1">
        <v>10.706680225448508</v>
      </c>
    </row>
    <row r="1760" spans="1:18" x14ac:dyDescent="0.3">
      <c r="A1760" s="26">
        <v>1759</v>
      </c>
      <c r="B1760" s="1">
        <v>6</v>
      </c>
      <c r="C1760" s="1">
        <f t="shared" si="219"/>
        <v>12</v>
      </c>
      <c r="D1760" s="21">
        <f t="shared" ca="1" si="218"/>
        <v>44826</v>
      </c>
      <c r="E1760" s="1" t="s">
        <v>26</v>
      </c>
      <c r="F1760" s="1" t="s">
        <v>1788</v>
      </c>
      <c r="G1760" s="1" t="s">
        <v>28</v>
      </c>
      <c r="H1760" s="1">
        <v>1858</v>
      </c>
      <c r="I1760" s="1">
        <f t="shared" si="220"/>
        <v>46</v>
      </c>
      <c r="J1760" s="1">
        <f>VLOOKUP(B1760,Cena!$A$2:$B$101,2)</f>
        <v>86</v>
      </c>
      <c r="K1760" s="1">
        <f t="shared" si="224"/>
        <v>3956</v>
      </c>
      <c r="L1760" s="1">
        <f t="shared" si="221"/>
        <v>909.88</v>
      </c>
      <c r="M1760" s="22">
        <f t="shared" si="225"/>
        <v>4865.88</v>
      </c>
      <c r="N1760" s="1">
        <f t="shared" ca="1" si="222"/>
        <v>9</v>
      </c>
      <c r="P1760" s="1">
        <v>46.132419255445711</v>
      </c>
      <c r="Q1760" s="1">
        <f t="shared" ca="1" si="223"/>
        <v>2</v>
      </c>
      <c r="R1760" s="1">
        <v>12.352572892050375</v>
      </c>
    </row>
    <row r="1761" spans="1:18" x14ac:dyDescent="0.3">
      <c r="A1761" s="26">
        <v>1760</v>
      </c>
      <c r="B1761" s="1">
        <v>16</v>
      </c>
      <c r="C1761" s="1">
        <f t="shared" si="219"/>
        <v>9</v>
      </c>
      <c r="D1761" s="21">
        <f t="shared" ca="1" si="218"/>
        <v>44805</v>
      </c>
      <c r="E1761" s="1" t="s">
        <v>26</v>
      </c>
      <c r="F1761" s="1" t="s">
        <v>1789</v>
      </c>
      <c r="G1761" s="1" t="s">
        <v>28</v>
      </c>
      <c r="H1761" s="1">
        <v>1859</v>
      </c>
      <c r="I1761" s="1">
        <f t="shared" si="220"/>
        <v>47</v>
      </c>
      <c r="J1761" s="1">
        <f>VLOOKUP(B1761,Cena!$A$2:$B$101,2)</f>
        <v>93</v>
      </c>
      <c r="K1761" s="1">
        <f t="shared" si="224"/>
        <v>4371</v>
      </c>
      <c r="L1761" s="1">
        <f t="shared" si="221"/>
        <v>1005.33</v>
      </c>
      <c r="M1761" s="22">
        <f t="shared" si="225"/>
        <v>5376.33</v>
      </c>
      <c r="N1761" s="1">
        <f t="shared" ca="1" si="222"/>
        <v>9</v>
      </c>
      <c r="P1761" s="1">
        <v>47.117504335619742</v>
      </c>
      <c r="Q1761" s="1">
        <f t="shared" ca="1" si="223"/>
        <v>23</v>
      </c>
      <c r="R1761" s="1">
        <v>9.8646273979829857</v>
      </c>
    </row>
    <row r="1762" spans="1:18" x14ac:dyDescent="0.3">
      <c r="A1762" s="26">
        <v>1761</v>
      </c>
      <c r="B1762" s="1">
        <v>11</v>
      </c>
      <c r="C1762" s="1">
        <f t="shared" si="219"/>
        <v>11</v>
      </c>
      <c r="D1762" s="21">
        <f t="shared" ca="1" si="218"/>
        <v>44855</v>
      </c>
      <c r="E1762" s="1" t="s">
        <v>26</v>
      </c>
      <c r="F1762" s="1" t="s">
        <v>1790</v>
      </c>
      <c r="G1762" s="1" t="s">
        <v>28</v>
      </c>
      <c r="H1762" s="1">
        <v>1860</v>
      </c>
      <c r="I1762" s="1">
        <f t="shared" si="220"/>
        <v>55</v>
      </c>
      <c r="J1762" s="1">
        <f>VLOOKUP(B1762,Cena!$A$2:$B$101,2)</f>
        <v>83</v>
      </c>
      <c r="K1762" s="1">
        <f t="shared" si="224"/>
        <v>4565</v>
      </c>
      <c r="L1762" s="1">
        <f t="shared" si="221"/>
        <v>1049.95</v>
      </c>
      <c r="M1762" s="22">
        <f t="shared" si="225"/>
        <v>5614.95</v>
      </c>
      <c r="N1762" s="1">
        <f t="shared" ca="1" si="222"/>
        <v>10</v>
      </c>
      <c r="P1762" s="1">
        <v>55.280116965877824</v>
      </c>
      <c r="Q1762" s="1">
        <f t="shared" ca="1" si="223"/>
        <v>8</v>
      </c>
      <c r="R1762" s="1">
        <v>11.101071234188566</v>
      </c>
    </row>
    <row r="1763" spans="1:18" x14ac:dyDescent="0.3">
      <c r="A1763" s="26">
        <v>1762</v>
      </c>
      <c r="B1763" s="1">
        <v>12</v>
      </c>
      <c r="C1763" s="1">
        <f t="shared" si="219"/>
        <v>5</v>
      </c>
      <c r="D1763" s="21">
        <f t="shared" ca="1" si="218"/>
        <v>44817</v>
      </c>
      <c r="E1763" s="1" t="s">
        <v>26</v>
      </c>
      <c r="F1763" s="1" t="s">
        <v>1791</v>
      </c>
      <c r="G1763" s="1" t="s">
        <v>28</v>
      </c>
      <c r="H1763" s="1">
        <v>1861</v>
      </c>
      <c r="I1763" s="1">
        <f t="shared" si="220"/>
        <v>38</v>
      </c>
      <c r="J1763" s="1">
        <f>VLOOKUP(B1763,Cena!$A$2:$B$101,2)</f>
        <v>88</v>
      </c>
      <c r="K1763" s="1">
        <f t="shared" si="224"/>
        <v>3344</v>
      </c>
      <c r="L1763" s="1">
        <f t="shared" si="221"/>
        <v>769.12</v>
      </c>
      <c r="M1763" s="22">
        <f t="shared" si="225"/>
        <v>4113.12</v>
      </c>
      <c r="N1763" s="1">
        <f t="shared" ca="1" si="222"/>
        <v>9</v>
      </c>
      <c r="P1763" s="1">
        <v>38.024342201242689</v>
      </c>
      <c r="Q1763" s="1">
        <f t="shared" ca="1" si="223"/>
        <v>20</v>
      </c>
      <c r="R1763" s="1">
        <v>5.3764017845969647</v>
      </c>
    </row>
    <row r="1764" spans="1:18" x14ac:dyDescent="0.3">
      <c r="A1764" s="26">
        <v>1763</v>
      </c>
      <c r="B1764" s="1">
        <v>20</v>
      </c>
      <c r="C1764" s="1">
        <f t="shared" si="219"/>
        <v>9</v>
      </c>
      <c r="D1764" s="21">
        <f t="shared" ca="1" si="218"/>
        <v>44778</v>
      </c>
      <c r="E1764" s="1" t="s">
        <v>26</v>
      </c>
      <c r="F1764" s="1" t="s">
        <v>1792</v>
      </c>
      <c r="G1764" s="1" t="s">
        <v>28</v>
      </c>
      <c r="H1764" s="1">
        <v>1862</v>
      </c>
      <c r="I1764" s="1">
        <f t="shared" si="220"/>
        <v>47</v>
      </c>
      <c r="J1764" s="1">
        <f>VLOOKUP(B1764,Cena!$A$2:$B$101,2)</f>
        <v>111</v>
      </c>
      <c r="K1764" s="1">
        <f t="shared" si="224"/>
        <v>5217</v>
      </c>
      <c r="L1764" s="1">
        <f t="shared" si="221"/>
        <v>1199.9100000000001</v>
      </c>
      <c r="M1764" s="22">
        <f t="shared" si="225"/>
        <v>6416.91</v>
      </c>
      <c r="N1764" s="1">
        <f t="shared" ca="1" si="222"/>
        <v>8</v>
      </c>
      <c r="P1764" s="1">
        <v>47.176473698345944</v>
      </c>
      <c r="Q1764" s="1">
        <f t="shared" ca="1" si="223"/>
        <v>6</v>
      </c>
      <c r="R1764" s="1">
        <v>9.9918713911029045</v>
      </c>
    </row>
    <row r="1765" spans="1:18" x14ac:dyDescent="0.3">
      <c r="A1765" s="26">
        <v>1764</v>
      </c>
      <c r="B1765" s="1">
        <v>3</v>
      </c>
      <c r="C1765" s="1">
        <f t="shared" si="219"/>
        <v>12</v>
      </c>
      <c r="D1765" s="21">
        <f t="shared" ca="1" si="218"/>
        <v>44697</v>
      </c>
      <c r="E1765" s="1" t="s">
        <v>26</v>
      </c>
      <c r="F1765" s="1" t="s">
        <v>1793</v>
      </c>
      <c r="G1765" s="1" t="s">
        <v>28</v>
      </c>
      <c r="H1765" s="1">
        <v>1863</v>
      </c>
      <c r="I1765" s="1">
        <f t="shared" si="220"/>
        <v>56</v>
      </c>
      <c r="J1765" s="1">
        <f>VLOOKUP(B1765,Cena!$A$2:$B$101,2)</f>
        <v>89</v>
      </c>
      <c r="K1765" s="1">
        <f t="shared" si="224"/>
        <v>4984</v>
      </c>
      <c r="L1765" s="1">
        <f t="shared" si="221"/>
        <v>1146.32</v>
      </c>
      <c r="M1765" s="22">
        <f t="shared" si="225"/>
        <v>6130.32</v>
      </c>
      <c r="N1765" s="1">
        <f t="shared" ca="1" si="222"/>
        <v>5</v>
      </c>
      <c r="P1765" s="1">
        <v>56.636525995418197</v>
      </c>
      <c r="Q1765" s="1">
        <f t="shared" ca="1" si="223"/>
        <v>14</v>
      </c>
      <c r="R1765" s="1">
        <v>12.561182554927655</v>
      </c>
    </row>
    <row r="1766" spans="1:18" x14ac:dyDescent="0.3">
      <c r="A1766" s="26">
        <v>1765</v>
      </c>
      <c r="B1766" s="1">
        <v>29</v>
      </c>
      <c r="C1766" s="1">
        <f t="shared" si="219"/>
        <v>12</v>
      </c>
      <c r="D1766" s="21">
        <f t="shared" ca="1" si="218"/>
        <v>44751</v>
      </c>
      <c r="E1766" s="1" t="s">
        <v>26</v>
      </c>
      <c r="F1766" s="1" t="s">
        <v>1794</v>
      </c>
      <c r="G1766" s="1" t="s">
        <v>28</v>
      </c>
      <c r="H1766" s="1">
        <v>1864</v>
      </c>
      <c r="I1766" s="1">
        <f t="shared" si="220"/>
        <v>49</v>
      </c>
      <c r="J1766" s="1">
        <f>VLOOKUP(B1766,Cena!$A$2:$B$101,2)</f>
        <v>105</v>
      </c>
      <c r="K1766" s="1">
        <f t="shared" si="224"/>
        <v>5145</v>
      </c>
      <c r="L1766" s="1">
        <f t="shared" si="221"/>
        <v>1183.3500000000001</v>
      </c>
      <c r="M1766" s="22">
        <f t="shared" si="225"/>
        <v>6328.35</v>
      </c>
      <c r="N1766" s="1">
        <f t="shared" ca="1" si="222"/>
        <v>7</v>
      </c>
      <c r="P1766" s="1">
        <v>49.06267476035282</v>
      </c>
      <c r="Q1766" s="1">
        <f t="shared" ca="1" si="223"/>
        <v>6</v>
      </c>
      <c r="R1766" s="1">
        <v>12.493595729902154</v>
      </c>
    </row>
    <row r="1767" spans="1:18" x14ac:dyDescent="0.3">
      <c r="A1767" s="26">
        <v>1766</v>
      </c>
      <c r="B1767" s="1">
        <v>9</v>
      </c>
      <c r="C1767" s="1">
        <f t="shared" si="219"/>
        <v>9</v>
      </c>
      <c r="D1767" s="21">
        <f t="shared" ca="1" si="218"/>
        <v>44613</v>
      </c>
      <c r="E1767" s="1" t="s">
        <v>26</v>
      </c>
      <c r="F1767" s="1" t="s">
        <v>1795</v>
      </c>
      <c r="G1767" s="1" t="s">
        <v>28</v>
      </c>
      <c r="H1767" s="1">
        <v>1865</v>
      </c>
      <c r="I1767" s="1">
        <f t="shared" si="220"/>
        <v>49</v>
      </c>
      <c r="J1767" s="1">
        <f>VLOOKUP(B1767,Cena!$A$2:$B$101,2)</f>
        <v>96</v>
      </c>
      <c r="K1767" s="1">
        <f t="shared" si="224"/>
        <v>4704</v>
      </c>
      <c r="L1767" s="1">
        <f t="shared" si="221"/>
        <v>1081.92</v>
      </c>
      <c r="M1767" s="22">
        <f t="shared" si="225"/>
        <v>5785.92</v>
      </c>
      <c r="N1767" s="1">
        <f t="shared" ca="1" si="222"/>
        <v>2</v>
      </c>
      <c r="P1767" s="1">
        <v>49.528210992139066</v>
      </c>
      <c r="Q1767" s="1">
        <f t="shared" ca="1" si="223"/>
        <v>19</v>
      </c>
      <c r="R1767" s="1">
        <v>9.3342299831056152</v>
      </c>
    </row>
    <row r="1768" spans="1:18" x14ac:dyDescent="0.3">
      <c r="A1768" s="26">
        <v>1767</v>
      </c>
      <c r="B1768" s="1">
        <v>14</v>
      </c>
      <c r="C1768" s="1">
        <f t="shared" si="219"/>
        <v>11</v>
      </c>
      <c r="D1768" s="21">
        <f t="shared" ca="1" si="218"/>
        <v>44587</v>
      </c>
      <c r="E1768" s="1" t="s">
        <v>26</v>
      </c>
      <c r="F1768" s="1" t="s">
        <v>1796</v>
      </c>
      <c r="G1768" s="1" t="s">
        <v>28</v>
      </c>
      <c r="H1768" s="1">
        <v>1866</v>
      </c>
      <c r="I1768" s="1">
        <f t="shared" si="220"/>
        <v>59</v>
      </c>
      <c r="J1768" s="1">
        <f>VLOOKUP(B1768,Cena!$A$2:$B$101,2)</f>
        <v>129</v>
      </c>
      <c r="K1768" s="1">
        <f t="shared" si="224"/>
        <v>7611</v>
      </c>
      <c r="L1768" s="1">
        <f t="shared" si="221"/>
        <v>1750.53</v>
      </c>
      <c r="M1768" s="22">
        <f t="shared" si="225"/>
        <v>9361.5300000000007</v>
      </c>
      <c r="N1768" s="1">
        <f t="shared" ca="1" si="222"/>
        <v>1</v>
      </c>
      <c r="P1768" s="1">
        <v>59.188670446746983</v>
      </c>
      <c r="Q1768" s="1">
        <f t="shared" ca="1" si="223"/>
        <v>26</v>
      </c>
      <c r="R1768" s="1">
        <v>11.113727421397925</v>
      </c>
    </row>
    <row r="1769" spans="1:18" x14ac:dyDescent="0.3">
      <c r="A1769" s="26">
        <v>1768</v>
      </c>
      <c r="B1769" s="1">
        <v>12</v>
      </c>
      <c r="C1769" s="1">
        <f t="shared" si="219"/>
        <v>13</v>
      </c>
      <c r="D1769" s="21">
        <f t="shared" ca="1" si="218"/>
        <v>44652</v>
      </c>
      <c r="E1769" s="1" t="s">
        <v>26</v>
      </c>
      <c r="F1769" s="1" t="s">
        <v>1797</v>
      </c>
      <c r="G1769" s="1" t="s">
        <v>28</v>
      </c>
      <c r="H1769" s="1">
        <v>1867</v>
      </c>
      <c r="I1769" s="1">
        <f t="shared" si="220"/>
        <v>48</v>
      </c>
      <c r="J1769" s="1">
        <f>VLOOKUP(B1769,Cena!$A$2:$B$101,2)</f>
        <v>88</v>
      </c>
      <c r="K1769" s="1">
        <f t="shared" si="224"/>
        <v>4224</v>
      </c>
      <c r="L1769" s="1">
        <f t="shared" si="221"/>
        <v>971.5200000000001</v>
      </c>
      <c r="M1769" s="22">
        <f t="shared" si="225"/>
        <v>5195.5200000000004</v>
      </c>
      <c r="N1769" s="1">
        <f t="shared" ca="1" si="222"/>
        <v>4</v>
      </c>
      <c r="P1769" s="1">
        <v>48.181215232762042</v>
      </c>
      <c r="Q1769" s="1">
        <f t="shared" ca="1" si="223"/>
        <v>3</v>
      </c>
      <c r="R1769" s="1">
        <v>13.039860985154519</v>
      </c>
    </row>
    <row r="1770" spans="1:18" x14ac:dyDescent="0.3">
      <c r="A1770" s="26">
        <v>1769</v>
      </c>
      <c r="B1770" s="1">
        <v>1</v>
      </c>
      <c r="C1770" s="1">
        <f t="shared" si="219"/>
        <v>17</v>
      </c>
      <c r="D1770" s="21">
        <f t="shared" ca="1" si="218"/>
        <v>44664</v>
      </c>
      <c r="E1770" s="1" t="s">
        <v>26</v>
      </c>
      <c r="F1770" s="1" t="s">
        <v>1798</v>
      </c>
      <c r="G1770" s="1" t="s">
        <v>28</v>
      </c>
      <c r="H1770" s="1">
        <v>1868</v>
      </c>
      <c r="I1770" s="1">
        <f t="shared" si="220"/>
        <v>58</v>
      </c>
      <c r="J1770" s="1">
        <f>VLOOKUP(B1770,Cena!$A$2:$B$101,2)</f>
        <v>84</v>
      </c>
      <c r="K1770" s="1">
        <f t="shared" si="224"/>
        <v>4872</v>
      </c>
      <c r="L1770" s="1">
        <f t="shared" si="221"/>
        <v>1120.56</v>
      </c>
      <c r="M1770" s="22">
        <f t="shared" si="225"/>
        <v>5992.5599999999995</v>
      </c>
      <c r="N1770" s="1">
        <f t="shared" ca="1" si="222"/>
        <v>4</v>
      </c>
      <c r="P1770" s="1">
        <v>58.159963726939168</v>
      </c>
      <c r="Q1770" s="1">
        <f t="shared" ca="1" si="223"/>
        <v>1</v>
      </c>
      <c r="R1770" s="1">
        <v>17.791095413267612</v>
      </c>
    </row>
    <row r="1771" spans="1:18" x14ac:dyDescent="0.3">
      <c r="A1771" s="26">
        <v>1770</v>
      </c>
      <c r="B1771" s="1">
        <v>6</v>
      </c>
      <c r="C1771" s="1">
        <f t="shared" si="219"/>
        <v>7</v>
      </c>
      <c r="D1771" s="21">
        <f t="shared" ca="1" si="218"/>
        <v>44813</v>
      </c>
      <c r="E1771" s="1" t="s">
        <v>26</v>
      </c>
      <c r="F1771" s="1" t="s">
        <v>1799</v>
      </c>
      <c r="G1771" s="1" t="s">
        <v>28</v>
      </c>
      <c r="H1771" s="1">
        <v>1869</v>
      </c>
      <c r="I1771" s="1">
        <f t="shared" si="220"/>
        <v>48</v>
      </c>
      <c r="J1771" s="1">
        <f>VLOOKUP(B1771,Cena!$A$2:$B$101,2)</f>
        <v>86</v>
      </c>
      <c r="K1771" s="1">
        <f t="shared" si="224"/>
        <v>4128</v>
      </c>
      <c r="L1771" s="1">
        <f t="shared" si="221"/>
        <v>949.44</v>
      </c>
      <c r="M1771" s="22">
        <f t="shared" si="225"/>
        <v>5077.4400000000005</v>
      </c>
      <c r="N1771" s="1">
        <f t="shared" ca="1" si="222"/>
        <v>9</v>
      </c>
      <c r="P1771" s="1">
        <v>48.723990302096354</v>
      </c>
      <c r="Q1771" s="1">
        <f t="shared" ca="1" si="223"/>
        <v>8</v>
      </c>
      <c r="R1771" s="1">
        <v>7.7971697262546513</v>
      </c>
    </row>
    <row r="1772" spans="1:18" x14ac:dyDescent="0.3">
      <c r="A1772" s="26">
        <v>1771</v>
      </c>
      <c r="B1772" s="1">
        <v>21</v>
      </c>
      <c r="C1772" s="1">
        <f t="shared" si="219"/>
        <v>7</v>
      </c>
      <c r="D1772" s="21">
        <f t="shared" ca="1" si="218"/>
        <v>44835</v>
      </c>
      <c r="E1772" s="1" t="s">
        <v>26</v>
      </c>
      <c r="F1772" s="1" t="s">
        <v>1800</v>
      </c>
      <c r="G1772" s="1" t="s">
        <v>28</v>
      </c>
      <c r="H1772" s="1">
        <v>1870</v>
      </c>
      <c r="I1772" s="1">
        <f t="shared" si="220"/>
        <v>58</v>
      </c>
      <c r="J1772" s="1">
        <f>VLOOKUP(B1772,Cena!$A$2:$B$101,2)</f>
        <v>105</v>
      </c>
      <c r="K1772" s="1">
        <f t="shared" si="224"/>
        <v>6090</v>
      </c>
      <c r="L1772" s="1">
        <f t="shared" si="221"/>
        <v>1400.7</v>
      </c>
      <c r="M1772" s="22">
        <f t="shared" si="225"/>
        <v>7490.7</v>
      </c>
      <c r="N1772" s="1">
        <f t="shared" ca="1" si="222"/>
        <v>10</v>
      </c>
      <c r="P1772" s="1">
        <v>58.482243174512405</v>
      </c>
      <c r="Q1772" s="1">
        <f t="shared" ca="1" si="223"/>
        <v>17</v>
      </c>
      <c r="R1772" s="1">
        <v>7.3888577642355813</v>
      </c>
    </row>
    <row r="1773" spans="1:18" x14ac:dyDescent="0.3">
      <c r="A1773" s="26">
        <v>1772</v>
      </c>
      <c r="B1773" s="1">
        <v>6</v>
      </c>
      <c r="C1773" s="1">
        <f t="shared" si="219"/>
        <v>13</v>
      </c>
      <c r="D1773" s="21">
        <f t="shared" ca="1" si="218"/>
        <v>44657</v>
      </c>
      <c r="E1773" s="1" t="s">
        <v>26</v>
      </c>
      <c r="F1773" s="1" t="s">
        <v>1801</v>
      </c>
      <c r="G1773" s="1" t="s">
        <v>28</v>
      </c>
      <c r="H1773" s="1">
        <v>1871</v>
      </c>
      <c r="I1773" s="1">
        <f t="shared" si="220"/>
        <v>51</v>
      </c>
      <c r="J1773" s="1">
        <f>VLOOKUP(B1773,Cena!$A$2:$B$101,2)</f>
        <v>86</v>
      </c>
      <c r="K1773" s="1">
        <f t="shared" si="224"/>
        <v>4386</v>
      </c>
      <c r="L1773" s="1">
        <f t="shared" si="221"/>
        <v>1008.7800000000001</v>
      </c>
      <c r="M1773" s="22">
        <f t="shared" si="225"/>
        <v>5394.78</v>
      </c>
      <c r="N1773" s="1">
        <f t="shared" ca="1" si="222"/>
        <v>4</v>
      </c>
      <c r="P1773" s="1">
        <v>51.271382643608376</v>
      </c>
      <c r="Q1773" s="1">
        <f t="shared" ca="1" si="223"/>
        <v>30</v>
      </c>
      <c r="R1773" s="1">
        <v>13.013991545230965</v>
      </c>
    </row>
    <row r="1774" spans="1:18" x14ac:dyDescent="0.3">
      <c r="A1774" s="26">
        <v>1773</v>
      </c>
      <c r="B1774" s="1">
        <v>25</v>
      </c>
      <c r="C1774" s="1">
        <f t="shared" si="219"/>
        <v>11</v>
      </c>
      <c r="D1774" s="21">
        <f t="shared" ca="1" si="218"/>
        <v>44599</v>
      </c>
      <c r="E1774" s="1" t="s">
        <v>26</v>
      </c>
      <c r="F1774" s="1" t="s">
        <v>1802</v>
      </c>
      <c r="G1774" s="1" t="s">
        <v>28</v>
      </c>
      <c r="H1774" s="1">
        <v>1872</v>
      </c>
      <c r="I1774" s="1">
        <f t="shared" si="220"/>
        <v>34</v>
      </c>
      <c r="J1774" s="1">
        <f>VLOOKUP(B1774,Cena!$A$2:$B$101,2)</f>
        <v>108</v>
      </c>
      <c r="K1774" s="1">
        <f t="shared" si="224"/>
        <v>3672</v>
      </c>
      <c r="L1774" s="1">
        <f t="shared" si="221"/>
        <v>844.56000000000006</v>
      </c>
      <c r="M1774" s="22">
        <f t="shared" si="225"/>
        <v>4516.5600000000004</v>
      </c>
      <c r="N1774" s="1">
        <f t="shared" ca="1" si="222"/>
        <v>2</v>
      </c>
      <c r="P1774" s="1">
        <v>34.931127983145416</v>
      </c>
      <c r="Q1774" s="1">
        <f t="shared" ca="1" si="223"/>
        <v>23</v>
      </c>
      <c r="R1774" s="1">
        <v>11.455009623896331</v>
      </c>
    </row>
    <row r="1775" spans="1:18" x14ac:dyDescent="0.3">
      <c r="A1775" s="26">
        <v>1774</v>
      </c>
      <c r="B1775" s="1">
        <v>21</v>
      </c>
      <c r="C1775" s="1">
        <f t="shared" si="219"/>
        <v>13</v>
      </c>
      <c r="D1775" s="21">
        <f t="shared" ca="1" si="218"/>
        <v>44611</v>
      </c>
      <c r="E1775" s="1" t="s">
        <v>26</v>
      </c>
      <c r="F1775" s="1" t="s">
        <v>1803</v>
      </c>
      <c r="G1775" s="1" t="s">
        <v>28</v>
      </c>
      <c r="H1775" s="1">
        <v>1873</v>
      </c>
      <c r="I1775" s="1">
        <f t="shared" si="220"/>
        <v>41</v>
      </c>
      <c r="J1775" s="1">
        <f>VLOOKUP(B1775,Cena!$A$2:$B$101,2)</f>
        <v>105</v>
      </c>
      <c r="K1775" s="1">
        <f t="shared" si="224"/>
        <v>4305</v>
      </c>
      <c r="L1775" s="1">
        <f t="shared" si="221"/>
        <v>990.15000000000009</v>
      </c>
      <c r="M1775" s="22">
        <f t="shared" si="225"/>
        <v>5295.15</v>
      </c>
      <c r="N1775" s="1">
        <f t="shared" ca="1" si="222"/>
        <v>2</v>
      </c>
      <c r="P1775" s="1">
        <v>41.28190211195033</v>
      </c>
      <c r="Q1775" s="1">
        <f t="shared" ca="1" si="223"/>
        <v>27</v>
      </c>
      <c r="R1775" s="1">
        <v>13.212903720850591</v>
      </c>
    </row>
    <row r="1776" spans="1:18" x14ac:dyDescent="0.3">
      <c r="A1776" s="26">
        <v>1775</v>
      </c>
      <c r="B1776" s="1">
        <v>4</v>
      </c>
      <c r="C1776" s="1">
        <f t="shared" si="219"/>
        <v>8</v>
      </c>
      <c r="D1776" s="21">
        <f t="shared" ca="1" si="218"/>
        <v>44862</v>
      </c>
      <c r="E1776" s="1" t="s">
        <v>26</v>
      </c>
      <c r="F1776" s="1" t="s">
        <v>1804</v>
      </c>
      <c r="G1776" s="1" t="s">
        <v>28</v>
      </c>
      <c r="H1776" s="1">
        <v>1874</v>
      </c>
      <c r="I1776" s="1">
        <f t="shared" si="220"/>
        <v>48</v>
      </c>
      <c r="J1776" s="1">
        <f>VLOOKUP(B1776,Cena!$A$2:$B$101,2)</f>
        <v>99</v>
      </c>
      <c r="K1776" s="1">
        <f t="shared" si="224"/>
        <v>4752</v>
      </c>
      <c r="L1776" s="1">
        <f t="shared" si="221"/>
        <v>1092.96</v>
      </c>
      <c r="M1776" s="22">
        <f t="shared" si="225"/>
        <v>5844.96</v>
      </c>
      <c r="N1776" s="1">
        <f t="shared" ca="1" si="222"/>
        <v>10</v>
      </c>
      <c r="P1776" s="1">
        <v>48.223188413248863</v>
      </c>
      <c r="Q1776" s="1">
        <f t="shared" ca="1" si="223"/>
        <v>6</v>
      </c>
      <c r="R1776" s="1">
        <v>8.9730497418349842</v>
      </c>
    </row>
    <row r="1777" spans="1:18" x14ac:dyDescent="0.3">
      <c r="A1777" s="26">
        <v>1776</v>
      </c>
      <c r="B1777" s="1">
        <v>9</v>
      </c>
      <c r="C1777" s="1">
        <f t="shared" si="219"/>
        <v>9</v>
      </c>
      <c r="D1777" s="21">
        <f t="shared" ca="1" si="218"/>
        <v>44737</v>
      </c>
      <c r="E1777" s="1" t="s">
        <v>26</v>
      </c>
      <c r="F1777" s="1" t="s">
        <v>1805</v>
      </c>
      <c r="G1777" s="1" t="s">
        <v>28</v>
      </c>
      <c r="H1777" s="1">
        <v>1875</v>
      </c>
      <c r="I1777" s="1">
        <f t="shared" si="220"/>
        <v>49</v>
      </c>
      <c r="J1777" s="1">
        <f>VLOOKUP(B1777,Cena!$A$2:$B$101,2)</f>
        <v>96</v>
      </c>
      <c r="K1777" s="1">
        <f t="shared" si="224"/>
        <v>4704</v>
      </c>
      <c r="L1777" s="1">
        <f t="shared" si="221"/>
        <v>1081.92</v>
      </c>
      <c r="M1777" s="22">
        <f t="shared" si="225"/>
        <v>5785.92</v>
      </c>
      <c r="N1777" s="1">
        <f t="shared" ca="1" si="222"/>
        <v>6</v>
      </c>
      <c r="P1777" s="1">
        <v>49.49068296700716</v>
      </c>
      <c r="Q1777" s="1">
        <f t="shared" ca="1" si="223"/>
        <v>2</v>
      </c>
      <c r="R1777" s="1">
        <v>9.9130608330233372</v>
      </c>
    </row>
    <row r="1778" spans="1:18" x14ac:dyDescent="0.3">
      <c r="A1778" s="26">
        <v>1777</v>
      </c>
      <c r="B1778" s="1">
        <v>6</v>
      </c>
      <c r="C1778" s="1">
        <f t="shared" si="219"/>
        <v>13</v>
      </c>
      <c r="D1778" s="21">
        <f t="shared" ca="1" si="218"/>
        <v>44594</v>
      </c>
      <c r="E1778" s="1" t="s">
        <v>26</v>
      </c>
      <c r="F1778" s="1" t="s">
        <v>1806</v>
      </c>
      <c r="G1778" s="1" t="s">
        <v>28</v>
      </c>
      <c r="H1778" s="1">
        <v>1876</v>
      </c>
      <c r="I1778" s="1">
        <f t="shared" si="220"/>
        <v>55</v>
      </c>
      <c r="J1778" s="1">
        <f>VLOOKUP(B1778,Cena!$A$2:$B$101,2)</f>
        <v>86</v>
      </c>
      <c r="K1778" s="1">
        <f t="shared" si="224"/>
        <v>4730</v>
      </c>
      <c r="L1778" s="1">
        <f t="shared" si="221"/>
        <v>1087.9000000000001</v>
      </c>
      <c r="M1778" s="22">
        <f t="shared" si="225"/>
        <v>5817.9</v>
      </c>
      <c r="N1778" s="1">
        <f t="shared" ca="1" si="222"/>
        <v>2</v>
      </c>
      <c r="P1778" s="1">
        <v>55.576180228672456</v>
      </c>
      <c r="Q1778" s="1">
        <f t="shared" ca="1" si="223"/>
        <v>9</v>
      </c>
      <c r="R1778" s="1">
        <v>13.387003744137473</v>
      </c>
    </row>
    <row r="1779" spans="1:18" x14ac:dyDescent="0.3">
      <c r="A1779" s="26">
        <v>1778</v>
      </c>
      <c r="B1779" s="1">
        <v>29</v>
      </c>
      <c r="C1779" s="1">
        <f t="shared" si="219"/>
        <v>11</v>
      </c>
      <c r="D1779" s="21">
        <f t="shared" ca="1" si="218"/>
        <v>44571</v>
      </c>
      <c r="E1779" s="1" t="s">
        <v>26</v>
      </c>
      <c r="F1779" s="1" t="s">
        <v>1807</v>
      </c>
      <c r="G1779" s="1" t="s">
        <v>28</v>
      </c>
      <c r="H1779" s="1">
        <v>1877</v>
      </c>
      <c r="I1779" s="1">
        <f t="shared" si="220"/>
        <v>46</v>
      </c>
      <c r="J1779" s="1">
        <f>VLOOKUP(B1779,Cena!$A$2:$B$101,2)</f>
        <v>105</v>
      </c>
      <c r="K1779" s="1">
        <f t="shared" si="224"/>
        <v>4830</v>
      </c>
      <c r="L1779" s="1">
        <f t="shared" si="221"/>
        <v>1110.9000000000001</v>
      </c>
      <c r="M1779" s="22">
        <f t="shared" si="225"/>
        <v>5940.9</v>
      </c>
      <c r="N1779" s="1">
        <f t="shared" ca="1" si="222"/>
        <v>1</v>
      </c>
      <c r="P1779" s="1">
        <v>46.124165591027122</v>
      </c>
      <c r="Q1779" s="1">
        <f t="shared" ca="1" si="223"/>
        <v>6</v>
      </c>
      <c r="R1779" s="1">
        <v>11.831176632549614</v>
      </c>
    </row>
    <row r="1780" spans="1:18" x14ac:dyDescent="0.3">
      <c r="A1780" s="26">
        <v>1779</v>
      </c>
      <c r="B1780" s="1">
        <v>24</v>
      </c>
      <c r="C1780" s="1">
        <f t="shared" si="219"/>
        <v>7</v>
      </c>
      <c r="D1780" s="21">
        <f t="shared" ca="1" si="218"/>
        <v>44622</v>
      </c>
      <c r="E1780" s="1" t="s">
        <v>26</v>
      </c>
      <c r="F1780" s="1" t="s">
        <v>1808</v>
      </c>
      <c r="G1780" s="1" t="s">
        <v>28</v>
      </c>
      <c r="H1780" s="1">
        <v>1878</v>
      </c>
      <c r="I1780" s="1">
        <f t="shared" si="220"/>
        <v>49</v>
      </c>
      <c r="J1780" s="1">
        <f>VLOOKUP(B1780,Cena!$A$2:$B$101,2)</f>
        <v>125</v>
      </c>
      <c r="K1780" s="1">
        <f t="shared" si="224"/>
        <v>6125</v>
      </c>
      <c r="L1780" s="1">
        <f t="shared" si="221"/>
        <v>1408.75</v>
      </c>
      <c r="M1780" s="22">
        <f t="shared" si="225"/>
        <v>7533.75</v>
      </c>
      <c r="N1780" s="1">
        <f t="shared" ca="1" si="222"/>
        <v>3</v>
      </c>
      <c r="P1780" s="1">
        <v>49.930003014014801</v>
      </c>
      <c r="Q1780" s="1">
        <f t="shared" ca="1" si="223"/>
        <v>2</v>
      </c>
      <c r="R1780" s="1">
        <v>7.2045884533144999</v>
      </c>
    </row>
    <row r="1781" spans="1:18" x14ac:dyDescent="0.3">
      <c r="A1781" s="26">
        <v>1780</v>
      </c>
      <c r="B1781" s="1">
        <v>17</v>
      </c>
      <c r="C1781" s="1">
        <f t="shared" si="219"/>
        <v>11</v>
      </c>
      <c r="D1781" s="21">
        <f t="shared" ca="1" si="218"/>
        <v>44748</v>
      </c>
      <c r="E1781" s="1" t="s">
        <v>26</v>
      </c>
      <c r="F1781" s="1" t="s">
        <v>1809</v>
      </c>
      <c r="G1781" s="1" t="s">
        <v>28</v>
      </c>
      <c r="H1781" s="1">
        <v>1879</v>
      </c>
      <c r="I1781" s="1">
        <f t="shared" si="220"/>
        <v>41</v>
      </c>
      <c r="J1781" s="1">
        <f>VLOOKUP(B1781,Cena!$A$2:$B$101,2)</f>
        <v>84</v>
      </c>
      <c r="K1781" s="1">
        <f t="shared" si="224"/>
        <v>3444</v>
      </c>
      <c r="L1781" s="1">
        <f t="shared" si="221"/>
        <v>792.12</v>
      </c>
      <c r="M1781" s="22">
        <f t="shared" si="225"/>
        <v>4236.12</v>
      </c>
      <c r="N1781" s="1">
        <f t="shared" ca="1" si="222"/>
        <v>7</v>
      </c>
      <c r="P1781" s="1">
        <v>41.193192272476153</v>
      </c>
      <c r="Q1781" s="1">
        <f t="shared" ca="1" si="223"/>
        <v>28</v>
      </c>
      <c r="R1781" s="1">
        <v>11.661038595557329</v>
      </c>
    </row>
    <row r="1782" spans="1:18" x14ac:dyDescent="0.3">
      <c r="A1782" s="26">
        <v>1781</v>
      </c>
      <c r="B1782" s="1">
        <v>12</v>
      </c>
      <c r="C1782" s="1">
        <f t="shared" si="219"/>
        <v>11</v>
      </c>
      <c r="D1782" s="21">
        <f t="shared" ca="1" si="218"/>
        <v>44851</v>
      </c>
      <c r="E1782" s="1" t="s">
        <v>26</v>
      </c>
      <c r="F1782" s="1" t="s">
        <v>1810</v>
      </c>
      <c r="G1782" s="1" t="s">
        <v>28</v>
      </c>
      <c r="H1782" s="1">
        <v>1880</v>
      </c>
      <c r="I1782" s="1">
        <f t="shared" si="220"/>
        <v>43</v>
      </c>
      <c r="J1782" s="1">
        <f>VLOOKUP(B1782,Cena!$A$2:$B$101,2)</f>
        <v>88</v>
      </c>
      <c r="K1782" s="1">
        <f t="shared" si="224"/>
        <v>3784</v>
      </c>
      <c r="L1782" s="1">
        <f t="shared" si="221"/>
        <v>870.32</v>
      </c>
      <c r="M1782" s="22">
        <f t="shared" si="225"/>
        <v>4654.32</v>
      </c>
      <c r="N1782" s="1">
        <f t="shared" ca="1" si="222"/>
        <v>10</v>
      </c>
      <c r="P1782" s="1">
        <v>43.097003425646108</v>
      </c>
      <c r="Q1782" s="1">
        <f t="shared" ca="1" si="223"/>
        <v>22</v>
      </c>
      <c r="R1782" s="1">
        <v>11.971386609511683</v>
      </c>
    </row>
    <row r="1783" spans="1:18" x14ac:dyDescent="0.3">
      <c r="A1783" s="26">
        <v>1782</v>
      </c>
      <c r="B1783" s="1">
        <v>25</v>
      </c>
      <c r="C1783" s="1">
        <f t="shared" si="219"/>
        <v>10</v>
      </c>
      <c r="D1783" s="21">
        <f t="shared" ca="1" si="218"/>
        <v>44877</v>
      </c>
      <c r="E1783" s="1" t="s">
        <v>26</v>
      </c>
      <c r="F1783" s="1" t="s">
        <v>1811</v>
      </c>
      <c r="G1783" s="1" t="s">
        <v>28</v>
      </c>
      <c r="H1783" s="1">
        <v>1881</v>
      </c>
      <c r="I1783" s="1">
        <f t="shared" si="220"/>
        <v>51</v>
      </c>
      <c r="J1783" s="1">
        <f>VLOOKUP(B1783,Cena!$A$2:$B$101,2)</f>
        <v>108</v>
      </c>
      <c r="K1783" s="1">
        <f t="shared" si="224"/>
        <v>5508</v>
      </c>
      <c r="L1783" s="1">
        <f t="shared" si="221"/>
        <v>1266.8400000000001</v>
      </c>
      <c r="M1783" s="22">
        <f t="shared" si="225"/>
        <v>6774.84</v>
      </c>
      <c r="N1783" s="1">
        <f t="shared" ca="1" si="222"/>
        <v>11</v>
      </c>
      <c r="P1783" s="1">
        <v>51.522448656032793</v>
      </c>
      <c r="Q1783" s="1">
        <f t="shared" ca="1" si="223"/>
        <v>6</v>
      </c>
      <c r="R1783" s="1">
        <v>10.107036157714901</v>
      </c>
    </row>
    <row r="1784" spans="1:18" x14ac:dyDescent="0.3">
      <c r="A1784" s="26">
        <v>1783</v>
      </c>
      <c r="B1784" s="1">
        <v>28</v>
      </c>
      <c r="C1784" s="1">
        <f t="shared" si="219"/>
        <v>12</v>
      </c>
      <c r="D1784" s="21">
        <f t="shared" ca="1" si="218"/>
        <v>44703</v>
      </c>
      <c r="E1784" s="1" t="s">
        <v>26</v>
      </c>
      <c r="F1784" s="1" t="s">
        <v>1812</v>
      </c>
      <c r="G1784" s="1" t="s">
        <v>28</v>
      </c>
      <c r="H1784" s="1">
        <v>1882</v>
      </c>
      <c r="I1784" s="1">
        <f t="shared" si="220"/>
        <v>31</v>
      </c>
      <c r="J1784" s="1">
        <f>VLOOKUP(B1784,Cena!$A$2:$B$101,2)</f>
        <v>59</v>
      </c>
      <c r="K1784" s="1">
        <f t="shared" si="224"/>
        <v>1829</v>
      </c>
      <c r="L1784" s="1">
        <f t="shared" si="221"/>
        <v>420.67</v>
      </c>
      <c r="M1784" s="22">
        <f t="shared" si="225"/>
        <v>2249.67</v>
      </c>
      <c r="N1784" s="1">
        <f t="shared" ca="1" si="222"/>
        <v>5</v>
      </c>
      <c r="P1784" s="1">
        <v>31.250039127189666</v>
      </c>
      <c r="Q1784" s="1">
        <f t="shared" ca="1" si="223"/>
        <v>14</v>
      </c>
      <c r="R1784" s="1">
        <v>12.054696324194083</v>
      </c>
    </row>
    <row r="1785" spans="1:18" x14ac:dyDescent="0.3">
      <c r="A1785" s="26">
        <v>1784</v>
      </c>
      <c r="B1785" s="1">
        <v>13</v>
      </c>
      <c r="C1785" s="1">
        <f t="shared" si="219"/>
        <v>1</v>
      </c>
      <c r="D1785" s="21">
        <f t="shared" ca="1" si="218"/>
        <v>44786</v>
      </c>
      <c r="E1785" s="1" t="s">
        <v>26</v>
      </c>
      <c r="F1785" s="1" t="s">
        <v>1813</v>
      </c>
      <c r="G1785" s="1" t="s">
        <v>28</v>
      </c>
      <c r="H1785" s="1">
        <v>1883</v>
      </c>
      <c r="I1785" s="1">
        <f t="shared" si="220"/>
        <v>44</v>
      </c>
      <c r="J1785" s="1">
        <f>VLOOKUP(B1785,Cena!$A$2:$B$101,2)</f>
        <v>94</v>
      </c>
      <c r="K1785" s="1">
        <f t="shared" si="224"/>
        <v>4136</v>
      </c>
      <c r="L1785" s="1">
        <f t="shared" si="221"/>
        <v>951.28000000000009</v>
      </c>
      <c r="M1785" s="22">
        <f t="shared" si="225"/>
        <v>5087.28</v>
      </c>
      <c r="N1785" s="1">
        <f t="shared" ca="1" si="222"/>
        <v>8</v>
      </c>
      <c r="P1785" s="1">
        <v>44.090012478409335</v>
      </c>
      <c r="Q1785" s="1">
        <f t="shared" ca="1" si="223"/>
        <v>8</v>
      </c>
      <c r="R1785" s="1">
        <v>1.2819475866854191</v>
      </c>
    </row>
    <row r="1786" spans="1:18" x14ac:dyDescent="0.3">
      <c r="A1786" s="26">
        <v>1785</v>
      </c>
      <c r="B1786" s="1">
        <v>30</v>
      </c>
      <c r="C1786" s="1">
        <f t="shared" si="219"/>
        <v>9</v>
      </c>
      <c r="D1786" s="21">
        <f t="shared" ca="1" si="218"/>
        <v>44846</v>
      </c>
      <c r="E1786" s="1" t="s">
        <v>26</v>
      </c>
      <c r="F1786" s="1" t="s">
        <v>1814</v>
      </c>
      <c r="G1786" s="1" t="s">
        <v>28</v>
      </c>
      <c r="H1786" s="1">
        <v>1884</v>
      </c>
      <c r="I1786" s="1">
        <f t="shared" si="220"/>
        <v>46</v>
      </c>
      <c r="J1786" s="1">
        <f>VLOOKUP(B1786,Cena!$A$2:$B$101,2)</f>
        <v>87</v>
      </c>
      <c r="K1786" s="1">
        <f t="shared" si="224"/>
        <v>4002</v>
      </c>
      <c r="L1786" s="1">
        <f t="shared" si="221"/>
        <v>920.46</v>
      </c>
      <c r="M1786" s="22">
        <f t="shared" si="225"/>
        <v>4922.46</v>
      </c>
      <c r="N1786" s="1">
        <f t="shared" ca="1" si="222"/>
        <v>10</v>
      </c>
      <c r="P1786" s="1">
        <v>46.136534718971234</v>
      </c>
      <c r="Q1786" s="1">
        <f t="shared" ca="1" si="223"/>
        <v>17</v>
      </c>
      <c r="R1786" s="1">
        <v>9.2867486753311823</v>
      </c>
    </row>
    <row r="1787" spans="1:18" x14ac:dyDescent="0.3">
      <c r="A1787" s="26">
        <v>1786</v>
      </c>
      <c r="B1787" s="1">
        <v>30</v>
      </c>
      <c r="C1787" s="1">
        <f t="shared" si="219"/>
        <v>9</v>
      </c>
      <c r="D1787" s="21">
        <f t="shared" ca="1" si="218"/>
        <v>44729</v>
      </c>
      <c r="E1787" s="1" t="s">
        <v>26</v>
      </c>
      <c r="F1787" s="1" t="s">
        <v>1815</v>
      </c>
      <c r="G1787" s="1" t="s">
        <v>28</v>
      </c>
      <c r="H1787" s="1">
        <v>1885</v>
      </c>
      <c r="I1787" s="1">
        <f t="shared" si="220"/>
        <v>60</v>
      </c>
      <c r="J1787" s="1">
        <f>VLOOKUP(B1787,Cena!$A$2:$B$101,2)</f>
        <v>87</v>
      </c>
      <c r="K1787" s="1">
        <f t="shared" si="224"/>
        <v>5220</v>
      </c>
      <c r="L1787" s="1">
        <f t="shared" si="221"/>
        <v>1200.6000000000001</v>
      </c>
      <c r="M1787" s="22">
        <f t="shared" si="225"/>
        <v>6420.6</v>
      </c>
      <c r="N1787" s="1">
        <f t="shared" ca="1" si="222"/>
        <v>6</v>
      </c>
      <c r="P1787" s="1">
        <v>60.17899649013998</v>
      </c>
      <c r="Q1787" s="1">
        <f t="shared" ca="1" si="223"/>
        <v>28</v>
      </c>
      <c r="R1787" s="1">
        <v>9.0674325545114698</v>
      </c>
    </row>
    <row r="1788" spans="1:18" x14ac:dyDescent="0.3">
      <c r="A1788" s="26">
        <v>1787</v>
      </c>
      <c r="B1788" s="1">
        <v>26</v>
      </c>
      <c r="C1788" s="1">
        <f t="shared" si="219"/>
        <v>7</v>
      </c>
      <c r="D1788" s="21">
        <f t="shared" ca="1" si="218"/>
        <v>44594</v>
      </c>
      <c r="E1788" s="1" t="s">
        <v>26</v>
      </c>
      <c r="F1788" s="1" t="s">
        <v>1816</v>
      </c>
      <c r="G1788" s="1" t="s">
        <v>28</v>
      </c>
      <c r="H1788" s="1">
        <v>1886</v>
      </c>
      <c r="I1788" s="1">
        <f t="shared" si="220"/>
        <v>43</v>
      </c>
      <c r="J1788" s="1">
        <f>VLOOKUP(B1788,Cena!$A$2:$B$101,2)</f>
        <v>99</v>
      </c>
      <c r="K1788" s="1">
        <f t="shared" si="224"/>
        <v>4257</v>
      </c>
      <c r="L1788" s="1">
        <f t="shared" si="221"/>
        <v>979.11</v>
      </c>
      <c r="M1788" s="22">
        <f t="shared" si="225"/>
        <v>5236.1099999999997</v>
      </c>
      <c r="N1788" s="1">
        <f t="shared" ca="1" si="222"/>
        <v>2</v>
      </c>
      <c r="P1788" s="1">
        <v>43.654341778892558</v>
      </c>
      <c r="Q1788" s="1">
        <f t="shared" ca="1" si="223"/>
        <v>4</v>
      </c>
      <c r="R1788" s="1">
        <v>7.2322882513253717</v>
      </c>
    </row>
    <row r="1789" spans="1:18" x14ac:dyDescent="0.3">
      <c r="A1789" s="26">
        <v>1788</v>
      </c>
      <c r="B1789" s="1">
        <v>2</v>
      </c>
      <c r="C1789" s="1">
        <f t="shared" si="219"/>
        <v>5</v>
      </c>
      <c r="D1789" s="21">
        <f t="shared" ca="1" si="218"/>
        <v>44766</v>
      </c>
      <c r="E1789" s="1" t="s">
        <v>26</v>
      </c>
      <c r="F1789" s="1" t="s">
        <v>1817</v>
      </c>
      <c r="G1789" s="1" t="s">
        <v>28</v>
      </c>
      <c r="H1789" s="1">
        <v>1887</v>
      </c>
      <c r="I1789" s="1">
        <f t="shared" si="220"/>
        <v>54</v>
      </c>
      <c r="J1789" s="1">
        <f>VLOOKUP(B1789,Cena!$A$2:$B$101,2)</f>
        <v>121</v>
      </c>
      <c r="K1789" s="1">
        <f t="shared" si="224"/>
        <v>6534</v>
      </c>
      <c r="L1789" s="1">
        <f t="shared" si="221"/>
        <v>1502.8200000000002</v>
      </c>
      <c r="M1789" s="22">
        <f t="shared" si="225"/>
        <v>8036.82</v>
      </c>
      <c r="N1789" s="1">
        <f t="shared" ca="1" si="222"/>
        <v>7</v>
      </c>
      <c r="P1789" s="1">
        <v>54.183652890787926</v>
      </c>
      <c r="Q1789" s="1">
        <f t="shared" ca="1" si="223"/>
        <v>17</v>
      </c>
      <c r="R1789" s="1">
        <v>5.9176420816220343</v>
      </c>
    </row>
    <row r="1790" spans="1:18" x14ac:dyDescent="0.3">
      <c r="A1790" s="26">
        <v>1789</v>
      </c>
      <c r="B1790" s="1">
        <v>30</v>
      </c>
      <c r="C1790" s="1">
        <f t="shared" si="219"/>
        <v>7</v>
      </c>
      <c r="D1790" s="21">
        <f t="shared" ca="1" si="218"/>
        <v>44857</v>
      </c>
      <c r="E1790" s="1" t="s">
        <v>26</v>
      </c>
      <c r="F1790" s="1" t="s">
        <v>1818</v>
      </c>
      <c r="G1790" s="1" t="s">
        <v>28</v>
      </c>
      <c r="H1790" s="1">
        <v>1888</v>
      </c>
      <c r="I1790" s="1">
        <f t="shared" si="220"/>
        <v>63</v>
      </c>
      <c r="J1790" s="1">
        <f>VLOOKUP(B1790,Cena!$A$2:$B$101,2)</f>
        <v>87</v>
      </c>
      <c r="K1790" s="1">
        <f t="shared" si="224"/>
        <v>5481</v>
      </c>
      <c r="L1790" s="1">
        <f t="shared" si="221"/>
        <v>1260.6300000000001</v>
      </c>
      <c r="M1790" s="22">
        <f t="shared" si="225"/>
        <v>6741.63</v>
      </c>
      <c r="N1790" s="1">
        <f t="shared" ca="1" si="222"/>
        <v>10</v>
      </c>
      <c r="P1790" s="1">
        <v>63.486965144693386</v>
      </c>
      <c r="Q1790" s="1">
        <f t="shared" ca="1" si="223"/>
        <v>16</v>
      </c>
      <c r="R1790" s="1">
        <v>7.3368176142685115</v>
      </c>
    </row>
    <row r="1791" spans="1:18" x14ac:dyDescent="0.3">
      <c r="A1791" s="26">
        <v>1790</v>
      </c>
      <c r="B1791" s="1">
        <v>23</v>
      </c>
      <c r="C1791" s="1">
        <f t="shared" si="219"/>
        <v>3</v>
      </c>
      <c r="D1791" s="21">
        <f t="shared" ca="1" si="218"/>
        <v>44780</v>
      </c>
      <c r="E1791" s="1" t="s">
        <v>26</v>
      </c>
      <c r="F1791" s="1" t="s">
        <v>1819</v>
      </c>
      <c r="G1791" s="1" t="s">
        <v>28</v>
      </c>
      <c r="H1791" s="1">
        <v>1889</v>
      </c>
      <c r="I1791" s="1">
        <f t="shared" si="220"/>
        <v>38</v>
      </c>
      <c r="J1791" s="1">
        <f>VLOOKUP(B1791,Cena!$A$2:$B$101,2)</f>
        <v>132</v>
      </c>
      <c r="K1791" s="1">
        <f t="shared" si="224"/>
        <v>5016</v>
      </c>
      <c r="L1791" s="1">
        <f t="shared" si="221"/>
        <v>1153.68</v>
      </c>
      <c r="M1791" s="22">
        <f t="shared" si="225"/>
        <v>6169.68</v>
      </c>
      <c r="N1791" s="1">
        <f t="shared" ca="1" si="222"/>
        <v>8</v>
      </c>
      <c r="P1791" s="1">
        <v>38.408762874314561</v>
      </c>
      <c r="Q1791" s="1">
        <f t="shared" ca="1" si="223"/>
        <v>26</v>
      </c>
      <c r="R1791" s="1">
        <v>3.3885192149318755</v>
      </c>
    </row>
    <row r="1792" spans="1:18" x14ac:dyDescent="0.3">
      <c r="A1792" s="26">
        <v>1791</v>
      </c>
      <c r="B1792" s="1">
        <v>9</v>
      </c>
      <c r="C1792" s="1">
        <f t="shared" si="219"/>
        <v>10</v>
      </c>
      <c r="D1792" s="21">
        <f t="shared" ca="1" si="218"/>
        <v>44792</v>
      </c>
      <c r="E1792" s="1" t="s">
        <v>26</v>
      </c>
      <c r="F1792" s="1" t="s">
        <v>1820</v>
      </c>
      <c r="G1792" s="1" t="s">
        <v>28</v>
      </c>
      <c r="H1792" s="1">
        <v>1890</v>
      </c>
      <c r="I1792" s="1">
        <f t="shared" si="220"/>
        <v>41</v>
      </c>
      <c r="J1792" s="1">
        <f>VLOOKUP(B1792,Cena!$A$2:$B$101,2)</f>
        <v>96</v>
      </c>
      <c r="K1792" s="1">
        <f t="shared" si="224"/>
        <v>3936</v>
      </c>
      <c r="L1792" s="1">
        <f t="shared" si="221"/>
        <v>905.28000000000009</v>
      </c>
      <c r="M1792" s="22">
        <f t="shared" si="225"/>
        <v>4841.28</v>
      </c>
      <c r="N1792" s="1">
        <f t="shared" ca="1" si="222"/>
        <v>8</v>
      </c>
      <c r="P1792" s="1">
        <v>41.883714756113477</v>
      </c>
      <c r="Q1792" s="1">
        <f t="shared" ca="1" si="223"/>
        <v>28</v>
      </c>
      <c r="R1792" s="1">
        <v>10.051545612222981</v>
      </c>
    </row>
    <row r="1793" spans="1:18" x14ac:dyDescent="0.3">
      <c r="A1793" s="26">
        <v>1792</v>
      </c>
      <c r="B1793" s="1">
        <v>17</v>
      </c>
      <c r="C1793" s="1">
        <f t="shared" si="219"/>
        <v>11</v>
      </c>
      <c r="D1793" s="21">
        <f t="shared" ca="1" si="218"/>
        <v>44820</v>
      </c>
      <c r="E1793" s="1" t="s">
        <v>26</v>
      </c>
      <c r="F1793" s="1" t="s">
        <v>1821</v>
      </c>
      <c r="G1793" s="1" t="s">
        <v>28</v>
      </c>
      <c r="H1793" s="1">
        <v>1891</v>
      </c>
      <c r="I1793" s="1">
        <f t="shared" si="220"/>
        <v>49</v>
      </c>
      <c r="J1793" s="1">
        <f>VLOOKUP(B1793,Cena!$A$2:$B$101,2)</f>
        <v>84</v>
      </c>
      <c r="K1793" s="1">
        <f t="shared" si="224"/>
        <v>4116</v>
      </c>
      <c r="L1793" s="1">
        <f t="shared" si="221"/>
        <v>946.68000000000006</v>
      </c>
      <c r="M1793" s="22">
        <f t="shared" si="225"/>
        <v>5062.68</v>
      </c>
      <c r="N1793" s="1">
        <f t="shared" ca="1" si="222"/>
        <v>9</v>
      </c>
      <c r="P1793" s="1">
        <v>49.796887095726561</v>
      </c>
      <c r="Q1793" s="1">
        <f t="shared" ca="1" si="223"/>
        <v>16</v>
      </c>
      <c r="R1793" s="1">
        <v>11.641535618546186</v>
      </c>
    </row>
    <row r="1794" spans="1:18" x14ac:dyDescent="0.3">
      <c r="A1794" s="26">
        <v>1793</v>
      </c>
      <c r="B1794" s="1">
        <v>11</v>
      </c>
      <c r="C1794" s="1">
        <f t="shared" si="219"/>
        <v>8</v>
      </c>
      <c r="D1794" s="21">
        <f t="shared" ref="D1794:D1857" ca="1" si="226">DATE(2022,RANDBETWEEN(1,12),RANDBETWEEN(1,28))</f>
        <v>44597</v>
      </c>
      <c r="E1794" s="1" t="s">
        <v>26</v>
      </c>
      <c r="F1794" s="1" t="s">
        <v>1822</v>
      </c>
      <c r="G1794" s="1" t="s">
        <v>28</v>
      </c>
      <c r="H1794" s="1">
        <v>1892</v>
      </c>
      <c r="I1794" s="1">
        <f t="shared" si="220"/>
        <v>47</v>
      </c>
      <c r="J1794" s="1">
        <f>VLOOKUP(B1794,Cena!$A$2:$B$101,2)</f>
        <v>83</v>
      </c>
      <c r="K1794" s="1">
        <f t="shared" si="224"/>
        <v>3901</v>
      </c>
      <c r="L1794" s="1">
        <f t="shared" si="221"/>
        <v>897.23</v>
      </c>
      <c r="M1794" s="22">
        <f t="shared" si="225"/>
        <v>4798.2299999999996</v>
      </c>
      <c r="N1794" s="1">
        <f t="shared" ca="1" si="222"/>
        <v>2</v>
      </c>
      <c r="P1794" s="1">
        <v>47.880138380423887</v>
      </c>
      <c r="Q1794" s="1">
        <f t="shared" ca="1" si="223"/>
        <v>9</v>
      </c>
      <c r="R1794" s="1">
        <v>8.4587077506148489</v>
      </c>
    </row>
    <row r="1795" spans="1:18" x14ac:dyDescent="0.3">
      <c r="A1795" s="26">
        <v>1794</v>
      </c>
      <c r="B1795" s="1">
        <v>17</v>
      </c>
      <c r="C1795" s="1">
        <f t="shared" ref="C1795:C1858" si="227">INT(R1795)</f>
        <v>6</v>
      </c>
      <c r="D1795" s="21">
        <f t="shared" ca="1" si="226"/>
        <v>44923</v>
      </c>
      <c r="E1795" s="1" t="s">
        <v>26</v>
      </c>
      <c r="F1795" s="1" t="s">
        <v>1823</v>
      </c>
      <c r="G1795" s="1" t="s">
        <v>28</v>
      </c>
      <c r="H1795" s="1">
        <v>1893</v>
      </c>
      <c r="I1795" s="1">
        <f t="shared" ref="I1795:I1858" si="228">INT(P1795)</f>
        <v>53</v>
      </c>
      <c r="J1795" s="1">
        <f>VLOOKUP(B1795,Cena!$A$2:$B$101,2)</f>
        <v>84</v>
      </c>
      <c r="K1795" s="1">
        <f t="shared" si="224"/>
        <v>4452</v>
      </c>
      <c r="L1795" s="1">
        <f t="shared" ref="L1795:L1858" si="229">K1795*23%</f>
        <v>1023.96</v>
      </c>
      <c r="M1795" s="22">
        <f t="shared" si="225"/>
        <v>5475.96</v>
      </c>
      <c r="N1795" s="1">
        <f t="shared" ref="N1795:N1858" ca="1" si="230">MONTH(D1795)</f>
        <v>12</v>
      </c>
      <c r="P1795" s="1">
        <v>53.704042228491744</v>
      </c>
      <c r="Q1795" s="1">
        <f t="shared" ref="Q1795:Q1858" ca="1" si="231">RANDBETWEEN(1,30)</f>
        <v>28</v>
      </c>
      <c r="R1795" s="1">
        <v>6.1789399094413966</v>
      </c>
    </row>
    <row r="1796" spans="1:18" x14ac:dyDescent="0.3">
      <c r="A1796" s="26">
        <v>1795</v>
      </c>
      <c r="B1796" s="1">
        <v>19</v>
      </c>
      <c r="C1796" s="1">
        <f t="shared" si="227"/>
        <v>12</v>
      </c>
      <c r="D1796" s="21">
        <f t="shared" ca="1" si="226"/>
        <v>44910</v>
      </c>
      <c r="E1796" s="1" t="s">
        <v>26</v>
      </c>
      <c r="F1796" s="1" t="s">
        <v>1824</v>
      </c>
      <c r="G1796" s="1" t="s">
        <v>28</v>
      </c>
      <c r="H1796" s="1">
        <v>1894</v>
      </c>
      <c r="I1796" s="1">
        <f t="shared" si="228"/>
        <v>49</v>
      </c>
      <c r="J1796" s="1">
        <f>VLOOKUP(B1796,Cena!$A$2:$B$101,2)</f>
        <v>84</v>
      </c>
      <c r="K1796" s="1">
        <f t="shared" si="224"/>
        <v>4116</v>
      </c>
      <c r="L1796" s="1">
        <f t="shared" si="229"/>
        <v>946.68000000000006</v>
      </c>
      <c r="M1796" s="22">
        <f t="shared" si="225"/>
        <v>5062.68</v>
      </c>
      <c r="N1796" s="1">
        <f t="shared" ca="1" si="230"/>
        <v>12</v>
      </c>
      <c r="P1796" s="1">
        <v>49.63463324093027</v>
      </c>
      <c r="Q1796" s="1">
        <f t="shared" ca="1" si="231"/>
        <v>24</v>
      </c>
      <c r="R1796" s="1">
        <v>12.915476216003299</v>
      </c>
    </row>
    <row r="1797" spans="1:18" x14ac:dyDescent="0.3">
      <c r="A1797" s="26">
        <v>1796</v>
      </c>
      <c r="B1797" s="1">
        <v>4</v>
      </c>
      <c r="C1797" s="1">
        <f t="shared" si="227"/>
        <v>9</v>
      </c>
      <c r="D1797" s="21">
        <f t="shared" ca="1" si="226"/>
        <v>44703</v>
      </c>
      <c r="E1797" s="1" t="s">
        <v>26</v>
      </c>
      <c r="F1797" s="1" t="s">
        <v>1825</v>
      </c>
      <c r="G1797" s="1" t="s">
        <v>28</v>
      </c>
      <c r="H1797" s="1">
        <v>1895</v>
      </c>
      <c r="I1797" s="1">
        <f t="shared" si="228"/>
        <v>44</v>
      </c>
      <c r="J1797" s="1">
        <f>VLOOKUP(B1797,Cena!$A$2:$B$101,2)</f>
        <v>99</v>
      </c>
      <c r="K1797" s="1">
        <f t="shared" si="224"/>
        <v>4356</v>
      </c>
      <c r="L1797" s="1">
        <f t="shared" si="229"/>
        <v>1001.88</v>
      </c>
      <c r="M1797" s="22">
        <f t="shared" si="225"/>
        <v>5357.88</v>
      </c>
      <c r="N1797" s="1">
        <f t="shared" ca="1" si="230"/>
        <v>5</v>
      </c>
      <c r="P1797" s="1">
        <v>44.687323123798706</v>
      </c>
      <c r="Q1797" s="1">
        <f t="shared" ca="1" si="231"/>
        <v>25</v>
      </c>
      <c r="R1797" s="1">
        <v>9.5690046716845245</v>
      </c>
    </row>
    <row r="1798" spans="1:18" x14ac:dyDescent="0.3">
      <c r="A1798" s="26">
        <v>1797</v>
      </c>
      <c r="B1798" s="1">
        <v>15</v>
      </c>
      <c r="C1798" s="1">
        <f t="shared" si="227"/>
        <v>9</v>
      </c>
      <c r="D1798" s="21">
        <f t="shared" ca="1" si="226"/>
        <v>44622</v>
      </c>
      <c r="E1798" s="1" t="s">
        <v>26</v>
      </c>
      <c r="F1798" s="1" t="s">
        <v>1826</v>
      </c>
      <c r="G1798" s="1" t="s">
        <v>28</v>
      </c>
      <c r="H1798" s="1">
        <v>1896</v>
      </c>
      <c r="I1798" s="1">
        <f t="shared" si="228"/>
        <v>52</v>
      </c>
      <c r="J1798" s="1">
        <f>VLOOKUP(B1798,Cena!$A$2:$B$101,2)</f>
        <v>85</v>
      </c>
      <c r="K1798" s="1">
        <f t="shared" si="224"/>
        <v>4420</v>
      </c>
      <c r="L1798" s="1">
        <f t="shared" si="229"/>
        <v>1016.6</v>
      </c>
      <c r="M1798" s="22">
        <f t="shared" si="225"/>
        <v>5436.6</v>
      </c>
      <c r="N1798" s="1">
        <f t="shared" ca="1" si="230"/>
        <v>3</v>
      </c>
      <c r="P1798" s="1">
        <v>52.920000952144619</v>
      </c>
      <c r="Q1798" s="1">
        <f t="shared" ca="1" si="231"/>
        <v>8</v>
      </c>
      <c r="R1798" s="1">
        <v>9.9798234284753562</v>
      </c>
    </row>
    <row r="1799" spans="1:18" x14ac:dyDescent="0.3">
      <c r="A1799" s="26">
        <v>1798</v>
      </c>
      <c r="B1799" s="1">
        <v>2</v>
      </c>
      <c r="C1799" s="1">
        <f t="shared" si="227"/>
        <v>9</v>
      </c>
      <c r="D1799" s="21">
        <f t="shared" ca="1" si="226"/>
        <v>44823</v>
      </c>
      <c r="E1799" s="1" t="s">
        <v>26</v>
      </c>
      <c r="F1799" s="1" t="s">
        <v>1827</v>
      </c>
      <c r="G1799" s="1" t="s">
        <v>28</v>
      </c>
      <c r="H1799" s="1">
        <v>1897</v>
      </c>
      <c r="I1799" s="1">
        <f t="shared" si="228"/>
        <v>53</v>
      </c>
      <c r="J1799" s="1">
        <f>VLOOKUP(B1799,Cena!$A$2:$B$101,2)</f>
        <v>121</v>
      </c>
      <c r="K1799" s="1">
        <f t="shared" si="224"/>
        <v>6413</v>
      </c>
      <c r="L1799" s="1">
        <f t="shared" si="229"/>
        <v>1474.99</v>
      </c>
      <c r="M1799" s="22">
        <f t="shared" si="225"/>
        <v>7887.99</v>
      </c>
      <c r="N1799" s="1">
        <f t="shared" ca="1" si="230"/>
        <v>9</v>
      </c>
      <c r="P1799" s="1">
        <v>53.158743311360013</v>
      </c>
      <c r="Q1799" s="1">
        <f t="shared" ca="1" si="231"/>
        <v>16</v>
      </c>
      <c r="R1799" s="1">
        <v>9.7791121586487861</v>
      </c>
    </row>
    <row r="1800" spans="1:18" x14ac:dyDescent="0.3">
      <c r="A1800" s="26">
        <v>1799</v>
      </c>
      <c r="B1800" s="1">
        <v>25</v>
      </c>
      <c r="C1800" s="1">
        <f t="shared" si="227"/>
        <v>10</v>
      </c>
      <c r="D1800" s="21">
        <f t="shared" ca="1" si="226"/>
        <v>44743</v>
      </c>
      <c r="E1800" s="1" t="s">
        <v>26</v>
      </c>
      <c r="F1800" s="1" t="s">
        <v>1828</v>
      </c>
      <c r="G1800" s="1" t="s">
        <v>28</v>
      </c>
      <c r="H1800" s="1">
        <v>1898</v>
      </c>
      <c r="I1800" s="1">
        <f t="shared" si="228"/>
        <v>51</v>
      </c>
      <c r="J1800" s="1">
        <f>VLOOKUP(B1800,Cena!$A$2:$B$101,2)</f>
        <v>108</v>
      </c>
      <c r="K1800" s="1">
        <f t="shared" si="224"/>
        <v>5508</v>
      </c>
      <c r="L1800" s="1">
        <f t="shared" si="229"/>
        <v>1266.8400000000001</v>
      </c>
      <c r="M1800" s="22">
        <f t="shared" si="225"/>
        <v>6774.84</v>
      </c>
      <c r="N1800" s="1">
        <f t="shared" ca="1" si="230"/>
        <v>7</v>
      </c>
      <c r="P1800" s="1">
        <v>51.200464794237632</v>
      </c>
      <c r="Q1800" s="1">
        <f t="shared" ca="1" si="231"/>
        <v>19</v>
      </c>
      <c r="R1800" s="1">
        <v>10.324786242344999</v>
      </c>
    </row>
    <row r="1801" spans="1:18" x14ac:dyDescent="0.3">
      <c r="A1801" s="26">
        <v>1800</v>
      </c>
      <c r="B1801" s="1">
        <v>10</v>
      </c>
      <c r="C1801" s="1">
        <f t="shared" si="227"/>
        <v>9</v>
      </c>
      <c r="D1801" s="21">
        <f t="shared" ca="1" si="226"/>
        <v>44586</v>
      </c>
      <c r="E1801" s="1" t="s">
        <v>26</v>
      </c>
      <c r="F1801" s="1" t="s">
        <v>1829</v>
      </c>
      <c r="G1801" s="1" t="s">
        <v>28</v>
      </c>
      <c r="H1801" s="1">
        <v>1899</v>
      </c>
      <c r="I1801" s="1">
        <f t="shared" si="228"/>
        <v>64</v>
      </c>
      <c r="J1801" s="1">
        <f>VLOOKUP(B1801,Cena!$A$2:$B$101,2)</f>
        <v>109</v>
      </c>
      <c r="K1801" s="1">
        <f t="shared" si="224"/>
        <v>6976</v>
      </c>
      <c r="L1801" s="1">
        <f t="shared" si="229"/>
        <v>1604.48</v>
      </c>
      <c r="M1801" s="22">
        <f t="shared" si="225"/>
        <v>8580.48</v>
      </c>
      <c r="N1801" s="1">
        <f t="shared" ca="1" si="230"/>
        <v>1</v>
      </c>
      <c r="P1801" s="1">
        <v>64.215538612916134</v>
      </c>
      <c r="Q1801" s="1">
        <f t="shared" ca="1" si="231"/>
        <v>3</v>
      </c>
      <c r="R1801" s="1">
        <v>9.1875654359319014</v>
      </c>
    </row>
    <row r="1802" spans="1:18" x14ac:dyDescent="0.3">
      <c r="A1802" s="26">
        <v>1801</v>
      </c>
      <c r="B1802" s="1">
        <v>12</v>
      </c>
      <c r="C1802" s="1">
        <f t="shared" si="227"/>
        <v>2</v>
      </c>
      <c r="D1802" s="21">
        <f t="shared" ca="1" si="226"/>
        <v>44562</v>
      </c>
      <c r="E1802" s="1" t="s">
        <v>26</v>
      </c>
      <c r="F1802" s="1" t="s">
        <v>1830</v>
      </c>
      <c r="G1802" s="1" t="s">
        <v>28</v>
      </c>
      <c r="H1802" s="1">
        <v>1900</v>
      </c>
      <c r="I1802" s="1">
        <f t="shared" si="228"/>
        <v>60</v>
      </c>
      <c r="J1802" s="1">
        <f>VLOOKUP(B1802,Cena!$A$2:$B$101,2)</f>
        <v>88</v>
      </c>
      <c r="K1802" s="1">
        <f t="shared" si="224"/>
        <v>5280</v>
      </c>
      <c r="L1802" s="1">
        <f t="shared" si="229"/>
        <v>1214.4000000000001</v>
      </c>
      <c r="M1802" s="22">
        <f t="shared" si="225"/>
        <v>6494.4</v>
      </c>
      <c r="N1802" s="1">
        <f t="shared" ca="1" si="230"/>
        <v>1</v>
      </c>
      <c r="P1802" s="1">
        <v>60.884969015023671</v>
      </c>
      <c r="Q1802" s="1">
        <f t="shared" ca="1" si="231"/>
        <v>29</v>
      </c>
      <c r="R1802" s="1">
        <v>2.9732439341023564</v>
      </c>
    </row>
    <row r="1803" spans="1:18" x14ac:dyDescent="0.3">
      <c r="A1803" s="26">
        <v>1802</v>
      </c>
      <c r="B1803" s="1">
        <v>1</v>
      </c>
      <c r="C1803" s="1">
        <f t="shared" si="227"/>
        <v>8</v>
      </c>
      <c r="D1803" s="21">
        <f t="shared" ca="1" si="226"/>
        <v>44789</v>
      </c>
      <c r="E1803" s="1" t="s">
        <v>26</v>
      </c>
      <c r="F1803" s="1" t="s">
        <v>1831</v>
      </c>
      <c r="G1803" s="1" t="s">
        <v>28</v>
      </c>
      <c r="H1803" s="1">
        <v>1901</v>
      </c>
      <c r="I1803" s="1">
        <f t="shared" si="228"/>
        <v>60</v>
      </c>
      <c r="J1803" s="1">
        <f>VLOOKUP(B1803,Cena!$A$2:$B$101,2)</f>
        <v>84</v>
      </c>
      <c r="K1803" s="1">
        <f t="shared" si="224"/>
        <v>5040</v>
      </c>
      <c r="L1803" s="1">
        <f t="shared" si="229"/>
        <v>1159.2</v>
      </c>
      <c r="M1803" s="22">
        <f t="shared" si="225"/>
        <v>6199.2</v>
      </c>
      <c r="N1803" s="1">
        <f t="shared" ca="1" si="230"/>
        <v>8</v>
      </c>
      <c r="P1803" s="1">
        <v>60.33956777973799</v>
      </c>
      <c r="Q1803" s="1">
        <f t="shared" ca="1" si="231"/>
        <v>11</v>
      </c>
      <c r="R1803" s="1">
        <v>8.8487616064958274</v>
      </c>
    </row>
    <row r="1804" spans="1:18" x14ac:dyDescent="0.3">
      <c r="A1804" s="26">
        <v>1803</v>
      </c>
      <c r="B1804" s="1">
        <v>6</v>
      </c>
      <c r="C1804" s="1">
        <f t="shared" si="227"/>
        <v>11</v>
      </c>
      <c r="D1804" s="21">
        <f t="shared" ca="1" si="226"/>
        <v>44784</v>
      </c>
      <c r="E1804" s="1" t="s">
        <v>26</v>
      </c>
      <c r="F1804" s="1" t="s">
        <v>1832</v>
      </c>
      <c r="G1804" s="1" t="s">
        <v>28</v>
      </c>
      <c r="H1804" s="1">
        <v>1902</v>
      </c>
      <c r="I1804" s="1">
        <f t="shared" si="228"/>
        <v>71</v>
      </c>
      <c r="J1804" s="1">
        <f>VLOOKUP(B1804,Cena!$A$2:$B$101,2)</f>
        <v>86</v>
      </c>
      <c r="K1804" s="1">
        <f t="shared" si="224"/>
        <v>6106</v>
      </c>
      <c r="L1804" s="1">
        <f t="shared" si="229"/>
        <v>1404.38</v>
      </c>
      <c r="M1804" s="22">
        <f t="shared" si="225"/>
        <v>7510.38</v>
      </c>
      <c r="N1804" s="1">
        <f t="shared" ca="1" si="230"/>
        <v>8</v>
      </c>
      <c r="P1804" s="1">
        <v>71.051346266176552</v>
      </c>
      <c r="Q1804" s="1">
        <f t="shared" ca="1" si="231"/>
        <v>15</v>
      </c>
      <c r="R1804" s="1">
        <v>11.844205144152511</v>
      </c>
    </row>
    <row r="1805" spans="1:18" x14ac:dyDescent="0.3">
      <c r="A1805" s="26">
        <v>1804</v>
      </c>
      <c r="B1805" s="1">
        <v>15</v>
      </c>
      <c r="C1805" s="1">
        <f t="shared" si="227"/>
        <v>10</v>
      </c>
      <c r="D1805" s="21">
        <f t="shared" ca="1" si="226"/>
        <v>44571</v>
      </c>
      <c r="E1805" s="1" t="s">
        <v>26</v>
      </c>
      <c r="F1805" s="1" t="s">
        <v>1833</v>
      </c>
      <c r="G1805" s="1" t="s">
        <v>28</v>
      </c>
      <c r="H1805" s="1">
        <v>1903</v>
      </c>
      <c r="I1805" s="1">
        <f t="shared" si="228"/>
        <v>43</v>
      </c>
      <c r="J1805" s="1">
        <f>VLOOKUP(B1805,Cena!$A$2:$B$101,2)</f>
        <v>85</v>
      </c>
      <c r="K1805" s="1">
        <f t="shared" si="224"/>
        <v>3655</v>
      </c>
      <c r="L1805" s="1">
        <f t="shared" si="229"/>
        <v>840.65000000000009</v>
      </c>
      <c r="M1805" s="22">
        <f t="shared" si="225"/>
        <v>4495.6499999999996</v>
      </c>
      <c r="N1805" s="1">
        <f t="shared" ca="1" si="230"/>
        <v>1</v>
      </c>
      <c r="P1805" s="1">
        <v>43.463256942050066</v>
      </c>
      <c r="Q1805" s="1">
        <f t="shared" ca="1" si="231"/>
        <v>18</v>
      </c>
      <c r="R1805" s="1">
        <v>10.611234440839326</v>
      </c>
    </row>
    <row r="1806" spans="1:18" x14ac:dyDescent="0.3">
      <c r="A1806" s="26">
        <v>1805</v>
      </c>
      <c r="B1806" s="1">
        <v>13</v>
      </c>
      <c r="C1806" s="1">
        <f t="shared" si="227"/>
        <v>13</v>
      </c>
      <c r="D1806" s="21">
        <f t="shared" ca="1" si="226"/>
        <v>44601</v>
      </c>
      <c r="E1806" s="1" t="s">
        <v>26</v>
      </c>
      <c r="F1806" s="1" t="s">
        <v>1834</v>
      </c>
      <c r="G1806" s="1" t="s">
        <v>28</v>
      </c>
      <c r="H1806" s="1">
        <v>1904</v>
      </c>
      <c r="I1806" s="1">
        <f t="shared" si="228"/>
        <v>31</v>
      </c>
      <c r="J1806" s="1">
        <f>VLOOKUP(B1806,Cena!$A$2:$B$101,2)</f>
        <v>94</v>
      </c>
      <c r="K1806" s="1">
        <f t="shared" si="224"/>
        <v>2914</v>
      </c>
      <c r="L1806" s="1">
        <f t="shared" si="229"/>
        <v>670.22</v>
      </c>
      <c r="M1806" s="22">
        <f t="shared" si="225"/>
        <v>3584.2200000000003</v>
      </c>
      <c r="N1806" s="1">
        <f t="shared" ca="1" si="230"/>
        <v>2</v>
      </c>
      <c r="P1806" s="1">
        <v>31.602013576775789</v>
      </c>
      <c r="Q1806" s="1">
        <f t="shared" ca="1" si="231"/>
        <v>23</v>
      </c>
      <c r="R1806" s="1">
        <v>13.908223789039766</v>
      </c>
    </row>
    <row r="1807" spans="1:18" x14ac:dyDescent="0.3">
      <c r="A1807" s="26">
        <v>1806</v>
      </c>
      <c r="B1807" s="1">
        <v>29</v>
      </c>
      <c r="C1807" s="1">
        <f t="shared" si="227"/>
        <v>13</v>
      </c>
      <c r="D1807" s="21">
        <f t="shared" ca="1" si="226"/>
        <v>44816</v>
      </c>
      <c r="E1807" s="1" t="s">
        <v>26</v>
      </c>
      <c r="F1807" s="1" t="s">
        <v>1835</v>
      </c>
      <c r="G1807" s="1" t="s">
        <v>28</v>
      </c>
      <c r="H1807" s="1">
        <v>1905</v>
      </c>
      <c r="I1807" s="1">
        <f t="shared" si="228"/>
        <v>51</v>
      </c>
      <c r="J1807" s="1">
        <f>VLOOKUP(B1807,Cena!$A$2:$B$101,2)</f>
        <v>105</v>
      </c>
      <c r="K1807" s="1">
        <f t="shared" si="224"/>
        <v>5355</v>
      </c>
      <c r="L1807" s="1">
        <f t="shared" si="229"/>
        <v>1231.6500000000001</v>
      </c>
      <c r="M1807" s="22">
        <f t="shared" si="225"/>
        <v>6586.65</v>
      </c>
      <c r="N1807" s="1">
        <f t="shared" ca="1" si="230"/>
        <v>9</v>
      </c>
      <c r="P1807" s="1">
        <v>51.27292878460139</v>
      </c>
      <c r="Q1807" s="1">
        <f t="shared" ca="1" si="231"/>
        <v>21</v>
      </c>
      <c r="R1807" s="1">
        <v>13.957666194764897</v>
      </c>
    </row>
    <row r="1808" spans="1:18" x14ac:dyDescent="0.3">
      <c r="A1808" s="26">
        <v>1807</v>
      </c>
      <c r="B1808" s="1">
        <v>11</v>
      </c>
      <c r="C1808" s="1">
        <f t="shared" si="227"/>
        <v>12</v>
      </c>
      <c r="D1808" s="21">
        <f t="shared" ca="1" si="226"/>
        <v>44758</v>
      </c>
      <c r="E1808" s="1" t="s">
        <v>26</v>
      </c>
      <c r="F1808" s="1" t="s">
        <v>1836</v>
      </c>
      <c r="G1808" s="1" t="s">
        <v>28</v>
      </c>
      <c r="H1808" s="1">
        <v>1906</v>
      </c>
      <c r="I1808" s="1">
        <f t="shared" si="228"/>
        <v>30</v>
      </c>
      <c r="J1808" s="1">
        <f>VLOOKUP(B1808,Cena!$A$2:$B$101,2)</f>
        <v>83</v>
      </c>
      <c r="K1808" s="1">
        <f t="shared" si="224"/>
        <v>2490</v>
      </c>
      <c r="L1808" s="1">
        <f t="shared" si="229"/>
        <v>572.70000000000005</v>
      </c>
      <c r="M1808" s="22">
        <f t="shared" si="225"/>
        <v>3062.7</v>
      </c>
      <c r="N1808" s="1">
        <f t="shared" ca="1" si="230"/>
        <v>7</v>
      </c>
      <c r="P1808" s="1">
        <v>30.538541421992704</v>
      </c>
      <c r="Q1808" s="1">
        <f t="shared" ca="1" si="231"/>
        <v>5</v>
      </c>
      <c r="R1808" s="1">
        <v>12.07082848646678</v>
      </c>
    </row>
    <row r="1809" spans="1:18" x14ac:dyDescent="0.3">
      <c r="A1809" s="26">
        <v>1808</v>
      </c>
      <c r="B1809" s="1">
        <v>13</v>
      </c>
      <c r="C1809" s="1">
        <f t="shared" si="227"/>
        <v>8</v>
      </c>
      <c r="D1809" s="21">
        <f t="shared" ca="1" si="226"/>
        <v>44606</v>
      </c>
      <c r="E1809" s="1" t="s">
        <v>26</v>
      </c>
      <c r="F1809" s="1" t="s">
        <v>1837</v>
      </c>
      <c r="G1809" s="1" t="s">
        <v>28</v>
      </c>
      <c r="H1809" s="1">
        <v>1907</v>
      </c>
      <c r="I1809" s="1">
        <f t="shared" si="228"/>
        <v>45</v>
      </c>
      <c r="J1809" s="1">
        <f>VLOOKUP(B1809,Cena!$A$2:$B$101,2)</f>
        <v>94</v>
      </c>
      <c r="K1809" s="1">
        <f t="shared" si="224"/>
        <v>4230</v>
      </c>
      <c r="L1809" s="1">
        <f t="shared" si="229"/>
        <v>972.90000000000009</v>
      </c>
      <c r="M1809" s="22">
        <f t="shared" si="225"/>
        <v>5202.8999999999996</v>
      </c>
      <c r="N1809" s="1">
        <f t="shared" ca="1" si="230"/>
        <v>2</v>
      </c>
      <c r="P1809" s="1">
        <v>45.087489423895022</v>
      </c>
      <c r="Q1809" s="1">
        <f t="shared" ca="1" si="231"/>
        <v>28</v>
      </c>
      <c r="R1809" s="1">
        <v>8.3835323291714303</v>
      </c>
    </row>
    <row r="1810" spans="1:18" x14ac:dyDescent="0.3">
      <c r="A1810" s="26">
        <v>1809</v>
      </c>
      <c r="B1810" s="1">
        <v>15</v>
      </c>
      <c r="C1810" s="1">
        <f t="shared" si="227"/>
        <v>10</v>
      </c>
      <c r="D1810" s="21">
        <f t="shared" ca="1" si="226"/>
        <v>44911</v>
      </c>
      <c r="E1810" s="1" t="s">
        <v>26</v>
      </c>
      <c r="F1810" s="1" t="s">
        <v>1838</v>
      </c>
      <c r="G1810" s="1" t="s">
        <v>28</v>
      </c>
      <c r="H1810" s="1">
        <v>1908</v>
      </c>
      <c r="I1810" s="1">
        <f t="shared" si="228"/>
        <v>48</v>
      </c>
      <c r="J1810" s="1">
        <f>VLOOKUP(B1810,Cena!$A$2:$B$101,2)</f>
        <v>85</v>
      </c>
      <c r="K1810" s="1">
        <f t="shared" si="224"/>
        <v>4080</v>
      </c>
      <c r="L1810" s="1">
        <f t="shared" si="229"/>
        <v>938.40000000000009</v>
      </c>
      <c r="M1810" s="22">
        <f t="shared" si="225"/>
        <v>5018.3999999999996</v>
      </c>
      <c r="N1810" s="1">
        <f t="shared" ca="1" si="230"/>
        <v>12</v>
      </c>
      <c r="P1810" s="1">
        <v>48.261262135201832</v>
      </c>
      <c r="Q1810" s="1">
        <f t="shared" ca="1" si="231"/>
        <v>28</v>
      </c>
      <c r="R1810" s="1">
        <v>10.016925127965806</v>
      </c>
    </row>
    <row r="1811" spans="1:18" x14ac:dyDescent="0.3">
      <c r="A1811" s="26">
        <v>1810</v>
      </c>
      <c r="B1811" s="1">
        <v>5</v>
      </c>
      <c r="C1811" s="1">
        <f t="shared" si="227"/>
        <v>8</v>
      </c>
      <c r="D1811" s="21">
        <f t="shared" ca="1" si="226"/>
        <v>44757</v>
      </c>
      <c r="E1811" s="1" t="s">
        <v>26</v>
      </c>
      <c r="F1811" s="1" t="s">
        <v>1839</v>
      </c>
      <c r="G1811" s="1" t="s">
        <v>28</v>
      </c>
      <c r="H1811" s="1">
        <v>1909</v>
      </c>
      <c r="I1811" s="1">
        <f t="shared" si="228"/>
        <v>45</v>
      </c>
      <c r="J1811" s="1">
        <f>VLOOKUP(B1811,Cena!$A$2:$B$101,2)</f>
        <v>91</v>
      </c>
      <c r="K1811" s="1">
        <f t="shared" si="224"/>
        <v>4095</v>
      </c>
      <c r="L1811" s="1">
        <f t="shared" si="229"/>
        <v>941.85</v>
      </c>
      <c r="M1811" s="22">
        <f t="shared" si="225"/>
        <v>5036.8500000000004</v>
      </c>
      <c r="N1811" s="1">
        <f t="shared" ca="1" si="230"/>
        <v>7</v>
      </c>
      <c r="P1811" s="1">
        <v>45.043424405594124</v>
      </c>
      <c r="Q1811" s="1">
        <f t="shared" ca="1" si="231"/>
        <v>23</v>
      </c>
      <c r="R1811" s="1">
        <v>8.5833312621252844</v>
      </c>
    </row>
    <row r="1812" spans="1:18" x14ac:dyDescent="0.3">
      <c r="A1812" s="26">
        <v>1811</v>
      </c>
      <c r="B1812" s="1">
        <v>17</v>
      </c>
      <c r="C1812" s="1">
        <f t="shared" si="227"/>
        <v>11</v>
      </c>
      <c r="D1812" s="21">
        <f t="shared" ca="1" si="226"/>
        <v>44723</v>
      </c>
      <c r="E1812" s="1" t="s">
        <v>26</v>
      </c>
      <c r="F1812" s="1" t="s">
        <v>1840</v>
      </c>
      <c r="G1812" s="1" t="s">
        <v>28</v>
      </c>
      <c r="H1812" s="1">
        <v>1910</v>
      </c>
      <c r="I1812" s="1">
        <f t="shared" si="228"/>
        <v>67</v>
      </c>
      <c r="J1812" s="1">
        <f>VLOOKUP(B1812,Cena!$A$2:$B$101,2)</f>
        <v>84</v>
      </c>
      <c r="K1812" s="1">
        <f t="shared" si="224"/>
        <v>5628</v>
      </c>
      <c r="L1812" s="1">
        <f t="shared" si="229"/>
        <v>1294.44</v>
      </c>
      <c r="M1812" s="22">
        <f t="shared" si="225"/>
        <v>6922.4400000000005</v>
      </c>
      <c r="N1812" s="1">
        <f t="shared" ca="1" si="230"/>
        <v>6</v>
      </c>
      <c r="P1812" s="1">
        <v>67.379625205649063</v>
      </c>
      <c r="Q1812" s="1">
        <f t="shared" ca="1" si="231"/>
        <v>15</v>
      </c>
      <c r="R1812" s="1">
        <v>11.07416155969986</v>
      </c>
    </row>
    <row r="1813" spans="1:18" x14ac:dyDescent="0.3">
      <c r="A1813" s="26">
        <v>1812</v>
      </c>
      <c r="B1813" s="1">
        <v>9</v>
      </c>
      <c r="C1813" s="1">
        <f t="shared" si="227"/>
        <v>5</v>
      </c>
      <c r="D1813" s="21">
        <f t="shared" ca="1" si="226"/>
        <v>44910</v>
      </c>
      <c r="E1813" s="1" t="s">
        <v>26</v>
      </c>
      <c r="F1813" s="1" t="s">
        <v>1841</v>
      </c>
      <c r="G1813" s="1" t="s">
        <v>28</v>
      </c>
      <c r="H1813" s="1">
        <v>1911</v>
      </c>
      <c r="I1813" s="1">
        <f t="shared" si="228"/>
        <v>54</v>
      </c>
      <c r="J1813" s="1">
        <f>VLOOKUP(B1813,Cena!$A$2:$B$101,2)</f>
        <v>96</v>
      </c>
      <c r="K1813" s="1">
        <f t="shared" si="224"/>
        <v>5184</v>
      </c>
      <c r="L1813" s="1">
        <f t="shared" si="229"/>
        <v>1192.3200000000002</v>
      </c>
      <c r="M1813" s="22">
        <f t="shared" si="225"/>
        <v>6376.32</v>
      </c>
      <c r="N1813" s="1">
        <f t="shared" ca="1" si="230"/>
        <v>12</v>
      </c>
      <c r="P1813" s="1">
        <v>54.173637080384651</v>
      </c>
      <c r="Q1813" s="1">
        <f t="shared" ca="1" si="231"/>
        <v>10</v>
      </c>
      <c r="R1813" s="1">
        <v>5.030088939529378</v>
      </c>
    </row>
    <row r="1814" spans="1:18" x14ac:dyDescent="0.3">
      <c r="A1814" s="26">
        <v>1813</v>
      </c>
      <c r="B1814" s="1">
        <v>30</v>
      </c>
      <c r="C1814" s="1">
        <f t="shared" si="227"/>
        <v>13</v>
      </c>
      <c r="D1814" s="21">
        <f t="shared" ca="1" si="226"/>
        <v>44618</v>
      </c>
      <c r="E1814" s="1" t="s">
        <v>26</v>
      </c>
      <c r="F1814" s="1" t="s">
        <v>1842</v>
      </c>
      <c r="G1814" s="1" t="s">
        <v>28</v>
      </c>
      <c r="H1814" s="1">
        <v>1912</v>
      </c>
      <c r="I1814" s="1">
        <f t="shared" si="228"/>
        <v>52</v>
      </c>
      <c r="J1814" s="1">
        <f>VLOOKUP(B1814,Cena!$A$2:$B$101,2)</f>
        <v>87</v>
      </c>
      <c r="K1814" s="1">
        <f t="shared" si="224"/>
        <v>4524</v>
      </c>
      <c r="L1814" s="1">
        <f t="shared" si="229"/>
        <v>1040.52</v>
      </c>
      <c r="M1814" s="22">
        <f t="shared" si="225"/>
        <v>5564.52</v>
      </c>
      <c r="N1814" s="1">
        <f t="shared" ca="1" si="230"/>
        <v>2</v>
      </c>
      <c r="P1814" s="1">
        <v>52.097181095450651</v>
      </c>
      <c r="Q1814" s="1">
        <f t="shared" ca="1" si="231"/>
        <v>29</v>
      </c>
      <c r="R1814" s="1">
        <v>13.098375600529835</v>
      </c>
    </row>
    <row r="1815" spans="1:18" x14ac:dyDescent="0.3">
      <c r="A1815" s="26">
        <v>1814</v>
      </c>
      <c r="B1815" s="1">
        <v>8</v>
      </c>
      <c r="C1815" s="1">
        <f t="shared" si="227"/>
        <v>10</v>
      </c>
      <c r="D1815" s="21">
        <f t="shared" ca="1" si="226"/>
        <v>44867</v>
      </c>
      <c r="E1815" s="1" t="s">
        <v>26</v>
      </c>
      <c r="F1815" s="1" t="s">
        <v>1843</v>
      </c>
      <c r="G1815" s="1" t="s">
        <v>28</v>
      </c>
      <c r="H1815" s="1">
        <v>1913</v>
      </c>
      <c r="I1815" s="1">
        <f t="shared" si="228"/>
        <v>44</v>
      </c>
      <c r="J1815" s="1">
        <f>VLOOKUP(B1815,Cena!$A$2:$B$101,2)</f>
        <v>88</v>
      </c>
      <c r="K1815" s="1">
        <f t="shared" si="224"/>
        <v>3872</v>
      </c>
      <c r="L1815" s="1">
        <f t="shared" si="229"/>
        <v>890.56000000000006</v>
      </c>
      <c r="M1815" s="22">
        <f t="shared" si="225"/>
        <v>4762.5600000000004</v>
      </c>
      <c r="N1815" s="1">
        <f t="shared" ca="1" si="230"/>
        <v>11</v>
      </c>
      <c r="P1815" s="1">
        <v>44.614950082905125</v>
      </c>
      <c r="Q1815" s="1">
        <f t="shared" ca="1" si="231"/>
        <v>6</v>
      </c>
      <c r="R1815" s="1">
        <v>10.945703959587263</v>
      </c>
    </row>
    <row r="1816" spans="1:18" x14ac:dyDescent="0.3">
      <c r="A1816" s="26">
        <v>1815</v>
      </c>
      <c r="B1816" s="1">
        <v>12</v>
      </c>
      <c r="C1816" s="1">
        <f t="shared" si="227"/>
        <v>8</v>
      </c>
      <c r="D1816" s="21">
        <f t="shared" ca="1" si="226"/>
        <v>44570</v>
      </c>
      <c r="E1816" s="1" t="s">
        <v>26</v>
      </c>
      <c r="F1816" s="1" t="s">
        <v>1844</v>
      </c>
      <c r="G1816" s="1" t="s">
        <v>28</v>
      </c>
      <c r="H1816" s="1">
        <v>1914</v>
      </c>
      <c r="I1816" s="1">
        <f t="shared" si="228"/>
        <v>50</v>
      </c>
      <c r="J1816" s="1">
        <f>VLOOKUP(B1816,Cena!$A$2:$B$101,2)</f>
        <v>88</v>
      </c>
      <c r="K1816" s="1">
        <f t="shared" si="224"/>
        <v>4400</v>
      </c>
      <c r="L1816" s="1">
        <f t="shared" si="229"/>
        <v>1012</v>
      </c>
      <c r="M1816" s="22">
        <f t="shared" si="225"/>
        <v>5412</v>
      </c>
      <c r="N1816" s="1">
        <f t="shared" ca="1" si="230"/>
        <v>1</v>
      </c>
      <c r="P1816" s="1">
        <v>50.841328073875047</v>
      </c>
      <c r="Q1816" s="1">
        <f t="shared" ca="1" si="231"/>
        <v>11</v>
      </c>
      <c r="R1816" s="1">
        <v>8.2928898134559859</v>
      </c>
    </row>
    <row r="1817" spans="1:18" x14ac:dyDescent="0.3">
      <c r="A1817" s="26">
        <v>1816</v>
      </c>
      <c r="B1817" s="1">
        <v>25</v>
      </c>
      <c r="C1817" s="1">
        <f t="shared" si="227"/>
        <v>10</v>
      </c>
      <c r="D1817" s="21">
        <f t="shared" ca="1" si="226"/>
        <v>44694</v>
      </c>
      <c r="E1817" s="1" t="s">
        <v>26</v>
      </c>
      <c r="F1817" s="1" t="s">
        <v>1845</v>
      </c>
      <c r="G1817" s="1" t="s">
        <v>28</v>
      </c>
      <c r="H1817" s="1">
        <v>1915</v>
      </c>
      <c r="I1817" s="1">
        <f t="shared" si="228"/>
        <v>57</v>
      </c>
      <c r="J1817" s="1">
        <f>VLOOKUP(B1817,Cena!$A$2:$B$101,2)</f>
        <v>108</v>
      </c>
      <c r="K1817" s="1">
        <f t="shared" si="224"/>
        <v>6156</v>
      </c>
      <c r="L1817" s="1">
        <f t="shared" si="229"/>
        <v>1415.88</v>
      </c>
      <c r="M1817" s="22">
        <f t="shared" si="225"/>
        <v>7571.88</v>
      </c>
      <c r="N1817" s="1">
        <f t="shared" ca="1" si="230"/>
        <v>5</v>
      </c>
      <c r="P1817" s="1">
        <v>57.988273864611983</v>
      </c>
      <c r="Q1817" s="1">
        <f t="shared" ca="1" si="231"/>
        <v>4</v>
      </c>
      <c r="R1817" s="1">
        <v>10.002580691216281</v>
      </c>
    </row>
    <row r="1818" spans="1:18" x14ac:dyDescent="0.3">
      <c r="A1818" s="26">
        <v>1817</v>
      </c>
      <c r="B1818" s="1">
        <v>26</v>
      </c>
      <c r="C1818" s="1">
        <f t="shared" si="227"/>
        <v>7</v>
      </c>
      <c r="D1818" s="21">
        <f t="shared" ca="1" si="226"/>
        <v>44707</v>
      </c>
      <c r="E1818" s="1" t="s">
        <v>26</v>
      </c>
      <c r="F1818" s="1" t="s">
        <v>1846</v>
      </c>
      <c r="G1818" s="1" t="s">
        <v>28</v>
      </c>
      <c r="H1818" s="1">
        <v>1916</v>
      </c>
      <c r="I1818" s="1">
        <f t="shared" si="228"/>
        <v>45</v>
      </c>
      <c r="J1818" s="1">
        <f>VLOOKUP(B1818,Cena!$A$2:$B$101,2)</f>
        <v>99</v>
      </c>
      <c r="K1818" s="1">
        <f t="shared" si="224"/>
        <v>4455</v>
      </c>
      <c r="L1818" s="1">
        <f t="shared" si="229"/>
        <v>1024.6500000000001</v>
      </c>
      <c r="M1818" s="22">
        <f t="shared" si="225"/>
        <v>5479.65</v>
      </c>
      <c r="N1818" s="1">
        <f t="shared" ca="1" si="230"/>
        <v>5</v>
      </c>
      <c r="P1818" s="1">
        <v>45.784594375436427</v>
      </c>
      <c r="Q1818" s="1">
        <f t="shared" ca="1" si="231"/>
        <v>12</v>
      </c>
      <c r="R1818" s="1">
        <v>7.2818670812557684</v>
      </c>
    </row>
    <row r="1819" spans="1:18" x14ac:dyDescent="0.3">
      <c r="A1819" s="26">
        <v>1818</v>
      </c>
      <c r="B1819" s="1">
        <v>11</v>
      </c>
      <c r="C1819" s="1">
        <f t="shared" si="227"/>
        <v>12</v>
      </c>
      <c r="D1819" s="21">
        <f t="shared" ca="1" si="226"/>
        <v>44745</v>
      </c>
      <c r="E1819" s="1" t="s">
        <v>26</v>
      </c>
      <c r="F1819" s="1" t="s">
        <v>1847</v>
      </c>
      <c r="G1819" s="1" t="s">
        <v>28</v>
      </c>
      <c r="H1819" s="1">
        <v>1917</v>
      </c>
      <c r="I1819" s="1">
        <f t="shared" si="228"/>
        <v>52</v>
      </c>
      <c r="J1819" s="1">
        <f>VLOOKUP(B1819,Cena!$A$2:$B$101,2)</f>
        <v>83</v>
      </c>
      <c r="K1819" s="1">
        <f t="shared" si="224"/>
        <v>4316</v>
      </c>
      <c r="L1819" s="1">
        <f t="shared" si="229"/>
        <v>992.68000000000006</v>
      </c>
      <c r="M1819" s="22">
        <f t="shared" si="225"/>
        <v>5308.68</v>
      </c>
      <c r="N1819" s="1">
        <f t="shared" ca="1" si="230"/>
        <v>7</v>
      </c>
      <c r="P1819" s="1">
        <v>52.387446329521481</v>
      </c>
      <c r="Q1819" s="1">
        <f t="shared" ca="1" si="231"/>
        <v>10</v>
      </c>
      <c r="R1819" s="1">
        <v>12.748026872723131</v>
      </c>
    </row>
    <row r="1820" spans="1:18" x14ac:dyDescent="0.3">
      <c r="A1820" s="26">
        <v>1819</v>
      </c>
      <c r="B1820" s="1">
        <v>29</v>
      </c>
      <c r="C1820" s="1">
        <f t="shared" si="227"/>
        <v>11</v>
      </c>
      <c r="D1820" s="21">
        <f t="shared" ca="1" si="226"/>
        <v>44872</v>
      </c>
      <c r="E1820" s="1" t="s">
        <v>26</v>
      </c>
      <c r="F1820" s="1" t="s">
        <v>1848</v>
      </c>
      <c r="G1820" s="1" t="s">
        <v>28</v>
      </c>
      <c r="H1820" s="1">
        <v>1918</v>
      </c>
      <c r="I1820" s="1">
        <f t="shared" si="228"/>
        <v>36</v>
      </c>
      <c r="J1820" s="1">
        <f>VLOOKUP(B1820,Cena!$A$2:$B$101,2)</f>
        <v>105</v>
      </c>
      <c r="K1820" s="1">
        <f t="shared" si="224"/>
        <v>3780</v>
      </c>
      <c r="L1820" s="1">
        <f t="shared" si="229"/>
        <v>869.40000000000009</v>
      </c>
      <c r="M1820" s="22">
        <f t="shared" si="225"/>
        <v>4649.3999999999996</v>
      </c>
      <c r="N1820" s="1">
        <f t="shared" ca="1" si="230"/>
        <v>11</v>
      </c>
      <c r="P1820" s="1">
        <v>36.596139933681116</v>
      </c>
      <c r="Q1820" s="1">
        <f t="shared" ca="1" si="231"/>
        <v>7</v>
      </c>
      <c r="R1820" s="1">
        <v>11.870415644589229</v>
      </c>
    </row>
    <row r="1821" spans="1:18" x14ac:dyDescent="0.3">
      <c r="A1821" s="26">
        <v>1820</v>
      </c>
      <c r="B1821" s="1">
        <v>6</v>
      </c>
      <c r="C1821" s="1">
        <f t="shared" si="227"/>
        <v>8</v>
      </c>
      <c r="D1821" s="21">
        <f t="shared" ca="1" si="226"/>
        <v>44847</v>
      </c>
      <c r="E1821" s="1" t="s">
        <v>26</v>
      </c>
      <c r="F1821" s="1" t="s">
        <v>1849</v>
      </c>
      <c r="G1821" s="1" t="s">
        <v>28</v>
      </c>
      <c r="H1821" s="1">
        <v>1919</v>
      </c>
      <c r="I1821" s="1">
        <f t="shared" si="228"/>
        <v>46</v>
      </c>
      <c r="J1821" s="1">
        <f>VLOOKUP(B1821,Cena!$A$2:$B$101,2)</f>
        <v>86</v>
      </c>
      <c r="K1821" s="1">
        <f t="shared" si="224"/>
        <v>3956</v>
      </c>
      <c r="L1821" s="1">
        <f t="shared" si="229"/>
        <v>909.88</v>
      </c>
      <c r="M1821" s="22">
        <f t="shared" si="225"/>
        <v>4865.88</v>
      </c>
      <c r="N1821" s="1">
        <f t="shared" ca="1" si="230"/>
        <v>10</v>
      </c>
      <c r="P1821" s="1">
        <v>46.172778082836885</v>
      </c>
      <c r="Q1821" s="1">
        <f t="shared" ca="1" si="231"/>
        <v>28</v>
      </c>
      <c r="R1821" s="1">
        <v>8.4960027177294251</v>
      </c>
    </row>
    <row r="1822" spans="1:18" x14ac:dyDescent="0.3">
      <c r="A1822" s="26">
        <v>1821</v>
      </c>
      <c r="B1822" s="1">
        <v>6</v>
      </c>
      <c r="C1822" s="1">
        <f t="shared" si="227"/>
        <v>7</v>
      </c>
      <c r="D1822" s="21">
        <f t="shared" ca="1" si="226"/>
        <v>44627</v>
      </c>
      <c r="E1822" s="1" t="s">
        <v>26</v>
      </c>
      <c r="F1822" s="1" t="s">
        <v>1850</v>
      </c>
      <c r="G1822" s="1" t="s">
        <v>28</v>
      </c>
      <c r="H1822" s="1">
        <v>1920</v>
      </c>
      <c r="I1822" s="1">
        <f t="shared" si="228"/>
        <v>40</v>
      </c>
      <c r="J1822" s="1">
        <f>VLOOKUP(B1822,Cena!$A$2:$B$101,2)</f>
        <v>86</v>
      </c>
      <c r="K1822" s="1">
        <f t="shared" si="224"/>
        <v>3440</v>
      </c>
      <c r="L1822" s="1">
        <f t="shared" si="229"/>
        <v>791.2</v>
      </c>
      <c r="M1822" s="22">
        <f t="shared" si="225"/>
        <v>4231.2</v>
      </c>
      <c r="N1822" s="1">
        <f t="shared" ca="1" si="230"/>
        <v>3</v>
      </c>
      <c r="P1822" s="1">
        <v>40.114542924857233</v>
      </c>
      <c r="Q1822" s="1">
        <f t="shared" ca="1" si="231"/>
        <v>16</v>
      </c>
      <c r="R1822" s="1">
        <v>7.2829016314790351</v>
      </c>
    </row>
    <row r="1823" spans="1:18" x14ac:dyDescent="0.3">
      <c r="A1823" s="26">
        <v>1822</v>
      </c>
      <c r="B1823" s="1">
        <v>11</v>
      </c>
      <c r="C1823" s="1">
        <f t="shared" si="227"/>
        <v>12</v>
      </c>
      <c r="D1823" s="21">
        <f t="shared" ca="1" si="226"/>
        <v>44862</v>
      </c>
      <c r="E1823" s="1" t="s">
        <v>26</v>
      </c>
      <c r="F1823" s="1" t="s">
        <v>1851</v>
      </c>
      <c r="G1823" s="1" t="s">
        <v>28</v>
      </c>
      <c r="H1823" s="1">
        <v>1921</v>
      </c>
      <c r="I1823" s="1">
        <f t="shared" si="228"/>
        <v>65</v>
      </c>
      <c r="J1823" s="1">
        <f>VLOOKUP(B1823,Cena!$A$2:$B$101,2)</f>
        <v>83</v>
      </c>
      <c r="K1823" s="1">
        <f t="shared" ref="K1823:K1886" si="232">I1823*J1823</f>
        <v>5395</v>
      </c>
      <c r="L1823" s="1">
        <f t="shared" si="229"/>
        <v>1240.8500000000001</v>
      </c>
      <c r="M1823" s="22">
        <f t="shared" ref="M1823:M1886" si="233">K1823+L1823</f>
        <v>6635.85</v>
      </c>
      <c r="N1823" s="1">
        <f t="shared" ca="1" si="230"/>
        <v>10</v>
      </c>
      <c r="P1823" s="1">
        <v>65.408386389026418</v>
      </c>
      <c r="Q1823" s="1">
        <f t="shared" ca="1" si="231"/>
        <v>3</v>
      </c>
      <c r="R1823" s="1">
        <v>12.071095650535426</v>
      </c>
    </row>
    <row r="1824" spans="1:18" x14ac:dyDescent="0.3">
      <c r="A1824" s="26">
        <v>1823</v>
      </c>
      <c r="B1824" s="1">
        <v>29</v>
      </c>
      <c r="C1824" s="1">
        <f t="shared" si="227"/>
        <v>10</v>
      </c>
      <c r="D1824" s="21">
        <f t="shared" ca="1" si="226"/>
        <v>44922</v>
      </c>
      <c r="E1824" s="1" t="s">
        <v>26</v>
      </c>
      <c r="F1824" s="1" t="s">
        <v>1852</v>
      </c>
      <c r="G1824" s="1" t="s">
        <v>28</v>
      </c>
      <c r="H1824" s="1">
        <v>1922</v>
      </c>
      <c r="I1824" s="1">
        <f t="shared" si="228"/>
        <v>50</v>
      </c>
      <c r="J1824" s="1">
        <f>VLOOKUP(B1824,Cena!$A$2:$B$101,2)</f>
        <v>105</v>
      </c>
      <c r="K1824" s="1">
        <f t="shared" si="232"/>
        <v>5250</v>
      </c>
      <c r="L1824" s="1">
        <f t="shared" si="229"/>
        <v>1207.5</v>
      </c>
      <c r="M1824" s="22">
        <f t="shared" si="233"/>
        <v>6457.5</v>
      </c>
      <c r="N1824" s="1">
        <f t="shared" ca="1" si="230"/>
        <v>12</v>
      </c>
      <c r="P1824" s="1">
        <v>50.489399099024013</v>
      </c>
      <c r="Q1824" s="1">
        <f t="shared" ca="1" si="231"/>
        <v>23</v>
      </c>
      <c r="R1824" s="1">
        <v>10.00870272742759</v>
      </c>
    </row>
    <row r="1825" spans="1:18" x14ac:dyDescent="0.3">
      <c r="A1825" s="26">
        <v>1824</v>
      </c>
      <c r="B1825" s="1">
        <v>6</v>
      </c>
      <c r="C1825" s="1">
        <f t="shared" si="227"/>
        <v>10</v>
      </c>
      <c r="D1825" s="21">
        <f t="shared" ca="1" si="226"/>
        <v>44660</v>
      </c>
      <c r="E1825" s="1" t="s">
        <v>26</v>
      </c>
      <c r="F1825" s="1" t="s">
        <v>1853</v>
      </c>
      <c r="G1825" s="1" t="s">
        <v>28</v>
      </c>
      <c r="H1825" s="1">
        <v>1923</v>
      </c>
      <c r="I1825" s="1">
        <f t="shared" si="228"/>
        <v>64</v>
      </c>
      <c r="J1825" s="1">
        <f>VLOOKUP(B1825,Cena!$A$2:$B$101,2)</f>
        <v>86</v>
      </c>
      <c r="K1825" s="1">
        <f t="shared" si="232"/>
        <v>5504</v>
      </c>
      <c r="L1825" s="1">
        <f t="shared" si="229"/>
        <v>1265.92</v>
      </c>
      <c r="M1825" s="22">
        <f t="shared" si="233"/>
        <v>6769.92</v>
      </c>
      <c r="N1825" s="1">
        <f t="shared" ca="1" si="230"/>
        <v>4</v>
      </c>
      <c r="P1825" s="1">
        <v>64.82344487158116</v>
      </c>
      <c r="Q1825" s="1">
        <f t="shared" ca="1" si="231"/>
        <v>29</v>
      </c>
      <c r="R1825" s="1">
        <v>10.289523427454697</v>
      </c>
    </row>
    <row r="1826" spans="1:18" x14ac:dyDescent="0.3">
      <c r="A1826" s="26">
        <v>1825</v>
      </c>
      <c r="B1826" s="1">
        <v>26</v>
      </c>
      <c r="C1826" s="1">
        <f t="shared" si="227"/>
        <v>12</v>
      </c>
      <c r="D1826" s="21">
        <f t="shared" ca="1" si="226"/>
        <v>44806</v>
      </c>
      <c r="E1826" s="1" t="s">
        <v>26</v>
      </c>
      <c r="F1826" s="1" t="s">
        <v>1854</v>
      </c>
      <c r="G1826" s="1" t="s">
        <v>28</v>
      </c>
      <c r="H1826" s="1">
        <v>1924</v>
      </c>
      <c r="I1826" s="1">
        <f t="shared" si="228"/>
        <v>34</v>
      </c>
      <c r="J1826" s="1">
        <f>VLOOKUP(B1826,Cena!$A$2:$B$101,2)</f>
        <v>99</v>
      </c>
      <c r="K1826" s="1">
        <f t="shared" si="232"/>
        <v>3366</v>
      </c>
      <c r="L1826" s="1">
        <f t="shared" si="229"/>
        <v>774.18000000000006</v>
      </c>
      <c r="M1826" s="22">
        <f t="shared" si="233"/>
        <v>4140.18</v>
      </c>
      <c r="N1826" s="1">
        <f t="shared" ca="1" si="230"/>
        <v>9</v>
      </c>
      <c r="P1826" s="1">
        <v>34.581563694518991</v>
      </c>
      <c r="Q1826" s="1">
        <f t="shared" ca="1" si="231"/>
        <v>6</v>
      </c>
      <c r="R1826" s="1">
        <v>12.564092937973328</v>
      </c>
    </row>
    <row r="1827" spans="1:18" x14ac:dyDescent="0.3">
      <c r="A1827" s="26">
        <v>1826</v>
      </c>
      <c r="B1827" s="1">
        <v>1</v>
      </c>
      <c r="C1827" s="1">
        <f t="shared" si="227"/>
        <v>9</v>
      </c>
      <c r="D1827" s="21">
        <f t="shared" ca="1" si="226"/>
        <v>44690</v>
      </c>
      <c r="E1827" s="1" t="s">
        <v>26</v>
      </c>
      <c r="F1827" s="1" t="s">
        <v>1855</v>
      </c>
      <c r="G1827" s="1" t="s">
        <v>28</v>
      </c>
      <c r="H1827" s="1">
        <v>1925</v>
      </c>
      <c r="I1827" s="1">
        <f t="shared" si="228"/>
        <v>52</v>
      </c>
      <c r="J1827" s="1">
        <f>VLOOKUP(B1827,Cena!$A$2:$B$101,2)</f>
        <v>84</v>
      </c>
      <c r="K1827" s="1">
        <f t="shared" si="232"/>
        <v>4368</v>
      </c>
      <c r="L1827" s="1">
        <f t="shared" si="229"/>
        <v>1004.6400000000001</v>
      </c>
      <c r="M1827" s="22">
        <f t="shared" si="233"/>
        <v>5372.64</v>
      </c>
      <c r="N1827" s="1">
        <f t="shared" ca="1" si="230"/>
        <v>5</v>
      </c>
      <c r="P1827" s="1">
        <v>52.179365310439607</v>
      </c>
      <c r="Q1827" s="1">
        <f t="shared" ca="1" si="231"/>
        <v>10</v>
      </c>
      <c r="R1827" s="1">
        <v>9.3042592905112542</v>
      </c>
    </row>
    <row r="1828" spans="1:18" x14ac:dyDescent="0.3">
      <c r="A1828" s="26">
        <v>1827</v>
      </c>
      <c r="B1828" s="1">
        <v>10</v>
      </c>
      <c r="C1828" s="1">
        <f t="shared" si="227"/>
        <v>11</v>
      </c>
      <c r="D1828" s="21">
        <f t="shared" ca="1" si="226"/>
        <v>44684</v>
      </c>
      <c r="E1828" s="1" t="s">
        <v>26</v>
      </c>
      <c r="F1828" s="1" t="s">
        <v>1856</v>
      </c>
      <c r="G1828" s="1" t="s">
        <v>28</v>
      </c>
      <c r="H1828" s="1">
        <v>1926</v>
      </c>
      <c r="I1828" s="1">
        <f t="shared" si="228"/>
        <v>56</v>
      </c>
      <c r="J1828" s="1">
        <f>VLOOKUP(B1828,Cena!$A$2:$B$101,2)</f>
        <v>109</v>
      </c>
      <c r="K1828" s="1">
        <f t="shared" si="232"/>
        <v>6104</v>
      </c>
      <c r="L1828" s="1">
        <f t="shared" si="229"/>
        <v>1403.92</v>
      </c>
      <c r="M1828" s="22">
        <f t="shared" si="233"/>
        <v>7507.92</v>
      </c>
      <c r="N1828" s="1">
        <f t="shared" ca="1" si="230"/>
        <v>5</v>
      </c>
      <c r="P1828" s="1">
        <v>56.067398317100015</v>
      </c>
      <c r="Q1828" s="1">
        <f t="shared" ca="1" si="231"/>
        <v>29</v>
      </c>
      <c r="R1828" s="1">
        <v>11.033401986205718</v>
      </c>
    </row>
    <row r="1829" spans="1:18" x14ac:dyDescent="0.3">
      <c r="A1829" s="26">
        <v>1828</v>
      </c>
      <c r="B1829" s="1">
        <v>23</v>
      </c>
      <c r="C1829" s="1">
        <f t="shared" si="227"/>
        <v>13</v>
      </c>
      <c r="D1829" s="21">
        <f t="shared" ca="1" si="226"/>
        <v>44666</v>
      </c>
      <c r="E1829" s="1" t="s">
        <v>26</v>
      </c>
      <c r="F1829" s="1" t="s">
        <v>1857</v>
      </c>
      <c r="G1829" s="1" t="s">
        <v>28</v>
      </c>
      <c r="H1829" s="1">
        <v>1927</v>
      </c>
      <c r="I1829" s="1">
        <f t="shared" si="228"/>
        <v>43</v>
      </c>
      <c r="J1829" s="1">
        <f>VLOOKUP(B1829,Cena!$A$2:$B$101,2)</f>
        <v>132</v>
      </c>
      <c r="K1829" s="1">
        <f t="shared" si="232"/>
        <v>5676</v>
      </c>
      <c r="L1829" s="1">
        <f t="shared" si="229"/>
        <v>1305.48</v>
      </c>
      <c r="M1829" s="22">
        <f t="shared" si="233"/>
        <v>6981.48</v>
      </c>
      <c r="N1829" s="1">
        <f t="shared" ca="1" si="230"/>
        <v>4</v>
      </c>
      <c r="P1829" s="1">
        <v>43.461358371860115</v>
      </c>
      <c r="Q1829" s="1">
        <f t="shared" ca="1" si="231"/>
        <v>23</v>
      </c>
      <c r="R1829" s="1">
        <v>13.789386937569361</v>
      </c>
    </row>
    <row r="1830" spans="1:18" x14ac:dyDescent="0.3">
      <c r="A1830" s="26">
        <v>1829</v>
      </c>
      <c r="B1830" s="1">
        <v>14</v>
      </c>
      <c r="C1830" s="1">
        <f t="shared" si="227"/>
        <v>4</v>
      </c>
      <c r="D1830" s="21">
        <f t="shared" ca="1" si="226"/>
        <v>44581</v>
      </c>
      <c r="E1830" s="1" t="s">
        <v>26</v>
      </c>
      <c r="F1830" s="1" t="s">
        <v>1858</v>
      </c>
      <c r="G1830" s="1" t="s">
        <v>28</v>
      </c>
      <c r="H1830" s="1">
        <v>1928</v>
      </c>
      <c r="I1830" s="1">
        <f t="shared" si="228"/>
        <v>25</v>
      </c>
      <c r="J1830" s="1">
        <f>VLOOKUP(B1830,Cena!$A$2:$B$101,2)</f>
        <v>129</v>
      </c>
      <c r="K1830" s="1">
        <f t="shared" si="232"/>
        <v>3225</v>
      </c>
      <c r="L1830" s="1">
        <f t="shared" si="229"/>
        <v>741.75</v>
      </c>
      <c r="M1830" s="22">
        <f t="shared" si="233"/>
        <v>3966.75</v>
      </c>
      <c r="N1830" s="1">
        <f t="shared" ca="1" si="230"/>
        <v>1</v>
      </c>
      <c r="P1830" s="1">
        <v>25.009268382564187</v>
      </c>
      <c r="Q1830" s="1">
        <f t="shared" ca="1" si="231"/>
        <v>23</v>
      </c>
      <c r="R1830" s="1">
        <v>4.5201125228777528</v>
      </c>
    </row>
    <row r="1831" spans="1:18" x14ac:dyDescent="0.3">
      <c r="A1831" s="26">
        <v>1830</v>
      </c>
      <c r="B1831" s="1">
        <v>9</v>
      </c>
      <c r="C1831" s="1">
        <f t="shared" si="227"/>
        <v>6</v>
      </c>
      <c r="D1831" s="21">
        <f t="shared" ca="1" si="226"/>
        <v>44812</v>
      </c>
      <c r="E1831" s="1" t="s">
        <v>26</v>
      </c>
      <c r="F1831" s="1" t="s">
        <v>1859</v>
      </c>
      <c r="G1831" s="1" t="s">
        <v>28</v>
      </c>
      <c r="H1831" s="1">
        <v>1929</v>
      </c>
      <c r="I1831" s="1">
        <f t="shared" si="228"/>
        <v>54</v>
      </c>
      <c r="J1831" s="1">
        <f>VLOOKUP(B1831,Cena!$A$2:$B$101,2)</f>
        <v>96</v>
      </c>
      <c r="K1831" s="1">
        <f t="shared" si="232"/>
        <v>5184</v>
      </c>
      <c r="L1831" s="1">
        <f t="shared" si="229"/>
        <v>1192.3200000000002</v>
      </c>
      <c r="M1831" s="22">
        <f t="shared" si="233"/>
        <v>6376.32</v>
      </c>
      <c r="N1831" s="1">
        <f t="shared" ca="1" si="230"/>
        <v>9</v>
      </c>
      <c r="P1831" s="1">
        <v>54.136109055252746</v>
      </c>
      <c r="Q1831" s="1">
        <f t="shared" ca="1" si="231"/>
        <v>3</v>
      </c>
      <c r="R1831" s="1">
        <v>6.6967948239471298</v>
      </c>
    </row>
    <row r="1832" spans="1:18" x14ac:dyDescent="0.3">
      <c r="A1832" s="26">
        <v>1831</v>
      </c>
      <c r="B1832" s="1">
        <v>3</v>
      </c>
      <c r="C1832" s="1">
        <f t="shared" si="227"/>
        <v>8</v>
      </c>
      <c r="D1832" s="21">
        <f t="shared" ca="1" si="226"/>
        <v>44882</v>
      </c>
      <c r="E1832" s="1" t="s">
        <v>26</v>
      </c>
      <c r="F1832" s="1" t="s">
        <v>1860</v>
      </c>
      <c r="G1832" s="1" t="s">
        <v>28</v>
      </c>
      <c r="H1832" s="1">
        <v>1930</v>
      </c>
      <c r="I1832" s="1">
        <f t="shared" si="228"/>
        <v>57</v>
      </c>
      <c r="J1832" s="1">
        <f>VLOOKUP(B1832,Cena!$A$2:$B$101,2)</f>
        <v>89</v>
      </c>
      <c r="K1832" s="1">
        <f t="shared" si="232"/>
        <v>5073</v>
      </c>
      <c r="L1832" s="1">
        <f t="shared" si="229"/>
        <v>1166.79</v>
      </c>
      <c r="M1832" s="22">
        <f t="shared" si="233"/>
        <v>6239.79</v>
      </c>
      <c r="N1832" s="1">
        <f t="shared" ca="1" si="230"/>
        <v>11</v>
      </c>
      <c r="P1832" s="1">
        <v>57.050346084724879</v>
      </c>
      <c r="Q1832" s="1">
        <f t="shared" ca="1" si="231"/>
        <v>7</v>
      </c>
      <c r="R1832" s="1">
        <v>8.8841580034204526</v>
      </c>
    </row>
    <row r="1833" spans="1:18" x14ac:dyDescent="0.3">
      <c r="A1833" s="26">
        <v>1832</v>
      </c>
      <c r="B1833" s="1">
        <v>4</v>
      </c>
      <c r="C1833" s="1">
        <f t="shared" si="227"/>
        <v>9</v>
      </c>
      <c r="D1833" s="21">
        <f t="shared" ca="1" si="226"/>
        <v>44627</v>
      </c>
      <c r="E1833" s="1" t="s">
        <v>26</v>
      </c>
      <c r="F1833" s="1" t="s">
        <v>1861</v>
      </c>
      <c r="G1833" s="1" t="s">
        <v>28</v>
      </c>
      <c r="H1833" s="1">
        <v>1931</v>
      </c>
      <c r="I1833" s="1">
        <f t="shared" si="228"/>
        <v>49</v>
      </c>
      <c r="J1833" s="1">
        <f>VLOOKUP(B1833,Cena!$A$2:$B$101,2)</f>
        <v>99</v>
      </c>
      <c r="K1833" s="1">
        <f t="shared" si="232"/>
        <v>4851</v>
      </c>
      <c r="L1833" s="1">
        <f t="shared" si="229"/>
        <v>1115.73</v>
      </c>
      <c r="M1833" s="22">
        <f t="shared" si="233"/>
        <v>5966.73</v>
      </c>
      <c r="N1833" s="1">
        <f t="shared" ca="1" si="230"/>
        <v>3</v>
      </c>
      <c r="P1833" s="1">
        <v>49.097235559020191</v>
      </c>
      <c r="Q1833" s="1">
        <f t="shared" ca="1" si="231"/>
        <v>23</v>
      </c>
      <c r="R1833" s="1">
        <v>9.6942960933665745</v>
      </c>
    </row>
    <row r="1834" spans="1:18" x14ac:dyDescent="0.3">
      <c r="A1834" s="26">
        <v>1833</v>
      </c>
      <c r="B1834" s="1">
        <v>2</v>
      </c>
      <c r="C1834" s="1">
        <f t="shared" si="227"/>
        <v>9</v>
      </c>
      <c r="D1834" s="21">
        <f t="shared" ca="1" si="226"/>
        <v>44824</v>
      </c>
      <c r="E1834" s="1" t="s">
        <v>26</v>
      </c>
      <c r="F1834" s="1" t="s">
        <v>1862</v>
      </c>
      <c r="G1834" s="1" t="s">
        <v>28</v>
      </c>
      <c r="H1834" s="1">
        <v>1932</v>
      </c>
      <c r="I1834" s="1">
        <f t="shared" si="228"/>
        <v>44</v>
      </c>
      <c r="J1834" s="1">
        <f>VLOOKUP(B1834,Cena!$A$2:$B$101,2)</f>
        <v>121</v>
      </c>
      <c r="K1834" s="1">
        <f t="shared" si="232"/>
        <v>5324</v>
      </c>
      <c r="L1834" s="1">
        <f t="shared" si="229"/>
        <v>1224.52</v>
      </c>
      <c r="M1834" s="22">
        <f t="shared" si="233"/>
        <v>6548.52</v>
      </c>
      <c r="N1834" s="1">
        <f t="shared" ca="1" si="230"/>
        <v>9</v>
      </c>
      <c r="P1834" s="1">
        <v>44.282961779390462</v>
      </c>
      <c r="Q1834" s="1">
        <f t="shared" ca="1" si="231"/>
        <v>1</v>
      </c>
      <c r="R1834" s="1">
        <v>9.1966319612402003</v>
      </c>
    </row>
    <row r="1835" spans="1:18" x14ac:dyDescent="0.3">
      <c r="A1835" s="26">
        <v>1834</v>
      </c>
      <c r="B1835" s="1">
        <v>9</v>
      </c>
      <c r="C1835" s="1">
        <f t="shared" si="227"/>
        <v>13</v>
      </c>
      <c r="D1835" s="21">
        <f t="shared" ca="1" si="226"/>
        <v>44698</v>
      </c>
      <c r="E1835" s="1" t="s">
        <v>26</v>
      </c>
      <c r="F1835" s="1" t="s">
        <v>1863</v>
      </c>
      <c r="G1835" s="1" t="s">
        <v>28</v>
      </c>
      <c r="H1835" s="1">
        <v>1933</v>
      </c>
      <c r="I1835" s="1">
        <f t="shared" si="228"/>
        <v>55</v>
      </c>
      <c r="J1835" s="1">
        <f>VLOOKUP(B1835,Cena!$A$2:$B$101,2)</f>
        <v>96</v>
      </c>
      <c r="K1835" s="1">
        <f t="shared" si="232"/>
        <v>5280</v>
      </c>
      <c r="L1835" s="1">
        <f t="shared" si="229"/>
        <v>1214.4000000000001</v>
      </c>
      <c r="M1835" s="22">
        <f t="shared" si="233"/>
        <v>6494.4</v>
      </c>
      <c r="N1835" s="1">
        <f t="shared" ca="1" si="230"/>
        <v>5</v>
      </c>
      <c r="P1835" s="1">
        <v>55.488823262567166</v>
      </c>
      <c r="Q1835" s="1">
        <f t="shared" ca="1" si="231"/>
        <v>20</v>
      </c>
      <c r="R1835" s="1">
        <v>13.213773425159161</v>
      </c>
    </row>
    <row r="1836" spans="1:18" x14ac:dyDescent="0.3">
      <c r="A1836" s="26">
        <v>1835</v>
      </c>
      <c r="B1836" s="1">
        <v>25</v>
      </c>
      <c r="C1836" s="1">
        <f t="shared" si="227"/>
        <v>9</v>
      </c>
      <c r="D1836" s="21">
        <f t="shared" ca="1" si="226"/>
        <v>44586</v>
      </c>
      <c r="E1836" s="1" t="s">
        <v>26</v>
      </c>
      <c r="F1836" s="1" t="s">
        <v>1864</v>
      </c>
      <c r="G1836" s="1" t="s">
        <v>28</v>
      </c>
      <c r="H1836" s="1">
        <v>1934</v>
      </c>
      <c r="I1836" s="1">
        <f t="shared" si="228"/>
        <v>42</v>
      </c>
      <c r="J1836" s="1">
        <f>VLOOKUP(B1836,Cena!$A$2:$B$101,2)</f>
        <v>108</v>
      </c>
      <c r="K1836" s="1">
        <f t="shared" si="232"/>
        <v>4536</v>
      </c>
      <c r="L1836" s="1">
        <f t="shared" si="229"/>
        <v>1043.28</v>
      </c>
      <c r="M1836" s="22">
        <f t="shared" si="233"/>
        <v>5579.28</v>
      </c>
      <c r="N1836" s="1">
        <f t="shared" ca="1" si="230"/>
        <v>1</v>
      </c>
      <c r="P1836" s="1">
        <v>42.724224284756929</v>
      </c>
      <c r="Q1836" s="1">
        <f t="shared" ca="1" si="231"/>
        <v>23</v>
      </c>
      <c r="R1836" s="1">
        <v>9.4355590615668916</v>
      </c>
    </row>
    <row r="1837" spans="1:18" x14ac:dyDescent="0.3">
      <c r="A1837" s="26">
        <v>1836</v>
      </c>
      <c r="B1837" s="1">
        <v>24</v>
      </c>
      <c r="C1837" s="1">
        <f t="shared" si="227"/>
        <v>7</v>
      </c>
      <c r="D1837" s="21">
        <f t="shared" ca="1" si="226"/>
        <v>44853</v>
      </c>
      <c r="E1837" s="1" t="s">
        <v>26</v>
      </c>
      <c r="F1837" s="1" t="s">
        <v>1865</v>
      </c>
      <c r="G1837" s="1" t="s">
        <v>28</v>
      </c>
      <c r="H1837" s="1">
        <v>1935</v>
      </c>
      <c r="I1837" s="1">
        <f t="shared" si="228"/>
        <v>47</v>
      </c>
      <c r="J1837" s="1">
        <f>VLOOKUP(B1837,Cena!$A$2:$B$101,2)</f>
        <v>125</v>
      </c>
      <c r="K1837" s="1">
        <f t="shared" si="232"/>
        <v>5875</v>
      </c>
      <c r="L1837" s="1">
        <f t="shared" si="229"/>
        <v>1351.25</v>
      </c>
      <c r="M1837" s="22">
        <f t="shared" si="233"/>
        <v>7226.25</v>
      </c>
      <c r="N1837" s="1">
        <f t="shared" ca="1" si="230"/>
        <v>10</v>
      </c>
      <c r="P1837" s="1">
        <v>47.70533349874313</v>
      </c>
      <c r="Q1837" s="1">
        <f t="shared" ca="1" si="231"/>
        <v>23</v>
      </c>
      <c r="R1837" s="1">
        <v>7.7861534716794267</v>
      </c>
    </row>
    <row r="1838" spans="1:18" x14ac:dyDescent="0.3">
      <c r="A1838" s="26">
        <v>1837</v>
      </c>
      <c r="B1838" s="1">
        <v>24</v>
      </c>
      <c r="C1838" s="1">
        <f t="shared" si="227"/>
        <v>11</v>
      </c>
      <c r="D1838" s="21">
        <f t="shared" ca="1" si="226"/>
        <v>44682</v>
      </c>
      <c r="E1838" s="1" t="s">
        <v>26</v>
      </c>
      <c r="F1838" s="1" t="s">
        <v>1866</v>
      </c>
      <c r="G1838" s="1" t="s">
        <v>28</v>
      </c>
      <c r="H1838" s="1">
        <v>1936</v>
      </c>
      <c r="I1838" s="1">
        <f t="shared" si="228"/>
        <v>54</v>
      </c>
      <c r="J1838" s="1">
        <f>VLOOKUP(B1838,Cena!$A$2:$B$101,2)</f>
        <v>125</v>
      </c>
      <c r="K1838" s="1">
        <f t="shared" si="232"/>
        <v>6750</v>
      </c>
      <c r="L1838" s="1">
        <f t="shared" si="229"/>
        <v>1552.5</v>
      </c>
      <c r="M1838" s="22">
        <f t="shared" si="233"/>
        <v>8302.5</v>
      </c>
      <c r="N1838" s="1">
        <f t="shared" ca="1" si="230"/>
        <v>5</v>
      </c>
      <c r="P1838" s="1">
        <v>54.837556843995117</v>
      </c>
      <c r="Q1838" s="1">
        <f t="shared" ca="1" si="231"/>
        <v>7</v>
      </c>
      <c r="R1838" s="1">
        <v>11.322666776104597</v>
      </c>
    </row>
    <row r="1839" spans="1:18" x14ac:dyDescent="0.3">
      <c r="A1839" s="26">
        <v>1838</v>
      </c>
      <c r="B1839" s="1">
        <v>18</v>
      </c>
      <c r="C1839" s="1">
        <f t="shared" si="227"/>
        <v>12</v>
      </c>
      <c r="D1839" s="21">
        <f t="shared" ca="1" si="226"/>
        <v>44713</v>
      </c>
      <c r="E1839" s="1" t="s">
        <v>26</v>
      </c>
      <c r="F1839" s="1" t="s">
        <v>1867</v>
      </c>
      <c r="G1839" s="1" t="s">
        <v>28</v>
      </c>
      <c r="H1839" s="1">
        <v>1937</v>
      </c>
      <c r="I1839" s="1">
        <f t="shared" si="228"/>
        <v>57</v>
      </c>
      <c r="J1839" s="1">
        <f>VLOOKUP(B1839,Cena!$A$2:$B$101,2)</f>
        <v>90</v>
      </c>
      <c r="K1839" s="1">
        <f t="shared" si="232"/>
        <v>5130</v>
      </c>
      <c r="L1839" s="1">
        <f t="shared" si="229"/>
        <v>1179.9000000000001</v>
      </c>
      <c r="M1839" s="22">
        <f t="shared" si="233"/>
        <v>6309.9</v>
      </c>
      <c r="N1839" s="1">
        <f t="shared" ca="1" si="230"/>
        <v>6</v>
      </c>
      <c r="P1839" s="1">
        <v>57.588357675558655</v>
      </c>
      <c r="Q1839" s="1">
        <f t="shared" ca="1" si="231"/>
        <v>22</v>
      </c>
      <c r="R1839" s="1">
        <v>12.316778591193724</v>
      </c>
    </row>
    <row r="1840" spans="1:18" x14ac:dyDescent="0.3">
      <c r="A1840" s="26">
        <v>1839</v>
      </c>
      <c r="B1840" s="1">
        <v>30</v>
      </c>
      <c r="C1840" s="1">
        <f t="shared" si="227"/>
        <v>9</v>
      </c>
      <c r="D1840" s="21">
        <f t="shared" ca="1" si="226"/>
        <v>44645</v>
      </c>
      <c r="E1840" s="1" t="s">
        <v>26</v>
      </c>
      <c r="F1840" s="1" t="s">
        <v>1868</v>
      </c>
      <c r="G1840" s="1" t="s">
        <v>28</v>
      </c>
      <c r="H1840" s="1">
        <v>1938</v>
      </c>
      <c r="I1840" s="1">
        <f t="shared" si="228"/>
        <v>43</v>
      </c>
      <c r="J1840" s="1">
        <f>VLOOKUP(B1840,Cena!$A$2:$B$101,2)</f>
        <v>87</v>
      </c>
      <c r="K1840" s="1">
        <f t="shared" si="232"/>
        <v>3741</v>
      </c>
      <c r="L1840" s="1">
        <f t="shared" si="229"/>
        <v>860.43000000000006</v>
      </c>
      <c r="M1840" s="22">
        <f t="shared" si="233"/>
        <v>4601.43</v>
      </c>
      <c r="N1840" s="1">
        <f t="shared" ca="1" si="230"/>
        <v>3</v>
      </c>
      <c r="P1840" s="1">
        <v>43.300411915697623</v>
      </c>
      <c r="Q1840" s="1">
        <f t="shared" ca="1" si="231"/>
        <v>4</v>
      </c>
      <c r="R1840" s="1">
        <v>9.2072986287894309</v>
      </c>
    </row>
    <row r="1841" spans="1:18" x14ac:dyDescent="0.3">
      <c r="A1841" s="26">
        <v>1840</v>
      </c>
      <c r="B1841" s="1">
        <v>30</v>
      </c>
      <c r="C1841" s="1">
        <f t="shared" si="227"/>
        <v>11</v>
      </c>
      <c r="D1841" s="21">
        <f t="shared" ca="1" si="226"/>
        <v>44916</v>
      </c>
      <c r="E1841" s="1" t="s">
        <v>26</v>
      </c>
      <c r="F1841" s="1" t="s">
        <v>1869</v>
      </c>
      <c r="G1841" s="1" t="s">
        <v>28</v>
      </c>
      <c r="H1841" s="1">
        <v>1939</v>
      </c>
      <c r="I1841" s="1">
        <f t="shared" si="228"/>
        <v>51</v>
      </c>
      <c r="J1841" s="1">
        <f>VLOOKUP(B1841,Cena!$A$2:$B$101,2)</f>
        <v>87</v>
      </c>
      <c r="K1841" s="1">
        <f t="shared" si="232"/>
        <v>4437</v>
      </c>
      <c r="L1841" s="1">
        <f t="shared" si="229"/>
        <v>1020.51</v>
      </c>
      <c r="M1841" s="22">
        <f t="shared" si="233"/>
        <v>5457.51</v>
      </c>
      <c r="N1841" s="1">
        <f t="shared" ca="1" si="230"/>
        <v>12</v>
      </c>
      <c r="P1841" s="1">
        <v>51.765920387697406</v>
      </c>
      <c r="Q1841" s="1">
        <f t="shared" ca="1" si="231"/>
        <v>15</v>
      </c>
      <c r="R1841" s="1">
        <v>11.736447075018077</v>
      </c>
    </row>
    <row r="1842" spans="1:18" x14ac:dyDescent="0.3">
      <c r="A1842" s="26">
        <v>1841</v>
      </c>
      <c r="B1842" s="1">
        <v>2</v>
      </c>
      <c r="C1842" s="1">
        <f t="shared" si="227"/>
        <v>10</v>
      </c>
      <c r="D1842" s="21">
        <f t="shared" ca="1" si="226"/>
        <v>44725</v>
      </c>
      <c r="E1842" s="1" t="s">
        <v>26</v>
      </c>
      <c r="F1842" s="1" t="s">
        <v>1870</v>
      </c>
      <c r="G1842" s="1" t="s">
        <v>28</v>
      </c>
      <c r="H1842" s="1">
        <v>1940</v>
      </c>
      <c r="I1842" s="1">
        <f t="shared" si="228"/>
        <v>64</v>
      </c>
      <c r="J1842" s="1">
        <f>VLOOKUP(B1842,Cena!$A$2:$B$101,2)</f>
        <v>121</v>
      </c>
      <c r="K1842" s="1">
        <f t="shared" si="232"/>
        <v>7744</v>
      </c>
      <c r="L1842" s="1">
        <f t="shared" si="229"/>
        <v>1781.1200000000001</v>
      </c>
      <c r="M1842" s="22">
        <f t="shared" si="233"/>
        <v>9525.1200000000008</v>
      </c>
      <c r="N1842" s="1">
        <f t="shared" ca="1" si="230"/>
        <v>6</v>
      </c>
      <c r="P1842" s="1">
        <v>64.58220140193589</v>
      </c>
      <c r="Q1842" s="1">
        <f t="shared" ca="1" si="231"/>
        <v>29</v>
      </c>
      <c r="R1842" s="1">
        <v>10.845571435093007</v>
      </c>
    </row>
    <row r="1843" spans="1:18" x14ac:dyDescent="0.3">
      <c r="A1843" s="26">
        <v>1842</v>
      </c>
      <c r="B1843" s="1">
        <v>15</v>
      </c>
      <c r="C1843" s="1">
        <f t="shared" si="227"/>
        <v>5</v>
      </c>
      <c r="D1843" s="21">
        <f t="shared" ca="1" si="226"/>
        <v>44759</v>
      </c>
      <c r="E1843" s="1" t="s">
        <v>26</v>
      </c>
      <c r="F1843" s="1" t="s">
        <v>1871</v>
      </c>
      <c r="G1843" s="1" t="s">
        <v>28</v>
      </c>
      <c r="H1843" s="1">
        <v>1941</v>
      </c>
      <c r="I1843" s="1">
        <f t="shared" si="228"/>
        <v>57</v>
      </c>
      <c r="J1843" s="1">
        <f>VLOOKUP(B1843,Cena!$A$2:$B$101,2)</f>
        <v>85</v>
      </c>
      <c r="K1843" s="1">
        <f t="shared" si="232"/>
        <v>4845</v>
      </c>
      <c r="L1843" s="1">
        <f t="shared" si="229"/>
        <v>1114.3500000000001</v>
      </c>
      <c r="M1843" s="22">
        <f t="shared" si="233"/>
        <v>5959.35</v>
      </c>
      <c r="N1843" s="1">
        <f t="shared" ca="1" si="230"/>
        <v>7</v>
      </c>
      <c r="P1843" s="1">
        <v>57.387870937236585</v>
      </c>
      <c r="Q1843" s="1">
        <f t="shared" ca="1" si="231"/>
        <v>23</v>
      </c>
      <c r="R1843" s="1">
        <v>5.7984528009546921</v>
      </c>
    </row>
    <row r="1844" spans="1:18" x14ac:dyDescent="0.3">
      <c r="A1844" s="26">
        <v>1843</v>
      </c>
      <c r="B1844" s="1">
        <v>9</v>
      </c>
      <c r="C1844" s="1">
        <f t="shared" si="227"/>
        <v>13</v>
      </c>
      <c r="D1844" s="21">
        <f t="shared" ca="1" si="226"/>
        <v>44620</v>
      </c>
      <c r="E1844" s="1" t="s">
        <v>26</v>
      </c>
      <c r="F1844" s="1" t="s">
        <v>1872</v>
      </c>
      <c r="G1844" s="1" t="s">
        <v>28</v>
      </c>
      <c r="H1844" s="1">
        <v>1942</v>
      </c>
      <c r="I1844" s="1">
        <f t="shared" si="228"/>
        <v>48</v>
      </c>
      <c r="J1844" s="1">
        <f>VLOOKUP(B1844,Cena!$A$2:$B$101,2)</f>
        <v>96</v>
      </c>
      <c r="K1844" s="1">
        <f t="shared" si="232"/>
        <v>4608</v>
      </c>
      <c r="L1844" s="1">
        <f t="shared" si="229"/>
        <v>1059.8400000000001</v>
      </c>
      <c r="M1844" s="22">
        <f t="shared" si="233"/>
        <v>5667.84</v>
      </c>
      <c r="N1844" s="1">
        <f t="shared" ca="1" si="230"/>
        <v>2</v>
      </c>
      <c r="P1844" s="1">
        <v>48.319481164799072</v>
      </c>
      <c r="Q1844" s="1">
        <f t="shared" ca="1" si="231"/>
        <v>4</v>
      </c>
      <c r="R1844" s="1">
        <v>13.016361915797461</v>
      </c>
    </row>
    <row r="1845" spans="1:18" x14ac:dyDescent="0.3">
      <c r="A1845" s="26">
        <v>1844</v>
      </c>
      <c r="B1845" s="1">
        <v>2</v>
      </c>
      <c r="C1845" s="1">
        <f t="shared" si="227"/>
        <v>16</v>
      </c>
      <c r="D1845" s="21">
        <f t="shared" ca="1" si="226"/>
        <v>44837</v>
      </c>
      <c r="E1845" s="1" t="s">
        <v>26</v>
      </c>
      <c r="F1845" s="1" t="s">
        <v>1873</v>
      </c>
      <c r="G1845" s="1" t="s">
        <v>28</v>
      </c>
      <c r="H1845" s="1">
        <v>1943</v>
      </c>
      <c r="I1845" s="1">
        <f t="shared" si="228"/>
        <v>51</v>
      </c>
      <c r="J1845" s="1">
        <f>VLOOKUP(B1845,Cena!$A$2:$B$101,2)</f>
        <v>121</v>
      </c>
      <c r="K1845" s="1">
        <f t="shared" si="232"/>
        <v>6171</v>
      </c>
      <c r="L1845" s="1">
        <f t="shared" si="229"/>
        <v>1419.3300000000002</v>
      </c>
      <c r="M1845" s="22">
        <f t="shared" si="233"/>
        <v>7590.33</v>
      </c>
      <c r="N1845" s="1">
        <f t="shared" ca="1" si="230"/>
        <v>10</v>
      </c>
      <c r="P1845" s="1">
        <v>51.680518835200928</v>
      </c>
      <c r="Q1845" s="1">
        <f t="shared" ca="1" si="231"/>
        <v>5</v>
      </c>
      <c r="R1845" s="1">
        <v>16.598929758183658</v>
      </c>
    </row>
    <row r="1846" spans="1:18" x14ac:dyDescent="0.3">
      <c r="A1846" s="26">
        <v>1845</v>
      </c>
      <c r="B1846" s="1">
        <v>17</v>
      </c>
      <c r="C1846" s="1">
        <f t="shared" si="227"/>
        <v>11</v>
      </c>
      <c r="D1846" s="21">
        <f t="shared" ca="1" si="226"/>
        <v>44706</v>
      </c>
      <c r="E1846" s="1" t="s">
        <v>26</v>
      </c>
      <c r="F1846" s="1" t="s">
        <v>1874</v>
      </c>
      <c r="G1846" s="1" t="s">
        <v>28</v>
      </c>
      <c r="H1846" s="1">
        <v>1944</v>
      </c>
      <c r="I1846" s="1">
        <f t="shared" si="228"/>
        <v>41</v>
      </c>
      <c r="J1846" s="1">
        <f>VLOOKUP(B1846,Cena!$A$2:$B$101,2)</f>
        <v>84</v>
      </c>
      <c r="K1846" s="1">
        <f t="shared" si="232"/>
        <v>3444</v>
      </c>
      <c r="L1846" s="1">
        <f t="shared" si="229"/>
        <v>792.12</v>
      </c>
      <c r="M1846" s="22">
        <f t="shared" si="233"/>
        <v>4236.12</v>
      </c>
      <c r="N1846" s="1">
        <f t="shared" ca="1" si="230"/>
        <v>5</v>
      </c>
      <c r="P1846" s="1">
        <v>41.994877746037673</v>
      </c>
      <c r="Q1846" s="1">
        <f t="shared" ca="1" si="231"/>
        <v>22</v>
      </c>
      <c r="R1846" s="1">
        <v>11.009493644232862</v>
      </c>
    </row>
    <row r="1847" spans="1:18" x14ac:dyDescent="0.3">
      <c r="A1847" s="26">
        <v>1846</v>
      </c>
      <c r="B1847" s="1">
        <v>29</v>
      </c>
      <c r="C1847" s="1">
        <f t="shared" si="227"/>
        <v>10</v>
      </c>
      <c r="D1847" s="21">
        <f t="shared" ca="1" si="226"/>
        <v>44812</v>
      </c>
      <c r="E1847" s="1" t="s">
        <v>26</v>
      </c>
      <c r="F1847" s="1" t="s">
        <v>1875</v>
      </c>
      <c r="G1847" s="1" t="s">
        <v>28</v>
      </c>
      <c r="H1847" s="1">
        <v>1945</v>
      </c>
      <c r="I1847" s="1">
        <f t="shared" si="228"/>
        <v>47</v>
      </c>
      <c r="J1847" s="1">
        <f>VLOOKUP(B1847,Cena!$A$2:$B$101,2)</f>
        <v>105</v>
      </c>
      <c r="K1847" s="1">
        <f t="shared" si="232"/>
        <v>4935</v>
      </c>
      <c r="L1847" s="1">
        <f t="shared" si="229"/>
        <v>1135.05</v>
      </c>
      <c r="M1847" s="22">
        <f t="shared" si="233"/>
        <v>6070.05</v>
      </c>
      <c r="N1847" s="1">
        <f t="shared" ca="1" si="230"/>
        <v>9</v>
      </c>
      <c r="P1847" s="1">
        <v>47.316308508743532</v>
      </c>
      <c r="Q1847" s="1">
        <f t="shared" ca="1" si="231"/>
        <v>24</v>
      </c>
      <c r="R1847" s="1">
        <v>10.471038674731972</v>
      </c>
    </row>
    <row r="1848" spans="1:18" x14ac:dyDescent="0.3">
      <c r="A1848" s="26">
        <v>1847</v>
      </c>
      <c r="B1848" s="1">
        <v>10</v>
      </c>
      <c r="C1848" s="1">
        <f t="shared" si="227"/>
        <v>3</v>
      </c>
      <c r="D1848" s="21">
        <f t="shared" ca="1" si="226"/>
        <v>44897</v>
      </c>
      <c r="E1848" s="1" t="s">
        <v>26</v>
      </c>
      <c r="F1848" s="1" t="s">
        <v>1876</v>
      </c>
      <c r="G1848" s="1" t="s">
        <v>28</v>
      </c>
      <c r="H1848" s="1">
        <v>1946</v>
      </c>
      <c r="I1848" s="1">
        <f t="shared" si="228"/>
        <v>42</v>
      </c>
      <c r="J1848" s="1">
        <f>VLOOKUP(B1848,Cena!$A$2:$B$101,2)</f>
        <v>109</v>
      </c>
      <c r="K1848" s="1">
        <f t="shared" si="232"/>
        <v>4578</v>
      </c>
      <c r="L1848" s="1">
        <f t="shared" si="229"/>
        <v>1052.94</v>
      </c>
      <c r="M1848" s="22">
        <f t="shared" si="233"/>
        <v>5630.9400000000005</v>
      </c>
      <c r="N1848" s="1">
        <f t="shared" ca="1" si="230"/>
        <v>12</v>
      </c>
      <c r="P1848" s="1">
        <v>42.747132182557834</v>
      </c>
      <c r="Q1848" s="1">
        <f t="shared" ca="1" si="231"/>
        <v>17</v>
      </c>
      <c r="R1848" s="1">
        <v>3.7822394713293761</v>
      </c>
    </row>
    <row r="1849" spans="1:18" x14ac:dyDescent="0.3">
      <c r="A1849" s="26">
        <v>1848</v>
      </c>
      <c r="B1849" s="1">
        <v>17</v>
      </c>
      <c r="C1849" s="1">
        <f t="shared" si="227"/>
        <v>15</v>
      </c>
      <c r="D1849" s="21">
        <f t="shared" ca="1" si="226"/>
        <v>44910</v>
      </c>
      <c r="E1849" s="1" t="s">
        <v>26</v>
      </c>
      <c r="F1849" s="1" t="s">
        <v>1877</v>
      </c>
      <c r="G1849" s="1" t="s">
        <v>28</v>
      </c>
      <c r="H1849" s="1">
        <v>1947</v>
      </c>
      <c r="I1849" s="1">
        <f t="shared" si="228"/>
        <v>59</v>
      </c>
      <c r="J1849" s="1">
        <f>VLOOKUP(B1849,Cena!$A$2:$B$101,2)</f>
        <v>84</v>
      </c>
      <c r="K1849" s="1">
        <f t="shared" si="232"/>
        <v>4956</v>
      </c>
      <c r="L1849" s="1">
        <f t="shared" si="229"/>
        <v>1139.8800000000001</v>
      </c>
      <c r="M1849" s="22">
        <f t="shared" si="233"/>
        <v>6095.88</v>
      </c>
      <c r="N1849" s="1">
        <f t="shared" ca="1" si="230"/>
        <v>12</v>
      </c>
      <c r="P1849" s="1">
        <v>59.652467269916087</v>
      </c>
      <c r="Q1849" s="1">
        <f t="shared" ca="1" si="231"/>
        <v>4</v>
      </c>
      <c r="R1849" s="1">
        <v>15.846868589287624</v>
      </c>
    </row>
    <row r="1850" spans="1:18" x14ac:dyDescent="0.3">
      <c r="A1850" s="26">
        <v>1849</v>
      </c>
      <c r="B1850" s="1">
        <v>24</v>
      </c>
      <c r="C1850" s="1">
        <f t="shared" si="227"/>
        <v>7</v>
      </c>
      <c r="D1850" s="21">
        <f t="shared" ca="1" si="226"/>
        <v>44921</v>
      </c>
      <c r="E1850" s="1" t="s">
        <v>26</v>
      </c>
      <c r="F1850" s="1" t="s">
        <v>1878</v>
      </c>
      <c r="G1850" s="1" t="s">
        <v>28</v>
      </c>
      <c r="H1850" s="1">
        <v>1948</v>
      </c>
      <c r="I1850" s="1">
        <f t="shared" si="228"/>
        <v>45</v>
      </c>
      <c r="J1850" s="1">
        <f>VLOOKUP(B1850,Cena!$A$2:$B$101,2)</f>
        <v>125</v>
      </c>
      <c r="K1850" s="1">
        <f t="shared" si="232"/>
        <v>5625</v>
      </c>
      <c r="L1850" s="1">
        <f t="shared" si="229"/>
        <v>1293.75</v>
      </c>
      <c r="M1850" s="22">
        <f t="shared" si="233"/>
        <v>6918.75</v>
      </c>
      <c r="N1850" s="1">
        <f t="shared" ca="1" si="230"/>
        <v>12</v>
      </c>
      <c r="P1850" s="1">
        <v>45.858047441288363</v>
      </c>
      <c r="Q1850" s="1">
        <f t="shared" ca="1" si="231"/>
        <v>16</v>
      </c>
      <c r="R1850" s="1">
        <v>7.8549510615266627</v>
      </c>
    </row>
    <row r="1851" spans="1:18" x14ac:dyDescent="0.3">
      <c r="A1851" s="26">
        <v>1850</v>
      </c>
      <c r="B1851" s="1">
        <v>11</v>
      </c>
      <c r="C1851" s="1">
        <f t="shared" si="227"/>
        <v>10</v>
      </c>
      <c r="D1851" s="21">
        <f t="shared" ca="1" si="226"/>
        <v>44717</v>
      </c>
      <c r="E1851" s="1" t="s">
        <v>26</v>
      </c>
      <c r="F1851" s="1" t="s">
        <v>1879</v>
      </c>
      <c r="G1851" s="1" t="s">
        <v>28</v>
      </c>
      <c r="H1851" s="1">
        <v>1949</v>
      </c>
      <c r="I1851" s="1">
        <f t="shared" si="228"/>
        <v>48</v>
      </c>
      <c r="J1851" s="1">
        <f>VLOOKUP(B1851,Cena!$A$2:$B$101,2)</f>
        <v>83</v>
      </c>
      <c r="K1851" s="1">
        <f t="shared" si="232"/>
        <v>3984</v>
      </c>
      <c r="L1851" s="1">
        <f t="shared" si="229"/>
        <v>916.32</v>
      </c>
      <c r="M1851" s="22">
        <f t="shared" si="233"/>
        <v>4900.32</v>
      </c>
      <c r="N1851" s="1">
        <f t="shared" ca="1" si="230"/>
        <v>6</v>
      </c>
      <c r="P1851" s="1">
        <v>48.460521055676509</v>
      </c>
      <c r="Q1851" s="1">
        <f t="shared" ca="1" si="231"/>
        <v>17</v>
      </c>
      <c r="R1851" s="1">
        <v>10.823331447463715</v>
      </c>
    </row>
    <row r="1852" spans="1:18" x14ac:dyDescent="0.3">
      <c r="A1852" s="26">
        <v>1851</v>
      </c>
      <c r="B1852" s="1">
        <v>30</v>
      </c>
      <c r="C1852" s="1">
        <f t="shared" si="227"/>
        <v>7</v>
      </c>
      <c r="D1852" s="21">
        <f t="shared" ca="1" si="226"/>
        <v>44764</v>
      </c>
      <c r="E1852" s="1" t="s">
        <v>26</v>
      </c>
      <c r="F1852" s="1" t="s">
        <v>1880</v>
      </c>
      <c r="G1852" s="1" t="s">
        <v>28</v>
      </c>
      <c r="H1852" s="1">
        <v>1950</v>
      </c>
      <c r="I1852" s="1">
        <f t="shared" si="228"/>
        <v>41</v>
      </c>
      <c r="J1852" s="1">
        <f>VLOOKUP(B1852,Cena!$A$2:$B$101,2)</f>
        <v>87</v>
      </c>
      <c r="K1852" s="1">
        <f t="shared" si="232"/>
        <v>3567</v>
      </c>
      <c r="L1852" s="1">
        <f t="shared" si="229"/>
        <v>820.41000000000008</v>
      </c>
      <c r="M1852" s="22">
        <f t="shared" si="233"/>
        <v>4387.41</v>
      </c>
      <c r="N1852" s="1">
        <f t="shared" ca="1" si="230"/>
        <v>7</v>
      </c>
      <c r="P1852" s="1">
        <v>41.667004906048533</v>
      </c>
      <c r="Q1852" s="1">
        <f t="shared" ca="1" si="231"/>
        <v>5</v>
      </c>
      <c r="R1852" s="1">
        <v>7.1122804254264338</v>
      </c>
    </row>
    <row r="1853" spans="1:18" x14ac:dyDescent="0.3">
      <c r="A1853" s="26">
        <v>1852</v>
      </c>
      <c r="B1853" s="1">
        <v>11</v>
      </c>
      <c r="C1853" s="1">
        <f t="shared" si="227"/>
        <v>13</v>
      </c>
      <c r="D1853" s="21">
        <f t="shared" ca="1" si="226"/>
        <v>44686</v>
      </c>
      <c r="E1853" s="1" t="s">
        <v>26</v>
      </c>
      <c r="F1853" s="1" t="s">
        <v>1881</v>
      </c>
      <c r="G1853" s="1" t="s">
        <v>28</v>
      </c>
      <c r="H1853" s="1">
        <v>1951</v>
      </c>
      <c r="I1853" s="1">
        <f t="shared" si="228"/>
        <v>49</v>
      </c>
      <c r="J1853" s="1">
        <f>VLOOKUP(B1853,Cena!$A$2:$B$101,2)</f>
        <v>83</v>
      </c>
      <c r="K1853" s="1">
        <f t="shared" si="232"/>
        <v>4067</v>
      </c>
      <c r="L1853" s="1">
        <f t="shared" si="229"/>
        <v>935.41000000000008</v>
      </c>
      <c r="M1853" s="22">
        <f t="shared" si="233"/>
        <v>5002.41</v>
      </c>
      <c r="N1853" s="1">
        <f t="shared" ca="1" si="230"/>
        <v>5</v>
      </c>
      <c r="P1853" s="1">
        <v>49.194756128417794</v>
      </c>
      <c r="Q1853" s="1">
        <f t="shared" ca="1" si="231"/>
        <v>4</v>
      </c>
      <c r="R1853" s="1">
        <v>13.563889094948536</v>
      </c>
    </row>
    <row r="1854" spans="1:18" x14ac:dyDescent="0.3">
      <c r="A1854" s="26">
        <v>1853</v>
      </c>
      <c r="B1854" s="1">
        <v>2</v>
      </c>
      <c r="C1854" s="1">
        <f t="shared" si="227"/>
        <v>7</v>
      </c>
      <c r="D1854" s="21">
        <f t="shared" ca="1" si="226"/>
        <v>44682</v>
      </c>
      <c r="E1854" s="1" t="s">
        <v>26</v>
      </c>
      <c r="F1854" s="1" t="s">
        <v>1882</v>
      </c>
      <c r="G1854" s="1" t="s">
        <v>28</v>
      </c>
      <c r="H1854" s="1">
        <v>1952</v>
      </c>
      <c r="I1854" s="1">
        <f t="shared" si="228"/>
        <v>44</v>
      </c>
      <c r="J1854" s="1">
        <f>VLOOKUP(B1854,Cena!$A$2:$B$101,2)</f>
        <v>121</v>
      </c>
      <c r="K1854" s="1">
        <f t="shared" si="232"/>
        <v>5324</v>
      </c>
      <c r="L1854" s="1">
        <f t="shared" si="229"/>
        <v>1224.52</v>
      </c>
      <c r="M1854" s="22">
        <f t="shared" si="233"/>
        <v>6548.52</v>
      </c>
      <c r="N1854" s="1">
        <f t="shared" ca="1" si="230"/>
        <v>5</v>
      </c>
      <c r="P1854" s="1">
        <v>44.104587131005246</v>
      </c>
      <c r="Q1854" s="1">
        <f t="shared" ca="1" si="231"/>
        <v>13</v>
      </c>
      <c r="R1854" s="1">
        <v>7.5142543462425238</v>
      </c>
    </row>
    <row r="1855" spans="1:18" x14ac:dyDescent="0.3">
      <c r="A1855" s="26">
        <v>1854</v>
      </c>
      <c r="B1855" s="1">
        <v>19</v>
      </c>
      <c r="C1855" s="1">
        <f t="shared" si="227"/>
        <v>10</v>
      </c>
      <c r="D1855" s="21">
        <f t="shared" ca="1" si="226"/>
        <v>44694</v>
      </c>
      <c r="E1855" s="1" t="s">
        <v>26</v>
      </c>
      <c r="F1855" s="1" t="s">
        <v>1883</v>
      </c>
      <c r="G1855" s="1" t="s">
        <v>28</v>
      </c>
      <c r="H1855" s="1">
        <v>1953</v>
      </c>
      <c r="I1855" s="1">
        <f t="shared" si="228"/>
        <v>55</v>
      </c>
      <c r="J1855" s="1">
        <f>VLOOKUP(B1855,Cena!$A$2:$B$101,2)</f>
        <v>84</v>
      </c>
      <c r="K1855" s="1">
        <f t="shared" si="232"/>
        <v>4620</v>
      </c>
      <c r="L1855" s="1">
        <f t="shared" si="229"/>
        <v>1062.6000000000001</v>
      </c>
      <c r="M1855" s="22">
        <f t="shared" si="233"/>
        <v>5682.6</v>
      </c>
      <c r="N1855" s="1">
        <f t="shared" ca="1" si="230"/>
        <v>5</v>
      </c>
      <c r="P1855" s="1">
        <v>55.356776000553509</v>
      </c>
      <c r="Q1855" s="1">
        <f t="shared" ca="1" si="231"/>
        <v>3</v>
      </c>
      <c r="R1855" s="1">
        <v>10.566993207939959</v>
      </c>
    </row>
    <row r="1856" spans="1:18" x14ac:dyDescent="0.3">
      <c r="A1856" s="26">
        <v>1855</v>
      </c>
      <c r="B1856" s="1">
        <v>3</v>
      </c>
      <c r="C1856" s="1">
        <f t="shared" si="227"/>
        <v>8</v>
      </c>
      <c r="D1856" s="21">
        <f t="shared" ca="1" si="226"/>
        <v>44807</v>
      </c>
      <c r="E1856" s="1" t="s">
        <v>26</v>
      </c>
      <c r="F1856" s="1" t="s">
        <v>1884</v>
      </c>
      <c r="G1856" s="1" t="s">
        <v>28</v>
      </c>
      <c r="H1856" s="1">
        <v>1954</v>
      </c>
      <c r="I1856" s="1">
        <f t="shared" si="228"/>
        <v>45</v>
      </c>
      <c r="J1856" s="1">
        <f>VLOOKUP(B1856,Cena!$A$2:$B$101,2)</f>
        <v>89</v>
      </c>
      <c r="K1856" s="1">
        <f t="shared" si="232"/>
        <v>4005</v>
      </c>
      <c r="L1856" s="1">
        <f t="shared" si="229"/>
        <v>921.15000000000009</v>
      </c>
      <c r="M1856" s="22">
        <f t="shared" si="233"/>
        <v>4926.1499999999996</v>
      </c>
      <c r="N1856" s="1">
        <f t="shared" ca="1" si="230"/>
        <v>9</v>
      </c>
      <c r="P1856" s="1">
        <v>45.668940755422227</v>
      </c>
      <c r="Q1856" s="1">
        <f t="shared" ca="1" si="231"/>
        <v>5</v>
      </c>
      <c r="R1856" s="1">
        <v>8.3195948516367935</v>
      </c>
    </row>
    <row r="1857" spans="1:18" x14ac:dyDescent="0.3">
      <c r="A1857" s="26">
        <v>1856</v>
      </c>
      <c r="B1857" s="1">
        <v>7</v>
      </c>
      <c r="C1857" s="1">
        <f t="shared" si="227"/>
        <v>12</v>
      </c>
      <c r="D1857" s="21">
        <f t="shared" ca="1" si="226"/>
        <v>44628</v>
      </c>
      <c r="E1857" s="1" t="s">
        <v>26</v>
      </c>
      <c r="F1857" s="1" t="s">
        <v>1885</v>
      </c>
      <c r="G1857" s="1" t="s">
        <v>28</v>
      </c>
      <c r="H1857" s="1">
        <v>1955</v>
      </c>
      <c r="I1857" s="1">
        <f t="shared" si="228"/>
        <v>58</v>
      </c>
      <c r="J1857" s="1">
        <f>VLOOKUP(B1857,Cena!$A$2:$B$101,2)</f>
        <v>104</v>
      </c>
      <c r="K1857" s="1">
        <f t="shared" si="232"/>
        <v>6032</v>
      </c>
      <c r="L1857" s="1">
        <f t="shared" si="229"/>
        <v>1387.3600000000001</v>
      </c>
      <c r="M1857" s="22">
        <f t="shared" si="233"/>
        <v>7419.3600000000006</v>
      </c>
      <c r="N1857" s="1">
        <f t="shared" ca="1" si="230"/>
        <v>3</v>
      </c>
      <c r="P1857" s="1">
        <v>58.536062523489818</v>
      </c>
      <c r="Q1857" s="1">
        <f t="shared" ca="1" si="231"/>
        <v>20</v>
      </c>
      <c r="R1857" s="1">
        <v>12.105252860928886</v>
      </c>
    </row>
    <row r="1858" spans="1:18" x14ac:dyDescent="0.3">
      <c r="A1858" s="26">
        <v>1857</v>
      </c>
      <c r="B1858" s="1">
        <v>7</v>
      </c>
      <c r="C1858" s="1">
        <f t="shared" si="227"/>
        <v>13</v>
      </c>
      <c r="D1858" s="21">
        <f t="shared" ref="D1858:D1921" ca="1" si="234">DATE(2022,RANDBETWEEN(1,12),RANDBETWEEN(1,28))</f>
        <v>44635</v>
      </c>
      <c r="E1858" s="1" t="s">
        <v>26</v>
      </c>
      <c r="F1858" s="1" t="s">
        <v>1886</v>
      </c>
      <c r="G1858" s="1" t="s">
        <v>28</v>
      </c>
      <c r="H1858" s="1">
        <v>1956</v>
      </c>
      <c r="I1858" s="1">
        <f t="shared" si="228"/>
        <v>52</v>
      </c>
      <c r="J1858" s="1">
        <f>VLOOKUP(B1858,Cena!$A$2:$B$101,2)</f>
        <v>104</v>
      </c>
      <c r="K1858" s="1">
        <f t="shared" si="232"/>
        <v>5408</v>
      </c>
      <c r="L1858" s="1">
        <f t="shared" si="229"/>
        <v>1243.8400000000001</v>
      </c>
      <c r="M1858" s="22">
        <f t="shared" si="233"/>
        <v>6651.84</v>
      </c>
      <c r="N1858" s="1">
        <f t="shared" ca="1" si="230"/>
        <v>3</v>
      </c>
      <c r="P1858" s="1">
        <v>52.230308382422663</v>
      </c>
      <c r="Q1858" s="1">
        <f t="shared" ca="1" si="231"/>
        <v>13</v>
      </c>
      <c r="R1858" s="1">
        <v>13.312845819891663</v>
      </c>
    </row>
    <row r="1859" spans="1:18" x14ac:dyDescent="0.3">
      <c r="A1859" s="26">
        <v>1858</v>
      </c>
      <c r="B1859" s="1">
        <v>8</v>
      </c>
      <c r="C1859" s="1">
        <f t="shared" ref="C1859:C1922" si="235">INT(R1859)</f>
        <v>11</v>
      </c>
      <c r="D1859" s="21">
        <f t="shared" ca="1" si="234"/>
        <v>44625</v>
      </c>
      <c r="E1859" s="1" t="s">
        <v>26</v>
      </c>
      <c r="F1859" s="1" t="s">
        <v>1887</v>
      </c>
      <c r="G1859" s="1" t="s">
        <v>28</v>
      </c>
      <c r="H1859" s="1">
        <v>1957</v>
      </c>
      <c r="I1859" s="1">
        <f t="shared" ref="I1859:I1922" si="236">INT(P1859)</f>
        <v>45</v>
      </c>
      <c r="J1859" s="1">
        <f>VLOOKUP(B1859,Cena!$A$2:$B$101,2)</f>
        <v>88</v>
      </c>
      <c r="K1859" s="1">
        <f t="shared" si="232"/>
        <v>3960</v>
      </c>
      <c r="L1859" s="1">
        <f t="shared" ref="L1859:L1922" si="237">K1859*23%</f>
        <v>910.80000000000007</v>
      </c>
      <c r="M1859" s="22">
        <f t="shared" si="233"/>
        <v>4870.8</v>
      </c>
      <c r="N1859" s="1">
        <f t="shared" ref="N1859:N1922" ca="1" si="238">MONTH(D1859)</f>
        <v>3</v>
      </c>
      <c r="P1859" s="1">
        <v>45.867221969092498</v>
      </c>
      <c r="Q1859" s="1">
        <f t="shared" ref="Q1859:Q1922" ca="1" si="239">RANDBETWEEN(1,30)</f>
        <v>15</v>
      </c>
      <c r="R1859" s="1">
        <v>11.766022705851356</v>
      </c>
    </row>
    <row r="1860" spans="1:18" x14ac:dyDescent="0.3">
      <c r="A1860" s="26">
        <v>1859</v>
      </c>
      <c r="B1860" s="1">
        <v>2</v>
      </c>
      <c r="C1860" s="1">
        <f t="shared" si="235"/>
        <v>12</v>
      </c>
      <c r="D1860" s="21">
        <f t="shared" ca="1" si="234"/>
        <v>44918</v>
      </c>
      <c r="E1860" s="1" t="s">
        <v>26</v>
      </c>
      <c r="F1860" s="1" t="s">
        <v>1888</v>
      </c>
      <c r="G1860" s="1" t="s">
        <v>28</v>
      </c>
      <c r="H1860" s="1">
        <v>1958</v>
      </c>
      <c r="I1860" s="1">
        <f t="shared" si="236"/>
        <v>40</v>
      </c>
      <c r="J1860" s="1">
        <f>VLOOKUP(B1860,Cena!$A$2:$B$101,2)</f>
        <v>121</v>
      </c>
      <c r="K1860" s="1">
        <f t="shared" si="232"/>
        <v>4840</v>
      </c>
      <c r="L1860" s="1">
        <f t="shared" si="237"/>
        <v>1113.2</v>
      </c>
      <c r="M1860" s="22">
        <f t="shared" si="233"/>
        <v>5953.2</v>
      </c>
      <c r="N1860" s="1">
        <f t="shared" ca="1" si="238"/>
        <v>12</v>
      </c>
      <c r="P1860" s="1">
        <v>40.473543221014552</v>
      </c>
      <c r="Q1860" s="1">
        <f t="shared" ca="1" si="239"/>
        <v>5</v>
      </c>
      <c r="R1860" s="1">
        <v>12.656111064425204</v>
      </c>
    </row>
    <row r="1861" spans="1:18" x14ac:dyDescent="0.3">
      <c r="A1861" s="26">
        <v>1860</v>
      </c>
      <c r="B1861" s="1">
        <v>16</v>
      </c>
      <c r="C1861" s="1">
        <f t="shared" si="235"/>
        <v>10</v>
      </c>
      <c r="D1861" s="21">
        <f t="shared" ca="1" si="234"/>
        <v>44582</v>
      </c>
      <c r="E1861" s="1" t="s">
        <v>26</v>
      </c>
      <c r="F1861" s="1" t="s">
        <v>1889</v>
      </c>
      <c r="G1861" s="1" t="s">
        <v>28</v>
      </c>
      <c r="H1861" s="1">
        <v>1959</v>
      </c>
      <c r="I1861" s="1">
        <f t="shared" si="236"/>
        <v>55</v>
      </c>
      <c r="J1861" s="1">
        <f>VLOOKUP(B1861,Cena!$A$2:$B$101,2)</f>
        <v>93</v>
      </c>
      <c r="K1861" s="1">
        <f t="shared" si="232"/>
        <v>5115</v>
      </c>
      <c r="L1861" s="1">
        <f t="shared" si="237"/>
        <v>1176.45</v>
      </c>
      <c r="M1861" s="22">
        <f t="shared" si="233"/>
        <v>6291.45</v>
      </c>
      <c r="N1861" s="1">
        <f t="shared" ca="1" si="238"/>
        <v>1</v>
      </c>
      <c r="P1861" s="1">
        <v>55.580659490078688</v>
      </c>
      <c r="Q1861" s="1">
        <f t="shared" ca="1" si="239"/>
        <v>7</v>
      </c>
      <c r="R1861" s="1">
        <v>10.473960426461417</v>
      </c>
    </row>
    <row r="1862" spans="1:18" x14ac:dyDescent="0.3">
      <c r="A1862" s="26">
        <v>1861</v>
      </c>
      <c r="B1862" s="1">
        <v>12</v>
      </c>
      <c r="C1862" s="1">
        <f t="shared" si="235"/>
        <v>15</v>
      </c>
      <c r="D1862" s="21">
        <f t="shared" ca="1" si="234"/>
        <v>44816</v>
      </c>
      <c r="E1862" s="1" t="s">
        <v>26</v>
      </c>
      <c r="F1862" s="1" t="s">
        <v>1890</v>
      </c>
      <c r="G1862" s="1" t="s">
        <v>28</v>
      </c>
      <c r="H1862" s="1">
        <v>1960</v>
      </c>
      <c r="I1862" s="1">
        <f t="shared" si="236"/>
        <v>53</v>
      </c>
      <c r="J1862" s="1">
        <f>VLOOKUP(B1862,Cena!$A$2:$B$101,2)</f>
        <v>88</v>
      </c>
      <c r="K1862" s="1">
        <f t="shared" si="232"/>
        <v>4664</v>
      </c>
      <c r="L1862" s="1">
        <f t="shared" si="237"/>
        <v>1072.72</v>
      </c>
      <c r="M1862" s="22">
        <f t="shared" si="233"/>
        <v>5736.72</v>
      </c>
      <c r="N1862" s="1">
        <f t="shared" ca="1" si="238"/>
        <v>9</v>
      </c>
      <c r="P1862" s="1">
        <v>53.119362190773245</v>
      </c>
      <c r="Q1862" s="1">
        <f t="shared" ca="1" si="239"/>
        <v>2</v>
      </c>
      <c r="R1862" s="1">
        <v>15.998663255013525</v>
      </c>
    </row>
    <row r="1863" spans="1:18" x14ac:dyDescent="0.3">
      <c r="A1863" s="26">
        <v>1862</v>
      </c>
      <c r="B1863" s="1">
        <v>9</v>
      </c>
      <c r="C1863" s="1">
        <f t="shared" si="235"/>
        <v>11</v>
      </c>
      <c r="D1863" s="21">
        <f t="shared" ca="1" si="234"/>
        <v>44835</v>
      </c>
      <c r="E1863" s="1" t="s">
        <v>26</v>
      </c>
      <c r="F1863" s="1" t="s">
        <v>1891</v>
      </c>
      <c r="G1863" s="1" t="s">
        <v>28</v>
      </c>
      <c r="H1863" s="1">
        <v>1961</v>
      </c>
      <c r="I1863" s="1">
        <f t="shared" si="236"/>
        <v>61</v>
      </c>
      <c r="J1863" s="1">
        <f>VLOOKUP(B1863,Cena!$A$2:$B$101,2)</f>
        <v>96</v>
      </c>
      <c r="K1863" s="1">
        <f t="shared" si="232"/>
        <v>5856</v>
      </c>
      <c r="L1863" s="1">
        <f t="shared" si="237"/>
        <v>1346.88</v>
      </c>
      <c r="M1863" s="22">
        <f t="shared" si="233"/>
        <v>7202.88</v>
      </c>
      <c r="N1863" s="1">
        <f t="shared" ca="1" si="238"/>
        <v>10</v>
      </c>
      <c r="P1863" s="1">
        <v>61.94125616166275</v>
      </c>
      <c r="Q1863" s="1">
        <f t="shared" ca="1" si="239"/>
        <v>5</v>
      </c>
      <c r="R1863" s="1">
        <v>11.559607198942103</v>
      </c>
    </row>
    <row r="1864" spans="1:18" x14ac:dyDescent="0.3">
      <c r="A1864" s="26">
        <v>1863</v>
      </c>
      <c r="B1864" s="1">
        <v>20</v>
      </c>
      <c r="C1864" s="1">
        <f t="shared" si="235"/>
        <v>13</v>
      </c>
      <c r="D1864" s="21">
        <f t="shared" ca="1" si="234"/>
        <v>44685</v>
      </c>
      <c r="E1864" s="1" t="s">
        <v>26</v>
      </c>
      <c r="F1864" s="1" t="s">
        <v>1892</v>
      </c>
      <c r="G1864" s="1" t="s">
        <v>28</v>
      </c>
      <c r="H1864" s="1">
        <v>1962</v>
      </c>
      <c r="I1864" s="1">
        <f t="shared" si="236"/>
        <v>59</v>
      </c>
      <c r="J1864" s="1">
        <f>VLOOKUP(B1864,Cena!$A$2:$B$101,2)</f>
        <v>111</v>
      </c>
      <c r="K1864" s="1">
        <f t="shared" si="232"/>
        <v>6549</v>
      </c>
      <c r="L1864" s="1">
        <f t="shared" si="237"/>
        <v>1506.27</v>
      </c>
      <c r="M1864" s="22">
        <f t="shared" si="233"/>
        <v>8055.27</v>
      </c>
      <c r="N1864" s="1">
        <f t="shared" ca="1" si="238"/>
        <v>5</v>
      </c>
      <c r="P1864" s="1">
        <v>59.412656254426111</v>
      </c>
      <c r="Q1864" s="1">
        <f t="shared" ca="1" si="239"/>
        <v>20</v>
      </c>
      <c r="R1864" s="1">
        <v>13.066065801249351</v>
      </c>
    </row>
    <row r="1865" spans="1:18" x14ac:dyDescent="0.3">
      <c r="A1865" s="26">
        <v>1864</v>
      </c>
      <c r="B1865" s="1">
        <v>28</v>
      </c>
      <c r="C1865" s="1">
        <f t="shared" si="235"/>
        <v>11</v>
      </c>
      <c r="D1865" s="21">
        <f t="shared" ca="1" si="234"/>
        <v>44808</v>
      </c>
      <c r="E1865" s="1" t="s">
        <v>26</v>
      </c>
      <c r="F1865" s="1" t="s">
        <v>1893</v>
      </c>
      <c r="G1865" s="1" t="s">
        <v>28</v>
      </c>
      <c r="H1865" s="1">
        <v>1963</v>
      </c>
      <c r="I1865" s="1">
        <f t="shared" si="236"/>
        <v>41</v>
      </c>
      <c r="J1865" s="1">
        <f>VLOOKUP(B1865,Cena!$A$2:$B$101,2)</f>
        <v>59</v>
      </c>
      <c r="K1865" s="1">
        <f t="shared" si="232"/>
        <v>2419</v>
      </c>
      <c r="L1865" s="1">
        <f t="shared" si="237"/>
        <v>556.37</v>
      </c>
      <c r="M1865" s="22">
        <f t="shared" si="233"/>
        <v>2975.37</v>
      </c>
      <c r="N1865" s="1">
        <f t="shared" ca="1" si="238"/>
        <v>9</v>
      </c>
      <c r="P1865" s="1">
        <v>41.28190211195033</v>
      </c>
      <c r="Q1865" s="1">
        <f t="shared" ca="1" si="239"/>
        <v>4</v>
      </c>
      <c r="R1865" s="1">
        <v>11.343391886621248</v>
      </c>
    </row>
    <row r="1866" spans="1:18" x14ac:dyDescent="0.3">
      <c r="A1866" s="26">
        <v>1865</v>
      </c>
      <c r="B1866" s="1">
        <v>26</v>
      </c>
      <c r="C1866" s="1">
        <f t="shared" si="235"/>
        <v>10</v>
      </c>
      <c r="D1866" s="21">
        <f t="shared" ca="1" si="234"/>
        <v>44774</v>
      </c>
      <c r="E1866" s="1" t="s">
        <v>26</v>
      </c>
      <c r="F1866" s="1" t="s">
        <v>1894</v>
      </c>
      <c r="G1866" s="1" t="s">
        <v>28</v>
      </c>
      <c r="H1866" s="1">
        <v>1964</v>
      </c>
      <c r="I1866" s="1">
        <f t="shared" si="236"/>
        <v>62</v>
      </c>
      <c r="J1866" s="1">
        <f>VLOOKUP(B1866,Cena!$A$2:$B$101,2)</f>
        <v>99</v>
      </c>
      <c r="K1866" s="1">
        <f t="shared" si="232"/>
        <v>6138</v>
      </c>
      <c r="L1866" s="1">
        <f t="shared" si="237"/>
        <v>1411.74</v>
      </c>
      <c r="M1866" s="22">
        <f t="shared" si="233"/>
        <v>7549.74</v>
      </c>
      <c r="N1866" s="1">
        <f t="shared" ca="1" si="238"/>
        <v>8</v>
      </c>
      <c r="P1866" s="1">
        <v>62.365489965304732</v>
      </c>
      <c r="Q1866" s="1">
        <f t="shared" ca="1" si="239"/>
        <v>7</v>
      </c>
      <c r="R1866" s="1">
        <v>10.780644882070192</v>
      </c>
    </row>
    <row r="1867" spans="1:18" x14ac:dyDescent="0.3">
      <c r="A1867" s="26">
        <v>1866</v>
      </c>
      <c r="B1867" s="1">
        <v>9</v>
      </c>
      <c r="C1867" s="1">
        <f t="shared" si="235"/>
        <v>10</v>
      </c>
      <c r="D1867" s="21">
        <f t="shared" ca="1" si="234"/>
        <v>44819</v>
      </c>
      <c r="E1867" s="1" t="s">
        <v>26</v>
      </c>
      <c r="F1867" s="1" t="s">
        <v>1895</v>
      </c>
      <c r="G1867" s="1" t="s">
        <v>28</v>
      </c>
      <c r="H1867" s="1">
        <v>1965</v>
      </c>
      <c r="I1867" s="1">
        <f t="shared" si="236"/>
        <v>57</v>
      </c>
      <c r="J1867" s="1">
        <f>VLOOKUP(B1867,Cena!$A$2:$B$101,2)</f>
        <v>96</v>
      </c>
      <c r="K1867" s="1">
        <f t="shared" si="232"/>
        <v>5472</v>
      </c>
      <c r="L1867" s="1">
        <f t="shared" si="237"/>
        <v>1258.56</v>
      </c>
      <c r="M1867" s="22">
        <f t="shared" si="233"/>
        <v>6730.5599999999995</v>
      </c>
      <c r="N1867" s="1">
        <f t="shared" ca="1" si="238"/>
        <v>9</v>
      </c>
      <c r="P1867" s="1">
        <v>57.609799013152951</v>
      </c>
      <c r="Q1867" s="1">
        <f t="shared" ca="1" si="239"/>
        <v>9</v>
      </c>
      <c r="R1867" s="1">
        <v>10.938723587751156</v>
      </c>
    </row>
    <row r="1868" spans="1:18" x14ac:dyDescent="0.3">
      <c r="A1868" s="26">
        <v>1867</v>
      </c>
      <c r="B1868" s="1">
        <v>12</v>
      </c>
      <c r="C1868" s="1">
        <f t="shared" si="235"/>
        <v>7</v>
      </c>
      <c r="D1868" s="21">
        <f t="shared" ca="1" si="234"/>
        <v>44638</v>
      </c>
      <c r="E1868" s="1" t="s">
        <v>26</v>
      </c>
      <c r="F1868" s="1" t="s">
        <v>1896</v>
      </c>
      <c r="G1868" s="1" t="s">
        <v>28</v>
      </c>
      <c r="H1868" s="1">
        <v>1966</v>
      </c>
      <c r="I1868" s="1">
        <f t="shared" si="236"/>
        <v>51</v>
      </c>
      <c r="J1868" s="1">
        <f>VLOOKUP(B1868,Cena!$A$2:$B$101,2)</f>
        <v>88</v>
      </c>
      <c r="K1868" s="1">
        <f t="shared" si="232"/>
        <v>4488</v>
      </c>
      <c r="L1868" s="1">
        <f t="shared" si="237"/>
        <v>1032.24</v>
      </c>
      <c r="M1868" s="22">
        <f t="shared" si="233"/>
        <v>5520.24</v>
      </c>
      <c r="N1868" s="1">
        <f t="shared" ca="1" si="238"/>
        <v>3</v>
      </c>
      <c r="P1868" s="1">
        <v>51.366288415738381</v>
      </c>
      <c r="Q1868" s="1">
        <f t="shared" ca="1" si="239"/>
        <v>1</v>
      </c>
      <c r="R1868" s="1">
        <v>7.4362310695141787</v>
      </c>
    </row>
    <row r="1869" spans="1:18" x14ac:dyDescent="0.3">
      <c r="A1869" s="26">
        <v>1868</v>
      </c>
      <c r="B1869" s="1">
        <v>12</v>
      </c>
      <c r="C1869" s="1">
        <f t="shared" si="235"/>
        <v>11</v>
      </c>
      <c r="D1869" s="21">
        <f t="shared" ca="1" si="234"/>
        <v>44762</v>
      </c>
      <c r="E1869" s="1" t="s">
        <v>26</v>
      </c>
      <c r="F1869" s="1" t="s">
        <v>1897</v>
      </c>
      <c r="G1869" s="1" t="s">
        <v>28</v>
      </c>
      <c r="H1869" s="1">
        <v>1967</v>
      </c>
      <c r="I1869" s="1">
        <f t="shared" si="236"/>
        <v>43</v>
      </c>
      <c r="J1869" s="1">
        <f>VLOOKUP(B1869,Cena!$A$2:$B$101,2)</f>
        <v>88</v>
      </c>
      <c r="K1869" s="1">
        <f t="shared" si="232"/>
        <v>3784</v>
      </c>
      <c r="L1869" s="1">
        <f t="shared" si="237"/>
        <v>870.32</v>
      </c>
      <c r="M1869" s="22">
        <f t="shared" si="233"/>
        <v>4654.32</v>
      </c>
      <c r="N1869" s="1">
        <f t="shared" ca="1" si="238"/>
        <v>7</v>
      </c>
      <c r="P1869" s="1">
        <v>43.584015101077966</v>
      </c>
      <c r="Q1869" s="1">
        <f t="shared" ca="1" si="239"/>
        <v>19</v>
      </c>
      <c r="R1869" s="1">
        <v>11.073323119271663</v>
      </c>
    </row>
    <row r="1870" spans="1:18" x14ac:dyDescent="0.3">
      <c r="A1870" s="26">
        <v>1869</v>
      </c>
      <c r="B1870" s="1">
        <v>21</v>
      </c>
      <c r="C1870" s="1">
        <f t="shared" si="235"/>
        <v>8</v>
      </c>
      <c r="D1870" s="21">
        <f t="shared" ca="1" si="234"/>
        <v>44600</v>
      </c>
      <c r="E1870" s="1" t="s">
        <v>26</v>
      </c>
      <c r="F1870" s="1" t="s">
        <v>1898</v>
      </c>
      <c r="G1870" s="1" t="s">
        <v>28</v>
      </c>
      <c r="H1870" s="1">
        <v>1968</v>
      </c>
      <c r="I1870" s="1">
        <f t="shared" si="236"/>
        <v>50</v>
      </c>
      <c r="J1870" s="1">
        <f>VLOOKUP(B1870,Cena!$A$2:$B$101,2)</f>
        <v>105</v>
      </c>
      <c r="K1870" s="1">
        <f t="shared" si="232"/>
        <v>5250</v>
      </c>
      <c r="L1870" s="1">
        <f t="shared" si="237"/>
        <v>1207.5</v>
      </c>
      <c r="M1870" s="22">
        <f t="shared" si="233"/>
        <v>6457.5</v>
      </c>
      <c r="N1870" s="1">
        <f t="shared" ca="1" si="238"/>
        <v>2</v>
      </c>
      <c r="P1870" s="1">
        <v>50.444981651526177</v>
      </c>
      <c r="Q1870" s="1">
        <f t="shared" ca="1" si="239"/>
        <v>19</v>
      </c>
      <c r="R1870" s="1">
        <v>8.1798112003161805</v>
      </c>
    </row>
    <row r="1871" spans="1:18" x14ac:dyDescent="0.3">
      <c r="A1871" s="26">
        <v>1870</v>
      </c>
      <c r="B1871" s="1">
        <v>20</v>
      </c>
      <c r="C1871" s="1">
        <f t="shared" si="235"/>
        <v>6</v>
      </c>
      <c r="D1871" s="21">
        <f t="shared" ca="1" si="234"/>
        <v>44896</v>
      </c>
      <c r="E1871" s="1" t="s">
        <v>26</v>
      </c>
      <c r="F1871" s="1" t="s">
        <v>1899</v>
      </c>
      <c r="G1871" s="1" t="s">
        <v>28</v>
      </c>
      <c r="H1871" s="1">
        <v>1969</v>
      </c>
      <c r="I1871" s="1">
        <f t="shared" si="236"/>
        <v>53</v>
      </c>
      <c r="J1871" s="1">
        <f>VLOOKUP(B1871,Cena!$A$2:$B$101,2)</f>
        <v>111</v>
      </c>
      <c r="K1871" s="1">
        <f t="shared" si="232"/>
        <v>5883</v>
      </c>
      <c r="L1871" s="1">
        <f t="shared" si="237"/>
        <v>1353.0900000000001</v>
      </c>
      <c r="M1871" s="22">
        <f t="shared" si="233"/>
        <v>7236.09</v>
      </c>
      <c r="N1871" s="1">
        <f t="shared" ca="1" si="238"/>
        <v>12</v>
      </c>
      <c r="P1871" s="1">
        <v>53.519505753502017</v>
      </c>
      <c r="Q1871" s="1">
        <f t="shared" ca="1" si="239"/>
        <v>16</v>
      </c>
      <c r="R1871" s="1">
        <v>6.717281192104565</v>
      </c>
    </row>
    <row r="1872" spans="1:18" x14ac:dyDescent="0.3">
      <c r="A1872" s="26">
        <v>1871</v>
      </c>
      <c r="B1872" s="1">
        <v>11</v>
      </c>
      <c r="C1872" s="1">
        <f t="shared" si="235"/>
        <v>11</v>
      </c>
      <c r="D1872" s="21">
        <f t="shared" ca="1" si="234"/>
        <v>44898</v>
      </c>
      <c r="E1872" s="1" t="s">
        <v>26</v>
      </c>
      <c r="F1872" s="1" t="s">
        <v>1900</v>
      </c>
      <c r="G1872" s="1" t="s">
        <v>28</v>
      </c>
      <c r="H1872" s="1">
        <v>1970</v>
      </c>
      <c r="I1872" s="1">
        <f t="shared" si="236"/>
        <v>33</v>
      </c>
      <c r="J1872" s="1">
        <f>VLOOKUP(B1872,Cena!$A$2:$B$101,2)</f>
        <v>83</v>
      </c>
      <c r="K1872" s="1">
        <f t="shared" si="232"/>
        <v>2739</v>
      </c>
      <c r="L1872" s="1">
        <f t="shared" si="237"/>
        <v>629.97</v>
      </c>
      <c r="M1872" s="22">
        <f t="shared" si="233"/>
        <v>3368.9700000000003</v>
      </c>
      <c r="N1872" s="1">
        <f t="shared" ca="1" si="238"/>
        <v>12</v>
      </c>
      <c r="P1872" s="1">
        <v>33.259431246551685</v>
      </c>
      <c r="Q1872" s="1">
        <f t="shared" ca="1" si="239"/>
        <v>26</v>
      </c>
      <c r="R1872" s="1">
        <v>11.057614440469479</v>
      </c>
    </row>
    <row r="1873" spans="1:18" x14ac:dyDescent="0.3">
      <c r="A1873" s="26">
        <v>1872</v>
      </c>
      <c r="B1873" s="1">
        <v>1</v>
      </c>
      <c r="C1873" s="1">
        <f t="shared" si="235"/>
        <v>9</v>
      </c>
      <c r="D1873" s="21">
        <f t="shared" ca="1" si="234"/>
        <v>44874</v>
      </c>
      <c r="E1873" s="1" t="s">
        <v>26</v>
      </c>
      <c r="F1873" s="1" t="s">
        <v>1901</v>
      </c>
      <c r="G1873" s="1" t="s">
        <v>28</v>
      </c>
      <c r="H1873" s="1">
        <v>1971</v>
      </c>
      <c r="I1873" s="1">
        <f t="shared" si="236"/>
        <v>54</v>
      </c>
      <c r="J1873" s="1">
        <f>VLOOKUP(B1873,Cena!$A$2:$B$101,2)</f>
        <v>84</v>
      </c>
      <c r="K1873" s="1">
        <f t="shared" si="232"/>
        <v>4536</v>
      </c>
      <c r="L1873" s="1">
        <f t="shared" si="237"/>
        <v>1043.28</v>
      </c>
      <c r="M1873" s="22">
        <f t="shared" si="233"/>
        <v>5579.28</v>
      </c>
      <c r="N1873" s="1">
        <f t="shared" ca="1" si="238"/>
        <v>11</v>
      </c>
      <c r="P1873" s="1">
        <v>54.763728611578699</v>
      </c>
      <c r="Q1873" s="1">
        <f t="shared" ca="1" si="239"/>
        <v>16</v>
      </c>
      <c r="R1873" s="1">
        <v>9.8284124558267649</v>
      </c>
    </row>
    <row r="1874" spans="1:18" x14ac:dyDescent="0.3">
      <c r="A1874" s="26">
        <v>1873</v>
      </c>
      <c r="B1874" s="1">
        <v>16</v>
      </c>
      <c r="C1874" s="1">
        <f t="shared" si="235"/>
        <v>6</v>
      </c>
      <c r="D1874" s="21">
        <f t="shared" ca="1" si="234"/>
        <v>44776</v>
      </c>
      <c r="E1874" s="1" t="s">
        <v>26</v>
      </c>
      <c r="F1874" s="1" t="s">
        <v>1902</v>
      </c>
      <c r="G1874" s="1" t="s">
        <v>28</v>
      </c>
      <c r="H1874" s="1">
        <v>1972</v>
      </c>
      <c r="I1874" s="1">
        <f t="shared" si="236"/>
        <v>40</v>
      </c>
      <c r="J1874" s="1">
        <f>VLOOKUP(B1874,Cena!$A$2:$B$101,2)</f>
        <v>93</v>
      </c>
      <c r="K1874" s="1">
        <f t="shared" si="232"/>
        <v>3720</v>
      </c>
      <c r="L1874" s="1">
        <f t="shared" si="237"/>
        <v>855.6</v>
      </c>
      <c r="M1874" s="22">
        <f t="shared" si="233"/>
        <v>4575.6000000000004</v>
      </c>
      <c r="N1874" s="1">
        <f t="shared" ca="1" si="238"/>
        <v>8</v>
      </c>
      <c r="P1874" s="1">
        <v>40.348760547931306</v>
      </c>
      <c r="Q1874" s="1">
        <f t="shared" ca="1" si="239"/>
        <v>6</v>
      </c>
      <c r="R1874" s="1">
        <v>6.2768356454034802</v>
      </c>
    </row>
    <row r="1875" spans="1:18" x14ac:dyDescent="0.3">
      <c r="A1875" s="26">
        <v>1874</v>
      </c>
      <c r="B1875" s="1">
        <v>6</v>
      </c>
      <c r="C1875" s="1">
        <f t="shared" si="235"/>
        <v>1</v>
      </c>
      <c r="D1875" s="21">
        <f t="shared" ca="1" si="234"/>
        <v>44755</v>
      </c>
      <c r="E1875" s="1" t="s">
        <v>26</v>
      </c>
      <c r="F1875" s="1" t="s">
        <v>1903</v>
      </c>
      <c r="G1875" s="1" t="s">
        <v>28</v>
      </c>
      <c r="H1875" s="1">
        <v>1973</v>
      </c>
      <c r="I1875" s="1">
        <f t="shared" si="236"/>
        <v>35</v>
      </c>
      <c r="J1875" s="1">
        <f>VLOOKUP(B1875,Cena!$A$2:$B$101,2)</f>
        <v>86</v>
      </c>
      <c r="K1875" s="1">
        <f t="shared" si="232"/>
        <v>3010</v>
      </c>
      <c r="L1875" s="1">
        <f t="shared" si="237"/>
        <v>692.30000000000007</v>
      </c>
      <c r="M1875" s="22">
        <f t="shared" si="233"/>
        <v>3702.3</v>
      </c>
      <c r="N1875" s="1">
        <f t="shared" ca="1" si="238"/>
        <v>7</v>
      </c>
      <c r="P1875" s="1">
        <v>35.993554219021462</v>
      </c>
      <c r="Q1875" s="1">
        <f t="shared" ca="1" si="239"/>
        <v>1</v>
      </c>
      <c r="R1875" s="1">
        <v>1.6122760623693466</v>
      </c>
    </row>
    <row r="1876" spans="1:18" x14ac:dyDescent="0.3">
      <c r="A1876" s="26">
        <v>1875</v>
      </c>
      <c r="B1876" s="1">
        <v>24</v>
      </c>
      <c r="C1876" s="1">
        <f t="shared" si="235"/>
        <v>7</v>
      </c>
      <c r="D1876" s="21">
        <f t="shared" ca="1" si="234"/>
        <v>44643</v>
      </c>
      <c r="E1876" s="1" t="s">
        <v>26</v>
      </c>
      <c r="F1876" s="1" t="s">
        <v>1904</v>
      </c>
      <c r="G1876" s="1" t="s">
        <v>28</v>
      </c>
      <c r="H1876" s="1">
        <v>1974</v>
      </c>
      <c r="I1876" s="1">
        <f t="shared" si="236"/>
        <v>37</v>
      </c>
      <c r="J1876" s="1">
        <f>VLOOKUP(B1876,Cena!$A$2:$B$101,2)</f>
        <v>125</v>
      </c>
      <c r="K1876" s="1">
        <f t="shared" si="232"/>
        <v>4625</v>
      </c>
      <c r="L1876" s="1">
        <f t="shared" si="237"/>
        <v>1063.75</v>
      </c>
      <c r="M1876" s="22">
        <f t="shared" si="233"/>
        <v>5688.75</v>
      </c>
      <c r="N1876" s="1">
        <f t="shared" ca="1" si="238"/>
        <v>3</v>
      </c>
      <c r="P1876" s="1">
        <v>37.997671269113198</v>
      </c>
      <c r="Q1876" s="1">
        <f t="shared" ca="1" si="239"/>
        <v>29</v>
      </c>
      <c r="R1876" s="1">
        <v>7.833589304718771</v>
      </c>
    </row>
    <row r="1877" spans="1:18" x14ac:dyDescent="0.3">
      <c r="A1877" s="26">
        <v>1876</v>
      </c>
      <c r="B1877" s="1">
        <v>19</v>
      </c>
      <c r="C1877" s="1">
        <f t="shared" si="235"/>
        <v>11</v>
      </c>
      <c r="D1877" s="21">
        <f t="shared" ca="1" si="234"/>
        <v>44831</v>
      </c>
      <c r="E1877" s="1" t="s">
        <v>26</v>
      </c>
      <c r="F1877" s="1" t="s">
        <v>1905</v>
      </c>
      <c r="G1877" s="1" t="s">
        <v>28</v>
      </c>
      <c r="H1877" s="1">
        <v>1975</v>
      </c>
      <c r="I1877" s="1">
        <f t="shared" si="236"/>
        <v>51</v>
      </c>
      <c r="J1877" s="1">
        <f>VLOOKUP(B1877,Cena!$A$2:$B$101,2)</f>
        <v>84</v>
      </c>
      <c r="K1877" s="1">
        <f t="shared" si="232"/>
        <v>4284</v>
      </c>
      <c r="L1877" s="1">
        <f t="shared" si="237"/>
        <v>985.32</v>
      </c>
      <c r="M1877" s="22">
        <f t="shared" si="233"/>
        <v>5269.32</v>
      </c>
      <c r="N1877" s="1">
        <f t="shared" ca="1" si="238"/>
        <v>9</v>
      </c>
      <c r="P1877" s="1">
        <v>51.773696567397565</v>
      </c>
      <c r="Q1877" s="1">
        <f t="shared" ca="1" si="239"/>
        <v>24</v>
      </c>
      <c r="R1877" s="1">
        <v>11.377321723339264</v>
      </c>
    </row>
    <row r="1878" spans="1:18" x14ac:dyDescent="0.3">
      <c r="A1878" s="26">
        <v>1877</v>
      </c>
      <c r="B1878" s="1">
        <v>23</v>
      </c>
      <c r="C1878" s="1">
        <f t="shared" si="235"/>
        <v>7</v>
      </c>
      <c r="D1878" s="21">
        <f t="shared" ca="1" si="234"/>
        <v>44563</v>
      </c>
      <c r="E1878" s="1" t="s">
        <v>26</v>
      </c>
      <c r="F1878" s="1" t="s">
        <v>1906</v>
      </c>
      <c r="G1878" s="1" t="s">
        <v>28</v>
      </c>
      <c r="H1878" s="1">
        <v>1976</v>
      </c>
      <c r="I1878" s="1">
        <f t="shared" si="236"/>
        <v>47</v>
      </c>
      <c r="J1878" s="1">
        <f>VLOOKUP(B1878,Cena!$A$2:$B$101,2)</f>
        <v>132</v>
      </c>
      <c r="K1878" s="1">
        <f t="shared" si="232"/>
        <v>6204</v>
      </c>
      <c r="L1878" s="1">
        <f t="shared" si="237"/>
        <v>1426.92</v>
      </c>
      <c r="M1878" s="22">
        <f t="shared" si="233"/>
        <v>7630.92</v>
      </c>
      <c r="N1878" s="1">
        <f t="shared" ca="1" si="238"/>
        <v>1</v>
      </c>
      <c r="P1878" s="1">
        <v>47.002487361896783</v>
      </c>
      <c r="Q1878" s="1">
        <f t="shared" ca="1" si="239"/>
        <v>6</v>
      </c>
      <c r="R1878" s="1">
        <v>7.8291327806800837</v>
      </c>
    </row>
    <row r="1879" spans="1:18" x14ac:dyDescent="0.3">
      <c r="A1879" s="26">
        <v>1878</v>
      </c>
      <c r="B1879" s="1">
        <v>25</v>
      </c>
      <c r="C1879" s="1">
        <f t="shared" si="235"/>
        <v>7</v>
      </c>
      <c r="D1879" s="21">
        <f t="shared" ca="1" si="234"/>
        <v>44792</v>
      </c>
      <c r="E1879" s="1" t="s">
        <v>26</v>
      </c>
      <c r="F1879" s="1" t="s">
        <v>1907</v>
      </c>
      <c r="G1879" s="1" t="s">
        <v>28</v>
      </c>
      <c r="H1879" s="1">
        <v>1977</v>
      </c>
      <c r="I1879" s="1">
        <f t="shared" si="236"/>
        <v>46</v>
      </c>
      <c r="J1879" s="1">
        <f>VLOOKUP(B1879,Cena!$A$2:$B$101,2)</f>
        <v>108</v>
      </c>
      <c r="K1879" s="1">
        <f t="shared" si="232"/>
        <v>4968</v>
      </c>
      <c r="L1879" s="1">
        <f t="shared" si="237"/>
        <v>1142.6400000000001</v>
      </c>
      <c r="M1879" s="22">
        <f t="shared" si="233"/>
        <v>6110.64</v>
      </c>
      <c r="N1879" s="1">
        <f t="shared" ca="1" si="238"/>
        <v>8</v>
      </c>
      <c r="P1879" s="1">
        <v>46.259884937899187</v>
      </c>
      <c r="Q1879" s="1">
        <f t="shared" ca="1" si="239"/>
        <v>18</v>
      </c>
      <c r="R1879" s="1">
        <v>7.9455708398745628</v>
      </c>
    </row>
    <row r="1880" spans="1:18" x14ac:dyDescent="0.3">
      <c r="A1880" s="26">
        <v>1879</v>
      </c>
      <c r="B1880" s="1">
        <v>7</v>
      </c>
      <c r="C1880" s="1">
        <f t="shared" si="235"/>
        <v>10</v>
      </c>
      <c r="D1880" s="21">
        <f t="shared" ca="1" si="234"/>
        <v>44618</v>
      </c>
      <c r="E1880" s="1" t="s">
        <v>26</v>
      </c>
      <c r="F1880" s="1" t="s">
        <v>1908</v>
      </c>
      <c r="G1880" s="1" t="s">
        <v>28</v>
      </c>
      <c r="H1880" s="1">
        <v>1978</v>
      </c>
      <c r="I1880" s="1">
        <f t="shared" si="236"/>
        <v>62</v>
      </c>
      <c r="J1880" s="1">
        <f>VLOOKUP(B1880,Cena!$A$2:$B$101,2)</f>
        <v>104</v>
      </c>
      <c r="K1880" s="1">
        <f t="shared" si="232"/>
        <v>6448</v>
      </c>
      <c r="L1880" s="1">
        <f t="shared" si="237"/>
        <v>1483.04</v>
      </c>
      <c r="M1880" s="22">
        <f t="shared" si="233"/>
        <v>7931.04</v>
      </c>
      <c r="N1880" s="1">
        <f t="shared" ca="1" si="238"/>
        <v>2</v>
      </c>
      <c r="P1880" s="1">
        <v>62.438135854608845</v>
      </c>
      <c r="Q1880" s="1">
        <f t="shared" ca="1" si="239"/>
        <v>18</v>
      </c>
      <c r="R1880" s="1">
        <v>10.647756337457395</v>
      </c>
    </row>
    <row r="1881" spans="1:18" x14ac:dyDescent="0.3">
      <c r="A1881" s="26">
        <v>1880</v>
      </c>
      <c r="B1881" s="1">
        <v>27</v>
      </c>
      <c r="C1881" s="1">
        <f t="shared" si="235"/>
        <v>7</v>
      </c>
      <c r="D1881" s="21">
        <f t="shared" ca="1" si="234"/>
        <v>44725</v>
      </c>
      <c r="E1881" s="1" t="s">
        <v>26</v>
      </c>
      <c r="F1881" s="1" t="s">
        <v>1909</v>
      </c>
      <c r="G1881" s="1" t="s">
        <v>28</v>
      </c>
      <c r="H1881" s="1">
        <v>1979</v>
      </c>
      <c r="I1881" s="1">
        <f t="shared" si="236"/>
        <v>46</v>
      </c>
      <c r="J1881" s="1">
        <f>VLOOKUP(B1881,Cena!$A$2:$B$101,2)</f>
        <v>87</v>
      </c>
      <c r="K1881" s="1">
        <f t="shared" si="232"/>
        <v>4002</v>
      </c>
      <c r="L1881" s="1">
        <f t="shared" si="237"/>
        <v>920.46</v>
      </c>
      <c r="M1881" s="22">
        <f t="shared" si="233"/>
        <v>4922.46</v>
      </c>
      <c r="N1881" s="1">
        <f t="shared" ca="1" si="238"/>
        <v>6</v>
      </c>
      <c r="P1881" s="1">
        <v>46.927988377137808</v>
      </c>
      <c r="Q1881" s="1">
        <f t="shared" ca="1" si="239"/>
        <v>12</v>
      </c>
      <c r="R1881" s="1">
        <v>7.164565002094605</v>
      </c>
    </row>
    <row r="1882" spans="1:18" x14ac:dyDescent="0.3">
      <c r="A1882" s="26">
        <v>1881</v>
      </c>
      <c r="B1882" s="1">
        <v>19</v>
      </c>
      <c r="C1882" s="1">
        <f t="shared" si="235"/>
        <v>12</v>
      </c>
      <c r="D1882" s="21">
        <f t="shared" ca="1" si="234"/>
        <v>44587</v>
      </c>
      <c r="E1882" s="1" t="s">
        <v>26</v>
      </c>
      <c r="F1882" s="1" t="s">
        <v>1910</v>
      </c>
      <c r="G1882" s="1" t="s">
        <v>28</v>
      </c>
      <c r="H1882" s="1">
        <v>1980</v>
      </c>
      <c r="I1882" s="1">
        <f t="shared" si="236"/>
        <v>55</v>
      </c>
      <c r="J1882" s="1">
        <f>VLOOKUP(B1882,Cena!$A$2:$B$101,2)</f>
        <v>84</v>
      </c>
      <c r="K1882" s="1">
        <f t="shared" si="232"/>
        <v>4620</v>
      </c>
      <c r="L1882" s="1">
        <f t="shared" si="237"/>
        <v>1062.6000000000001</v>
      </c>
      <c r="M1882" s="22">
        <f t="shared" si="233"/>
        <v>5682.6</v>
      </c>
      <c r="N1882" s="1">
        <f t="shared" ca="1" si="238"/>
        <v>1</v>
      </c>
      <c r="P1882" s="1">
        <v>55.432866601040587</v>
      </c>
      <c r="Q1882" s="1">
        <f t="shared" ca="1" si="239"/>
        <v>20</v>
      </c>
      <c r="R1882" s="1">
        <v>12.417385758235469</v>
      </c>
    </row>
    <row r="1883" spans="1:18" x14ac:dyDescent="0.3">
      <c r="A1883" s="26">
        <v>1882</v>
      </c>
      <c r="B1883" s="1">
        <v>6</v>
      </c>
      <c r="C1883" s="1">
        <f t="shared" si="235"/>
        <v>6</v>
      </c>
      <c r="D1883" s="21">
        <f t="shared" ca="1" si="234"/>
        <v>44581</v>
      </c>
      <c r="E1883" s="1" t="s">
        <v>26</v>
      </c>
      <c r="F1883" s="1" t="s">
        <v>1911</v>
      </c>
      <c r="G1883" s="1" t="s">
        <v>28</v>
      </c>
      <c r="H1883" s="1">
        <v>1981</v>
      </c>
      <c r="I1883" s="1">
        <f t="shared" si="236"/>
        <v>52</v>
      </c>
      <c r="J1883" s="1">
        <f>VLOOKUP(B1883,Cena!$A$2:$B$101,2)</f>
        <v>86</v>
      </c>
      <c r="K1883" s="1">
        <f t="shared" si="232"/>
        <v>4472</v>
      </c>
      <c r="L1883" s="1">
        <f t="shared" si="237"/>
        <v>1028.56</v>
      </c>
      <c r="M1883" s="22">
        <f t="shared" si="233"/>
        <v>5500.5599999999995</v>
      </c>
      <c r="N1883" s="1">
        <f t="shared" ca="1" si="238"/>
        <v>1</v>
      </c>
      <c r="P1883" s="1">
        <v>52.07998027690337</v>
      </c>
      <c r="Q1883" s="1">
        <f t="shared" ca="1" si="239"/>
        <v>18</v>
      </c>
      <c r="R1883" s="1">
        <v>6.4057337820122484</v>
      </c>
    </row>
    <row r="1884" spans="1:18" x14ac:dyDescent="0.3">
      <c r="A1884" s="26">
        <v>1883</v>
      </c>
      <c r="B1884" s="1">
        <v>1</v>
      </c>
      <c r="C1884" s="1">
        <f t="shared" si="235"/>
        <v>7</v>
      </c>
      <c r="D1884" s="21">
        <f t="shared" ca="1" si="234"/>
        <v>44822</v>
      </c>
      <c r="E1884" s="1" t="s">
        <v>26</v>
      </c>
      <c r="F1884" s="1" t="s">
        <v>1912</v>
      </c>
      <c r="G1884" s="1" t="s">
        <v>28</v>
      </c>
      <c r="H1884" s="1">
        <v>1982</v>
      </c>
      <c r="I1884" s="1">
        <f t="shared" si="236"/>
        <v>42</v>
      </c>
      <c r="J1884" s="1">
        <f>VLOOKUP(B1884,Cena!$A$2:$B$101,2)</f>
        <v>84</v>
      </c>
      <c r="K1884" s="1">
        <f t="shared" si="232"/>
        <v>3528</v>
      </c>
      <c r="L1884" s="1">
        <f t="shared" si="237"/>
        <v>811.44</v>
      </c>
      <c r="M1884" s="22">
        <f t="shared" si="233"/>
        <v>4339.4400000000005</v>
      </c>
      <c r="N1884" s="1">
        <f t="shared" ca="1" si="238"/>
        <v>9</v>
      </c>
      <c r="P1884" s="1">
        <v>42.921175362425856</v>
      </c>
      <c r="Q1884" s="1">
        <f t="shared" ca="1" si="239"/>
        <v>4</v>
      </c>
      <c r="R1884" s="1">
        <v>7.5114349126670277</v>
      </c>
    </row>
    <row r="1885" spans="1:18" x14ac:dyDescent="0.3">
      <c r="A1885" s="26">
        <v>1884</v>
      </c>
      <c r="B1885" s="1">
        <v>4</v>
      </c>
      <c r="C1885" s="1">
        <f t="shared" si="235"/>
        <v>8</v>
      </c>
      <c r="D1885" s="21">
        <f t="shared" ca="1" si="234"/>
        <v>44646</v>
      </c>
      <c r="E1885" s="1" t="s">
        <v>26</v>
      </c>
      <c r="F1885" s="1" t="s">
        <v>1913</v>
      </c>
      <c r="G1885" s="1" t="s">
        <v>28</v>
      </c>
      <c r="H1885" s="1">
        <v>1983</v>
      </c>
      <c r="I1885" s="1">
        <f t="shared" si="236"/>
        <v>45</v>
      </c>
      <c r="J1885" s="1">
        <f>VLOOKUP(B1885,Cena!$A$2:$B$101,2)</f>
        <v>99</v>
      </c>
      <c r="K1885" s="1">
        <f t="shared" si="232"/>
        <v>4455</v>
      </c>
      <c r="L1885" s="1">
        <f t="shared" si="237"/>
        <v>1024.6500000000001</v>
      </c>
      <c r="M1885" s="22">
        <f t="shared" si="233"/>
        <v>5479.65</v>
      </c>
      <c r="N1885" s="1">
        <f t="shared" ca="1" si="238"/>
        <v>3</v>
      </c>
      <c r="P1885" s="1">
        <v>45.963685250899289</v>
      </c>
      <c r="Q1885" s="1">
        <f t="shared" ca="1" si="239"/>
        <v>17</v>
      </c>
      <c r="R1885" s="1">
        <v>8.9224818364164094</v>
      </c>
    </row>
    <row r="1886" spans="1:18" x14ac:dyDescent="0.3">
      <c r="A1886" s="26">
        <v>1885</v>
      </c>
      <c r="B1886" s="1">
        <v>23</v>
      </c>
      <c r="C1886" s="1">
        <f t="shared" si="235"/>
        <v>9</v>
      </c>
      <c r="D1886" s="21">
        <f t="shared" ca="1" si="234"/>
        <v>44598</v>
      </c>
      <c r="E1886" s="1" t="s">
        <v>26</v>
      </c>
      <c r="F1886" s="1" t="s">
        <v>1914</v>
      </c>
      <c r="G1886" s="1" t="s">
        <v>28</v>
      </c>
      <c r="H1886" s="1">
        <v>1984</v>
      </c>
      <c r="I1886" s="1">
        <f t="shared" si="236"/>
        <v>50</v>
      </c>
      <c r="J1886" s="1">
        <f>VLOOKUP(B1886,Cena!$A$2:$B$101,2)</f>
        <v>132</v>
      </c>
      <c r="K1886" s="1">
        <f t="shared" si="232"/>
        <v>6600</v>
      </c>
      <c r="L1886" s="1">
        <f t="shared" si="237"/>
        <v>1518</v>
      </c>
      <c r="M1886" s="22">
        <f t="shared" si="233"/>
        <v>8118</v>
      </c>
      <c r="N1886" s="1">
        <f t="shared" ca="1" si="238"/>
        <v>2</v>
      </c>
      <c r="P1886" s="1">
        <v>50.480974904348841</v>
      </c>
      <c r="Q1886" s="1">
        <f t="shared" ca="1" si="239"/>
        <v>30</v>
      </c>
      <c r="R1886" s="1">
        <v>9.7183692812541267</v>
      </c>
    </row>
    <row r="1887" spans="1:18" x14ac:dyDescent="0.3">
      <c r="A1887" s="26">
        <v>1886</v>
      </c>
      <c r="B1887" s="1">
        <v>28</v>
      </c>
      <c r="C1887" s="1">
        <f t="shared" si="235"/>
        <v>13</v>
      </c>
      <c r="D1887" s="21">
        <f t="shared" ca="1" si="234"/>
        <v>44576</v>
      </c>
      <c r="E1887" s="1" t="s">
        <v>26</v>
      </c>
      <c r="F1887" s="1" t="s">
        <v>1915</v>
      </c>
      <c r="G1887" s="1" t="s">
        <v>28</v>
      </c>
      <c r="H1887" s="1">
        <v>1985</v>
      </c>
      <c r="I1887" s="1">
        <f t="shared" si="236"/>
        <v>62</v>
      </c>
      <c r="J1887" s="1">
        <f>VLOOKUP(B1887,Cena!$A$2:$B$101,2)</f>
        <v>59</v>
      </c>
      <c r="K1887" s="1">
        <f t="shared" ref="K1887:K1950" si="240">I1887*J1887</f>
        <v>3658</v>
      </c>
      <c r="L1887" s="1">
        <f t="shared" si="237"/>
        <v>841.34</v>
      </c>
      <c r="M1887" s="22">
        <f t="shared" ref="M1887:M1950" si="241">K1887+L1887</f>
        <v>4499.34</v>
      </c>
      <c r="N1887" s="1">
        <f t="shared" ca="1" si="238"/>
        <v>1</v>
      </c>
      <c r="P1887" s="1">
        <v>62.423220141499769</v>
      </c>
      <c r="Q1887" s="1">
        <f t="shared" ca="1" si="239"/>
        <v>28</v>
      </c>
      <c r="R1887" s="1">
        <v>13.097960643572151</v>
      </c>
    </row>
    <row r="1888" spans="1:18" x14ac:dyDescent="0.3">
      <c r="A1888" s="26">
        <v>1887</v>
      </c>
      <c r="B1888" s="1">
        <v>8</v>
      </c>
      <c r="C1888" s="1">
        <f t="shared" si="235"/>
        <v>9</v>
      </c>
      <c r="D1888" s="21">
        <f t="shared" ca="1" si="234"/>
        <v>44734</v>
      </c>
      <c r="E1888" s="1" t="s">
        <v>26</v>
      </c>
      <c r="F1888" s="1" t="s">
        <v>1916</v>
      </c>
      <c r="G1888" s="1" t="s">
        <v>28</v>
      </c>
      <c r="H1888" s="1">
        <v>1986</v>
      </c>
      <c r="I1888" s="1">
        <f t="shared" si="236"/>
        <v>49</v>
      </c>
      <c r="J1888" s="1">
        <f>VLOOKUP(B1888,Cena!$A$2:$B$101,2)</f>
        <v>88</v>
      </c>
      <c r="K1888" s="1">
        <f t="shared" si="240"/>
        <v>4312</v>
      </c>
      <c r="L1888" s="1">
        <f t="shared" si="237"/>
        <v>991.76</v>
      </c>
      <c r="M1888" s="22">
        <f t="shared" si="241"/>
        <v>5303.76</v>
      </c>
      <c r="N1888" s="1">
        <f t="shared" ca="1" si="238"/>
        <v>6</v>
      </c>
      <c r="P1888" s="1">
        <v>49.46617208479438</v>
      </c>
      <c r="Q1888" s="1">
        <f t="shared" ca="1" si="239"/>
        <v>14</v>
      </c>
      <c r="R1888" s="1">
        <v>9.8876035078865243</v>
      </c>
    </row>
    <row r="1889" spans="1:18" x14ac:dyDescent="0.3">
      <c r="A1889" s="26">
        <v>1888</v>
      </c>
      <c r="B1889" s="1">
        <v>6</v>
      </c>
      <c r="C1889" s="1">
        <f t="shared" si="235"/>
        <v>10</v>
      </c>
      <c r="D1889" s="21">
        <f t="shared" ca="1" si="234"/>
        <v>44885</v>
      </c>
      <c r="E1889" s="1" t="s">
        <v>26</v>
      </c>
      <c r="F1889" s="1" t="s">
        <v>1917</v>
      </c>
      <c r="G1889" s="1" t="s">
        <v>28</v>
      </c>
      <c r="H1889" s="1">
        <v>1987</v>
      </c>
      <c r="I1889" s="1">
        <f t="shared" si="236"/>
        <v>61</v>
      </c>
      <c r="J1889" s="1">
        <f>VLOOKUP(B1889,Cena!$A$2:$B$101,2)</f>
        <v>86</v>
      </c>
      <c r="K1889" s="1">
        <f t="shared" si="240"/>
        <v>5246</v>
      </c>
      <c r="L1889" s="1">
        <f t="shared" si="237"/>
        <v>1206.5800000000002</v>
      </c>
      <c r="M1889" s="22">
        <f t="shared" si="241"/>
        <v>6452.58</v>
      </c>
      <c r="N1889" s="1">
        <f t="shared" ca="1" si="238"/>
        <v>11</v>
      </c>
      <c r="P1889" s="1">
        <v>61.048268788727</v>
      </c>
      <c r="Q1889" s="1">
        <f t="shared" ca="1" si="239"/>
        <v>16</v>
      </c>
      <c r="R1889" s="1">
        <v>10.497541918775823</v>
      </c>
    </row>
    <row r="1890" spans="1:18" x14ac:dyDescent="0.3">
      <c r="A1890" s="26">
        <v>1889</v>
      </c>
      <c r="B1890" s="1">
        <v>17</v>
      </c>
      <c r="C1890" s="1">
        <f t="shared" si="235"/>
        <v>9</v>
      </c>
      <c r="D1890" s="21">
        <f t="shared" ca="1" si="234"/>
        <v>44654</v>
      </c>
      <c r="E1890" s="1" t="s">
        <v>26</v>
      </c>
      <c r="F1890" s="1" t="s">
        <v>1918</v>
      </c>
      <c r="G1890" s="1" t="s">
        <v>28</v>
      </c>
      <c r="H1890" s="1">
        <v>1988</v>
      </c>
      <c r="I1890" s="1">
        <f t="shared" si="236"/>
        <v>70</v>
      </c>
      <c r="J1890" s="1">
        <f>VLOOKUP(B1890,Cena!$A$2:$B$101,2)</f>
        <v>84</v>
      </c>
      <c r="K1890" s="1">
        <f t="shared" si="240"/>
        <v>5880</v>
      </c>
      <c r="L1890" s="1">
        <f t="shared" si="237"/>
        <v>1352.4</v>
      </c>
      <c r="M1890" s="22">
        <f t="shared" si="241"/>
        <v>7232.4</v>
      </c>
      <c r="N1890" s="1">
        <f t="shared" ca="1" si="238"/>
        <v>4</v>
      </c>
      <c r="P1890" s="1">
        <v>70.099651010241359</v>
      </c>
      <c r="Q1890" s="1">
        <f t="shared" ca="1" si="239"/>
        <v>26</v>
      </c>
      <c r="R1890" s="1">
        <v>9.881669054957456</v>
      </c>
    </row>
    <row r="1891" spans="1:18" x14ac:dyDescent="0.3">
      <c r="A1891" s="26">
        <v>1890</v>
      </c>
      <c r="B1891" s="1">
        <v>21</v>
      </c>
      <c r="C1891" s="1">
        <f t="shared" si="235"/>
        <v>8</v>
      </c>
      <c r="D1891" s="21">
        <f t="shared" ca="1" si="234"/>
        <v>44874</v>
      </c>
      <c r="E1891" s="1" t="s">
        <v>26</v>
      </c>
      <c r="F1891" s="1" t="s">
        <v>1919</v>
      </c>
      <c r="G1891" s="1" t="s">
        <v>28</v>
      </c>
      <c r="H1891" s="1">
        <v>1989</v>
      </c>
      <c r="I1891" s="1">
        <f t="shared" si="236"/>
        <v>41</v>
      </c>
      <c r="J1891" s="1">
        <f>VLOOKUP(B1891,Cena!$A$2:$B$101,2)</f>
        <v>105</v>
      </c>
      <c r="K1891" s="1">
        <f t="shared" si="240"/>
        <v>4305</v>
      </c>
      <c r="L1891" s="1">
        <f t="shared" si="237"/>
        <v>990.15000000000009</v>
      </c>
      <c r="M1891" s="22">
        <f t="shared" si="241"/>
        <v>5295.15</v>
      </c>
      <c r="N1891" s="1">
        <f t="shared" ca="1" si="238"/>
        <v>11</v>
      </c>
      <c r="P1891" s="1">
        <v>41.926188158686273</v>
      </c>
      <c r="Q1891" s="1">
        <f t="shared" ca="1" si="239"/>
        <v>3</v>
      </c>
      <c r="R1891" s="1">
        <v>8.8638393233486568</v>
      </c>
    </row>
    <row r="1892" spans="1:18" x14ac:dyDescent="0.3">
      <c r="A1892" s="26">
        <v>1891</v>
      </c>
      <c r="B1892" s="1">
        <v>24</v>
      </c>
      <c r="C1892" s="1">
        <f t="shared" si="235"/>
        <v>8</v>
      </c>
      <c r="D1892" s="21">
        <f t="shared" ca="1" si="234"/>
        <v>44774</v>
      </c>
      <c r="E1892" s="1" t="s">
        <v>26</v>
      </c>
      <c r="F1892" s="1" t="s">
        <v>1920</v>
      </c>
      <c r="G1892" s="1" t="s">
        <v>28</v>
      </c>
      <c r="H1892" s="1">
        <v>1990</v>
      </c>
      <c r="I1892" s="1">
        <f t="shared" si="236"/>
        <v>39</v>
      </c>
      <c r="J1892" s="1">
        <f>VLOOKUP(B1892,Cena!$A$2:$B$101,2)</f>
        <v>125</v>
      </c>
      <c r="K1892" s="1">
        <f t="shared" si="240"/>
        <v>4875</v>
      </c>
      <c r="L1892" s="1">
        <f t="shared" si="237"/>
        <v>1121.25</v>
      </c>
      <c r="M1892" s="22">
        <f t="shared" si="241"/>
        <v>5996.25</v>
      </c>
      <c r="N1892" s="1">
        <f t="shared" ca="1" si="238"/>
        <v>8</v>
      </c>
      <c r="P1892" s="1">
        <v>39.546176948351786</v>
      </c>
      <c r="Q1892" s="1">
        <f t="shared" ca="1" si="239"/>
        <v>1</v>
      </c>
      <c r="R1892" s="1">
        <v>8.3714928930567112</v>
      </c>
    </row>
    <row r="1893" spans="1:18" x14ac:dyDescent="0.3">
      <c r="A1893" s="26">
        <v>1892</v>
      </c>
      <c r="B1893" s="1">
        <v>12</v>
      </c>
      <c r="C1893" s="1">
        <f t="shared" si="235"/>
        <v>8</v>
      </c>
      <c r="D1893" s="21">
        <f t="shared" ca="1" si="234"/>
        <v>44600</v>
      </c>
      <c r="E1893" s="1" t="s">
        <v>26</v>
      </c>
      <c r="F1893" s="1" t="s">
        <v>1921</v>
      </c>
      <c r="G1893" s="1" t="s">
        <v>28</v>
      </c>
      <c r="H1893" s="1">
        <v>1991</v>
      </c>
      <c r="I1893" s="1">
        <f t="shared" si="236"/>
        <v>63</v>
      </c>
      <c r="J1893" s="1">
        <f>VLOOKUP(B1893,Cena!$A$2:$B$101,2)</f>
        <v>88</v>
      </c>
      <c r="K1893" s="1">
        <f t="shared" si="240"/>
        <v>5544</v>
      </c>
      <c r="L1893" s="1">
        <f t="shared" si="237"/>
        <v>1275.1200000000001</v>
      </c>
      <c r="M1893" s="22">
        <f t="shared" si="241"/>
        <v>6819.12</v>
      </c>
      <c r="N1893" s="1">
        <f t="shared" ca="1" si="238"/>
        <v>2</v>
      </c>
      <c r="P1893" s="1">
        <v>63.227509043645114</v>
      </c>
      <c r="Q1893" s="1">
        <f t="shared" ca="1" si="239"/>
        <v>2</v>
      </c>
      <c r="R1893" s="1">
        <v>8.1092798861936899</v>
      </c>
    </row>
    <row r="1894" spans="1:18" x14ac:dyDescent="0.3">
      <c r="A1894" s="26">
        <v>1893</v>
      </c>
      <c r="B1894" s="1">
        <v>23</v>
      </c>
      <c r="C1894" s="1">
        <f t="shared" si="235"/>
        <v>6</v>
      </c>
      <c r="D1894" s="21">
        <f t="shared" ca="1" si="234"/>
        <v>44821</v>
      </c>
      <c r="E1894" s="1" t="s">
        <v>26</v>
      </c>
      <c r="F1894" s="1" t="s">
        <v>1922</v>
      </c>
      <c r="G1894" s="1" t="s">
        <v>28</v>
      </c>
      <c r="H1894" s="1">
        <v>1992</v>
      </c>
      <c r="I1894" s="1">
        <f t="shared" si="236"/>
        <v>70</v>
      </c>
      <c r="J1894" s="1">
        <f>VLOOKUP(B1894,Cena!$A$2:$B$101,2)</f>
        <v>132</v>
      </c>
      <c r="K1894" s="1">
        <f t="shared" si="240"/>
        <v>9240</v>
      </c>
      <c r="L1894" s="1">
        <f t="shared" si="237"/>
        <v>2125.2000000000003</v>
      </c>
      <c r="M1894" s="22">
        <f t="shared" si="241"/>
        <v>11365.2</v>
      </c>
      <c r="N1894" s="1">
        <f t="shared" ca="1" si="238"/>
        <v>9</v>
      </c>
      <c r="P1894" s="1">
        <v>70.603147277142853</v>
      </c>
      <c r="Q1894" s="1">
        <f t="shared" ca="1" si="239"/>
        <v>12</v>
      </c>
      <c r="R1894" s="1">
        <v>6.1066350806504488</v>
      </c>
    </row>
    <row r="1895" spans="1:18" x14ac:dyDescent="0.3">
      <c r="A1895" s="26">
        <v>1894</v>
      </c>
      <c r="B1895" s="1">
        <v>8</v>
      </c>
      <c r="C1895" s="1">
        <f t="shared" si="235"/>
        <v>11</v>
      </c>
      <c r="D1895" s="21">
        <f t="shared" ca="1" si="234"/>
        <v>44714</v>
      </c>
      <c r="E1895" s="1" t="s">
        <v>26</v>
      </c>
      <c r="F1895" s="1" t="s">
        <v>1923</v>
      </c>
      <c r="G1895" s="1" t="s">
        <v>28</v>
      </c>
      <c r="H1895" s="1">
        <v>1993</v>
      </c>
      <c r="I1895" s="1">
        <f t="shared" si="236"/>
        <v>74</v>
      </c>
      <c r="J1895" s="1">
        <f>VLOOKUP(B1895,Cena!$A$2:$B$101,2)</f>
        <v>88</v>
      </c>
      <c r="K1895" s="1">
        <f t="shared" si="240"/>
        <v>6512</v>
      </c>
      <c r="L1895" s="1">
        <f t="shared" si="237"/>
        <v>1497.76</v>
      </c>
      <c r="M1895" s="22">
        <f t="shared" si="241"/>
        <v>8009.76</v>
      </c>
      <c r="N1895" s="1">
        <f t="shared" ca="1" si="238"/>
        <v>6</v>
      </c>
      <c r="P1895" s="1">
        <v>74.837572709657252</v>
      </c>
      <c r="Q1895" s="1">
        <f t="shared" ca="1" si="239"/>
        <v>2</v>
      </c>
      <c r="R1895" s="1">
        <v>11.652227865633904</v>
      </c>
    </row>
    <row r="1896" spans="1:18" x14ac:dyDescent="0.3">
      <c r="A1896" s="26">
        <v>1895</v>
      </c>
      <c r="B1896" s="1">
        <v>23</v>
      </c>
      <c r="C1896" s="1">
        <f t="shared" si="235"/>
        <v>9</v>
      </c>
      <c r="D1896" s="21">
        <f t="shared" ca="1" si="234"/>
        <v>44678</v>
      </c>
      <c r="E1896" s="1" t="s">
        <v>26</v>
      </c>
      <c r="F1896" s="1" t="s">
        <v>1924</v>
      </c>
      <c r="G1896" s="1" t="s">
        <v>28</v>
      </c>
      <c r="H1896" s="1">
        <v>1994</v>
      </c>
      <c r="I1896" s="1">
        <f t="shared" si="236"/>
        <v>62</v>
      </c>
      <c r="J1896" s="1">
        <f>VLOOKUP(B1896,Cena!$A$2:$B$101,2)</f>
        <v>132</v>
      </c>
      <c r="K1896" s="1">
        <f t="shared" si="240"/>
        <v>8184</v>
      </c>
      <c r="L1896" s="1">
        <f t="shared" si="237"/>
        <v>1882.3200000000002</v>
      </c>
      <c r="M1896" s="22">
        <f t="shared" si="241"/>
        <v>10066.32</v>
      </c>
      <c r="N1896" s="1">
        <f t="shared" ca="1" si="238"/>
        <v>4</v>
      </c>
      <c r="P1896" s="1">
        <v>62.860346032539383</v>
      </c>
      <c r="Q1896" s="1">
        <f t="shared" ca="1" si="239"/>
        <v>9</v>
      </c>
      <c r="R1896" s="1">
        <v>9.4288856441926328</v>
      </c>
    </row>
    <row r="1897" spans="1:18" x14ac:dyDescent="0.3">
      <c r="A1897" s="26">
        <v>1896</v>
      </c>
      <c r="B1897" s="1">
        <v>12</v>
      </c>
      <c r="C1897" s="1">
        <f t="shared" si="235"/>
        <v>12</v>
      </c>
      <c r="D1897" s="21">
        <f t="shared" ca="1" si="234"/>
        <v>44744</v>
      </c>
      <c r="E1897" s="1" t="s">
        <v>26</v>
      </c>
      <c r="F1897" s="1" t="s">
        <v>1925</v>
      </c>
      <c r="G1897" s="1" t="s">
        <v>28</v>
      </c>
      <c r="H1897" s="1">
        <v>1995</v>
      </c>
      <c r="I1897" s="1">
        <f t="shared" si="236"/>
        <v>62</v>
      </c>
      <c r="J1897" s="1">
        <f>VLOOKUP(B1897,Cena!$A$2:$B$101,2)</f>
        <v>88</v>
      </c>
      <c r="K1897" s="1">
        <f t="shared" si="240"/>
        <v>5456</v>
      </c>
      <c r="L1897" s="1">
        <f t="shared" si="237"/>
        <v>1254.8800000000001</v>
      </c>
      <c r="M1897" s="22">
        <f t="shared" si="241"/>
        <v>6710.88</v>
      </c>
      <c r="N1897" s="1">
        <f t="shared" ca="1" si="238"/>
        <v>7</v>
      </c>
      <c r="P1897" s="1">
        <v>62.844611774198711</v>
      </c>
      <c r="Q1897" s="1">
        <f t="shared" ca="1" si="239"/>
        <v>8</v>
      </c>
      <c r="R1897" s="1">
        <v>12.800419451887137</v>
      </c>
    </row>
    <row r="1898" spans="1:18" x14ac:dyDescent="0.3">
      <c r="A1898" s="26">
        <v>1897</v>
      </c>
      <c r="B1898" s="1">
        <v>21</v>
      </c>
      <c r="C1898" s="1">
        <f t="shared" si="235"/>
        <v>12</v>
      </c>
      <c r="D1898" s="21">
        <f t="shared" ca="1" si="234"/>
        <v>44839</v>
      </c>
      <c r="E1898" s="1" t="s">
        <v>26</v>
      </c>
      <c r="F1898" s="1" t="s">
        <v>1926</v>
      </c>
      <c r="G1898" s="1" t="s">
        <v>28</v>
      </c>
      <c r="H1898" s="1">
        <v>1996</v>
      </c>
      <c r="I1898" s="1">
        <f t="shared" si="236"/>
        <v>51</v>
      </c>
      <c r="J1898" s="1">
        <f>VLOOKUP(B1898,Cena!$A$2:$B$101,2)</f>
        <v>105</v>
      </c>
      <c r="K1898" s="1">
        <f t="shared" si="240"/>
        <v>5355</v>
      </c>
      <c r="L1898" s="1">
        <f t="shared" si="237"/>
        <v>1231.6500000000001</v>
      </c>
      <c r="M1898" s="22">
        <f t="shared" si="241"/>
        <v>6586.65</v>
      </c>
      <c r="N1898" s="1">
        <f t="shared" ca="1" si="238"/>
        <v>10</v>
      </c>
      <c r="P1898" s="1">
        <v>51.272155714104883</v>
      </c>
      <c r="Q1898" s="1">
        <f t="shared" ca="1" si="239"/>
        <v>30</v>
      </c>
      <c r="R1898" s="1">
        <v>12.003389454330318</v>
      </c>
    </row>
    <row r="1899" spans="1:18" x14ac:dyDescent="0.3">
      <c r="A1899" s="26">
        <v>1898</v>
      </c>
      <c r="B1899" s="1">
        <v>12</v>
      </c>
      <c r="C1899" s="1">
        <f t="shared" si="235"/>
        <v>11</v>
      </c>
      <c r="D1899" s="21">
        <f t="shared" ca="1" si="234"/>
        <v>44627</v>
      </c>
      <c r="E1899" s="1" t="s">
        <v>26</v>
      </c>
      <c r="F1899" s="1" t="s">
        <v>1927</v>
      </c>
      <c r="G1899" s="1" t="s">
        <v>28</v>
      </c>
      <c r="H1899" s="1">
        <v>1997</v>
      </c>
      <c r="I1899" s="1">
        <f t="shared" si="236"/>
        <v>55</v>
      </c>
      <c r="J1899" s="1">
        <f>VLOOKUP(B1899,Cena!$A$2:$B$101,2)</f>
        <v>88</v>
      </c>
      <c r="K1899" s="1">
        <f t="shared" si="240"/>
        <v>4840</v>
      </c>
      <c r="L1899" s="1">
        <f t="shared" si="237"/>
        <v>1113.2</v>
      </c>
      <c r="M1899" s="22">
        <f t="shared" si="241"/>
        <v>5953.2</v>
      </c>
      <c r="N1899" s="1">
        <f t="shared" ca="1" si="238"/>
        <v>3</v>
      </c>
      <c r="P1899" s="1">
        <v>55.549395609705243</v>
      </c>
      <c r="Q1899" s="1">
        <f t="shared" ca="1" si="239"/>
        <v>28</v>
      </c>
      <c r="R1899" s="1">
        <v>11.230716861755354</v>
      </c>
    </row>
    <row r="1900" spans="1:18" x14ac:dyDescent="0.3">
      <c r="A1900" s="26">
        <v>1899</v>
      </c>
      <c r="B1900" s="1">
        <v>3</v>
      </c>
      <c r="C1900" s="1">
        <f t="shared" si="235"/>
        <v>12</v>
      </c>
      <c r="D1900" s="21">
        <f t="shared" ca="1" si="234"/>
        <v>44594</v>
      </c>
      <c r="E1900" s="1" t="s">
        <v>26</v>
      </c>
      <c r="F1900" s="1" t="s">
        <v>1928</v>
      </c>
      <c r="G1900" s="1" t="s">
        <v>28</v>
      </c>
      <c r="H1900" s="1">
        <v>1998</v>
      </c>
      <c r="I1900" s="1">
        <f t="shared" si="236"/>
        <v>42</v>
      </c>
      <c r="J1900" s="1">
        <f>VLOOKUP(B1900,Cena!$A$2:$B$101,2)</f>
        <v>89</v>
      </c>
      <c r="K1900" s="1">
        <f t="shared" si="240"/>
        <v>3738</v>
      </c>
      <c r="L1900" s="1">
        <f t="shared" si="237"/>
        <v>859.74</v>
      </c>
      <c r="M1900" s="22">
        <f t="shared" si="241"/>
        <v>4597.74</v>
      </c>
      <c r="N1900" s="1">
        <f t="shared" ca="1" si="238"/>
        <v>2</v>
      </c>
      <c r="P1900" s="1">
        <v>42.464586284768302</v>
      </c>
      <c r="Q1900" s="1">
        <f t="shared" ca="1" si="239"/>
        <v>7</v>
      </c>
      <c r="R1900" s="1">
        <v>12.67739324044669</v>
      </c>
    </row>
    <row r="1901" spans="1:18" x14ac:dyDescent="0.3">
      <c r="A1901" s="26">
        <v>1900</v>
      </c>
      <c r="B1901" s="1">
        <v>17</v>
      </c>
      <c r="C1901" s="1">
        <f t="shared" si="235"/>
        <v>11</v>
      </c>
      <c r="D1901" s="21">
        <f t="shared" ca="1" si="234"/>
        <v>44909</v>
      </c>
      <c r="E1901" s="1" t="s">
        <v>26</v>
      </c>
      <c r="F1901" s="1" t="s">
        <v>1929</v>
      </c>
      <c r="G1901" s="1" t="s">
        <v>28</v>
      </c>
      <c r="H1901" s="1">
        <v>1999</v>
      </c>
      <c r="I1901" s="1">
        <f t="shared" si="236"/>
        <v>42</v>
      </c>
      <c r="J1901" s="1">
        <f>VLOOKUP(B1901,Cena!$A$2:$B$101,2)</f>
        <v>84</v>
      </c>
      <c r="K1901" s="1">
        <f t="shared" si="240"/>
        <v>3528</v>
      </c>
      <c r="L1901" s="1">
        <f t="shared" si="237"/>
        <v>811.44</v>
      </c>
      <c r="M1901" s="22">
        <f t="shared" si="241"/>
        <v>4339.4400000000005</v>
      </c>
      <c r="N1901" s="1">
        <f t="shared" ca="1" si="238"/>
        <v>12</v>
      </c>
      <c r="P1901" s="1">
        <v>42.246353031077888</v>
      </c>
      <c r="Q1901" s="1">
        <f t="shared" ca="1" si="239"/>
        <v>23</v>
      </c>
      <c r="R1901" s="1">
        <v>11.265158289243118</v>
      </c>
    </row>
    <row r="1902" spans="1:18" x14ac:dyDescent="0.3">
      <c r="A1902" s="26">
        <v>1901</v>
      </c>
      <c r="B1902" s="1">
        <v>12</v>
      </c>
      <c r="C1902" s="1">
        <f t="shared" si="235"/>
        <v>12</v>
      </c>
      <c r="D1902" s="21">
        <f t="shared" ca="1" si="234"/>
        <v>44767</v>
      </c>
      <c r="E1902" s="1" t="s">
        <v>26</v>
      </c>
      <c r="F1902" s="1" t="s">
        <v>1930</v>
      </c>
      <c r="G1902" s="1" t="s">
        <v>28</v>
      </c>
      <c r="H1902" s="1">
        <v>2000</v>
      </c>
      <c r="I1902" s="1">
        <f t="shared" si="236"/>
        <v>51</v>
      </c>
      <c r="J1902" s="1">
        <f>VLOOKUP(B1902,Cena!$A$2:$B$101,2)</f>
        <v>88</v>
      </c>
      <c r="K1902" s="1">
        <f t="shared" si="240"/>
        <v>4488</v>
      </c>
      <c r="L1902" s="1">
        <f t="shared" si="237"/>
        <v>1032.24</v>
      </c>
      <c r="M1902" s="22">
        <f t="shared" si="241"/>
        <v>5520.24</v>
      </c>
      <c r="N1902" s="1">
        <f t="shared" ca="1" si="238"/>
        <v>7</v>
      </c>
      <c r="P1902" s="1">
        <v>51.349303602182772</v>
      </c>
      <c r="Q1902" s="1">
        <f t="shared" ca="1" si="239"/>
        <v>9</v>
      </c>
      <c r="R1902" s="1">
        <v>12.094907358696219</v>
      </c>
    </row>
    <row r="1903" spans="1:18" x14ac:dyDescent="0.3">
      <c r="A1903" s="26">
        <v>1902</v>
      </c>
      <c r="B1903" s="1">
        <v>29</v>
      </c>
      <c r="C1903" s="1">
        <f t="shared" si="235"/>
        <v>8</v>
      </c>
      <c r="D1903" s="21">
        <f t="shared" ca="1" si="234"/>
        <v>44843</v>
      </c>
      <c r="E1903" s="1" t="s">
        <v>26</v>
      </c>
      <c r="F1903" s="1" t="s">
        <v>1931</v>
      </c>
      <c r="G1903" s="1" t="s">
        <v>28</v>
      </c>
      <c r="H1903" s="1">
        <v>2001</v>
      </c>
      <c r="I1903" s="1">
        <f t="shared" si="236"/>
        <v>45</v>
      </c>
      <c r="J1903" s="1">
        <f>VLOOKUP(B1903,Cena!$A$2:$B$101,2)</f>
        <v>105</v>
      </c>
      <c r="K1903" s="1">
        <f t="shared" si="240"/>
        <v>4725</v>
      </c>
      <c r="L1903" s="1">
        <f t="shared" si="237"/>
        <v>1086.75</v>
      </c>
      <c r="M1903" s="22">
        <f t="shared" si="241"/>
        <v>5811.75</v>
      </c>
      <c r="N1903" s="1">
        <f t="shared" ca="1" si="238"/>
        <v>10</v>
      </c>
      <c r="P1903" s="1">
        <v>45.078860592911951</v>
      </c>
      <c r="Q1903" s="1">
        <f t="shared" ca="1" si="239"/>
        <v>29</v>
      </c>
      <c r="R1903" s="1">
        <v>8.063913153600879</v>
      </c>
    </row>
    <row r="1904" spans="1:18" x14ac:dyDescent="0.3">
      <c r="A1904" s="26">
        <v>1903</v>
      </c>
      <c r="B1904" s="1">
        <v>25</v>
      </c>
      <c r="C1904" s="1">
        <f t="shared" si="235"/>
        <v>10</v>
      </c>
      <c r="D1904" s="21">
        <f t="shared" ca="1" si="234"/>
        <v>44580</v>
      </c>
      <c r="E1904" s="1" t="s">
        <v>26</v>
      </c>
      <c r="F1904" s="1" t="s">
        <v>1932</v>
      </c>
      <c r="G1904" s="1" t="s">
        <v>28</v>
      </c>
      <c r="H1904" s="1">
        <v>2002</v>
      </c>
      <c r="I1904" s="1">
        <f t="shared" si="236"/>
        <v>38</v>
      </c>
      <c r="J1904" s="1">
        <f>VLOOKUP(B1904,Cena!$A$2:$B$101,2)</f>
        <v>108</v>
      </c>
      <c r="K1904" s="1">
        <f t="shared" si="240"/>
        <v>4104</v>
      </c>
      <c r="L1904" s="1">
        <f t="shared" si="237"/>
        <v>943.92000000000007</v>
      </c>
      <c r="M1904" s="22">
        <f t="shared" si="241"/>
        <v>5047.92</v>
      </c>
      <c r="N1904" s="1">
        <f t="shared" ca="1" si="238"/>
        <v>1</v>
      </c>
      <c r="P1904" s="1">
        <v>38.950321494485252</v>
      </c>
      <c r="Q1904" s="1">
        <f t="shared" ca="1" si="239"/>
        <v>23</v>
      </c>
      <c r="R1904" s="1">
        <v>10.17254535578104</v>
      </c>
    </row>
    <row r="1905" spans="1:18" x14ac:dyDescent="0.3">
      <c r="A1905" s="26">
        <v>1904</v>
      </c>
      <c r="B1905" s="1">
        <v>5</v>
      </c>
      <c r="C1905" s="1">
        <f t="shared" si="235"/>
        <v>6</v>
      </c>
      <c r="D1905" s="21">
        <f t="shared" ca="1" si="234"/>
        <v>44849</v>
      </c>
      <c r="E1905" s="1" t="s">
        <v>26</v>
      </c>
      <c r="F1905" s="1" t="s">
        <v>1933</v>
      </c>
      <c r="G1905" s="1" t="s">
        <v>28</v>
      </c>
      <c r="H1905" s="1">
        <v>2003</v>
      </c>
      <c r="I1905" s="1">
        <f t="shared" si="236"/>
        <v>56</v>
      </c>
      <c r="J1905" s="1">
        <f>VLOOKUP(B1905,Cena!$A$2:$B$101,2)</f>
        <v>91</v>
      </c>
      <c r="K1905" s="1">
        <f t="shared" si="240"/>
        <v>5096</v>
      </c>
      <c r="L1905" s="1">
        <f t="shared" si="237"/>
        <v>1172.0800000000002</v>
      </c>
      <c r="M1905" s="22">
        <f t="shared" si="241"/>
        <v>6268.08</v>
      </c>
      <c r="N1905" s="1">
        <f t="shared" ca="1" si="238"/>
        <v>10</v>
      </c>
      <c r="P1905" s="1">
        <v>56.274706265685381</v>
      </c>
      <c r="Q1905" s="1">
        <f t="shared" ca="1" si="239"/>
        <v>18</v>
      </c>
      <c r="R1905" s="1">
        <v>6.0813624966249336</v>
      </c>
    </row>
    <row r="1906" spans="1:18" x14ac:dyDescent="0.3">
      <c r="A1906" s="26">
        <v>1905</v>
      </c>
      <c r="B1906" s="1">
        <v>19</v>
      </c>
      <c r="C1906" s="1">
        <f t="shared" si="235"/>
        <v>6</v>
      </c>
      <c r="D1906" s="21">
        <f t="shared" ca="1" si="234"/>
        <v>44850</v>
      </c>
      <c r="E1906" s="1" t="s">
        <v>26</v>
      </c>
      <c r="F1906" s="1" t="s">
        <v>1934</v>
      </c>
      <c r="G1906" s="1" t="s">
        <v>28</v>
      </c>
      <c r="H1906" s="1">
        <v>2004</v>
      </c>
      <c r="I1906" s="1">
        <f t="shared" si="236"/>
        <v>39</v>
      </c>
      <c r="J1906" s="1">
        <f>VLOOKUP(B1906,Cena!$A$2:$B$101,2)</f>
        <v>84</v>
      </c>
      <c r="K1906" s="1">
        <f t="shared" si="240"/>
        <v>3276</v>
      </c>
      <c r="L1906" s="1">
        <f t="shared" si="237"/>
        <v>753.48</v>
      </c>
      <c r="M1906" s="22">
        <f t="shared" si="241"/>
        <v>4029.48</v>
      </c>
      <c r="N1906" s="1">
        <f t="shared" ca="1" si="238"/>
        <v>10</v>
      </c>
      <c r="P1906" s="1">
        <v>39.519710652530193</v>
      </c>
      <c r="Q1906" s="1">
        <f t="shared" ca="1" si="239"/>
        <v>26</v>
      </c>
      <c r="R1906" s="1">
        <v>6.9098553265212104</v>
      </c>
    </row>
    <row r="1907" spans="1:18" x14ac:dyDescent="0.3">
      <c r="A1907" s="26">
        <v>1906</v>
      </c>
      <c r="B1907" s="1">
        <v>28</v>
      </c>
      <c r="C1907" s="1">
        <f t="shared" si="235"/>
        <v>10</v>
      </c>
      <c r="D1907" s="21">
        <f t="shared" ca="1" si="234"/>
        <v>44596</v>
      </c>
      <c r="E1907" s="1" t="s">
        <v>26</v>
      </c>
      <c r="F1907" s="1" t="s">
        <v>1935</v>
      </c>
      <c r="G1907" s="1" t="s">
        <v>28</v>
      </c>
      <c r="H1907" s="1">
        <v>2005</v>
      </c>
      <c r="I1907" s="1">
        <f t="shared" si="236"/>
        <v>50</v>
      </c>
      <c r="J1907" s="1">
        <f>VLOOKUP(B1907,Cena!$A$2:$B$101,2)</f>
        <v>59</v>
      </c>
      <c r="K1907" s="1">
        <f t="shared" si="240"/>
        <v>2950</v>
      </c>
      <c r="L1907" s="1">
        <f t="shared" si="237"/>
        <v>678.5</v>
      </c>
      <c r="M1907" s="22">
        <f t="shared" si="241"/>
        <v>3628.5</v>
      </c>
      <c r="N1907" s="1">
        <f t="shared" ca="1" si="238"/>
        <v>2</v>
      </c>
      <c r="P1907" s="1">
        <v>50.006502887117676</v>
      </c>
      <c r="Q1907" s="1">
        <f t="shared" ca="1" si="239"/>
        <v>26</v>
      </c>
      <c r="R1907" s="1">
        <v>10.019412027540966</v>
      </c>
    </row>
    <row r="1908" spans="1:18" x14ac:dyDescent="0.3">
      <c r="A1908" s="26">
        <v>1907</v>
      </c>
      <c r="B1908" s="1">
        <v>19</v>
      </c>
      <c r="C1908" s="1">
        <f t="shared" si="235"/>
        <v>11</v>
      </c>
      <c r="D1908" s="21">
        <f t="shared" ca="1" si="234"/>
        <v>44899</v>
      </c>
      <c r="E1908" s="1" t="s">
        <v>26</v>
      </c>
      <c r="F1908" s="1" t="s">
        <v>1936</v>
      </c>
      <c r="G1908" s="1" t="s">
        <v>28</v>
      </c>
      <c r="H1908" s="1">
        <v>2006</v>
      </c>
      <c r="I1908" s="1">
        <f t="shared" si="236"/>
        <v>49</v>
      </c>
      <c r="J1908" s="1">
        <f>VLOOKUP(B1908,Cena!$A$2:$B$101,2)</f>
        <v>84</v>
      </c>
      <c r="K1908" s="1">
        <f t="shared" si="240"/>
        <v>4116</v>
      </c>
      <c r="L1908" s="1">
        <f t="shared" si="237"/>
        <v>946.68000000000006</v>
      </c>
      <c r="M1908" s="22">
        <f t="shared" si="241"/>
        <v>5062.68</v>
      </c>
      <c r="N1908" s="1">
        <f t="shared" ca="1" si="238"/>
        <v>12</v>
      </c>
      <c r="P1908" s="1">
        <v>49.49757238937309</v>
      </c>
      <c r="Q1908" s="1">
        <f t="shared" ca="1" si="239"/>
        <v>12</v>
      </c>
      <c r="R1908" s="1">
        <v>11.846467512223171</v>
      </c>
    </row>
    <row r="1909" spans="1:18" x14ac:dyDescent="0.3">
      <c r="A1909" s="26">
        <v>1908</v>
      </c>
      <c r="B1909" s="1">
        <v>21</v>
      </c>
      <c r="C1909" s="1">
        <f t="shared" si="235"/>
        <v>12</v>
      </c>
      <c r="D1909" s="21">
        <f t="shared" ca="1" si="234"/>
        <v>44764</v>
      </c>
      <c r="E1909" s="1" t="s">
        <v>26</v>
      </c>
      <c r="F1909" s="1" t="s">
        <v>1937</v>
      </c>
      <c r="G1909" s="1" t="s">
        <v>28</v>
      </c>
      <c r="H1909" s="1">
        <v>2007</v>
      </c>
      <c r="I1909" s="1">
        <f t="shared" si="236"/>
        <v>49</v>
      </c>
      <c r="J1909" s="1">
        <f>VLOOKUP(B1909,Cena!$A$2:$B$101,2)</f>
        <v>105</v>
      </c>
      <c r="K1909" s="1">
        <f t="shared" si="240"/>
        <v>5145</v>
      </c>
      <c r="L1909" s="1">
        <f t="shared" si="237"/>
        <v>1183.3500000000001</v>
      </c>
      <c r="M1909" s="22">
        <f t="shared" si="241"/>
        <v>6328.35</v>
      </c>
      <c r="N1909" s="1">
        <f t="shared" ca="1" si="238"/>
        <v>7</v>
      </c>
      <c r="P1909" s="1">
        <v>49.880276391195366</v>
      </c>
      <c r="Q1909" s="1">
        <f t="shared" ca="1" si="239"/>
        <v>23</v>
      </c>
      <c r="R1909" s="1">
        <v>12.756092953859479</v>
      </c>
    </row>
    <row r="1910" spans="1:18" x14ac:dyDescent="0.3">
      <c r="A1910" s="26">
        <v>1909</v>
      </c>
      <c r="B1910" s="1">
        <v>17</v>
      </c>
      <c r="C1910" s="1">
        <f t="shared" si="235"/>
        <v>10</v>
      </c>
      <c r="D1910" s="21">
        <f t="shared" ca="1" si="234"/>
        <v>44617</v>
      </c>
      <c r="E1910" s="1" t="s">
        <v>26</v>
      </c>
      <c r="F1910" s="1" t="s">
        <v>1938</v>
      </c>
      <c r="G1910" s="1" t="s">
        <v>28</v>
      </c>
      <c r="H1910" s="1">
        <v>2008</v>
      </c>
      <c r="I1910" s="1">
        <f t="shared" si="236"/>
        <v>61</v>
      </c>
      <c r="J1910" s="1">
        <f>VLOOKUP(B1910,Cena!$A$2:$B$101,2)</f>
        <v>84</v>
      </c>
      <c r="K1910" s="1">
        <f t="shared" si="240"/>
        <v>5124</v>
      </c>
      <c r="L1910" s="1">
        <f t="shared" si="237"/>
        <v>1178.52</v>
      </c>
      <c r="M1910" s="22">
        <f t="shared" si="241"/>
        <v>6302.52</v>
      </c>
      <c r="N1910" s="1">
        <f t="shared" ca="1" si="238"/>
        <v>2</v>
      </c>
      <c r="P1910" s="1">
        <v>61.600218385865446</v>
      </c>
      <c r="Q1910" s="1">
        <f t="shared" ca="1" si="239"/>
        <v>3</v>
      </c>
      <c r="R1910" s="1">
        <v>10.932979560275271</v>
      </c>
    </row>
    <row r="1911" spans="1:18" x14ac:dyDescent="0.3">
      <c r="A1911" s="26">
        <v>1910</v>
      </c>
      <c r="B1911" s="1">
        <v>7</v>
      </c>
      <c r="C1911" s="1">
        <f t="shared" si="235"/>
        <v>9</v>
      </c>
      <c r="D1911" s="21">
        <f t="shared" ca="1" si="234"/>
        <v>44729</v>
      </c>
      <c r="E1911" s="1" t="s">
        <v>26</v>
      </c>
      <c r="F1911" s="1" t="s">
        <v>1939</v>
      </c>
      <c r="G1911" s="1" t="s">
        <v>28</v>
      </c>
      <c r="H1911" s="1">
        <v>2009</v>
      </c>
      <c r="I1911" s="1">
        <f t="shared" si="236"/>
        <v>35</v>
      </c>
      <c r="J1911" s="1">
        <f>VLOOKUP(B1911,Cena!$A$2:$B$101,2)</f>
        <v>104</v>
      </c>
      <c r="K1911" s="1">
        <f t="shared" si="240"/>
        <v>3640</v>
      </c>
      <c r="L1911" s="1">
        <f t="shared" si="237"/>
        <v>837.2</v>
      </c>
      <c r="M1911" s="22">
        <f t="shared" si="241"/>
        <v>4477.2</v>
      </c>
      <c r="N1911" s="1">
        <f t="shared" ca="1" si="238"/>
        <v>6</v>
      </c>
      <c r="P1911" s="1">
        <v>35.784461387083866</v>
      </c>
      <c r="Q1911" s="1">
        <f t="shared" ca="1" si="239"/>
        <v>6</v>
      </c>
      <c r="R1911" s="1">
        <v>9.0553249062941177</v>
      </c>
    </row>
    <row r="1912" spans="1:18" x14ac:dyDescent="0.3">
      <c r="A1912" s="26">
        <v>1911</v>
      </c>
      <c r="B1912" s="1">
        <v>12</v>
      </c>
      <c r="C1912" s="1">
        <f t="shared" si="235"/>
        <v>12</v>
      </c>
      <c r="D1912" s="21">
        <f t="shared" ca="1" si="234"/>
        <v>44695</v>
      </c>
      <c r="E1912" s="1" t="s">
        <v>26</v>
      </c>
      <c r="F1912" s="1" t="s">
        <v>1940</v>
      </c>
      <c r="G1912" s="1" t="s">
        <v>28</v>
      </c>
      <c r="H1912" s="1">
        <v>2010</v>
      </c>
      <c r="I1912" s="1">
        <f t="shared" si="236"/>
        <v>33</v>
      </c>
      <c r="J1912" s="1">
        <f>VLOOKUP(B1912,Cena!$A$2:$B$101,2)</f>
        <v>88</v>
      </c>
      <c r="K1912" s="1">
        <f t="shared" si="240"/>
        <v>2904</v>
      </c>
      <c r="L1912" s="1">
        <f t="shared" si="237"/>
        <v>667.92000000000007</v>
      </c>
      <c r="M1912" s="22">
        <f t="shared" si="241"/>
        <v>3571.92</v>
      </c>
      <c r="N1912" s="1">
        <f t="shared" ca="1" si="238"/>
        <v>5</v>
      </c>
      <c r="P1912" s="1">
        <v>33.830957717145793</v>
      </c>
      <c r="Q1912" s="1">
        <f t="shared" ca="1" si="239"/>
        <v>6</v>
      </c>
      <c r="R1912" s="1">
        <v>12.55311078944942</v>
      </c>
    </row>
    <row r="1913" spans="1:18" x14ac:dyDescent="0.3">
      <c r="A1913" s="26">
        <v>1912</v>
      </c>
      <c r="B1913" s="1">
        <v>4</v>
      </c>
      <c r="C1913" s="1">
        <f t="shared" si="235"/>
        <v>11</v>
      </c>
      <c r="D1913" s="21">
        <f t="shared" ca="1" si="234"/>
        <v>44629</v>
      </c>
      <c r="E1913" s="1" t="s">
        <v>26</v>
      </c>
      <c r="F1913" s="1" t="s">
        <v>1941</v>
      </c>
      <c r="G1913" s="1" t="s">
        <v>28</v>
      </c>
      <c r="H1913" s="1">
        <v>2011</v>
      </c>
      <c r="I1913" s="1">
        <f t="shared" si="236"/>
        <v>33</v>
      </c>
      <c r="J1913" s="1">
        <f>VLOOKUP(B1913,Cena!$A$2:$B$101,2)</f>
        <v>99</v>
      </c>
      <c r="K1913" s="1">
        <f t="shared" si="240"/>
        <v>3267</v>
      </c>
      <c r="L1913" s="1">
        <f t="shared" si="237"/>
        <v>751.41000000000008</v>
      </c>
      <c r="M1913" s="22">
        <f t="shared" si="241"/>
        <v>4018.41</v>
      </c>
      <c r="N1913" s="1">
        <f t="shared" ca="1" si="238"/>
        <v>3</v>
      </c>
      <c r="P1913" s="1">
        <v>33.623956723022275</v>
      </c>
      <c r="Q1913" s="1">
        <f t="shared" ca="1" si="239"/>
        <v>17</v>
      </c>
      <c r="R1913" s="1">
        <v>11.526979076516</v>
      </c>
    </row>
    <row r="1914" spans="1:18" x14ac:dyDescent="0.3">
      <c r="A1914" s="26">
        <v>1913</v>
      </c>
      <c r="B1914" s="1">
        <v>2</v>
      </c>
      <c r="C1914" s="1">
        <f t="shared" si="235"/>
        <v>12</v>
      </c>
      <c r="D1914" s="21">
        <f t="shared" ca="1" si="234"/>
        <v>44698</v>
      </c>
      <c r="E1914" s="1" t="s">
        <v>26</v>
      </c>
      <c r="F1914" s="1" t="s">
        <v>1942</v>
      </c>
      <c r="G1914" s="1" t="s">
        <v>28</v>
      </c>
      <c r="H1914" s="1">
        <v>2012</v>
      </c>
      <c r="I1914" s="1">
        <f t="shared" si="236"/>
        <v>59</v>
      </c>
      <c r="J1914" s="1">
        <f>VLOOKUP(B1914,Cena!$A$2:$B$101,2)</f>
        <v>121</v>
      </c>
      <c r="K1914" s="1">
        <f t="shared" si="240"/>
        <v>7139</v>
      </c>
      <c r="L1914" s="1">
        <f t="shared" si="237"/>
        <v>1641.97</v>
      </c>
      <c r="M1914" s="22">
        <f t="shared" si="241"/>
        <v>8780.9699999999993</v>
      </c>
      <c r="N1914" s="1">
        <f t="shared" ca="1" si="238"/>
        <v>5</v>
      </c>
      <c r="P1914" s="1">
        <v>59.089944796869531</v>
      </c>
      <c r="Q1914" s="1">
        <f t="shared" ca="1" si="239"/>
        <v>18</v>
      </c>
      <c r="R1914" s="1">
        <v>12.675699306564638</v>
      </c>
    </row>
    <row r="1915" spans="1:18" x14ac:dyDescent="0.3">
      <c r="A1915" s="26">
        <v>1914</v>
      </c>
      <c r="B1915" s="1">
        <v>13</v>
      </c>
      <c r="C1915" s="1">
        <f t="shared" si="235"/>
        <v>5</v>
      </c>
      <c r="D1915" s="21">
        <f t="shared" ca="1" si="234"/>
        <v>44694</v>
      </c>
      <c r="E1915" s="1" t="s">
        <v>26</v>
      </c>
      <c r="F1915" s="1" t="s">
        <v>1943</v>
      </c>
      <c r="G1915" s="1" t="s">
        <v>28</v>
      </c>
      <c r="H1915" s="1">
        <v>2013</v>
      </c>
      <c r="I1915" s="1">
        <f t="shared" si="236"/>
        <v>38</v>
      </c>
      <c r="J1915" s="1">
        <f>VLOOKUP(B1915,Cena!$A$2:$B$101,2)</f>
        <v>94</v>
      </c>
      <c r="K1915" s="1">
        <f t="shared" si="240"/>
        <v>3572</v>
      </c>
      <c r="L1915" s="1">
        <f t="shared" si="237"/>
        <v>821.56000000000006</v>
      </c>
      <c r="M1915" s="22">
        <f t="shared" si="241"/>
        <v>4393.5600000000004</v>
      </c>
      <c r="N1915" s="1">
        <f t="shared" ca="1" si="238"/>
        <v>5</v>
      </c>
      <c r="P1915" s="1">
        <v>38.954550644848496</v>
      </c>
      <c r="Q1915" s="1">
        <f t="shared" ca="1" si="239"/>
        <v>8</v>
      </c>
      <c r="R1915" s="1">
        <v>5.4733311824384145</v>
      </c>
    </row>
    <row r="1916" spans="1:18" x14ac:dyDescent="0.3">
      <c r="A1916" s="26">
        <v>1915</v>
      </c>
      <c r="B1916" s="1">
        <v>6</v>
      </c>
      <c r="C1916" s="1">
        <f t="shared" si="235"/>
        <v>10</v>
      </c>
      <c r="D1916" s="21">
        <f t="shared" ca="1" si="234"/>
        <v>44584</v>
      </c>
      <c r="E1916" s="1" t="s">
        <v>26</v>
      </c>
      <c r="F1916" s="1" t="s">
        <v>1944</v>
      </c>
      <c r="G1916" s="1" t="s">
        <v>28</v>
      </c>
      <c r="H1916" s="1">
        <v>2014</v>
      </c>
      <c r="I1916" s="1">
        <f t="shared" si="236"/>
        <v>38</v>
      </c>
      <c r="J1916" s="1">
        <f>VLOOKUP(B1916,Cena!$A$2:$B$101,2)</f>
        <v>86</v>
      </c>
      <c r="K1916" s="1">
        <f t="shared" si="240"/>
        <v>3268</v>
      </c>
      <c r="L1916" s="1">
        <f t="shared" si="237"/>
        <v>751.64</v>
      </c>
      <c r="M1916" s="22">
        <f t="shared" si="241"/>
        <v>4019.64</v>
      </c>
      <c r="N1916" s="1">
        <f t="shared" ca="1" si="238"/>
        <v>1</v>
      </c>
      <c r="P1916" s="1">
        <v>38.387799021438695</v>
      </c>
      <c r="Q1916" s="1">
        <f t="shared" ca="1" si="239"/>
        <v>25</v>
      </c>
      <c r="R1916" s="1">
        <v>10.850434389576549</v>
      </c>
    </row>
    <row r="1917" spans="1:18" x14ac:dyDescent="0.3">
      <c r="A1917" s="26">
        <v>1916</v>
      </c>
      <c r="B1917" s="1">
        <v>12</v>
      </c>
      <c r="C1917" s="1">
        <f t="shared" si="235"/>
        <v>9</v>
      </c>
      <c r="D1917" s="21">
        <f t="shared" ca="1" si="234"/>
        <v>44884</v>
      </c>
      <c r="E1917" s="1" t="s">
        <v>26</v>
      </c>
      <c r="F1917" s="1" t="s">
        <v>1945</v>
      </c>
      <c r="G1917" s="1" t="s">
        <v>28</v>
      </c>
      <c r="H1917" s="1">
        <v>2015</v>
      </c>
      <c r="I1917" s="1">
        <f t="shared" si="236"/>
        <v>49</v>
      </c>
      <c r="J1917" s="1">
        <f>VLOOKUP(B1917,Cena!$A$2:$B$101,2)</f>
        <v>88</v>
      </c>
      <c r="K1917" s="1">
        <f t="shared" si="240"/>
        <v>4312</v>
      </c>
      <c r="L1917" s="1">
        <f t="shared" si="237"/>
        <v>991.76</v>
      </c>
      <c r="M1917" s="22">
        <f t="shared" si="241"/>
        <v>5303.76</v>
      </c>
      <c r="N1917" s="1">
        <f t="shared" ca="1" si="238"/>
        <v>11</v>
      </c>
      <c r="P1917" s="1">
        <v>49.085719082358992</v>
      </c>
      <c r="Q1917" s="1">
        <f t="shared" ca="1" si="239"/>
        <v>9</v>
      </c>
      <c r="R1917" s="1">
        <v>9.9687304352846695</v>
      </c>
    </row>
    <row r="1918" spans="1:18" x14ac:dyDescent="0.3">
      <c r="A1918" s="26">
        <v>1917</v>
      </c>
      <c r="B1918" s="1">
        <v>11</v>
      </c>
      <c r="C1918" s="1">
        <f t="shared" si="235"/>
        <v>8</v>
      </c>
      <c r="D1918" s="21">
        <f t="shared" ca="1" si="234"/>
        <v>44785</v>
      </c>
      <c r="E1918" s="1" t="s">
        <v>26</v>
      </c>
      <c r="F1918" s="1" t="s">
        <v>1946</v>
      </c>
      <c r="G1918" s="1" t="s">
        <v>28</v>
      </c>
      <c r="H1918" s="1">
        <v>2016</v>
      </c>
      <c r="I1918" s="1">
        <f t="shared" si="236"/>
        <v>54</v>
      </c>
      <c r="J1918" s="1">
        <f>VLOOKUP(B1918,Cena!$A$2:$B$101,2)</f>
        <v>83</v>
      </c>
      <c r="K1918" s="1">
        <f t="shared" si="240"/>
        <v>4482</v>
      </c>
      <c r="L1918" s="1">
        <f t="shared" si="237"/>
        <v>1030.8600000000001</v>
      </c>
      <c r="M1918" s="22">
        <f t="shared" si="241"/>
        <v>5512.8600000000006</v>
      </c>
      <c r="N1918" s="1">
        <f t="shared" ca="1" si="238"/>
        <v>8</v>
      </c>
      <c r="P1918" s="1">
        <v>54.565856670524227</v>
      </c>
      <c r="Q1918" s="1">
        <f t="shared" ca="1" si="239"/>
        <v>5</v>
      </c>
      <c r="R1918" s="1">
        <v>8.7062807349502691</v>
      </c>
    </row>
    <row r="1919" spans="1:18" x14ac:dyDescent="0.3">
      <c r="A1919" s="26">
        <v>1918</v>
      </c>
      <c r="B1919" s="1">
        <v>23</v>
      </c>
      <c r="C1919" s="1">
        <f t="shared" si="235"/>
        <v>7</v>
      </c>
      <c r="D1919" s="21">
        <f t="shared" ca="1" si="234"/>
        <v>44788</v>
      </c>
      <c r="E1919" s="1" t="s">
        <v>26</v>
      </c>
      <c r="F1919" s="1" t="s">
        <v>1947</v>
      </c>
      <c r="G1919" s="1" t="s">
        <v>28</v>
      </c>
      <c r="H1919" s="1">
        <v>2017</v>
      </c>
      <c r="I1919" s="1">
        <f t="shared" si="236"/>
        <v>47</v>
      </c>
      <c r="J1919" s="1">
        <f>VLOOKUP(B1919,Cena!$A$2:$B$101,2)</f>
        <v>132</v>
      </c>
      <c r="K1919" s="1">
        <f t="shared" si="240"/>
        <v>6204</v>
      </c>
      <c r="L1919" s="1">
        <f t="shared" si="237"/>
        <v>1426.92</v>
      </c>
      <c r="M1919" s="22">
        <f t="shared" si="241"/>
        <v>7630.92</v>
      </c>
      <c r="N1919" s="1">
        <f t="shared" ca="1" si="238"/>
        <v>8</v>
      </c>
      <c r="P1919" s="1">
        <v>47.062445800111163</v>
      </c>
      <c r="Q1919" s="1">
        <f t="shared" ca="1" si="239"/>
        <v>25</v>
      </c>
      <c r="R1919" s="1">
        <v>7.0445173858024646</v>
      </c>
    </row>
    <row r="1920" spans="1:18" x14ac:dyDescent="0.3">
      <c r="A1920" s="26">
        <v>1919</v>
      </c>
      <c r="B1920" s="1">
        <v>7</v>
      </c>
      <c r="C1920" s="1">
        <f t="shared" si="235"/>
        <v>7</v>
      </c>
      <c r="D1920" s="21">
        <f t="shared" ca="1" si="234"/>
        <v>44570</v>
      </c>
      <c r="E1920" s="1" t="s">
        <v>26</v>
      </c>
      <c r="F1920" s="1" t="s">
        <v>1948</v>
      </c>
      <c r="G1920" s="1" t="s">
        <v>28</v>
      </c>
      <c r="H1920" s="1">
        <v>2018</v>
      </c>
      <c r="I1920" s="1">
        <f t="shared" si="236"/>
        <v>51</v>
      </c>
      <c r="J1920" s="1">
        <f>VLOOKUP(B1920,Cena!$A$2:$B$101,2)</f>
        <v>104</v>
      </c>
      <c r="K1920" s="1">
        <f t="shared" si="240"/>
        <v>5304</v>
      </c>
      <c r="L1920" s="1">
        <f t="shared" si="237"/>
        <v>1219.92</v>
      </c>
      <c r="M1920" s="22">
        <f t="shared" si="241"/>
        <v>6523.92</v>
      </c>
      <c r="N1920" s="1">
        <f t="shared" ca="1" si="238"/>
        <v>1</v>
      </c>
      <c r="P1920" s="1">
        <v>51.783791958587244</v>
      </c>
      <c r="Q1920" s="1">
        <f t="shared" ca="1" si="239"/>
        <v>30</v>
      </c>
      <c r="R1920" s="1">
        <v>7.9178312514704885</v>
      </c>
    </row>
    <row r="1921" spans="1:18" x14ac:dyDescent="0.3">
      <c r="A1921" s="26">
        <v>1920</v>
      </c>
      <c r="B1921" s="1">
        <v>8</v>
      </c>
      <c r="C1921" s="1">
        <f t="shared" si="235"/>
        <v>6</v>
      </c>
      <c r="D1921" s="21">
        <f t="shared" ca="1" si="234"/>
        <v>44586</v>
      </c>
      <c r="E1921" s="1" t="s">
        <v>26</v>
      </c>
      <c r="F1921" s="1" t="s">
        <v>1949</v>
      </c>
      <c r="G1921" s="1" t="s">
        <v>28</v>
      </c>
      <c r="H1921" s="1">
        <v>2019</v>
      </c>
      <c r="I1921" s="1">
        <f t="shared" si="236"/>
        <v>50</v>
      </c>
      <c r="J1921" s="1">
        <f>VLOOKUP(B1921,Cena!$A$2:$B$101,2)</f>
        <v>88</v>
      </c>
      <c r="K1921" s="1">
        <f t="shared" si="240"/>
        <v>4400</v>
      </c>
      <c r="L1921" s="1">
        <f t="shared" si="237"/>
        <v>1012</v>
      </c>
      <c r="M1921" s="22">
        <f t="shared" si="241"/>
        <v>5412</v>
      </c>
      <c r="N1921" s="1">
        <f t="shared" ca="1" si="238"/>
        <v>1</v>
      </c>
      <c r="P1921" s="1">
        <v>50.737736627343111</v>
      </c>
      <c r="Q1921" s="1">
        <f t="shared" ca="1" si="239"/>
        <v>21</v>
      </c>
      <c r="R1921" s="1">
        <v>6.947678937431192</v>
      </c>
    </row>
    <row r="1922" spans="1:18" x14ac:dyDescent="0.3">
      <c r="A1922" s="26">
        <v>1921</v>
      </c>
      <c r="B1922" s="1">
        <v>2</v>
      </c>
      <c r="C1922" s="1">
        <f t="shared" si="235"/>
        <v>7</v>
      </c>
      <c r="D1922" s="21">
        <f t="shared" ref="D1922:D1985" ca="1" si="242">DATE(2022,RANDBETWEEN(1,12),RANDBETWEEN(1,28))</f>
        <v>44765</v>
      </c>
      <c r="E1922" s="1" t="s">
        <v>26</v>
      </c>
      <c r="F1922" s="1" t="s">
        <v>1950</v>
      </c>
      <c r="G1922" s="1" t="s">
        <v>28</v>
      </c>
      <c r="H1922" s="1">
        <v>2020</v>
      </c>
      <c r="I1922" s="1">
        <f t="shared" si="236"/>
        <v>43</v>
      </c>
      <c r="J1922" s="1">
        <f>VLOOKUP(B1922,Cena!$A$2:$B$101,2)</f>
        <v>121</v>
      </c>
      <c r="K1922" s="1">
        <f t="shared" si="240"/>
        <v>5203</v>
      </c>
      <c r="L1922" s="1">
        <f t="shared" si="237"/>
        <v>1196.69</v>
      </c>
      <c r="M1922" s="22">
        <f t="shared" si="241"/>
        <v>6399.6900000000005</v>
      </c>
      <c r="N1922" s="1">
        <f t="shared" ca="1" si="238"/>
        <v>7</v>
      </c>
      <c r="P1922" s="1">
        <v>43.034725775942206</v>
      </c>
      <c r="Q1922" s="1">
        <f t="shared" ca="1" si="239"/>
        <v>17</v>
      </c>
      <c r="R1922" s="1">
        <v>7.2110117596457712</v>
      </c>
    </row>
    <row r="1923" spans="1:18" x14ac:dyDescent="0.3">
      <c r="A1923" s="26">
        <v>1922</v>
      </c>
      <c r="B1923" s="1">
        <v>3</v>
      </c>
      <c r="C1923" s="1">
        <f t="shared" ref="C1923:C1986" si="243">INT(R1923)</f>
        <v>10</v>
      </c>
      <c r="D1923" s="21">
        <f t="shared" ca="1" si="242"/>
        <v>44719</v>
      </c>
      <c r="E1923" s="1" t="s">
        <v>26</v>
      </c>
      <c r="F1923" s="1" t="s">
        <v>1951</v>
      </c>
      <c r="G1923" s="1" t="s">
        <v>28</v>
      </c>
      <c r="H1923" s="1">
        <v>2021</v>
      </c>
      <c r="I1923" s="1">
        <f t="shared" ref="I1923:I1986" si="244">INT(P1923)</f>
        <v>47</v>
      </c>
      <c r="J1923" s="1">
        <f>VLOOKUP(B1923,Cena!$A$2:$B$101,2)</f>
        <v>89</v>
      </c>
      <c r="K1923" s="1">
        <f t="shared" si="240"/>
        <v>4183</v>
      </c>
      <c r="L1923" s="1">
        <f t="shared" ref="L1923:L1986" si="245">K1923*23%</f>
        <v>962.09</v>
      </c>
      <c r="M1923" s="22">
        <f t="shared" si="241"/>
        <v>5145.09</v>
      </c>
      <c r="N1923" s="1">
        <f t="shared" ref="N1923:N1986" ca="1" si="246">MONTH(D1923)</f>
        <v>6</v>
      </c>
      <c r="P1923" s="1">
        <v>47.658972006320255</v>
      </c>
      <c r="Q1923" s="1">
        <f t="shared" ref="Q1923:Q1986" ca="1" si="247">RANDBETWEEN(1,30)</f>
        <v>5</v>
      </c>
      <c r="R1923" s="1">
        <v>10.918845444175531</v>
      </c>
    </row>
    <row r="1924" spans="1:18" x14ac:dyDescent="0.3">
      <c r="A1924" s="26">
        <v>1923</v>
      </c>
      <c r="B1924" s="1">
        <v>30</v>
      </c>
      <c r="C1924" s="1">
        <f t="shared" si="243"/>
        <v>9</v>
      </c>
      <c r="D1924" s="21">
        <f t="shared" ca="1" si="242"/>
        <v>44613</v>
      </c>
      <c r="E1924" s="1" t="s">
        <v>26</v>
      </c>
      <c r="F1924" s="1" t="s">
        <v>1952</v>
      </c>
      <c r="G1924" s="1" t="s">
        <v>28</v>
      </c>
      <c r="H1924" s="1">
        <v>2022</v>
      </c>
      <c r="I1924" s="1">
        <f t="shared" si="244"/>
        <v>44</v>
      </c>
      <c r="J1924" s="1">
        <f>VLOOKUP(B1924,Cena!$A$2:$B$101,2)</f>
        <v>87</v>
      </c>
      <c r="K1924" s="1">
        <f t="shared" si="240"/>
        <v>3828</v>
      </c>
      <c r="L1924" s="1">
        <f t="shared" si="245"/>
        <v>880.44</v>
      </c>
      <c r="M1924" s="22">
        <f t="shared" si="241"/>
        <v>4708.4400000000005</v>
      </c>
      <c r="N1924" s="1">
        <f t="shared" ca="1" si="246"/>
        <v>2</v>
      </c>
      <c r="P1924" s="1">
        <v>44.082725152111379</v>
      </c>
      <c r="Q1924" s="1">
        <f t="shared" ca="1" si="247"/>
        <v>21</v>
      </c>
      <c r="R1924" s="1">
        <v>9.6102928889740724</v>
      </c>
    </row>
    <row r="1925" spans="1:18" x14ac:dyDescent="0.3">
      <c r="A1925" s="26">
        <v>1924</v>
      </c>
      <c r="B1925" s="1">
        <v>26</v>
      </c>
      <c r="C1925" s="1">
        <f t="shared" si="243"/>
        <v>9</v>
      </c>
      <c r="D1925" s="21">
        <f t="shared" ca="1" si="242"/>
        <v>44723</v>
      </c>
      <c r="E1925" s="1" t="s">
        <v>26</v>
      </c>
      <c r="F1925" s="1" t="s">
        <v>1953</v>
      </c>
      <c r="G1925" s="1" t="s">
        <v>28</v>
      </c>
      <c r="H1925" s="1">
        <v>2023</v>
      </c>
      <c r="I1925" s="1">
        <f t="shared" si="244"/>
        <v>43</v>
      </c>
      <c r="J1925" s="1">
        <f>VLOOKUP(B1925,Cena!$A$2:$B$101,2)</f>
        <v>99</v>
      </c>
      <c r="K1925" s="1">
        <f t="shared" si="240"/>
        <v>4257</v>
      </c>
      <c r="L1925" s="1">
        <f t="shared" si="245"/>
        <v>979.11</v>
      </c>
      <c r="M1925" s="22">
        <f t="shared" si="241"/>
        <v>5236.1099999999997</v>
      </c>
      <c r="N1925" s="1">
        <f t="shared" ca="1" si="246"/>
        <v>6</v>
      </c>
      <c r="P1925" s="1">
        <v>43.0483681964688</v>
      </c>
      <c r="Q1925" s="1">
        <f t="shared" ca="1" si="247"/>
        <v>9</v>
      </c>
      <c r="R1925" s="1">
        <v>9.4532004166103434</v>
      </c>
    </row>
    <row r="1926" spans="1:18" x14ac:dyDescent="0.3">
      <c r="A1926" s="26">
        <v>1925</v>
      </c>
      <c r="B1926" s="1">
        <v>1</v>
      </c>
      <c r="C1926" s="1">
        <f t="shared" si="243"/>
        <v>12</v>
      </c>
      <c r="D1926" s="21">
        <f t="shared" ca="1" si="242"/>
        <v>44566</v>
      </c>
      <c r="E1926" s="1" t="s">
        <v>26</v>
      </c>
      <c r="F1926" s="1" t="s">
        <v>1954</v>
      </c>
      <c r="G1926" s="1" t="s">
        <v>28</v>
      </c>
      <c r="H1926" s="1">
        <v>2024</v>
      </c>
      <c r="I1926" s="1">
        <f t="shared" si="244"/>
        <v>38</v>
      </c>
      <c r="J1926" s="1">
        <f>VLOOKUP(B1926,Cena!$A$2:$B$101,2)</f>
        <v>84</v>
      </c>
      <c r="K1926" s="1">
        <f t="shared" si="240"/>
        <v>3192</v>
      </c>
      <c r="L1926" s="1">
        <f t="shared" si="245"/>
        <v>734.16000000000008</v>
      </c>
      <c r="M1926" s="22">
        <f t="shared" si="241"/>
        <v>3926.16</v>
      </c>
      <c r="N1926" s="1">
        <f t="shared" ca="1" si="246"/>
        <v>1</v>
      </c>
      <c r="P1926" s="1">
        <v>38.636409398168325</v>
      </c>
      <c r="Q1926" s="1">
        <f t="shared" ca="1" si="247"/>
        <v>24</v>
      </c>
      <c r="R1926" s="1">
        <v>12.929107267846121</v>
      </c>
    </row>
    <row r="1927" spans="1:18" x14ac:dyDescent="0.3">
      <c r="A1927" s="26">
        <v>1926</v>
      </c>
      <c r="B1927" s="1">
        <v>23</v>
      </c>
      <c r="C1927" s="1">
        <f t="shared" si="243"/>
        <v>9</v>
      </c>
      <c r="D1927" s="21">
        <f t="shared" ca="1" si="242"/>
        <v>44882</v>
      </c>
      <c r="E1927" s="1" t="s">
        <v>26</v>
      </c>
      <c r="F1927" s="1" t="s">
        <v>1955</v>
      </c>
      <c r="G1927" s="1" t="s">
        <v>28</v>
      </c>
      <c r="H1927" s="1">
        <v>2025</v>
      </c>
      <c r="I1927" s="1">
        <f t="shared" si="244"/>
        <v>36</v>
      </c>
      <c r="J1927" s="1">
        <f>VLOOKUP(B1927,Cena!$A$2:$B$101,2)</f>
        <v>132</v>
      </c>
      <c r="K1927" s="1">
        <f t="shared" si="240"/>
        <v>4752</v>
      </c>
      <c r="L1927" s="1">
        <f t="shared" si="245"/>
        <v>1092.96</v>
      </c>
      <c r="M1927" s="22">
        <f t="shared" si="241"/>
        <v>5844.96</v>
      </c>
      <c r="N1927" s="1">
        <f t="shared" ca="1" si="246"/>
        <v>11</v>
      </c>
      <c r="P1927" s="1">
        <v>36.910688676289283</v>
      </c>
      <c r="Q1927" s="1">
        <f t="shared" ca="1" si="247"/>
        <v>30</v>
      </c>
      <c r="R1927" s="1">
        <v>9.3354180105598061</v>
      </c>
    </row>
    <row r="1928" spans="1:18" x14ac:dyDescent="0.3">
      <c r="A1928" s="26">
        <v>1927</v>
      </c>
      <c r="B1928" s="1">
        <v>12</v>
      </c>
      <c r="C1928" s="1">
        <f t="shared" si="243"/>
        <v>8</v>
      </c>
      <c r="D1928" s="21">
        <f t="shared" ca="1" si="242"/>
        <v>44814</v>
      </c>
      <c r="E1928" s="1" t="s">
        <v>26</v>
      </c>
      <c r="F1928" s="1" t="s">
        <v>1956</v>
      </c>
      <c r="G1928" s="1" t="s">
        <v>28</v>
      </c>
      <c r="H1928" s="1">
        <v>2026</v>
      </c>
      <c r="I1928" s="1">
        <f t="shared" si="244"/>
        <v>63</v>
      </c>
      <c r="J1928" s="1">
        <f>VLOOKUP(B1928,Cena!$A$2:$B$101,2)</f>
        <v>88</v>
      </c>
      <c r="K1928" s="1">
        <f t="shared" si="240"/>
        <v>5544</v>
      </c>
      <c r="L1928" s="1">
        <f t="shared" si="245"/>
        <v>1275.1200000000001</v>
      </c>
      <c r="M1928" s="22">
        <f t="shared" si="241"/>
        <v>6819.12</v>
      </c>
      <c r="N1928" s="1">
        <f t="shared" ca="1" si="246"/>
        <v>9</v>
      </c>
      <c r="P1928" s="1">
        <v>63.698922884941567</v>
      </c>
      <c r="Q1928" s="1">
        <f t="shared" ca="1" si="247"/>
        <v>26</v>
      </c>
      <c r="R1928" s="1">
        <v>8.9630566687992541</v>
      </c>
    </row>
    <row r="1929" spans="1:18" x14ac:dyDescent="0.3">
      <c r="A1929" s="26">
        <v>1928</v>
      </c>
      <c r="B1929" s="1">
        <v>15</v>
      </c>
      <c r="C1929" s="1">
        <f t="shared" si="243"/>
        <v>12</v>
      </c>
      <c r="D1929" s="21">
        <f t="shared" ca="1" si="242"/>
        <v>44737</v>
      </c>
      <c r="E1929" s="1" t="s">
        <v>26</v>
      </c>
      <c r="F1929" s="1" t="s">
        <v>1957</v>
      </c>
      <c r="G1929" s="1" t="s">
        <v>28</v>
      </c>
      <c r="H1929" s="1">
        <v>2027</v>
      </c>
      <c r="I1929" s="1">
        <f t="shared" si="244"/>
        <v>32</v>
      </c>
      <c r="J1929" s="1">
        <f>VLOOKUP(B1929,Cena!$A$2:$B$101,2)</f>
        <v>85</v>
      </c>
      <c r="K1929" s="1">
        <f t="shared" si="240"/>
        <v>2720</v>
      </c>
      <c r="L1929" s="1">
        <f t="shared" si="245"/>
        <v>625.6</v>
      </c>
      <c r="M1929" s="22">
        <f t="shared" si="241"/>
        <v>3345.6</v>
      </c>
      <c r="N1929" s="1">
        <f t="shared" ca="1" si="246"/>
        <v>6</v>
      </c>
      <c r="P1929" s="1">
        <v>32.706322043668479</v>
      </c>
      <c r="Q1929" s="1">
        <f t="shared" ca="1" si="247"/>
        <v>3</v>
      </c>
      <c r="R1929" s="1">
        <v>12.45210571847565</v>
      </c>
    </row>
    <row r="1930" spans="1:18" x14ac:dyDescent="0.3">
      <c r="A1930" s="26">
        <v>1929</v>
      </c>
      <c r="B1930" s="1">
        <v>27</v>
      </c>
      <c r="C1930" s="1">
        <f t="shared" si="243"/>
        <v>9</v>
      </c>
      <c r="D1930" s="21">
        <f t="shared" ca="1" si="242"/>
        <v>44580</v>
      </c>
      <c r="E1930" s="1" t="s">
        <v>26</v>
      </c>
      <c r="F1930" s="1" t="s">
        <v>1958</v>
      </c>
      <c r="G1930" s="1" t="s">
        <v>28</v>
      </c>
      <c r="H1930" s="1">
        <v>2028</v>
      </c>
      <c r="I1930" s="1">
        <f t="shared" si="244"/>
        <v>39</v>
      </c>
      <c r="J1930" s="1">
        <f>VLOOKUP(B1930,Cena!$A$2:$B$101,2)</f>
        <v>87</v>
      </c>
      <c r="K1930" s="1">
        <f t="shared" si="240"/>
        <v>3393</v>
      </c>
      <c r="L1930" s="1">
        <f t="shared" si="245"/>
        <v>780.39</v>
      </c>
      <c r="M1930" s="22">
        <f t="shared" si="241"/>
        <v>4173.3900000000003</v>
      </c>
      <c r="N1930" s="1">
        <f t="shared" ca="1" si="246"/>
        <v>1</v>
      </c>
      <c r="P1930" s="1">
        <v>39.879893291799817</v>
      </c>
      <c r="Q1930" s="1">
        <f t="shared" ca="1" si="247"/>
        <v>21</v>
      </c>
      <c r="R1930" s="1">
        <v>9.6439441929396708</v>
      </c>
    </row>
    <row r="1931" spans="1:18" x14ac:dyDescent="0.3">
      <c r="A1931" s="26">
        <v>1930</v>
      </c>
      <c r="B1931" s="1">
        <v>13</v>
      </c>
      <c r="C1931" s="1">
        <f t="shared" si="243"/>
        <v>10</v>
      </c>
      <c r="D1931" s="21">
        <f t="shared" ca="1" si="242"/>
        <v>44831</v>
      </c>
      <c r="E1931" s="1" t="s">
        <v>26</v>
      </c>
      <c r="F1931" s="1" t="s">
        <v>1959</v>
      </c>
      <c r="G1931" s="1" t="s">
        <v>28</v>
      </c>
      <c r="H1931" s="1">
        <v>2029</v>
      </c>
      <c r="I1931" s="1">
        <f t="shared" si="244"/>
        <v>35</v>
      </c>
      <c r="J1931" s="1">
        <f>VLOOKUP(B1931,Cena!$A$2:$B$101,2)</f>
        <v>94</v>
      </c>
      <c r="K1931" s="1">
        <f t="shared" si="240"/>
        <v>3290</v>
      </c>
      <c r="L1931" s="1">
        <f t="shared" si="245"/>
        <v>756.7</v>
      </c>
      <c r="M1931" s="22">
        <f t="shared" si="241"/>
        <v>4046.7</v>
      </c>
      <c r="N1931" s="1">
        <f t="shared" ca="1" si="246"/>
        <v>9</v>
      </c>
      <c r="P1931" s="1">
        <v>35.442127581336536</v>
      </c>
      <c r="Q1931" s="1">
        <f t="shared" ca="1" si="247"/>
        <v>8</v>
      </c>
      <c r="R1931" s="1">
        <v>10.397645294469839</v>
      </c>
    </row>
    <row r="1932" spans="1:18" x14ac:dyDescent="0.3">
      <c r="A1932" s="26">
        <v>1931</v>
      </c>
      <c r="B1932" s="1">
        <v>3</v>
      </c>
      <c r="C1932" s="1">
        <f t="shared" si="243"/>
        <v>7</v>
      </c>
      <c r="D1932" s="21">
        <f t="shared" ca="1" si="242"/>
        <v>44726</v>
      </c>
      <c r="E1932" s="1" t="s">
        <v>26</v>
      </c>
      <c r="F1932" s="1" t="s">
        <v>1960</v>
      </c>
      <c r="G1932" s="1" t="s">
        <v>28</v>
      </c>
      <c r="H1932" s="1">
        <v>2030</v>
      </c>
      <c r="I1932" s="1">
        <f t="shared" si="244"/>
        <v>58</v>
      </c>
      <c r="J1932" s="1">
        <f>VLOOKUP(B1932,Cena!$A$2:$B$101,2)</f>
        <v>89</v>
      </c>
      <c r="K1932" s="1">
        <f t="shared" si="240"/>
        <v>5162</v>
      </c>
      <c r="L1932" s="1">
        <f t="shared" si="245"/>
        <v>1187.26</v>
      </c>
      <c r="M1932" s="22">
        <f t="shared" si="241"/>
        <v>6349.26</v>
      </c>
      <c r="N1932" s="1">
        <f t="shared" ca="1" si="246"/>
        <v>6</v>
      </c>
      <c r="P1932" s="1">
        <v>58.740494195080828</v>
      </c>
      <c r="Q1932" s="1">
        <f t="shared" ca="1" si="247"/>
        <v>18</v>
      </c>
      <c r="R1932" s="1">
        <v>7.6186870753736002</v>
      </c>
    </row>
    <row r="1933" spans="1:18" x14ac:dyDescent="0.3">
      <c r="A1933" s="26">
        <v>1932</v>
      </c>
      <c r="B1933" s="1">
        <v>29</v>
      </c>
      <c r="C1933" s="1">
        <f t="shared" si="243"/>
        <v>10</v>
      </c>
      <c r="D1933" s="21">
        <f t="shared" ca="1" si="242"/>
        <v>44605</v>
      </c>
      <c r="E1933" s="1" t="s">
        <v>26</v>
      </c>
      <c r="F1933" s="1" t="s">
        <v>1961</v>
      </c>
      <c r="G1933" s="1" t="s">
        <v>28</v>
      </c>
      <c r="H1933" s="1">
        <v>2031</v>
      </c>
      <c r="I1933" s="1">
        <f t="shared" si="244"/>
        <v>60</v>
      </c>
      <c r="J1933" s="1">
        <f>VLOOKUP(B1933,Cena!$A$2:$B$101,2)</f>
        <v>105</v>
      </c>
      <c r="K1933" s="1">
        <f t="shared" si="240"/>
        <v>6300</v>
      </c>
      <c r="L1933" s="1">
        <f t="shared" si="245"/>
        <v>1449</v>
      </c>
      <c r="M1933" s="22">
        <f t="shared" si="241"/>
        <v>7749</v>
      </c>
      <c r="N1933" s="1">
        <f t="shared" ca="1" si="246"/>
        <v>2</v>
      </c>
      <c r="P1933" s="1">
        <v>60.340863809688017</v>
      </c>
      <c r="Q1933" s="1">
        <f t="shared" ca="1" si="247"/>
        <v>18</v>
      </c>
      <c r="R1933" s="1">
        <v>10.561499291507062</v>
      </c>
    </row>
    <row r="1934" spans="1:18" x14ac:dyDescent="0.3">
      <c r="A1934" s="26">
        <v>1933</v>
      </c>
      <c r="B1934" s="1">
        <v>3</v>
      </c>
      <c r="C1934" s="1">
        <f t="shared" si="243"/>
        <v>11</v>
      </c>
      <c r="D1934" s="21">
        <f t="shared" ca="1" si="242"/>
        <v>44729</v>
      </c>
      <c r="E1934" s="1" t="s">
        <v>26</v>
      </c>
      <c r="F1934" s="1" t="s">
        <v>1962</v>
      </c>
      <c r="G1934" s="1" t="s">
        <v>28</v>
      </c>
      <c r="H1934" s="1">
        <v>2032</v>
      </c>
      <c r="I1934" s="1">
        <f t="shared" si="244"/>
        <v>46</v>
      </c>
      <c r="J1934" s="1">
        <f>VLOOKUP(B1934,Cena!$A$2:$B$101,2)</f>
        <v>89</v>
      </c>
      <c r="K1934" s="1">
        <f t="shared" si="240"/>
        <v>4094</v>
      </c>
      <c r="L1934" s="1">
        <f t="shared" si="245"/>
        <v>941.62</v>
      </c>
      <c r="M1934" s="22">
        <f t="shared" si="241"/>
        <v>5035.62</v>
      </c>
      <c r="N1934" s="1">
        <f t="shared" ca="1" si="246"/>
        <v>6</v>
      </c>
      <c r="P1934" s="1">
        <v>46.128292423236417</v>
      </c>
      <c r="Q1934" s="1">
        <f t="shared" ca="1" si="247"/>
        <v>12</v>
      </c>
      <c r="R1934" s="1">
        <v>11.25951373775024</v>
      </c>
    </row>
    <row r="1935" spans="1:18" x14ac:dyDescent="0.3">
      <c r="A1935" s="26">
        <v>1934</v>
      </c>
      <c r="B1935" s="1">
        <v>27</v>
      </c>
      <c r="C1935" s="1">
        <f t="shared" si="243"/>
        <v>10</v>
      </c>
      <c r="D1935" s="21">
        <f t="shared" ca="1" si="242"/>
        <v>44739</v>
      </c>
      <c r="E1935" s="1" t="s">
        <v>26</v>
      </c>
      <c r="F1935" s="1" t="s">
        <v>1963</v>
      </c>
      <c r="G1935" s="1" t="s">
        <v>28</v>
      </c>
      <c r="H1935" s="1">
        <v>2033</v>
      </c>
      <c r="I1935" s="1">
        <f t="shared" si="244"/>
        <v>46</v>
      </c>
      <c r="J1935" s="1">
        <f>VLOOKUP(B1935,Cena!$A$2:$B$101,2)</f>
        <v>87</v>
      </c>
      <c r="K1935" s="1">
        <f t="shared" si="240"/>
        <v>4002</v>
      </c>
      <c r="L1935" s="1">
        <f t="shared" si="245"/>
        <v>920.46</v>
      </c>
      <c r="M1935" s="22">
        <f t="shared" si="241"/>
        <v>4922.46</v>
      </c>
      <c r="N1935" s="1">
        <f t="shared" ca="1" si="246"/>
        <v>6</v>
      </c>
      <c r="P1935" s="1">
        <v>46.932797330373432</v>
      </c>
      <c r="Q1935" s="1">
        <f t="shared" ca="1" si="247"/>
        <v>16</v>
      </c>
      <c r="R1935" s="1">
        <v>10.406944877795468</v>
      </c>
    </row>
    <row r="1936" spans="1:18" x14ac:dyDescent="0.3">
      <c r="A1936" s="26">
        <v>1935</v>
      </c>
      <c r="B1936" s="1">
        <v>4</v>
      </c>
      <c r="C1936" s="1">
        <f t="shared" si="243"/>
        <v>6</v>
      </c>
      <c r="D1936" s="21">
        <f t="shared" ca="1" si="242"/>
        <v>44697</v>
      </c>
      <c r="E1936" s="1" t="s">
        <v>26</v>
      </c>
      <c r="F1936" s="1" t="s">
        <v>1964</v>
      </c>
      <c r="G1936" s="1" t="s">
        <v>28</v>
      </c>
      <c r="H1936" s="1">
        <v>2034</v>
      </c>
      <c r="I1936" s="1">
        <f t="shared" si="244"/>
        <v>28</v>
      </c>
      <c r="J1936" s="1">
        <f>VLOOKUP(B1936,Cena!$A$2:$B$101,2)</f>
        <v>99</v>
      </c>
      <c r="K1936" s="1">
        <f t="shared" si="240"/>
        <v>2772</v>
      </c>
      <c r="L1936" s="1">
        <f t="shared" si="245"/>
        <v>637.56000000000006</v>
      </c>
      <c r="M1936" s="22">
        <f t="shared" si="241"/>
        <v>3409.56</v>
      </c>
      <c r="N1936" s="1">
        <f t="shared" ca="1" si="246"/>
        <v>5</v>
      </c>
      <c r="P1936" s="1">
        <v>28.842242853716016</v>
      </c>
      <c r="Q1936" s="1">
        <f t="shared" ca="1" si="247"/>
        <v>22</v>
      </c>
      <c r="R1936" s="1">
        <v>6.9895668527897215</v>
      </c>
    </row>
    <row r="1937" spans="1:18" x14ac:dyDescent="0.3">
      <c r="A1937" s="26">
        <v>1936</v>
      </c>
      <c r="B1937" s="1">
        <v>2</v>
      </c>
      <c r="C1937" s="1">
        <f t="shared" si="243"/>
        <v>8</v>
      </c>
      <c r="D1937" s="21">
        <f t="shared" ca="1" si="242"/>
        <v>44850</v>
      </c>
      <c r="E1937" s="1" t="s">
        <v>26</v>
      </c>
      <c r="F1937" s="1" t="s">
        <v>1965</v>
      </c>
      <c r="G1937" s="1" t="s">
        <v>28</v>
      </c>
      <c r="H1937" s="1">
        <v>2035</v>
      </c>
      <c r="I1937" s="1">
        <f t="shared" si="244"/>
        <v>49</v>
      </c>
      <c r="J1937" s="1">
        <f>VLOOKUP(B1937,Cena!$A$2:$B$101,2)</f>
        <v>121</v>
      </c>
      <c r="K1937" s="1">
        <f t="shared" si="240"/>
        <v>5929</v>
      </c>
      <c r="L1937" s="1">
        <f t="shared" si="245"/>
        <v>1363.67</v>
      </c>
      <c r="M1937" s="22">
        <f t="shared" si="241"/>
        <v>7292.67</v>
      </c>
      <c r="N1937" s="1">
        <f t="shared" ca="1" si="246"/>
        <v>10</v>
      </c>
      <c r="P1937" s="1">
        <v>49.141016360226786</v>
      </c>
      <c r="Q1937" s="1">
        <f t="shared" ca="1" si="247"/>
        <v>19</v>
      </c>
      <c r="R1937" s="1">
        <v>8.8364152159192599</v>
      </c>
    </row>
    <row r="1938" spans="1:18" x14ac:dyDescent="0.3">
      <c r="A1938" s="26">
        <v>1937</v>
      </c>
      <c r="B1938" s="1">
        <v>9</v>
      </c>
      <c r="C1938" s="1">
        <f t="shared" si="243"/>
        <v>10</v>
      </c>
      <c r="D1938" s="21">
        <f t="shared" ca="1" si="242"/>
        <v>44732</v>
      </c>
      <c r="E1938" s="1" t="s">
        <v>26</v>
      </c>
      <c r="F1938" s="1" t="s">
        <v>1966</v>
      </c>
      <c r="G1938" s="1" t="s">
        <v>28</v>
      </c>
      <c r="H1938" s="1">
        <v>2036</v>
      </c>
      <c r="I1938" s="1">
        <f t="shared" si="244"/>
        <v>62</v>
      </c>
      <c r="J1938" s="1">
        <f>VLOOKUP(B1938,Cena!$A$2:$B$101,2)</f>
        <v>96</v>
      </c>
      <c r="K1938" s="1">
        <f t="shared" si="240"/>
        <v>5952</v>
      </c>
      <c r="L1938" s="1">
        <f t="shared" si="245"/>
        <v>1368.96</v>
      </c>
      <c r="M1938" s="22">
        <f t="shared" si="241"/>
        <v>7320.96</v>
      </c>
      <c r="N1938" s="1">
        <f t="shared" ca="1" si="246"/>
        <v>6</v>
      </c>
      <c r="P1938" s="1">
        <v>62.612463251571171</v>
      </c>
      <c r="Q1938" s="1">
        <f t="shared" ca="1" si="247"/>
        <v>2</v>
      </c>
      <c r="R1938" s="1">
        <v>10.516283193974232</v>
      </c>
    </row>
    <row r="1939" spans="1:18" x14ac:dyDescent="0.3">
      <c r="A1939" s="26">
        <v>1938</v>
      </c>
      <c r="B1939" s="1">
        <v>20</v>
      </c>
      <c r="C1939" s="1">
        <f t="shared" si="243"/>
        <v>8</v>
      </c>
      <c r="D1939" s="21">
        <f t="shared" ca="1" si="242"/>
        <v>44679</v>
      </c>
      <c r="E1939" s="1" t="s">
        <v>26</v>
      </c>
      <c r="F1939" s="1" t="s">
        <v>1967</v>
      </c>
      <c r="G1939" s="1" t="s">
        <v>28</v>
      </c>
      <c r="H1939" s="1">
        <v>2037</v>
      </c>
      <c r="I1939" s="1">
        <f t="shared" si="244"/>
        <v>41</v>
      </c>
      <c r="J1939" s="1">
        <f>VLOOKUP(B1939,Cena!$A$2:$B$101,2)</f>
        <v>111</v>
      </c>
      <c r="K1939" s="1">
        <f t="shared" si="240"/>
        <v>4551</v>
      </c>
      <c r="L1939" s="1">
        <f t="shared" si="245"/>
        <v>1046.73</v>
      </c>
      <c r="M1939" s="22">
        <f t="shared" si="241"/>
        <v>5597.73</v>
      </c>
      <c r="N1939" s="1">
        <f t="shared" ca="1" si="246"/>
        <v>4</v>
      </c>
      <c r="P1939" s="1">
        <v>41.33212895685574</v>
      </c>
      <c r="Q1939" s="1">
        <f t="shared" ca="1" si="247"/>
        <v>29</v>
      </c>
      <c r="R1939" s="1">
        <v>8.8060665145894745</v>
      </c>
    </row>
    <row r="1940" spans="1:18" x14ac:dyDescent="0.3">
      <c r="A1940" s="26">
        <v>1939</v>
      </c>
      <c r="B1940" s="1">
        <v>27</v>
      </c>
      <c r="C1940" s="1">
        <f t="shared" si="243"/>
        <v>10</v>
      </c>
      <c r="D1940" s="21">
        <f t="shared" ca="1" si="242"/>
        <v>44664</v>
      </c>
      <c r="E1940" s="1" t="s">
        <v>26</v>
      </c>
      <c r="F1940" s="1" t="s">
        <v>1968</v>
      </c>
      <c r="G1940" s="1" t="s">
        <v>28</v>
      </c>
      <c r="H1940" s="1">
        <v>2038</v>
      </c>
      <c r="I1940" s="1">
        <f t="shared" si="244"/>
        <v>44</v>
      </c>
      <c r="J1940" s="1">
        <f>VLOOKUP(B1940,Cena!$A$2:$B$101,2)</f>
        <v>87</v>
      </c>
      <c r="K1940" s="1">
        <f t="shared" si="240"/>
        <v>3828</v>
      </c>
      <c r="L1940" s="1">
        <f t="shared" si="245"/>
        <v>880.44</v>
      </c>
      <c r="M1940" s="22">
        <f t="shared" si="241"/>
        <v>4708.4400000000005</v>
      </c>
      <c r="N1940" s="1">
        <f t="shared" ca="1" si="246"/>
        <v>4</v>
      </c>
      <c r="P1940" s="1">
        <v>44.323445662303129</v>
      </c>
      <c r="Q1940" s="1">
        <f t="shared" ca="1" si="247"/>
        <v>18</v>
      </c>
      <c r="R1940" s="1">
        <v>10.50905555326608</v>
      </c>
    </row>
    <row r="1941" spans="1:18" x14ac:dyDescent="0.3">
      <c r="A1941" s="26">
        <v>1940</v>
      </c>
      <c r="B1941" s="1">
        <v>6</v>
      </c>
      <c r="C1941" s="1">
        <f t="shared" si="243"/>
        <v>12</v>
      </c>
      <c r="D1941" s="21">
        <f t="shared" ca="1" si="242"/>
        <v>44624</v>
      </c>
      <c r="E1941" s="1" t="s">
        <v>26</v>
      </c>
      <c r="F1941" s="1" t="s">
        <v>1969</v>
      </c>
      <c r="G1941" s="1" t="s">
        <v>28</v>
      </c>
      <c r="H1941" s="1">
        <v>2039</v>
      </c>
      <c r="I1941" s="1">
        <f t="shared" si="244"/>
        <v>45</v>
      </c>
      <c r="J1941" s="1">
        <f>VLOOKUP(B1941,Cena!$A$2:$B$101,2)</f>
        <v>86</v>
      </c>
      <c r="K1941" s="1">
        <f t="shared" si="240"/>
        <v>3870</v>
      </c>
      <c r="L1941" s="1">
        <f t="shared" si="245"/>
        <v>890.1</v>
      </c>
      <c r="M1941" s="22">
        <f t="shared" si="241"/>
        <v>4760.1000000000004</v>
      </c>
      <c r="N1941" s="1">
        <f t="shared" ca="1" si="246"/>
        <v>3</v>
      </c>
      <c r="P1941" s="1">
        <v>45.323491930321325</v>
      </c>
      <c r="Q1941" s="1">
        <f t="shared" ca="1" si="247"/>
        <v>17</v>
      </c>
      <c r="R1941" s="1">
        <v>12.29366605708492</v>
      </c>
    </row>
    <row r="1942" spans="1:18" x14ac:dyDescent="0.3">
      <c r="A1942" s="26">
        <v>1941</v>
      </c>
      <c r="B1942" s="1">
        <v>13</v>
      </c>
      <c r="C1942" s="1">
        <f t="shared" si="243"/>
        <v>7</v>
      </c>
      <c r="D1942" s="21">
        <f t="shared" ca="1" si="242"/>
        <v>44688</v>
      </c>
      <c r="E1942" s="1" t="s">
        <v>26</v>
      </c>
      <c r="F1942" s="1" t="s">
        <v>1970</v>
      </c>
      <c r="G1942" s="1" t="s">
        <v>28</v>
      </c>
      <c r="H1942" s="1">
        <v>2040</v>
      </c>
      <c r="I1942" s="1">
        <f t="shared" si="244"/>
        <v>26</v>
      </c>
      <c r="J1942" s="1">
        <f>VLOOKUP(B1942,Cena!$A$2:$B$101,2)</f>
        <v>94</v>
      </c>
      <c r="K1942" s="1">
        <f t="shared" si="240"/>
        <v>2444</v>
      </c>
      <c r="L1942" s="1">
        <f t="shared" si="245"/>
        <v>562.12</v>
      </c>
      <c r="M1942" s="22">
        <f t="shared" si="241"/>
        <v>3006.12</v>
      </c>
      <c r="N1942" s="1">
        <f t="shared" ca="1" si="246"/>
        <v>5</v>
      </c>
      <c r="P1942" s="1">
        <v>26.636172505095601</v>
      </c>
      <c r="Q1942" s="1">
        <f t="shared" ca="1" si="247"/>
        <v>4</v>
      </c>
      <c r="R1942" s="1">
        <v>7.8277401169179939</v>
      </c>
    </row>
    <row r="1943" spans="1:18" x14ac:dyDescent="0.3">
      <c r="A1943" s="26">
        <v>1942</v>
      </c>
      <c r="B1943" s="1">
        <v>6</v>
      </c>
      <c r="C1943" s="1">
        <f t="shared" si="243"/>
        <v>11</v>
      </c>
      <c r="D1943" s="21">
        <f t="shared" ca="1" si="242"/>
        <v>44922</v>
      </c>
      <c r="E1943" s="1" t="s">
        <v>26</v>
      </c>
      <c r="F1943" s="1" t="s">
        <v>1971</v>
      </c>
      <c r="G1943" s="1" t="s">
        <v>28</v>
      </c>
      <c r="H1943" s="1">
        <v>2041</v>
      </c>
      <c r="I1943" s="1">
        <f t="shared" si="244"/>
        <v>61</v>
      </c>
      <c r="J1943" s="1">
        <f>VLOOKUP(B1943,Cena!$A$2:$B$101,2)</f>
        <v>86</v>
      </c>
      <c r="K1943" s="1">
        <f t="shared" si="240"/>
        <v>5246</v>
      </c>
      <c r="L1943" s="1">
        <f t="shared" si="245"/>
        <v>1206.5800000000002</v>
      </c>
      <c r="M1943" s="22">
        <f t="shared" si="241"/>
        <v>6452.58</v>
      </c>
      <c r="N1943" s="1">
        <f t="shared" ca="1" si="246"/>
        <v>12</v>
      </c>
      <c r="P1943" s="1">
        <v>61.42068413173547</v>
      </c>
      <c r="Q1943" s="1">
        <f t="shared" ca="1" si="247"/>
        <v>8</v>
      </c>
      <c r="R1943" s="1">
        <v>11.571703478475683</v>
      </c>
    </row>
    <row r="1944" spans="1:18" x14ac:dyDescent="0.3">
      <c r="A1944" s="26">
        <v>1943</v>
      </c>
      <c r="B1944" s="1">
        <v>18</v>
      </c>
      <c r="C1944" s="1">
        <f t="shared" si="243"/>
        <v>12</v>
      </c>
      <c r="D1944" s="21">
        <f t="shared" ca="1" si="242"/>
        <v>44883</v>
      </c>
      <c r="E1944" s="1" t="s">
        <v>26</v>
      </c>
      <c r="F1944" s="1" t="s">
        <v>1972</v>
      </c>
      <c r="G1944" s="1" t="s">
        <v>28</v>
      </c>
      <c r="H1944" s="1">
        <v>2042</v>
      </c>
      <c r="I1944" s="1">
        <f t="shared" si="244"/>
        <v>32</v>
      </c>
      <c r="J1944" s="1">
        <f>VLOOKUP(B1944,Cena!$A$2:$B$101,2)</f>
        <v>90</v>
      </c>
      <c r="K1944" s="1">
        <f t="shared" si="240"/>
        <v>2880</v>
      </c>
      <c r="L1944" s="1">
        <f t="shared" si="245"/>
        <v>662.4</v>
      </c>
      <c r="M1944" s="22">
        <f t="shared" si="241"/>
        <v>3542.4</v>
      </c>
      <c r="N1944" s="1">
        <f t="shared" ca="1" si="246"/>
        <v>11</v>
      </c>
      <c r="P1944" s="1">
        <v>32.124882080825046</v>
      </c>
      <c r="Q1944" s="1">
        <f t="shared" ca="1" si="247"/>
        <v>15</v>
      </c>
      <c r="R1944" s="1">
        <v>12.40611370827537</v>
      </c>
    </row>
    <row r="1945" spans="1:18" x14ac:dyDescent="0.3">
      <c r="A1945" s="26">
        <v>1944</v>
      </c>
      <c r="B1945" s="1">
        <v>13</v>
      </c>
      <c r="C1945" s="1">
        <f t="shared" si="243"/>
        <v>11</v>
      </c>
      <c r="D1945" s="21">
        <f t="shared" ca="1" si="242"/>
        <v>44737</v>
      </c>
      <c r="E1945" s="1" t="s">
        <v>26</v>
      </c>
      <c r="F1945" s="1" t="s">
        <v>1973</v>
      </c>
      <c r="G1945" s="1" t="s">
        <v>28</v>
      </c>
      <c r="H1945" s="1">
        <v>2043</v>
      </c>
      <c r="I1945" s="1">
        <f t="shared" si="244"/>
        <v>38</v>
      </c>
      <c r="J1945" s="1">
        <f>VLOOKUP(B1945,Cena!$A$2:$B$101,2)</f>
        <v>94</v>
      </c>
      <c r="K1945" s="1">
        <f t="shared" si="240"/>
        <v>3572</v>
      </c>
      <c r="L1945" s="1">
        <f t="shared" si="245"/>
        <v>821.56000000000006</v>
      </c>
      <c r="M1945" s="22">
        <f t="shared" si="241"/>
        <v>4393.5600000000004</v>
      </c>
      <c r="N1945" s="1">
        <f t="shared" ca="1" si="246"/>
        <v>6</v>
      </c>
      <c r="P1945" s="1">
        <v>38.570493769657332</v>
      </c>
      <c r="Q1945" s="1">
        <f t="shared" ca="1" si="247"/>
        <v>9</v>
      </c>
      <c r="R1945" s="1">
        <v>11.799313054107188</v>
      </c>
    </row>
    <row r="1946" spans="1:18" x14ac:dyDescent="0.3">
      <c r="A1946" s="26">
        <v>1945</v>
      </c>
      <c r="B1946" s="1">
        <v>2</v>
      </c>
      <c r="C1946" s="1">
        <f t="shared" si="243"/>
        <v>10</v>
      </c>
      <c r="D1946" s="21">
        <f t="shared" ca="1" si="242"/>
        <v>44638</v>
      </c>
      <c r="E1946" s="1" t="s">
        <v>26</v>
      </c>
      <c r="F1946" s="1" t="s">
        <v>1974</v>
      </c>
      <c r="G1946" s="1" t="s">
        <v>28</v>
      </c>
      <c r="H1946" s="1">
        <v>2044</v>
      </c>
      <c r="I1946" s="1">
        <f t="shared" si="244"/>
        <v>36</v>
      </c>
      <c r="J1946" s="1">
        <f>VLOOKUP(B1946,Cena!$A$2:$B$101,2)</f>
        <v>121</v>
      </c>
      <c r="K1946" s="1">
        <f t="shared" si="240"/>
        <v>4356</v>
      </c>
      <c r="L1946" s="1">
        <f t="shared" si="245"/>
        <v>1001.88</v>
      </c>
      <c r="M1946" s="22">
        <f t="shared" si="241"/>
        <v>5357.88</v>
      </c>
      <c r="N1946" s="1">
        <f t="shared" ca="1" si="246"/>
        <v>3</v>
      </c>
      <c r="P1946" s="1">
        <v>36.347847880097106</v>
      </c>
      <c r="Q1946" s="1">
        <f t="shared" ca="1" si="247"/>
        <v>5</v>
      </c>
      <c r="R1946" s="1">
        <v>10.673304612064385</v>
      </c>
    </row>
    <row r="1947" spans="1:18" x14ac:dyDescent="0.3">
      <c r="A1947" s="26">
        <v>1946</v>
      </c>
      <c r="B1947" s="1">
        <v>18</v>
      </c>
      <c r="C1947" s="1">
        <f t="shared" si="243"/>
        <v>11</v>
      </c>
      <c r="D1947" s="21">
        <f t="shared" ca="1" si="242"/>
        <v>44787</v>
      </c>
      <c r="E1947" s="1" t="s">
        <v>26</v>
      </c>
      <c r="F1947" s="1" t="s">
        <v>1975</v>
      </c>
      <c r="G1947" s="1" t="s">
        <v>28</v>
      </c>
      <c r="H1947" s="1">
        <v>2045</v>
      </c>
      <c r="I1947" s="1">
        <f t="shared" si="244"/>
        <v>37</v>
      </c>
      <c r="J1947" s="1">
        <f>VLOOKUP(B1947,Cena!$A$2:$B$101,2)</f>
        <v>90</v>
      </c>
      <c r="K1947" s="1">
        <f t="shared" si="240"/>
        <v>3330</v>
      </c>
      <c r="L1947" s="1">
        <f t="shared" si="245"/>
        <v>765.9</v>
      </c>
      <c r="M1947" s="22">
        <f t="shared" si="241"/>
        <v>4095.9</v>
      </c>
      <c r="N1947" s="1">
        <f t="shared" ca="1" si="246"/>
        <v>8</v>
      </c>
      <c r="P1947" s="1">
        <v>37.819683155976236</v>
      </c>
      <c r="Q1947" s="1">
        <f t="shared" ca="1" si="247"/>
        <v>29</v>
      </c>
      <c r="R1947" s="1">
        <v>11.663664761508699</v>
      </c>
    </row>
    <row r="1948" spans="1:18" x14ac:dyDescent="0.3">
      <c r="A1948" s="26">
        <v>1947</v>
      </c>
      <c r="B1948" s="1">
        <v>3</v>
      </c>
      <c r="C1948" s="1">
        <f t="shared" si="243"/>
        <v>6</v>
      </c>
      <c r="D1948" s="21">
        <f t="shared" ca="1" si="242"/>
        <v>44736</v>
      </c>
      <c r="E1948" s="1" t="s">
        <v>26</v>
      </c>
      <c r="F1948" s="1" t="s">
        <v>1976</v>
      </c>
      <c r="G1948" s="1" t="s">
        <v>28</v>
      </c>
      <c r="H1948" s="1">
        <v>2046</v>
      </c>
      <c r="I1948" s="1">
        <f t="shared" si="244"/>
        <v>33</v>
      </c>
      <c r="J1948" s="1">
        <f>VLOOKUP(B1948,Cena!$A$2:$B$101,2)</f>
        <v>89</v>
      </c>
      <c r="K1948" s="1">
        <f t="shared" si="240"/>
        <v>2937</v>
      </c>
      <c r="L1948" s="1">
        <f t="shared" si="245"/>
        <v>675.51</v>
      </c>
      <c r="M1948" s="22">
        <f t="shared" si="241"/>
        <v>3612.51</v>
      </c>
      <c r="N1948" s="1">
        <f t="shared" ca="1" si="246"/>
        <v>6</v>
      </c>
      <c r="P1948" s="1">
        <v>33.970747052808292</v>
      </c>
      <c r="Q1948" s="1">
        <f t="shared" ca="1" si="247"/>
        <v>27</v>
      </c>
      <c r="R1948" s="1">
        <v>6.4633673243952217</v>
      </c>
    </row>
    <row r="1949" spans="1:18" x14ac:dyDescent="0.3">
      <c r="A1949" s="26">
        <v>1948</v>
      </c>
      <c r="B1949" s="1">
        <v>25</v>
      </c>
      <c r="C1949" s="1">
        <f t="shared" si="243"/>
        <v>6</v>
      </c>
      <c r="D1949" s="21">
        <f t="shared" ca="1" si="242"/>
        <v>44652</v>
      </c>
      <c r="E1949" s="1" t="s">
        <v>26</v>
      </c>
      <c r="F1949" s="1" t="s">
        <v>1977</v>
      </c>
      <c r="G1949" s="1" t="s">
        <v>28</v>
      </c>
      <c r="H1949" s="1">
        <v>2047</v>
      </c>
      <c r="I1949" s="1">
        <f t="shared" si="244"/>
        <v>49</v>
      </c>
      <c r="J1949" s="1">
        <f>VLOOKUP(B1949,Cena!$A$2:$B$101,2)</f>
        <v>108</v>
      </c>
      <c r="K1949" s="1">
        <f t="shared" si="240"/>
        <v>5292</v>
      </c>
      <c r="L1949" s="1">
        <f t="shared" si="245"/>
        <v>1217.1600000000001</v>
      </c>
      <c r="M1949" s="22">
        <f t="shared" si="241"/>
        <v>6509.16</v>
      </c>
      <c r="N1949" s="1">
        <f t="shared" ca="1" si="246"/>
        <v>4</v>
      </c>
      <c r="P1949" s="1">
        <v>49.290650976035977</v>
      </c>
      <c r="Q1949" s="1">
        <f t="shared" ca="1" si="247"/>
        <v>8</v>
      </c>
      <c r="R1949" s="1">
        <v>6.0037030177772976</v>
      </c>
    </row>
    <row r="1950" spans="1:18" x14ac:dyDescent="0.3">
      <c r="A1950" s="26">
        <v>1949</v>
      </c>
      <c r="B1950" s="1">
        <v>29</v>
      </c>
      <c r="C1950" s="1">
        <f t="shared" si="243"/>
        <v>4</v>
      </c>
      <c r="D1950" s="21">
        <f t="shared" ca="1" si="242"/>
        <v>44851</v>
      </c>
      <c r="E1950" s="1" t="s">
        <v>26</v>
      </c>
      <c r="F1950" s="1" t="s">
        <v>1978</v>
      </c>
      <c r="G1950" s="1" t="s">
        <v>28</v>
      </c>
      <c r="H1950" s="1">
        <v>2048</v>
      </c>
      <c r="I1950" s="1">
        <f t="shared" si="244"/>
        <v>35</v>
      </c>
      <c r="J1950" s="1">
        <f>VLOOKUP(B1950,Cena!$A$2:$B$101,2)</f>
        <v>105</v>
      </c>
      <c r="K1950" s="1">
        <f t="shared" si="240"/>
        <v>3675</v>
      </c>
      <c r="L1950" s="1">
        <f t="shared" si="245"/>
        <v>845.25</v>
      </c>
      <c r="M1950" s="22">
        <f t="shared" si="241"/>
        <v>4520.25</v>
      </c>
      <c r="N1950" s="1">
        <f t="shared" ca="1" si="246"/>
        <v>10</v>
      </c>
      <c r="P1950" s="1">
        <v>35.229123922181316</v>
      </c>
      <c r="Q1950" s="1">
        <f t="shared" ca="1" si="247"/>
        <v>17</v>
      </c>
      <c r="R1950" s="1">
        <v>4.329482433386147</v>
      </c>
    </row>
    <row r="1951" spans="1:18" x14ac:dyDescent="0.3">
      <c r="A1951" s="26">
        <v>1950</v>
      </c>
      <c r="B1951" s="1">
        <v>23</v>
      </c>
      <c r="C1951" s="1">
        <f t="shared" si="243"/>
        <v>10</v>
      </c>
      <c r="D1951" s="21">
        <f t="shared" ca="1" si="242"/>
        <v>44714</v>
      </c>
      <c r="E1951" s="1" t="s">
        <v>26</v>
      </c>
      <c r="F1951" s="1" t="s">
        <v>1979</v>
      </c>
      <c r="G1951" s="1" t="s">
        <v>28</v>
      </c>
      <c r="H1951" s="1">
        <v>2049</v>
      </c>
      <c r="I1951" s="1">
        <f t="shared" si="244"/>
        <v>49</v>
      </c>
      <c r="J1951" s="1">
        <f>VLOOKUP(B1951,Cena!$A$2:$B$101,2)</f>
        <v>132</v>
      </c>
      <c r="K1951" s="1">
        <f t="shared" ref="K1951:K2014" si="248">I1951*J1951</f>
        <v>6468</v>
      </c>
      <c r="L1951" s="1">
        <f t="shared" si="245"/>
        <v>1487.64</v>
      </c>
      <c r="M1951" s="22">
        <f t="shared" ref="M1951:M2014" si="249">K1951+L1951</f>
        <v>7955.64</v>
      </c>
      <c r="N1951" s="1">
        <f t="shared" ca="1" si="246"/>
        <v>6</v>
      </c>
      <c r="P1951" s="1">
        <v>49.096473857207457</v>
      </c>
      <c r="Q1951" s="1">
        <f t="shared" ca="1" si="247"/>
        <v>18</v>
      </c>
      <c r="R1951" s="1">
        <v>10.561891511097201</v>
      </c>
    </row>
    <row r="1952" spans="1:18" x14ac:dyDescent="0.3">
      <c r="A1952" s="26">
        <v>1951</v>
      </c>
      <c r="B1952" s="1">
        <v>10</v>
      </c>
      <c r="C1952" s="1">
        <f t="shared" si="243"/>
        <v>11</v>
      </c>
      <c r="D1952" s="21">
        <f t="shared" ca="1" si="242"/>
        <v>44667</v>
      </c>
      <c r="E1952" s="1" t="s">
        <v>26</v>
      </c>
      <c r="F1952" s="1" t="s">
        <v>1980</v>
      </c>
      <c r="G1952" s="1" t="s">
        <v>28</v>
      </c>
      <c r="H1952" s="1">
        <v>2050</v>
      </c>
      <c r="I1952" s="1">
        <f t="shared" si="244"/>
        <v>21</v>
      </c>
      <c r="J1952" s="1">
        <f>VLOOKUP(B1952,Cena!$A$2:$B$101,2)</f>
        <v>109</v>
      </c>
      <c r="K1952" s="1">
        <f t="shared" si="248"/>
        <v>2289</v>
      </c>
      <c r="L1952" s="1">
        <f t="shared" si="245"/>
        <v>526.47</v>
      </c>
      <c r="M1952" s="22">
        <f t="shared" si="249"/>
        <v>2815.4700000000003</v>
      </c>
      <c r="N1952" s="1">
        <f t="shared" ca="1" si="246"/>
        <v>4</v>
      </c>
      <c r="P1952" s="1">
        <v>21.932993503287435</v>
      </c>
      <c r="Q1952" s="1">
        <f t="shared" ca="1" si="247"/>
        <v>10</v>
      </c>
      <c r="R1952" s="1">
        <v>11.313219399889931</v>
      </c>
    </row>
    <row r="1953" spans="1:18" x14ac:dyDescent="0.3">
      <c r="A1953" s="26">
        <v>1952</v>
      </c>
      <c r="B1953" s="1">
        <v>12</v>
      </c>
      <c r="C1953" s="1">
        <f t="shared" si="243"/>
        <v>11</v>
      </c>
      <c r="D1953" s="21">
        <f t="shared" ca="1" si="242"/>
        <v>44797</v>
      </c>
      <c r="E1953" s="1" t="s">
        <v>26</v>
      </c>
      <c r="F1953" s="1" t="s">
        <v>1981</v>
      </c>
      <c r="G1953" s="1" t="s">
        <v>28</v>
      </c>
      <c r="H1953" s="1">
        <v>2051</v>
      </c>
      <c r="I1953" s="1">
        <f t="shared" si="244"/>
        <v>60</v>
      </c>
      <c r="J1953" s="1">
        <f>VLOOKUP(B1953,Cena!$A$2:$B$101,2)</f>
        <v>88</v>
      </c>
      <c r="K1953" s="1">
        <f t="shared" si="248"/>
        <v>5280</v>
      </c>
      <c r="L1953" s="1">
        <f t="shared" si="245"/>
        <v>1214.4000000000001</v>
      </c>
      <c r="M1953" s="22">
        <f t="shared" si="249"/>
        <v>6494.4</v>
      </c>
      <c r="N1953" s="1">
        <f t="shared" ca="1" si="246"/>
        <v>8</v>
      </c>
      <c r="P1953" s="1">
        <v>60.983717402268667</v>
      </c>
      <c r="Q1953" s="1">
        <f t="shared" ca="1" si="247"/>
        <v>17</v>
      </c>
      <c r="R1953" s="1">
        <v>11.945653593793395</v>
      </c>
    </row>
    <row r="1954" spans="1:18" x14ac:dyDescent="0.3">
      <c r="A1954" s="26">
        <v>1953</v>
      </c>
      <c r="B1954" s="1">
        <v>19</v>
      </c>
      <c r="C1954" s="1">
        <f t="shared" si="243"/>
        <v>14</v>
      </c>
      <c r="D1954" s="21">
        <f t="shared" ca="1" si="242"/>
        <v>44745</v>
      </c>
      <c r="E1954" s="1" t="s">
        <v>26</v>
      </c>
      <c r="F1954" s="1" t="s">
        <v>1982</v>
      </c>
      <c r="G1954" s="1" t="s">
        <v>28</v>
      </c>
      <c r="H1954" s="1">
        <v>2052</v>
      </c>
      <c r="I1954" s="1">
        <f t="shared" si="244"/>
        <v>48</v>
      </c>
      <c r="J1954" s="1">
        <f>VLOOKUP(B1954,Cena!$A$2:$B$101,2)</f>
        <v>84</v>
      </c>
      <c r="K1954" s="1">
        <f t="shared" si="248"/>
        <v>4032</v>
      </c>
      <c r="L1954" s="1">
        <f t="shared" si="245"/>
        <v>927.36</v>
      </c>
      <c r="M1954" s="22">
        <f t="shared" si="249"/>
        <v>4959.3599999999997</v>
      </c>
      <c r="N1954" s="1">
        <f t="shared" ca="1" si="246"/>
        <v>7</v>
      </c>
      <c r="P1954" s="1">
        <v>48.19287950231228</v>
      </c>
      <c r="Q1954" s="1">
        <f t="shared" ca="1" si="247"/>
        <v>8</v>
      </c>
      <c r="R1954" s="1">
        <v>14.263256414560601</v>
      </c>
    </row>
    <row r="1955" spans="1:18" x14ac:dyDescent="0.3">
      <c r="A1955" s="26">
        <v>1954</v>
      </c>
      <c r="B1955" s="1">
        <v>12</v>
      </c>
      <c r="C1955" s="1">
        <f t="shared" si="243"/>
        <v>11</v>
      </c>
      <c r="D1955" s="21">
        <f t="shared" ca="1" si="242"/>
        <v>44815</v>
      </c>
      <c r="E1955" s="1" t="s">
        <v>26</v>
      </c>
      <c r="F1955" s="1" t="s">
        <v>1983</v>
      </c>
      <c r="G1955" s="1" t="s">
        <v>28</v>
      </c>
      <c r="H1955" s="1">
        <v>2053</v>
      </c>
      <c r="I1955" s="1">
        <f t="shared" si="244"/>
        <v>33</v>
      </c>
      <c r="J1955" s="1">
        <f>VLOOKUP(B1955,Cena!$A$2:$B$101,2)</f>
        <v>88</v>
      </c>
      <c r="K1955" s="1">
        <f t="shared" si="248"/>
        <v>2904</v>
      </c>
      <c r="L1955" s="1">
        <f t="shared" si="245"/>
        <v>667.92000000000007</v>
      </c>
      <c r="M1955" s="22">
        <f t="shared" si="249"/>
        <v>3571.92</v>
      </c>
      <c r="N1955" s="1">
        <f t="shared" ca="1" si="246"/>
        <v>9</v>
      </c>
      <c r="P1955" s="1">
        <v>33.585848895017989</v>
      </c>
      <c r="Q1955" s="1">
        <f t="shared" ca="1" si="247"/>
        <v>9</v>
      </c>
      <c r="R1955" s="1">
        <v>11.176601926999865</v>
      </c>
    </row>
    <row r="1956" spans="1:18" x14ac:dyDescent="0.3">
      <c r="A1956" s="26">
        <v>1955</v>
      </c>
      <c r="B1956" s="1">
        <v>12</v>
      </c>
      <c r="C1956" s="1">
        <f t="shared" si="243"/>
        <v>11</v>
      </c>
      <c r="D1956" s="21">
        <f t="shared" ca="1" si="242"/>
        <v>44908</v>
      </c>
      <c r="E1956" s="1" t="s">
        <v>26</v>
      </c>
      <c r="F1956" s="1" t="s">
        <v>1984</v>
      </c>
      <c r="G1956" s="1" t="s">
        <v>28</v>
      </c>
      <c r="H1956" s="1">
        <v>2054</v>
      </c>
      <c r="I1956" s="1">
        <f t="shared" si="244"/>
        <v>48</v>
      </c>
      <c r="J1956" s="1">
        <f>VLOOKUP(B1956,Cena!$A$2:$B$101,2)</f>
        <v>88</v>
      </c>
      <c r="K1956" s="1">
        <f t="shared" si="248"/>
        <v>4224</v>
      </c>
      <c r="L1956" s="1">
        <f t="shared" si="245"/>
        <v>971.5200000000001</v>
      </c>
      <c r="M1956" s="22">
        <f t="shared" si="249"/>
        <v>5195.5200000000004</v>
      </c>
      <c r="N1956" s="1">
        <f t="shared" ca="1" si="246"/>
        <v>12</v>
      </c>
      <c r="P1956" s="1">
        <v>48.878865881124511</v>
      </c>
      <c r="Q1956" s="1">
        <f t="shared" ca="1" si="247"/>
        <v>11</v>
      </c>
      <c r="R1956" s="1">
        <v>11.708076524664648</v>
      </c>
    </row>
    <row r="1957" spans="1:18" x14ac:dyDescent="0.3">
      <c r="A1957" s="26">
        <v>1956</v>
      </c>
      <c r="B1957" s="1">
        <v>4</v>
      </c>
      <c r="C1957" s="1">
        <f t="shared" si="243"/>
        <v>8</v>
      </c>
      <c r="D1957" s="21">
        <f t="shared" ca="1" si="242"/>
        <v>44571</v>
      </c>
      <c r="E1957" s="1" t="s">
        <v>26</v>
      </c>
      <c r="F1957" s="1" t="s">
        <v>1985</v>
      </c>
      <c r="G1957" s="1" t="s">
        <v>28</v>
      </c>
      <c r="H1957" s="1">
        <v>2055</v>
      </c>
      <c r="I1957" s="1">
        <f t="shared" si="244"/>
        <v>44</v>
      </c>
      <c r="J1957" s="1">
        <f>VLOOKUP(B1957,Cena!$A$2:$B$101,2)</f>
        <v>99</v>
      </c>
      <c r="K1957" s="1">
        <f t="shared" si="248"/>
        <v>4356</v>
      </c>
      <c r="L1957" s="1">
        <f t="shared" si="245"/>
        <v>1001.88</v>
      </c>
      <c r="M1957" s="22">
        <f t="shared" si="249"/>
        <v>5357.88</v>
      </c>
      <c r="N1957" s="1">
        <f t="shared" ca="1" si="246"/>
        <v>1</v>
      </c>
      <c r="P1957" s="1">
        <v>44.108225109812338</v>
      </c>
      <c r="Q1957" s="1">
        <f t="shared" ca="1" si="247"/>
        <v>28</v>
      </c>
      <c r="R1957" s="1">
        <v>8.8801448580488795</v>
      </c>
    </row>
    <row r="1958" spans="1:18" x14ac:dyDescent="0.3">
      <c r="A1958" s="26">
        <v>1957</v>
      </c>
      <c r="B1958" s="1">
        <v>21</v>
      </c>
      <c r="C1958" s="1">
        <f t="shared" si="243"/>
        <v>7</v>
      </c>
      <c r="D1958" s="21">
        <f t="shared" ca="1" si="242"/>
        <v>44871</v>
      </c>
      <c r="E1958" s="1" t="s">
        <v>26</v>
      </c>
      <c r="F1958" s="1" t="s">
        <v>1986</v>
      </c>
      <c r="G1958" s="1" t="s">
        <v>28</v>
      </c>
      <c r="H1958" s="1">
        <v>2056</v>
      </c>
      <c r="I1958" s="1">
        <f t="shared" si="244"/>
        <v>53</v>
      </c>
      <c r="J1958" s="1">
        <f>VLOOKUP(B1958,Cena!$A$2:$B$101,2)</f>
        <v>105</v>
      </c>
      <c r="K1958" s="1">
        <f t="shared" si="248"/>
        <v>5565</v>
      </c>
      <c r="L1958" s="1">
        <f t="shared" si="245"/>
        <v>1279.95</v>
      </c>
      <c r="M1958" s="22">
        <f t="shared" si="249"/>
        <v>6844.95</v>
      </c>
      <c r="N1958" s="1">
        <f t="shared" ca="1" si="246"/>
        <v>11</v>
      </c>
      <c r="P1958" s="1">
        <v>53.70896486856509</v>
      </c>
      <c r="Q1958" s="1">
        <f t="shared" ca="1" si="247"/>
        <v>25</v>
      </c>
      <c r="R1958" s="1">
        <v>7.3351293647283455</v>
      </c>
    </row>
    <row r="1959" spans="1:18" x14ac:dyDescent="0.3">
      <c r="A1959" s="26">
        <v>1958</v>
      </c>
      <c r="B1959" s="1">
        <v>29</v>
      </c>
      <c r="C1959" s="1">
        <f t="shared" si="243"/>
        <v>12</v>
      </c>
      <c r="D1959" s="21">
        <f t="shared" ca="1" si="242"/>
        <v>44685</v>
      </c>
      <c r="E1959" s="1" t="s">
        <v>26</v>
      </c>
      <c r="F1959" s="1" t="s">
        <v>1987</v>
      </c>
      <c r="G1959" s="1" t="s">
        <v>28</v>
      </c>
      <c r="H1959" s="1">
        <v>2057</v>
      </c>
      <c r="I1959" s="1">
        <f t="shared" si="244"/>
        <v>55</v>
      </c>
      <c r="J1959" s="1">
        <f>VLOOKUP(B1959,Cena!$A$2:$B$101,2)</f>
        <v>105</v>
      </c>
      <c r="K1959" s="1">
        <f t="shared" si="248"/>
        <v>5775</v>
      </c>
      <c r="L1959" s="1">
        <f t="shared" si="245"/>
        <v>1328.25</v>
      </c>
      <c r="M1959" s="22">
        <f t="shared" si="249"/>
        <v>7103.25</v>
      </c>
      <c r="N1959" s="1">
        <f t="shared" ca="1" si="246"/>
        <v>5</v>
      </c>
      <c r="P1959" s="1">
        <v>55.276592673908453</v>
      </c>
      <c r="Q1959" s="1">
        <f t="shared" ca="1" si="247"/>
        <v>29</v>
      </c>
      <c r="R1959" s="1">
        <v>12.638023488543695</v>
      </c>
    </row>
    <row r="1960" spans="1:18" x14ac:dyDescent="0.3">
      <c r="A1960" s="26">
        <v>1959</v>
      </c>
      <c r="B1960" s="1">
        <v>9</v>
      </c>
      <c r="C1960" s="1">
        <f t="shared" si="243"/>
        <v>9</v>
      </c>
      <c r="D1960" s="21">
        <f t="shared" ca="1" si="242"/>
        <v>44737</v>
      </c>
      <c r="E1960" s="1" t="s">
        <v>26</v>
      </c>
      <c r="F1960" s="1" t="s">
        <v>1988</v>
      </c>
      <c r="G1960" s="1" t="s">
        <v>28</v>
      </c>
      <c r="H1960" s="1">
        <v>2058</v>
      </c>
      <c r="I1960" s="1">
        <f t="shared" si="244"/>
        <v>52</v>
      </c>
      <c r="J1960" s="1">
        <f>VLOOKUP(B1960,Cena!$A$2:$B$101,2)</f>
        <v>96</v>
      </c>
      <c r="K1960" s="1">
        <f t="shared" si="248"/>
        <v>4992</v>
      </c>
      <c r="L1960" s="1">
        <f t="shared" si="245"/>
        <v>1148.1600000000001</v>
      </c>
      <c r="M1960" s="22">
        <f t="shared" si="249"/>
        <v>6140.16</v>
      </c>
      <c r="N1960" s="1">
        <f t="shared" ca="1" si="246"/>
        <v>6</v>
      </c>
      <c r="P1960" s="1">
        <v>52.07998027690337</v>
      </c>
      <c r="Q1960" s="1">
        <f t="shared" ca="1" si="247"/>
        <v>16</v>
      </c>
      <c r="R1960" s="1">
        <v>9.4443840023450321</v>
      </c>
    </row>
    <row r="1961" spans="1:18" x14ac:dyDescent="0.3">
      <c r="A1961" s="26">
        <v>1960</v>
      </c>
      <c r="B1961" s="1">
        <v>21</v>
      </c>
      <c r="C1961" s="1">
        <f t="shared" si="243"/>
        <v>11</v>
      </c>
      <c r="D1961" s="21">
        <f t="shared" ca="1" si="242"/>
        <v>44867</v>
      </c>
      <c r="E1961" s="1" t="s">
        <v>26</v>
      </c>
      <c r="F1961" s="1" t="s">
        <v>1989</v>
      </c>
      <c r="G1961" s="1" t="s">
        <v>28</v>
      </c>
      <c r="H1961" s="1">
        <v>2059</v>
      </c>
      <c r="I1961" s="1">
        <f t="shared" si="244"/>
        <v>55</v>
      </c>
      <c r="J1961" s="1">
        <f>VLOOKUP(B1961,Cena!$A$2:$B$101,2)</f>
        <v>105</v>
      </c>
      <c r="K1961" s="1">
        <f t="shared" si="248"/>
        <v>5775</v>
      </c>
      <c r="L1961" s="1">
        <f t="shared" si="245"/>
        <v>1328.25</v>
      </c>
      <c r="M1961" s="22">
        <f t="shared" si="249"/>
        <v>7103.25</v>
      </c>
      <c r="N1961" s="1">
        <f t="shared" ca="1" si="246"/>
        <v>11</v>
      </c>
      <c r="P1961" s="1">
        <v>55.932770363870077</v>
      </c>
      <c r="Q1961" s="1">
        <f t="shared" ca="1" si="247"/>
        <v>16</v>
      </c>
      <c r="R1961" s="1">
        <v>11.014478812066955</v>
      </c>
    </row>
    <row r="1962" spans="1:18" x14ac:dyDescent="0.3">
      <c r="A1962" s="26">
        <v>1961</v>
      </c>
      <c r="B1962" s="1">
        <v>11</v>
      </c>
      <c r="C1962" s="1">
        <f t="shared" si="243"/>
        <v>11</v>
      </c>
      <c r="D1962" s="21">
        <f t="shared" ca="1" si="242"/>
        <v>44644</v>
      </c>
      <c r="E1962" s="1" t="s">
        <v>26</v>
      </c>
      <c r="F1962" s="1" t="s">
        <v>1990</v>
      </c>
      <c r="G1962" s="1" t="s">
        <v>28</v>
      </c>
      <c r="H1962" s="1">
        <v>2060</v>
      </c>
      <c r="I1962" s="1">
        <f t="shared" si="244"/>
        <v>53</v>
      </c>
      <c r="J1962" s="1">
        <f>VLOOKUP(B1962,Cena!$A$2:$B$101,2)</f>
        <v>83</v>
      </c>
      <c r="K1962" s="1">
        <f t="shared" si="248"/>
        <v>4399</v>
      </c>
      <c r="L1962" s="1">
        <f t="shared" si="245"/>
        <v>1011.7700000000001</v>
      </c>
      <c r="M1962" s="22">
        <f t="shared" si="249"/>
        <v>5410.77</v>
      </c>
      <c r="N1962" s="1">
        <f t="shared" ca="1" si="246"/>
        <v>3</v>
      </c>
      <c r="P1962" s="1">
        <v>53.433365236560348</v>
      </c>
      <c r="Q1962" s="1">
        <f t="shared" ca="1" si="247"/>
        <v>2</v>
      </c>
      <c r="R1962" s="1">
        <v>11.239143898601469</v>
      </c>
    </row>
    <row r="1963" spans="1:18" x14ac:dyDescent="0.3">
      <c r="A1963" s="26">
        <v>1962</v>
      </c>
      <c r="B1963" s="1">
        <v>15</v>
      </c>
      <c r="C1963" s="1">
        <f t="shared" si="243"/>
        <v>7</v>
      </c>
      <c r="D1963" s="21">
        <f t="shared" ca="1" si="242"/>
        <v>44813</v>
      </c>
      <c r="E1963" s="1" t="s">
        <v>26</v>
      </c>
      <c r="F1963" s="1" t="s">
        <v>1991</v>
      </c>
      <c r="G1963" s="1" t="s">
        <v>28</v>
      </c>
      <c r="H1963" s="1">
        <v>2061</v>
      </c>
      <c r="I1963" s="1">
        <f t="shared" si="244"/>
        <v>45</v>
      </c>
      <c r="J1963" s="1">
        <f>VLOOKUP(B1963,Cena!$A$2:$B$101,2)</f>
        <v>85</v>
      </c>
      <c r="K1963" s="1">
        <f t="shared" si="248"/>
        <v>3825</v>
      </c>
      <c r="L1963" s="1">
        <f t="shared" si="245"/>
        <v>879.75</v>
      </c>
      <c r="M1963" s="22">
        <f t="shared" si="249"/>
        <v>4704.75</v>
      </c>
      <c r="N1963" s="1">
        <f t="shared" ca="1" si="246"/>
        <v>9</v>
      </c>
      <c r="P1963" s="1">
        <v>45.665575625025667</v>
      </c>
      <c r="Q1963" s="1">
        <f t="shared" ca="1" si="247"/>
        <v>30</v>
      </c>
      <c r="R1963" s="1">
        <v>7.9960819018742768</v>
      </c>
    </row>
    <row r="1964" spans="1:18" x14ac:dyDescent="0.3">
      <c r="A1964" s="26">
        <v>1963</v>
      </c>
      <c r="B1964" s="1">
        <v>14</v>
      </c>
      <c r="C1964" s="1">
        <f t="shared" si="243"/>
        <v>10</v>
      </c>
      <c r="D1964" s="21">
        <f t="shared" ca="1" si="242"/>
        <v>44901</v>
      </c>
      <c r="E1964" s="1" t="s">
        <v>26</v>
      </c>
      <c r="F1964" s="1" t="s">
        <v>1992</v>
      </c>
      <c r="G1964" s="1" t="s">
        <v>28</v>
      </c>
      <c r="H1964" s="1">
        <v>2062</v>
      </c>
      <c r="I1964" s="1">
        <f t="shared" si="244"/>
        <v>39</v>
      </c>
      <c r="J1964" s="1">
        <f>VLOOKUP(B1964,Cena!$A$2:$B$101,2)</f>
        <v>129</v>
      </c>
      <c r="K1964" s="1">
        <f t="shared" si="248"/>
        <v>5031</v>
      </c>
      <c r="L1964" s="1">
        <f t="shared" si="245"/>
        <v>1157.1300000000001</v>
      </c>
      <c r="M1964" s="22">
        <f t="shared" si="249"/>
        <v>6188.13</v>
      </c>
      <c r="N1964" s="1">
        <f t="shared" ca="1" si="246"/>
        <v>12</v>
      </c>
      <c r="P1964" s="1">
        <v>39.525008459168021</v>
      </c>
      <c r="Q1964" s="1">
        <f t="shared" ca="1" si="247"/>
        <v>24</v>
      </c>
      <c r="R1964" s="1">
        <v>10.095360519480892</v>
      </c>
    </row>
    <row r="1965" spans="1:18" x14ac:dyDescent="0.3">
      <c r="A1965" s="26">
        <v>1964</v>
      </c>
      <c r="B1965" s="1">
        <v>13</v>
      </c>
      <c r="C1965" s="1">
        <f t="shared" si="243"/>
        <v>8</v>
      </c>
      <c r="D1965" s="21">
        <f t="shared" ca="1" si="242"/>
        <v>44825</v>
      </c>
      <c r="E1965" s="1" t="s">
        <v>26</v>
      </c>
      <c r="F1965" s="1" t="s">
        <v>1993</v>
      </c>
      <c r="G1965" s="1" t="s">
        <v>28</v>
      </c>
      <c r="H1965" s="1">
        <v>2063</v>
      </c>
      <c r="I1965" s="1">
        <f t="shared" si="244"/>
        <v>61</v>
      </c>
      <c r="J1965" s="1">
        <f>VLOOKUP(B1965,Cena!$A$2:$B$101,2)</f>
        <v>94</v>
      </c>
      <c r="K1965" s="1">
        <f t="shared" si="248"/>
        <v>5734</v>
      </c>
      <c r="L1965" s="1">
        <f t="shared" si="245"/>
        <v>1318.8200000000002</v>
      </c>
      <c r="M1965" s="22">
        <f t="shared" si="249"/>
        <v>7052.82</v>
      </c>
      <c r="N1965" s="1">
        <f t="shared" ca="1" si="246"/>
        <v>9</v>
      </c>
      <c r="P1965" s="1">
        <v>61.389897736080457</v>
      </c>
      <c r="Q1965" s="1">
        <f t="shared" ca="1" si="247"/>
        <v>7</v>
      </c>
      <c r="R1965" s="1">
        <v>8.8778171200465295</v>
      </c>
    </row>
    <row r="1966" spans="1:18" x14ac:dyDescent="0.3">
      <c r="A1966" s="26">
        <v>1965</v>
      </c>
      <c r="B1966" s="1">
        <v>14</v>
      </c>
      <c r="C1966" s="1">
        <f t="shared" si="243"/>
        <v>8</v>
      </c>
      <c r="D1966" s="21">
        <f t="shared" ca="1" si="242"/>
        <v>44703</v>
      </c>
      <c r="E1966" s="1" t="s">
        <v>26</v>
      </c>
      <c r="F1966" s="1" t="s">
        <v>1994</v>
      </c>
      <c r="G1966" s="1" t="s">
        <v>28</v>
      </c>
      <c r="H1966" s="1">
        <v>2064</v>
      </c>
      <c r="I1966" s="1">
        <f t="shared" si="244"/>
        <v>74</v>
      </c>
      <c r="J1966" s="1">
        <f>VLOOKUP(B1966,Cena!$A$2:$B$101,2)</f>
        <v>129</v>
      </c>
      <c r="K1966" s="1">
        <f t="shared" si="248"/>
        <v>9546</v>
      </c>
      <c r="L1966" s="1">
        <f t="shared" si="245"/>
        <v>2195.58</v>
      </c>
      <c r="M1966" s="22">
        <f t="shared" si="249"/>
        <v>11741.58</v>
      </c>
      <c r="N1966" s="1">
        <f t="shared" ca="1" si="246"/>
        <v>5</v>
      </c>
      <c r="P1966" s="1">
        <v>74.077235138975084</v>
      </c>
      <c r="Q1966" s="1">
        <f t="shared" ca="1" si="247"/>
        <v>7</v>
      </c>
      <c r="R1966" s="1">
        <v>8.2359440764412284</v>
      </c>
    </row>
    <row r="1967" spans="1:18" x14ac:dyDescent="0.3">
      <c r="A1967" s="26">
        <v>1966</v>
      </c>
      <c r="B1967" s="1">
        <v>16</v>
      </c>
      <c r="C1967" s="1">
        <f t="shared" si="243"/>
        <v>9</v>
      </c>
      <c r="D1967" s="21">
        <f t="shared" ca="1" si="242"/>
        <v>44914</v>
      </c>
      <c r="E1967" s="1" t="s">
        <v>26</v>
      </c>
      <c r="F1967" s="1" t="s">
        <v>1995</v>
      </c>
      <c r="G1967" s="1" t="s">
        <v>28</v>
      </c>
      <c r="H1967" s="1">
        <v>2065</v>
      </c>
      <c r="I1967" s="1">
        <f t="shared" si="244"/>
        <v>59</v>
      </c>
      <c r="J1967" s="1">
        <f>VLOOKUP(B1967,Cena!$A$2:$B$101,2)</f>
        <v>93</v>
      </c>
      <c r="K1967" s="1">
        <f t="shared" si="248"/>
        <v>5487</v>
      </c>
      <c r="L1967" s="1">
        <f t="shared" si="245"/>
        <v>1262.01</v>
      </c>
      <c r="M1967" s="22">
        <f t="shared" si="249"/>
        <v>6749.01</v>
      </c>
      <c r="N1967" s="1">
        <f t="shared" ca="1" si="246"/>
        <v>12</v>
      </c>
      <c r="P1967" s="1">
        <v>59.573523129802197</v>
      </c>
      <c r="Q1967" s="1">
        <f t="shared" ca="1" si="247"/>
        <v>17</v>
      </c>
      <c r="R1967" s="1">
        <v>9.3938871512000333</v>
      </c>
    </row>
    <row r="1968" spans="1:18" x14ac:dyDescent="0.3">
      <c r="A1968" s="26">
        <v>1967</v>
      </c>
      <c r="B1968" s="1">
        <v>17</v>
      </c>
      <c r="C1968" s="1">
        <f t="shared" si="243"/>
        <v>12</v>
      </c>
      <c r="D1968" s="21">
        <f t="shared" ca="1" si="242"/>
        <v>44713</v>
      </c>
      <c r="E1968" s="1" t="s">
        <v>26</v>
      </c>
      <c r="F1968" s="1" t="s">
        <v>1996</v>
      </c>
      <c r="G1968" s="1" t="s">
        <v>28</v>
      </c>
      <c r="H1968" s="1">
        <v>2066</v>
      </c>
      <c r="I1968" s="1">
        <f t="shared" si="244"/>
        <v>70</v>
      </c>
      <c r="J1968" s="1">
        <f>VLOOKUP(B1968,Cena!$A$2:$B$101,2)</f>
        <v>84</v>
      </c>
      <c r="K1968" s="1">
        <f t="shared" si="248"/>
        <v>5880</v>
      </c>
      <c r="L1968" s="1">
        <f t="shared" si="245"/>
        <v>1352.4</v>
      </c>
      <c r="M1968" s="22">
        <f t="shared" si="249"/>
        <v>7232.4</v>
      </c>
      <c r="N1968" s="1">
        <f t="shared" ca="1" si="246"/>
        <v>6</v>
      </c>
      <c r="P1968" s="1">
        <v>70.396691979840398</v>
      </c>
      <c r="Q1968" s="1">
        <f t="shared" ca="1" si="247"/>
        <v>17</v>
      </c>
      <c r="R1968" s="1">
        <v>12.624051376187708</v>
      </c>
    </row>
    <row r="1969" spans="1:18" x14ac:dyDescent="0.3">
      <c r="A1969" s="26">
        <v>1968</v>
      </c>
      <c r="B1969" s="1">
        <v>13</v>
      </c>
      <c r="C1969" s="1">
        <f t="shared" si="243"/>
        <v>8</v>
      </c>
      <c r="D1969" s="21">
        <f t="shared" ca="1" si="242"/>
        <v>44641</v>
      </c>
      <c r="E1969" s="1" t="s">
        <v>26</v>
      </c>
      <c r="F1969" s="1" t="s">
        <v>1997</v>
      </c>
      <c r="G1969" s="1" t="s">
        <v>28</v>
      </c>
      <c r="H1969" s="1">
        <v>2067</v>
      </c>
      <c r="I1969" s="1">
        <f t="shared" si="244"/>
        <v>43</v>
      </c>
      <c r="J1969" s="1">
        <f>VLOOKUP(B1969,Cena!$A$2:$B$101,2)</f>
        <v>94</v>
      </c>
      <c r="K1969" s="1">
        <f t="shared" si="248"/>
        <v>4042</v>
      </c>
      <c r="L1969" s="1">
        <f t="shared" si="245"/>
        <v>929.66000000000008</v>
      </c>
      <c r="M1969" s="22">
        <f t="shared" si="249"/>
        <v>4971.66</v>
      </c>
      <c r="N1969" s="1">
        <f t="shared" ca="1" si="246"/>
        <v>3</v>
      </c>
      <c r="P1969" s="1">
        <v>43.951894339261344</v>
      </c>
      <c r="Q1969" s="1">
        <f t="shared" ca="1" si="247"/>
        <v>19</v>
      </c>
      <c r="R1969" s="1">
        <v>8.0924371811852325</v>
      </c>
    </row>
    <row r="1970" spans="1:18" x14ac:dyDescent="0.3">
      <c r="A1970" s="26">
        <v>1969</v>
      </c>
      <c r="B1970" s="1">
        <v>1</v>
      </c>
      <c r="C1970" s="1">
        <f t="shared" si="243"/>
        <v>12</v>
      </c>
      <c r="D1970" s="21">
        <f t="shared" ca="1" si="242"/>
        <v>44876</v>
      </c>
      <c r="E1970" s="1" t="s">
        <v>26</v>
      </c>
      <c r="F1970" s="1" t="s">
        <v>1998</v>
      </c>
      <c r="G1970" s="1" t="s">
        <v>28</v>
      </c>
      <c r="H1970" s="1">
        <v>2068</v>
      </c>
      <c r="I1970" s="1">
        <f t="shared" si="244"/>
        <v>49</v>
      </c>
      <c r="J1970" s="1">
        <f>VLOOKUP(B1970,Cena!$A$2:$B$101,2)</f>
        <v>84</v>
      </c>
      <c r="K1970" s="1">
        <f t="shared" si="248"/>
        <v>4116</v>
      </c>
      <c r="L1970" s="1">
        <f t="shared" si="245"/>
        <v>946.68000000000006</v>
      </c>
      <c r="M1970" s="22">
        <f t="shared" si="249"/>
        <v>5062.68</v>
      </c>
      <c r="N1970" s="1">
        <f t="shared" ca="1" si="246"/>
        <v>11</v>
      </c>
      <c r="P1970" s="1">
        <v>49.352758095483296</v>
      </c>
      <c r="Q1970" s="1">
        <f t="shared" ca="1" si="247"/>
        <v>4</v>
      </c>
      <c r="R1970" s="1">
        <v>12.58619365922641</v>
      </c>
    </row>
    <row r="1971" spans="1:18" x14ac:dyDescent="0.3">
      <c r="A1971" s="26">
        <v>1970</v>
      </c>
      <c r="B1971" s="1">
        <v>21</v>
      </c>
      <c r="C1971" s="1">
        <f t="shared" si="243"/>
        <v>10</v>
      </c>
      <c r="D1971" s="21">
        <f t="shared" ca="1" si="242"/>
        <v>44732</v>
      </c>
      <c r="E1971" s="1" t="s">
        <v>26</v>
      </c>
      <c r="F1971" s="1" t="s">
        <v>1999</v>
      </c>
      <c r="G1971" s="1" t="s">
        <v>28</v>
      </c>
      <c r="H1971" s="1">
        <v>2069</v>
      </c>
      <c r="I1971" s="1">
        <f t="shared" si="244"/>
        <v>42</v>
      </c>
      <c r="J1971" s="1">
        <f>VLOOKUP(B1971,Cena!$A$2:$B$101,2)</f>
        <v>105</v>
      </c>
      <c r="K1971" s="1">
        <f t="shared" si="248"/>
        <v>4410</v>
      </c>
      <c r="L1971" s="1">
        <f t="shared" si="245"/>
        <v>1014.3000000000001</v>
      </c>
      <c r="M1971" s="22">
        <f t="shared" si="249"/>
        <v>5424.3</v>
      </c>
      <c r="N1971" s="1">
        <f t="shared" ca="1" si="246"/>
        <v>6</v>
      </c>
      <c r="P1971" s="1">
        <v>42.595030562370084</v>
      </c>
      <c r="Q1971" s="1">
        <f t="shared" ca="1" si="247"/>
        <v>1</v>
      </c>
      <c r="R1971" s="1">
        <v>10.68997678681626</v>
      </c>
    </row>
    <row r="1972" spans="1:18" x14ac:dyDescent="0.3">
      <c r="A1972" s="26">
        <v>1971</v>
      </c>
      <c r="B1972" s="1">
        <v>23</v>
      </c>
      <c r="C1972" s="1">
        <f t="shared" si="243"/>
        <v>9</v>
      </c>
      <c r="D1972" s="21">
        <f t="shared" ca="1" si="242"/>
        <v>44566</v>
      </c>
      <c r="E1972" s="1" t="s">
        <v>26</v>
      </c>
      <c r="F1972" s="1" t="s">
        <v>2000</v>
      </c>
      <c r="G1972" s="1" t="s">
        <v>28</v>
      </c>
      <c r="H1972" s="1">
        <v>2070</v>
      </c>
      <c r="I1972" s="1">
        <f t="shared" si="244"/>
        <v>51</v>
      </c>
      <c r="J1972" s="1">
        <f>VLOOKUP(B1972,Cena!$A$2:$B$101,2)</f>
        <v>132</v>
      </c>
      <c r="K1972" s="1">
        <f t="shared" si="248"/>
        <v>6732</v>
      </c>
      <c r="L1972" s="1">
        <f t="shared" si="245"/>
        <v>1548.3600000000001</v>
      </c>
      <c r="M1972" s="22">
        <f t="shared" si="249"/>
        <v>8280.36</v>
      </c>
      <c r="N1972" s="1">
        <f t="shared" ca="1" si="246"/>
        <v>1</v>
      </c>
      <c r="P1972" s="1">
        <v>51.734849774948088</v>
      </c>
      <c r="Q1972" s="1">
        <f t="shared" ca="1" si="247"/>
        <v>2</v>
      </c>
      <c r="R1972" s="1">
        <v>9.1756624240224482</v>
      </c>
    </row>
    <row r="1973" spans="1:18" x14ac:dyDescent="0.3">
      <c r="A1973" s="26">
        <v>1972</v>
      </c>
      <c r="B1973" s="1">
        <v>9</v>
      </c>
      <c r="C1973" s="1">
        <f t="shared" si="243"/>
        <v>10</v>
      </c>
      <c r="D1973" s="21">
        <f t="shared" ca="1" si="242"/>
        <v>44665</v>
      </c>
      <c r="E1973" s="1" t="s">
        <v>26</v>
      </c>
      <c r="F1973" s="1" t="s">
        <v>2001</v>
      </c>
      <c r="G1973" s="1" t="s">
        <v>28</v>
      </c>
      <c r="H1973" s="1">
        <v>2071</v>
      </c>
      <c r="I1973" s="1">
        <f t="shared" si="244"/>
        <v>40</v>
      </c>
      <c r="J1973" s="1">
        <f>VLOOKUP(B1973,Cena!$A$2:$B$101,2)</f>
        <v>96</v>
      </c>
      <c r="K1973" s="1">
        <f t="shared" si="248"/>
        <v>3840</v>
      </c>
      <c r="L1973" s="1">
        <f t="shared" si="245"/>
        <v>883.2</v>
      </c>
      <c r="M1973" s="22">
        <f t="shared" si="249"/>
        <v>4723.2</v>
      </c>
      <c r="N1973" s="1">
        <f t="shared" ca="1" si="246"/>
        <v>4</v>
      </c>
      <c r="P1973" s="1">
        <v>40.838136909587774</v>
      </c>
      <c r="Q1973" s="1">
        <f t="shared" ca="1" si="247"/>
        <v>14</v>
      </c>
      <c r="R1973" s="1">
        <v>10.569934854866005</v>
      </c>
    </row>
    <row r="1974" spans="1:18" x14ac:dyDescent="0.3">
      <c r="A1974" s="26">
        <v>1973</v>
      </c>
      <c r="B1974" s="1">
        <v>26</v>
      </c>
      <c r="C1974" s="1">
        <f t="shared" si="243"/>
        <v>5</v>
      </c>
      <c r="D1974" s="21">
        <f t="shared" ca="1" si="242"/>
        <v>44840</v>
      </c>
      <c r="E1974" s="1" t="s">
        <v>26</v>
      </c>
      <c r="F1974" s="1" t="s">
        <v>2002</v>
      </c>
      <c r="G1974" s="1" t="s">
        <v>28</v>
      </c>
      <c r="H1974" s="1">
        <v>2072</v>
      </c>
      <c r="I1974" s="1">
        <f t="shared" si="244"/>
        <v>53</v>
      </c>
      <c r="J1974" s="1">
        <f>VLOOKUP(B1974,Cena!$A$2:$B$101,2)</f>
        <v>99</v>
      </c>
      <c r="K1974" s="1">
        <f t="shared" si="248"/>
        <v>5247</v>
      </c>
      <c r="L1974" s="1">
        <f t="shared" si="245"/>
        <v>1206.81</v>
      </c>
      <c r="M1974" s="22">
        <f t="shared" si="249"/>
        <v>6453.8099999999995</v>
      </c>
      <c r="N1974" s="1">
        <f t="shared" ca="1" si="246"/>
        <v>10</v>
      </c>
      <c r="P1974" s="1">
        <v>53.200580067641567</v>
      </c>
      <c r="Q1974" s="1">
        <f t="shared" ca="1" si="247"/>
        <v>10</v>
      </c>
      <c r="R1974" s="1">
        <v>5.6748752083512954</v>
      </c>
    </row>
    <row r="1975" spans="1:18" x14ac:dyDescent="0.3">
      <c r="A1975" s="26">
        <v>1974</v>
      </c>
      <c r="B1975" s="1">
        <v>24</v>
      </c>
      <c r="C1975" s="1">
        <f t="shared" si="243"/>
        <v>15</v>
      </c>
      <c r="D1975" s="21">
        <f t="shared" ca="1" si="242"/>
        <v>44703</v>
      </c>
      <c r="E1975" s="1" t="s">
        <v>26</v>
      </c>
      <c r="F1975" s="1" t="s">
        <v>2003</v>
      </c>
      <c r="G1975" s="1" t="s">
        <v>28</v>
      </c>
      <c r="H1975" s="1">
        <v>2073</v>
      </c>
      <c r="I1975" s="1">
        <f t="shared" si="244"/>
        <v>48</v>
      </c>
      <c r="J1975" s="1">
        <f>VLOOKUP(B1975,Cena!$A$2:$B$101,2)</f>
        <v>125</v>
      </c>
      <c r="K1975" s="1">
        <f t="shared" si="248"/>
        <v>6000</v>
      </c>
      <c r="L1975" s="1">
        <f t="shared" si="245"/>
        <v>1380</v>
      </c>
      <c r="M1975" s="22">
        <f t="shared" si="249"/>
        <v>7380</v>
      </c>
      <c r="N1975" s="1">
        <f t="shared" ca="1" si="246"/>
        <v>5</v>
      </c>
      <c r="P1975" s="1">
        <v>48.902728748362279</v>
      </c>
      <c r="Q1975" s="1">
        <f t="shared" ca="1" si="247"/>
        <v>28</v>
      </c>
      <c r="R1975" s="1">
        <v>15.043784767622128</v>
      </c>
    </row>
    <row r="1976" spans="1:18" x14ac:dyDescent="0.3">
      <c r="A1976" s="26">
        <v>1975</v>
      </c>
      <c r="B1976" s="1">
        <v>3</v>
      </c>
      <c r="C1976" s="1">
        <f t="shared" si="243"/>
        <v>13</v>
      </c>
      <c r="D1976" s="21">
        <f t="shared" ca="1" si="242"/>
        <v>44735</v>
      </c>
      <c r="E1976" s="1" t="s">
        <v>26</v>
      </c>
      <c r="F1976" s="1" t="s">
        <v>2004</v>
      </c>
      <c r="G1976" s="1" t="s">
        <v>28</v>
      </c>
      <c r="H1976" s="1">
        <v>2074</v>
      </c>
      <c r="I1976" s="1">
        <f t="shared" si="244"/>
        <v>66</v>
      </c>
      <c r="J1976" s="1">
        <f>VLOOKUP(B1976,Cena!$A$2:$B$101,2)</f>
        <v>89</v>
      </c>
      <c r="K1976" s="1">
        <f t="shared" si="248"/>
        <v>5874</v>
      </c>
      <c r="L1976" s="1">
        <f t="shared" si="245"/>
        <v>1351.02</v>
      </c>
      <c r="M1976" s="22">
        <f t="shared" si="249"/>
        <v>7225.02</v>
      </c>
      <c r="N1976" s="1">
        <f t="shared" ca="1" si="246"/>
        <v>6</v>
      </c>
      <c r="P1976" s="1">
        <v>66.431840776931494</v>
      </c>
      <c r="Q1976" s="1">
        <f t="shared" ca="1" si="247"/>
        <v>21</v>
      </c>
      <c r="R1976" s="1">
        <v>13.755349098355509</v>
      </c>
    </row>
    <row r="1977" spans="1:18" x14ac:dyDescent="0.3">
      <c r="A1977" s="26">
        <v>1976</v>
      </c>
      <c r="B1977" s="1">
        <v>16</v>
      </c>
      <c r="C1977" s="1">
        <f t="shared" si="243"/>
        <v>9</v>
      </c>
      <c r="D1977" s="21">
        <f t="shared" ca="1" si="242"/>
        <v>44737</v>
      </c>
      <c r="E1977" s="1" t="s">
        <v>26</v>
      </c>
      <c r="F1977" s="1" t="s">
        <v>2005</v>
      </c>
      <c r="G1977" s="1" t="s">
        <v>28</v>
      </c>
      <c r="H1977" s="1">
        <v>2075</v>
      </c>
      <c r="I1977" s="1">
        <f t="shared" si="244"/>
        <v>51</v>
      </c>
      <c r="J1977" s="1">
        <f>VLOOKUP(B1977,Cena!$A$2:$B$101,2)</f>
        <v>93</v>
      </c>
      <c r="K1977" s="1">
        <f t="shared" si="248"/>
        <v>4743</v>
      </c>
      <c r="L1977" s="1">
        <f t="shared" si="245"/>
        <v>1090.8900000000001</v>
      </c>
      <c r="M1977" s="22">
        <f t="shared" si="249"/>
        <v>5833.89</v>
      </c>
      <c r="N1977" s="1">
        <f t="shared" ca="1" si="246"/>
        <v>6</v>
      </c>
      <c r="P1977" s="1">
        <v>51.067269295162987</v>
      </c>
      <c r="Q1977" s="1">
        <f t="shared" ca="1" si="247"/>
        <v>27</v>
      </c>
      <c r="R1977" s="1">
        <v>9.1036247593001463</v>
      </c>
    </row>
    <row r="1978" spans="1:18" x14ac:dyDescent="0.3">
      <c r="A1978" s="26">
        <v>1977</v>
      </c>
      <c r="B1978" s="1">
        <v>12</v>
      </c>
      <c r="C1978" s="1">
        <f t="shared" si="243"/>
        <v>14</v>
      </c>
      <c r="D1978" s="21">
        <f t="shared" ca="1" si="242"/>
        <v>44906</v>
      </c>
      <c r="E1978" s="1" t="s">
        <v>26</v>
      </c>
      <c r="F1978" s="1" t="s">
        <v>2006</v>
      </c>
      <c r="G1978" s="1" t="s">
        <v>28</v>
      </c>
      <c r="H1978" s="1">
        <v>2076</v>
      </c>
      <c r="I1978" s="1">
        <f t="shared" si="244"/>
        <v>66</v>
      </c>
      <c r="J1978" s="1">
        <f>VLOOKUP(B1978,Cena!$A$2:$B$101,2)</f>
        <v>88</v>
      </c>
      <c r="K1978" s="1">
        <f t="shared" si="248"/>
        <v>5808</v>
      </c>
      <c r="L1978" s="1">
        <f t="shared" si="245"/>
        <v>1335.8400000000001</v>
      </c>
      <c r="M1978" s="22">
        <f t="shared" si="249"/>
        <v>7143.84</v>
      </c>
      <c r="N1978" s="1">
        <f t="shared" ca="1" si="246"/>
        <v>12</v>
      </c>
      <c r="P1978" s="1">
        <v>66.697231330908835</v>
      </c>
      <c r="Q1978" s="1">
        <f t="shared" ca="1" si="247"/>
        <v>16</v>
      </c>
      <c r="R1978" s="1">
        <v>14.038020051666535</v>
      </c>
    </row>
    <row r="1979" spans="1:18" x14ac:dyDescent="0.3">
      <c r="A1979" s="26">
        <v>1978</v>
      </c>
      <c r="B1979" s="1">
        <v>9</v>
      </c>
      <c r="C1979" s="1">
        <f t="shared" si="243"/>
        <v>12</v>
      </c>
      <c r="D1979" s="21">
        <f t="shared" ca="1" si="242"/>
        <v>44567</v>
      </c>
      <c r="E1979" s="1" t="s">
        <v>26</v>
      </c>
      <c r="F1979" s="1" t="s">
        <v>2007</v>
      </c>
      <c r="G1979" s="1" t="s">
        <v>28</v>
      </c>
      <c r="H1979" s="1">
        <v>2077</v>
      </c>
      <c r="I1979" s="1">
        <f t="shared" si="244"/>
        <v>48</v>
      </c>
      <c r="J1979" s="1">
        <f>VLOOKUP(B1979,Cena!$A$2:$B$101,2)</f>
        <v>96</v>
      </c>
      <c r="K1979" s="1">
        <f t="shared" si="248"/>
        <v>4608</v>
      </c>
      <c r="L1979" s="1">
        <f t="shared" si="245"/>
        <v>1059.8400000000001</v>
      </c>
      <c r="M1979" s="22">
        <f t="shared" si="249"/>
        <v>5667.84</v>
      </c>
      <c r="N1979" s="1">
        <f t="shared" ca="1" si="246"/>
        <v>1</v>
      </c>
      <c r="P1979" s="1">
        <v>48.369116838148329</v>
      </c>
      <c r="Q1979" s="1">
        <f t="shared" ca="1" si="247"/>
        <v>3</v>
      </c>
      <c r="R1979" s="1">
        <v>12.656787501109648</v>
      </c>
    </row>
    <row r="1980" spans="1:18" x14ac:dyDescent="0.3">
      <c r="A1980" s="26">
        <v>1979</v>
      </c>
      <c r="B1980" s="1">
        <v>6</v>
      </c>
      <c r="C1980" s="1">
        <f t="shared" si="243"/>
        <v>12</v>
      </c>
      <c r="D1980" s="21">
        <f t="shared" ca="1" si="242"/>
        <v>44801</v>
      </c>
      <c r="E1980" s="1" t="s">
        <v>26</v>
      </c>
      <c r="F1980" s="1" t="s">
        <v>2008</v>
      </c>
      <c r="G1980" s="1" t="s">
        <v>28</v>
      </c>
      <c r="H1980" s="1">
        <v>2078</v>
      </c>
      <c r="I1980" s="1">
        <f t="shared" si="244"/>
        <v>50</v>
      </c>
      <c r="J1980" s="1">
        <f>VLOOKUP(B1980,Cena!$A$2:$B$101,2)</f>
        <v>86</v>
      </c>
      <c r="K1980" s="1">
        <f t="shared" si="248"/>
        <v>4300</v>
      </c>
      <c r="L1980" s="1">
        <f t="shared" si="245"/>
        <v>989</v>
      </c>
      <c r="M1980" s="22">
        <f t="shared" si="249"/>
        <v>5289</v>
      </c>
      <c r="N1980" s="1">
        <f t="shared" ca="1" si="246"/>
        <v>8</v>
      </c>
      <c r="P1980" s="1">
        <v>50.459533566754544</v>
      </c>
      <c r="Q1980" s="1">
        <f t="shared" ca="1" si="247"/>
        <v>21</v>
      </c>
      <c r="R1980" s="1">
        <v>12.211299943155609</v>
      </c>
    </row>
    <row r="1981" spans="1:18" x14ac:dyDescent="0.3">
      <c r="A1981" s="26">
        <v>1980</v>
      </c>
      <c r="B1981" s="1">
        <v>4</v>
      </c>
      <c r="C1981" s="1">
        <f t="shared" si="243"/>
        <v>8</v>
      </c>
      <c r="D1981" s="21">
        <f t="shared" ca="1" si="242"/>
        <v>44799</v>
      </c>
      <c r="E1981" s="1" t="s">
        <v>26</v>
      </c>
      <c r="F1981" s="1" t="s">
        <v>2009</v>
      </c>
      <c r="G1981" s="1" t="s">
        <v>28</v>
      </c>
      <c r="H1981" s="1">
        <v>2079</v>
      </c>
      <c r="I1981" s="1">
        <f t="shared" si="244"/>
        <v>40</v>
      </c>
      <c r="J1981" s="1">
        <f>VLOOKUP(B1981,Cena!$A$2:$B$101,2)</f>
        <v>99</v>
      </c>
      <c r="K1981" s="1">
        <f t="shared" si="248"/>
        <v>3960</v>
      </c>
      <c r="L1981" s="1">
        <f t="shared" si="245"/>
        <v>910.80000000000007</v>
      </c>
      <c r="M1981" s="22">
        <f t="shared" si="249"/>
        <v>4870.8</v>
      </c>
      <c r="N1981" s="1">
        <f t="shared" ca="1" si="246"/>
        <v>8</v>
      </c>
      <c r="P1981" s="1">
        <v>40.328024068730883</v>
      </c>
      <c r="Q1981" s="1">
        <f t="shared" ca="1" si="247"/>
        <v>15</v>
      </c>
      <c r="R1981" s="1">
        <v>8.803707512706751</v>
      </c>
    </row>
    <row r="1982" spans="1:18" x14ac:dyDescent="0.3">
      <c r="A1982" s="26">
        <v>1981</v>
      </c>
      <c r="B1982" s="1">
        <v>12</v>
      </c>
      <c r="C1982" s="1">
        <f t="shared" si="243"/>
        <v>13</v>
      </c>
      <c r="D1982" s="21">
        <f t="shared" ca="1" si="242"/>
        <v>44749</v>
      </c>
      <c r="E1982" s="1" t="s">
        <v>26</v>
      </c>
      <c r="F1982" s="1" t="s">
        <v>2010</v>
      </c>
      <c r="G1982" s="1" t="s">
        <v>28</v>
      </c>
      <c r="H1982" s="1">
        <v>2080</v>
      </c>
      <c r="I1982" s="1">
        <f t="shared" si="244"/>
        <v>51</v>
      </c>
      <c r="J1982" s="1">
        <f>VLOOKUP(B1982,Cena!$A$2:$B$101,2)</f>
        <v>88</v>
      </c>
      <c r="K1982" s="1">
        <f t="shared" si="248"/>
        <v>4488</v>
      </c>
      <c r="L1982" s="1">
        <f t="shared" si="245"/>
        <v>1032.24</v>
      </c>
      <c r="M1982" s="22">
        <f t="shared" si="249"/>
        <v>5520.24</v>
      </c>
      <c r="N1982" s="1">
        <f t="shared" ca="1" si="246"/>
        <v>7</v>
      </c>
      <c r="P1982" s="1">
        <v>51.341595634585246</v>
      </c>
      <c r="Q1982" s="1">
        <f t="shared" ca="1" si="247"/>
        <v>24</v>
      </c>
      <c r="R1982" s="1">
        <v>13.581408236641437</v>
      </c>
    </row>
    <row r="1983" spans="1:18" x14ac:dyDescent="0.3">
      <c r="A1983" s="26">
        <v>1982</v>
      </c>
      <c r="B1983" s="1">
        <v>18</v>
      </c>
      <c r="C1983" s="1">
        <f t="shared" si="243"/>
        <v>10</v>
      </c>
      <c r="D1983" s="21">
        <f t="shared" ca="1" si="242"/>
        <v>44899</v>
      </c>
      <c r="E1983" s="1" t="s">
        <v>26</v>
      </c>
      <c r="F1983" s="1" t="s">
        <v>2011</v>
      </c>
      <c r="G1983" s="1" t="s">
        <v>28</v>
      </c>
      <c r="H1983" s="1">
        <v>2081</v>
      </c>
      <c r="I1983" s="1">
        <f t="shared" si="244"/>
        <v>59</v>
      </c>
      <c r="J1983" s="1">
        <f>VLOOKUP(B1983,Cena!$A$2:$B$101,2)</f>
        <v>90</v>
      </c>
      <c r="K1983" s="1">
        <f t="shared" si="248"/>
        <v>5310</v>
      </c>
      <c r="L1983" s="1">
        <f t="shared" si="245"/>
        <v>1221.3</v>
      </c>
      <c r="M1983" s="22">
        <f t="shared" si="249"/>
        <v>6531.3</v>
      </c>
      <c r="N1983" s="1">
        <f t="shared" ca="1" si="246"/>
        <v>12</v>
      </c>
      <c r="P1983" s="1">
        <v>59.275345291825943</v>
      </c>
      <c r="Q1983" s="1">
        <f t="shared" ca="1" si="247"/>
        <v>9</v>
      </c>
      <c r="R1983" s="1">
        <v>10.189226057045744</v>
      </c>
    </row>
    <row r="1984" spans="1:18" x14ac:dyDescent="0.3">
      <c r="A1984" s="26">
        <v>1983</v>
      </c>
      <c r="B1984" s="1">
        <v>23</v>
      </c>
      <c r="C1984" s="1">
        <f t="shared" si="243"/>
        <v>10</v>
      </c>
      <c r="D1984" s="21">
        <f t="shared" ca="1" si="242"/>
        <v>44807</v>
      </c>
      <c r="E1984" s="1" t="s">
        <v>26</v>
      </c>
      <c r="F1984" s="1" t="s">
        <v>2012</v>
      </c>
      <c r="G1984" s="1" t="s">
        <v>28</v>
      </c>
      <c r="H1984" s="1">
        <v>2082</v>
      </c>
      <c r="I1984" s="1">
        <f t="shared" si="244"/>
        <v>66</v>
      </c>
      <c r="J1984" s="1">
        <f>VLOOKUP(B1984,Cena!$A$2:$B$101,2)</f>
        <v>132</v>
      </c>
      <c r="K1984" s="1">
        <f t="shared" si="248"/>
        <v>8712</v>
      </c>
      <c r="L1984" s="1">
        <f t="shared" si="245"/>
        <v>2003.76</v>
      </c>
      <c r="M1984" s="22">
        <f t="shared" si="249"/>
        <v>10715.76</v>
      </c>
      <c r="N1984" s="1">
        <f t="shared" ca="1" si="246"/>
        <v>9</v>
      </c>
      <c r="P1984" s="1">
        <v>66.343938114005141</v>
      </c>
      <c r="Q1984" s="1">
        <f t="shared" ca="1" si="247"/>
        <v>8</v>
      </c>
      <c r="R1984" s="1">
        <v>10.283171175397001</v>
      </c>
    </row>
    <row r="1985" spans="1:18" x14ac:dyDescent="0.3">
      <c r="A1985" s="26">
        <v>1984</v>
      </c>
      <c r="B1985" s="1">
        <v>26</v>
      </c>
      <c r="C1985" s="1">
        <f t="shared" si="243"/>
        <v>7</v>
      </c>
      <c r="D1985" s="21">
        <f t="shared" ca="1" si="242"/>
        <v>44919</v>
      </c>
      <c r="E1985" s="1" t="s">
        <v>26</v>
      </c>
      <c r="F1985" s="1" t="s">
        <v>2013</v>
      </c>
      <c r="G1985" s="1" t="s">
        <v>28</v>
      </c>
      <c r="H1985" s="1">
        <v>2083</v>
      </c>
      <c r="I1985" s="1">
        <f t="shared" si="244"/>
        <v>52</v>
      </c>
      <c r="J1985" s="1">
        <f>VLOOKUP(B1985,Cena!$A$2:$B$101,2)</f>
        <v>99</v>
      </c>
      <c r="K1985" s="1">
        <f t="shared" si="248"/>
        <v>5148</v>
      </c>
      <c r="L1985" s="1">
        <f t="shared" si="245"/>
        <v>1184.04</v>
      </c>
      <c r="M1985" s="22">
        <f t="shared" si="249"/>
        <v>6332.04</v>
      </c>
      <c r="N1985" s="1">
        <f t="shared" ca="1" si="246"/>
        <v>12</v>
      </c>
      <c r="P1985" s="1">
        <v>52.377214514126536</v>
      </c>
      <c r="Q1985" s="1">
        <f t="shared" ca="1" si="247"/>
        <v>29</v>
      </c>
      <c r="R1985" s="1">
        <v>7.209943103371188</v>
      </c>
    </row>
    <row r="1986" spans="1:18" x14ac:dyDescent="0.3">
      <c r="A1986" s="26">
        <v>1985</v>
      </c>
      <c r="B1986" s="1">
        <v>11</v>
      </c>
      <c r="C1986" s="1">
        <f t="shared" si="243"/>
        <v>10</v>
      </c>
      <c r="D1986" s="21">
        <f t="shared" ref="D1986:D2049" ca="1" si="250">DATE(2022,RANDBETWEEN(1,12),RANDBETWEEN(1,28))</f>
        <v>44905</v>
      </c>
      <c r="E1986" s="1" t="s">
        <v>26</v>
      </c>
      <c r="F1986" s="1" t="s">
        <v>2014</v>
      </c>
      <c r="G1986" s="1" t="s">
        <v>28</v>
      </c>
      <c r="H1986" s="1">
        <v>2084</v>
      </c>
      <c r="I1986" s="1">
        <f t="shared" si="244"/>
        <v>52</v>
      </c>
      <c r="J1986" s="1">
        <f>VLOOKUP(B1986,Cena!$A$2:$B$101,2)</f>
        <v>83</v>
      </c>
      <c r="K1986" s="1">
        <f t="shared" si="248"/>
        <v>4316</v>
      </c>
      <c r="L1986" s="1">
        <f t="shared" si="245"/>
        <v>992.68000000000006</v>
      </c>
      <c r="M1986" s="22">
        <f t="shared" si="249"/>
        <v>5308.68</v>
      </c>
      <c r="N1986" s="1">
        <f t="shared" ca="1" si="246"/>
        <v>12</v>
      </c>
      <c r="P1986" s="1">
        <v>52.766262241493678</v>
      </c>
      <c r="Q1986" s="1">
        <f t="shared" ca="1" si="247"/>
        <v>2</v>
      </c>
      <c r="R1986" s="1">
        <v>10.493250240651832</v>
      </c>
    </row>
    <row r="1987" spans="1:18" x14ac:dyDescent="0.3">
      <c r="A1987" s="26">
        <v>1986</v>
      </c>
      <c r="B1987" s="1">
        <v>25</v>
      </c>
      <c r="C1987" s="1">
        <f t="shared" ref="C1987:C2050" si="251">INT(R1987)</f>
        <v>12</v>
      </c>
      <c r="D1987" s="21">
        <f t="shared" ca="1" si="250"/>
        <v>44869</v>
      </c>
      <c r="E1987" s="1" t="s">
        <v>26</v>
      </c>
      <c r="F1987" s="1" t="s">
        <v>2015</v>
      </c>
      <c r="G1987" s="1" t="s">
        <v>28</v>
      </c>
      <c r="H1987" s="1">
        <v>2085</v>
      </c>
      <c r="I1987" s="1">
        <f t="shared" ref="I1987:I2050" si="252">INT(P1987)</f>
        <v>40</v>
      </c>
      <c r="J1987" s="1">
        <f>VLOOKUP(B1987,Cena!$A$2:$B$101,2)</f>
        <v>108</v>
      </c>
      <c r="K1987" s="1">
        <f t="shared" si="248"/>
        <v>4320</v>
      </c>
      <c r="L1987" s="1">
        <f t="shared" ref="L1987:L2050" si="253">K1987*23%</f>
        <v>993.6</v>
      </c>
      <c r="M1987" s="22">
        <f t="shared" si="249"/>
        <v>5313.6</v>
      </c>
      <c r="N1987" s="1">
        <f t="shared" ref="N1987:N2050" ca="1" si="254">MONTH(D1987)</f>
        <v>11</v>
      </c>
      <c r="P1987" s="1">
        <v>40.141941452748142</v>
      </c>
      <c r="Q1987" s="1">
        <f t="shared" ref="Q1987:Q2050" ca="1" si="255">RANDBETWEEN(1,30)</f>
        <v>8</v>
      </c>
      <c r="R1987" s="1">
        <v>12.185964831369347</v>
      </c>
    </row>
    <row r="1988" spans="1:18" x14ac:dyDescent="0.3">
      <c r="A1988" s="26">
        <v>1987</v>
      </c>
      <c r="B1988" s="1">
        <v>23</v>
      </c>
      <c r="C1988" s="1">
        <f t="shared" si="251"/>
        <v>8</v>
      </c>
      <c r="D1988" s="21">
        <f t="shared" ca="1" si="250"/>
        <v>44902</v>
      </c>
      <c r="E1988" s="1" t="s">
        <v>26</v>
      </c>
      <c r="F1988" s="1" t="s">
        <v>2016</v>
      </c>
      <c r="G1988" s="1" t="s">
        <v>28</v>
      </c>
      <c r="H1988" s="1">
        <v>2086</v>
      </c>
      <c r="I1988" s="1">
        <f t="shared" si="252"/>
        <v>60</v>
      </c>
      <c r="J1988" s="1">
        <f>VLOOKUP(B1988,Cena!$A$2:$B$101,2)</f>
        <v>132</v>
      </c>
      <c r="K1988" s="1">
        <f t="shared" si="248"/>
        <v>7920</v>
      </c>
      <c r="L1988" s="1">
        <f t="shared" si="253"/>
        <v>1821.6000000000001</v>
      </c>
      <c r="M1988" s="22">
        <f t="shared" si="249"/>
        <v>9741.6</v>
      </c>
      <c r="N1988" s="1">
        <f t="shared" ca="1" si="254"/>
        <v>12</v>
      </c>
      <c r="P1988" s="1">
        <v>60.890516932704486</v>
      </c>
      <c r="Q1988" s="1">
        <f t="shared" ca="1" si="255"/>
        <v>30</v>
      </c>
      <c r="R1988" s="1">
        <v>8.951369661881472</v>
      </c>
    </row>
    <row r="1989" spans="1:18" x14ac:dyDescent="0.3">
      <c r="A1989" s="26">
        <v>1988</v>
      </c>
      <c r="B1989" s="1">
        <v>26</v>
      </c>
      <c r="C1989" s="1">
        <f t="shared" si="251"/>
        <v>12</v>
      </c>
      <c r="D1989" s="21">
        <f t="shared" ca="1" si="250"/>
        <v>44576</v>
      </c>
      <c r="E1989" s="1" t="s">
        <v>26</v>
      </c>
      <c r="F1989" s="1" t="s">
        <v>2017</v>
      </c>
      <c r="G1989" s="1" t="s">
        <v>28</v>
      </c>
      <c r="H1989" s="1">
        <v>2087</v>
      </c>
      <c r="I1989" s="1">
        <f t="shared" si="252"/>
        <v>55</v>
      </c>
      <c r="J1989" s="1">
        <f>VLOOKUP(B1989,Cena!$A$2:$B$101,2)</f>
        <v>99</v>
      </c>
      <c r="K1989" s="1">
        <f t="shared" si="248"/>
        <v>5445</v>
      </c>
      <c r="L1989" s="1">
        <f t="shared" si="253"/>
        <v>1252.3500000000001</v>
      </c>
      <c r="M1989" s="22">
        <f t="shared" si="249"/>
        <v>6697.35</v>
      </c>
      <c r="N1989" s="1">
        <f t="shared" ca="1" si="254"/>
        <v>1</v>
      </c>
      <c r="P1989" s="1">
        <v>55.928222890361212</v>
      </c>
      <c r="Q1989" s="1">
        <f t="shared" ca="1" si="255"/>
        <v>2</v>
      </c>
      <c r="R1989" s="1">
        <v>12.174215296690818</v>
      </c>
    </row>
    <row r="1990" spans="1:18" x14ac:dyDescent="0.3">
      <c r="A1990" s="26">
        <v>1989</v>
      </c>
      <c r="B1990" s="1">
        <v>24</v>
      </c>
      <c r="C1990" s="1">
        <f t="shared" si="251"/>
        <v>10</v>
      </c>
      <c r="D1990" s="21">
        <f t="shared" ca="1" si="250"/>
        <v>44755</v>
      </c>
      <c r="E1990" s="1" t="s">
        <v>26</v>
      </c>
      <c r="F1990" s="1" t="s">
        <v>2018</v>
      </c>
      <c r="G1990" s="1" t="s">
        <v>28</v>
      </c>
      <c r="H1990" s="1">
        <v>2088</v>
      </c>
      <c r="I1990" s="1">
        <f t="shared" si="252"/>
        <v>53</v>
      </c>
      <c r="J1990" s="1">
        <f>VLOOKUP(B1990,Cena!$A$2:$B$101,2)</f>
        <v>125</v>
      </c>
      <c r="K1990" s="1">
        <f t="shared" si="248"/>
        <v>6625</v>
      </c>
      <c r="L1990" s="1">
        <f t="shared" si="253"/>
        <v>1523.75</v>
      </c>
      <c r="M1990" s="22">
        <f t="shared" si="249"/>
        <v>8148.75</v>
      </c>
      <c r="N1990" s="1">
        <f t="shared" ca="1" si="254"/>
        <v>7</v>
      </c>
      <c r="P1990" s="1">
        <v>53.612433374655666</v>
      </c>
      <c r="Q1990" s="1">
        <f t="shared" ca="1" si="255"/>
        <v>19</v>
      </c>
      <c r="R1990" s="1">
        <v>10.475128558719007</v>
      </c>
    </row>
    <row r="1991" spans="1:18" x14ac:dyDescent="0.3">
      <c r="A1991" s="26">
        <v>1990</v>
      </c>
      <c r="B1991" s="1">
        <v>26</v>
      </c>
      <c r="C1991" s="1">
        <f t="shared" si="251"/>
        <v>7</v>
      </c>
      <c r="D1991" s="21">
        <f t="shared" ca="1" si="250"/>
        <v>44602</v>
      </c>
      <c r="E1991" s="1" t="s">
        <v>26</v>
      </c>
      <c r="F1991" s="1" t="s">
        <v>2019</v>
      </c>
      <c r="G1991" s="1" t="s">
        <v>28</v>
      </c>
      <c r="H1991" s="1">
        <v>2089</v>
      </c>
      <c r="I1991" s="1">
        <f t="shared" si="252"/>
        <v>56</v>
      </c>
      <c r="J1991" s="1">
        <f>VLOOKUP(B1991,Cena!$A$2:$B$101,2)</f>
        <v>99</v>
      </c>
      <c r="K1991" s="1">
        <f t="shared" si="248"/>
        <v>5544</v>
      </c>
      <c r="L1991" s="1">
        <f t="shared" si="253"/>
        <v>1275.1200000000001</v>
      </c>
      <c r="M1991" s="22">
        <f t="shared" si="249"/>
        <v>6819.12</v>
      </c>
      <c r="N1991" s="1">
        <f t="shared" ca="1" si="254"/>
        <v>2</v>
      </c>
      <c r="P1991" s="1">
        <v>56.104232852521818</v>
      </c>
      <c r="Q1991" s="1">
        <f t="shared" ca="1" si="255"/>
        <v>1</v>
      </c>
      <c r="R1991" s="1">
        <v>7.9088897816836834</v>
      </c>
    </row>
    <row r="1992" spans="1:18" x14ac:dyDescent="0.3">
      <c r="A1992" s="26">
        <v>1991</v>
      </c>
      <c r="B1992" s="1">
        <v>12</v>
      </c>
      <c r="C1992" s="1">
        <f t="shared" si="251"/>
        <v>10</v>
      </c>
      <c r="D1992" s="21">
        <f t="shared" ca="1" si="250"/>
        <v>44566</v>
      </c>
      <c r="E1992" s="1" t="s">
        <v>26</v>
      </c>
      <c r="F1992" s="1" t="s">
        <v>2020</v>
      </c>
      <c r="G1992" s="1" t="s">
        <v>28</v>
      </c>
      <c r="H1992" s="1">
        <v>2090</v>
      </c>
      <c r="I1992" s="1">
        <f t="shared" si="252"/>
        <v>47</v>
      </c>
      <c r="J1992" s="1">
        <f>VLOOKUP(B1992,Cena!$A$2:$B$101,2)</f>
        <v>88</v>
      </c>
      <c r="K1992" s="1">
        <f t="shared" si="248"/>
        <v>4136</v>
      </c>
      <c r="L1992" s="1">
        <f t="shared" si="253"/>
        <v>951.28000000000009</v>
      </c>
      <c r="M1992" s="22">
        <f t="shared" si="249"/>
        <v>5087.28</v>
      </c>
      <c r="N1992" s="1">
        <f t="shared" ca="1" si="254"/>
        <v>1</v>
      </c>
      <c r="P1992" s="1">
        <v>47.450890987238381</v>
      </c>
      <c r="Q1992" s="1">
        <f t="shared" ca="1" si="255"/>
        <v>27</v>
      </c>
      <c r="R1992" s="1">
        <v>10.918231535251834</v>
      </c>
    </row>
    <row r="1993" spans="1:18" x14ac:dyDescent="0.3">
      <c r="A1993" s="26">
        <v>1992</v>
      </c>
      <c r="B1993" s="1">
        <v>9</v>
      </c>
      <c r="C1993" s="1">
        <f t="shared" si="251"/>
        <v>10</v>
      </c>
      <c r="D1993" s="21">
        <f t="shared" ca="1" si="250"/>
        <v>44921</v>
      </c>
      <c r="E1993" s="1" t="s">
        <v>26</v>
      </c>
      <c r="F1993" s="1" t="s">
        <v>2021</v>
      </c>
      <c r="G1993" s="1" t="s">
        <v>28</v>
      </c>
      <c r="H1993" s="1">
        <v>2091</v>
      </c>
      <c r="I1993" s="1">
        <f t="shared" si="252"/>
        <v>55</v>
      </c>
      <c r="J1993" s="1">
        <f>VLOOKUP(B1993,Cena!$A$2:$B$101,2)</f>
        <v>96</v>
      </c>
      <c r="K1993" s="1">
        <f t="shared" si="248"/>
        <v>5280</v>
      </c>
      <c r="L1993" s="1">
        <f t="shared" si="253"/>
        <v>1214.4000000000001</v>
      </c>
      <c r="M1993" s="22">
        <f t="shared" si="249"/>
        <v>6494.4</v>
      </c>
      <c r="N1993" s="1">
        <f t="shared" ca="1" si="254"/>
        <v>12</v>
      </c>
      <c r="P1993" s="1">
        <v>55.513743417395744</v>
      </c>
      <c r="Q1993" s="1">
        <f t="shared" ca="1" si="255"/>
        <v>6</v>
      </c>
      <c r="R1993" s="1">
        <v>10.230107843890437</v>
      </c>
    </row>
    <row r="1994" spans="1:18" x14ac:dyDescent="0.3">
      <c r="A1994" s="26">
        <v>1993</v>
      </c>
      <c r="B1994" s="1">
        <v>16</v>
      </c>
      <c r="C1994" s="1">
        <f t="shared" si="251"/>
        <v>7</v>
      </c>
      <c r="D1994" s="21">
        <f t="shared" ca="1" si="250"/>
        <v>44907</v>
      </c>
      <c r="E1994" s="1" t="s">
        <v>26</v>
      </c>
      <c r="F1994" s="1" t="s">
        <v>2022</v>
      </c>
      <c r="G1994" s="1" t="s">
        <v>28</v>
      </c>
      <c r="H1994" s="1">
        <v>2092</v>
      </c>
      <c r="I1994" s="1">
        <f t="shared" si="252"/>
        <v>65</v>
      </c>
      <c r="J1994" s="1">
        <f>VLOOKUP(B1994,Cena!$A$2:$B$101,2)</f>
        <v>93</v>
      </c>
      <c r="K1994" s="1">
        <f t="shared" si="248"/>
        <v>6045</v>
      </c>
      <c r="L1994" s="1">
        <f t="shared" si="253"/>
        <v>1390.3500000000001</v>
      </c>
      <c r="M1994" s="22">
        <f t="shared" si="249"/>
        <v>7435.35</v>
      </c>
      <c r="N1994" s="1">
        <f t="shared" ca="1" si="254"/>
        <v>12</v>
      </c>
      <c r="P1994" s="1">
        <v>65.941441233735532</v>
      </c>
      <c r="Q1994" s="1">
        <f t="shared" ca="1" si="255"/>
        <v>2</v>
      </c>
      <c r="R1994" s="1">
        <v>7.5364175952563528</v>
      </c>
    </row>
    <row r="1995" spans="1:18" x14ac:dyDescent="0.3">
      <c r="A1995" s="26">
        <v>1994</v>
      </c>
      <c r="B1995" s="1">
        <v>1</v>
      </c>
      <c r="C1995" s="1">
        <f t="shared" si="251"/>
        <v>15</v>
      </c>
      <c r="D1995" s="21">
        <f t="shared" ca="1" si="250"/>
        <v>44914</v>
      </c>
      <c r="E1995" s="1" t="s">
        <v>26</v>
      </c>
      <c r="F1995" s="1" t="s">
        <v>2023</v>
      </c>
      <c r="G1995" s="1" t="s">
        <v>28</v>
      </c>
      <c r="H1995" s="1">
        <v>2093</v>
      </c>
      <c r="I1995" s="1">
        <f t="shared" si="252"/>
        <v>61</v>
      </c>
      <c r="J1995" s="1">
        <f>VLOOKUP(B1995,Cena!$A$2:$B$101,2)</f>
        <v>84</v>
      </c>
      <c r="K1995" s="1">
        <f t="shared" si="248"/>
        <v>5124</v>
      </c>
      <c r="L1995" s="1">
        <f t="shared" si="253"/>
        <v>1178.52</v>
      </c>
      <c r="M1995" s="22">
        <f t="shared" si="249"/>
        <v>6302.52</v>
      </c>
      <c r="N1995" s="1">
        <f t="shared" ca="1" si="254"/>
        <v>12</v>
      </c>
      <c r="P1995" s="1">
        <v>61.013139555871021</v>
      </c>
      <c r="Q1995" s="1">
        <f t="shared" ca="1" si="255"/>
        <v>29</v>
      </c>
      <c r="R1995" s="1">
        <v>15.202991815167479</v>
      </c>
    </row>
    <row r="1996" spans="1:18" x14ac:dyDescent="0.3">
      <c r="A1996" s="26">
        <v>1995</v>
      </c>
      <c r="B1996" s="1">
        <v>1</v>
      </c>
      <c r="C1996" s="1">
        <f t="shared" si="251"/>
        <v>6</v>
      </c>
      <c r="D1996" s="21">
        <f t="shared" ca="1" si="250"/>
        <v>44902</v>
      </c>
      <c r="E1996" s="1" t="s">
        <v>26</v>
      </c>
      <c r="F1996" s="1" t="s">
        <v>2024</v>
      </c>
      <c r="G1996" s="1" t="s">
        <v>28</v>
      </c>
      <c r="H1996" s="1">
        <v>2094</v>
      </c>
      <c r="I1996" s="1">
        <f t="shared" si="252"/>
        <v>46</v>
      </c>
      <c r="J1996" s="1">
        <f>VLOOKUP(B1996,Cena!$A$2:$B$101,2)</f>
        <v>84</v>
      </c>
      <c r="K1996" s="1">
        <f t="shared" si="248"/>
        <v>3864</v>
      </c>
      <c r="L1996" s="1">
        <f t="shared" si="253"/>
        <v>888.72</v>
      </c>
      <c r="M1996" s="22">
        <f t="shared" si="249"/>
        <v>4752.72</v>
      </c>
      <c r="N1996" s="1">
        <f t="shared" ca="1" si="254"/>
        <v>12</v>
      </c>
      <c r="P1996" s="1">
        <v>46.556903170130681</v>
      </c>
      <c r="Q1996" s="1">
        <f t="shared" ca="1" si="255"/>
        <v>5</v>
      </c>
      <c r="R1996" s="1">
        <v>6.7752728480263613</v>
      </c>
    </row>
    <row r="1997" spans="1:18" x14ac:dyDescent="0.3">
      <c r="A1997" s="26">
        <v>1996</v>
      </c>
      <c r="B1997" s="1">
        <v>6</v>
      </c>
      <c r="C1997" s="1">
        <f t="shared" si="251"/>
        <v>10</v>
      </c>
      <c r="D1997" s="21">
        <f t="shared" ca="1" si="250"/>
        <v>44716</v>
      </c>
      <c r="E1997" s="1" t="s">
        <v>26</v>
      </c>
      <c r="F1997" s="1" t="s">
        <v>2025</v>
      </c>
      <c r="G1997" s="1" t="s">
        <v>28</v>
      </c>
      <c r="H1997" s="1">
        <v>2095</v>
      </c>
      <c r="I1997" s="1">
        <f t="shared" si="252"/>
        <v>40</v>
      </c>
      <c r="J1997" s="1">
        <f>VLOOKUP(B1997,Cena!$A$2:$B$101,2)</f>
        <v>86</v>
      </c>
      <c r="K1997" s="1">
        <f t="shared" si="248"/>
        <v>3440</v>
      </c>
      <c r="L1997" s="1">
        <f t="shared" si="253"/>
        <v>791.2</v>
      </c>
      <c r="M1997" s="22">
        <f t="shared" si="249"/>
        <v>4231.2</v>
      </c>
      <c r="N1997" s="1">
        <f t="shared" ca="1" si="254"/>
        <v>6</v>
      </c>
      <c r="P1997" s="1">
        <v>40.291325957514346</v>
      </c>
      <c r="Q1997" s="1">
        <f t="shared" ca="1" si="255"/>
        <v>26</v>
      </c>
      <c r="R1997" s="1">
        <v>10.241632847064466</v>
      </c>
    </row>
    <row r="1998" spans="1:18" x14ac:dyDescent="0.3">
      <c r="A1998" s="26">
        <v>1997</v>
      </c>
      <c r="B1998" s="1">
        <v>30</v>
      </c>
      <c r="C1998" s="1">
        <f t="shared" si="251"/>
        <v>12</v>
      </c>
      <c r="D1998" s="21">
        <f t="shared" ca="1" si="250"/>
        <v>44785</v>
      </c>
      <c r="E1998" s="1" t="s">
        <v>26</v>
      </c>
      <c r="F1998" s="1" t="s">
        <v>2026</v>
      </c>
      <c r="G1998" s="1" t="s">
        <v>28</v>
      </c>
      <c r="H1998" s="1">
        <v>2096</v>
      </c>
      <c r="I1998" s="1">
        <f t="shared" si="252"/>
        <v>37</v>
      </c>
      <c r="J1998" s="1">
        <f>VLOOKUP(B1998,Cena!$A$2:$B$101,2)</f>
        <v>87</v>
      </c>
      <c r="K1998" s="1">
        <f t="shared" si="248"/>
        <v>3219</v>
      </c>
      <c r="L1998" s="1">
        <f t="shared" si="253"/>
        <v>740.37</v>
      </c>
      <c r="M1998" s="22">
        <f t="shared" si="249"/>
        <v>3959.37</v>
      </c>
      <c r="N1998" s="1">
        <f t="shared" ca="1" si="254"/>
        <v>8</v>
      </c>
      <c r="P1998" s="1">
        <v>37.179785421176348</v>
      </c>
      <c r="Q1998" s="1">
        <f t="shared" ca="1" si="255"/>
        <v>28</v>
      </c>
      <c r="R1998" s="1">
        <v>12.085960204567527</v>
      </c>
    </row>
    <row r="1999" spans="1:18" x14ac:dyDescent="0.3">
      <c r="A1999" s="26">
        <v>1998</v>
      </c>
      <c r="B1999" s="1">
        <v>19</v>
      </c>
      <c r="C1999" s="1">
        <f t="shared" si="251"/>
        <v>13</v>
      </c>
      <c r="D1999" s="21">
        <f t="shared" ca="1" si="250"/>
        <v>44753</v>
      </c>
      <c r="E1999" s="1" t="s">
        <v>26</v>
      </c>
      <c r="F1999" s="1" t="s">
        <v>2027</v>
      </c>
      <c r="G1999" s="1" t="s">
        <v>28</v>
      </c>
      <c r="H1999" s="1">
        <v>2097</v>
      </c>
      <c r="I1999" s="1">
        <f t="shared" si="252"/>
        <v>34</v>
      </c>
      <c r="J1999" s="1">
        <f>VLOOKUP(B1999,Cena!$A$2:$B$101,2)</f>
        <v>84</v>
      </c>
      <c r="K1999" s="1">
        <f t="shared" si="248"/>
        <v>2856</v>
      </c>
      <c r="L1999" s="1">
        <f t="shared" si="253"/>
        <v>656.88</v>
      </c>
      <c r="M1999" s="22">
        <f t="shared" si="249"/>
        <v>3512.88</v>
      </c>
      <c r="N1999" s="1">
        <f t="shared" ca="1" si="254"/>
        <v>7</v>
      </c>
      <c r="P1999" s="1">
        <v>34.434271027566865</v>
      </c>
      <c r="Q1999" s="1">
        <f t="shared" ca="1" si="255"/>
        <v>12</v>
      </c>
      <c r="R1999" s="1">
        <v>13.478805865597678</v>
      </c>
    </row>
    <row r="2000" spans="1:18" x14ac:dyDescent="0.3">
      <c r="A2000" s="26">
        <v>1999</v>
      </c>
      <c r="B2000" s="1">
        <v>12</v>
      </c>
      <c r="C2000" s="1">
        <f t="shared" si="251"/>
        <v>9</v>
      </c>
      <c r="D2000" s="21">
        <f t="shared" ca="1" si="250"/>
        <v>44581</v>
      </c>
      <c r="E2000" s="1" t="s">
        <v>26</v>
      </c>
      <c r="F2000" s="1" t="s">
        <v>2028</v>
      </c>
      <c r="G2000" s="1" t="s">
        <v>28</v>
      </c>
      <c r="H2000" s="1">
        <v>2098</v>
      </c>
      <c r="I2000" s="1">
        <f t="shared" si="252"/>
        <v>36</v>
      </c>
      <c r="J2000" s="1">
        <f>VLOOKUP(B2000,Cena!$A$2:$B$101,2)</f>
        <v>88</v>
      </c>
      <c r="K2000" s="1">
        <f t="shared" si="248"/>
        <v>3168</v>
      </c>
      <c r="L2000" s="1">
        <f t="shared" si="253"/>
        <v>728.64</v>
      </c>
      <c r="M2000" s="22">
        <f t="shared" si="249"/>
        <v>3896.64</v>
      </c>
      <c r="N2000" s="1">
        <f t="shared" ca="1" si="254"/>
        <v>1</v>
      </c>
      <c r="P2000" s="1">
        <v>36.376906235818751</v>
      </c>
      <c r="Q2000" s="1">
        <f t="shared" ca="1" si="255"/>
        <v>17</v>
      </c>
      <c r="R2000" s="1">
        <v>9.7114400684949942</v>
      </c>
    </row>
    <row r="2001" spans="1:18" x14ac:dyDescent="0.3">
      <c r="A2001" s="26">
        <v>2000</v>
      </c>
      <c r="B2001" s="1">
        <v>1</v>
      </c>
      <c r="C2001" s="1">
        <f t="shared" si="251"/>
        <v>12</v>
      </c>
      <c r="D2001" s="21">
        <f t="shared" ca="1" si="250"/>
        <v>44720</v>
      </c>
      <c r="E2001" s="1" t="s">
        <v>26</v>
      </c>
      <c r="F2001" s="1" t="s">
        <v>2029</v>
      </c>
      <c r="G2001" s="1" t="s">
        <v>28</v>
      </c>
      <c r="H2001" s="1">
        <v>2099</v>
      </c>
      <c r="I2001" s="1">
        <f t="shared" si="252"/>
        <v>41</v>
      </c>
      <c r="J2001" s="1">
        <f>VLOOKUP(B2001,Cena!$A$2:$B$101,2)</f>
        <v>84</v>
      </c>
      <c r="K2001" s="1">
        <f t="shared" si="248"/>
        <v>3444</v>
      </c>
      <c r="L2001" s="1">
        <f t="shared" si="253"/>
        <v>792.12</v>
      </c>
      <c r="M2001" s="22">
        <f t="shared" si="249"/>
        <v>4236.12</v>
      </c>
      <c r="N2001" s="1">
        <f t="shared" ca="1" si="254"/>
        <v>6</v>
      </c>
      <c r="P2001" s="1">
        <v>41.883714756113477</v>
      </c>
      <c r="Q2001" s="1">
        <f t="shared" ca="1" si="255"/>
        <v>25</v>
      </c>
      <c r="R2001" s="1">
        <v>12.982972091558622</v>
      </c>
    </row>
    <row r="2002" spans="1:18" x14ac:dyDescent="0.3">
      <c r="A2002" s="26">
        <v>2001</v>
      </c>
      <c r="B2002" s="1">
        <v>14</v>
      </c>
      <c r="C2002" s="1">
        <f t="shared" si="251"/>
        <v>12</v>
      </c>
      <c r="D2002" s="21">
        <f t="shared" ca="1" si="250"/>
        <v>44624</v>
      </c>
      <c r="E2002" s="1" t="s">
        <v>26</v>
      </c>
      <c r="F2002" s="1" t="s">
        <v>2030</v>
      </c>
      <c r="G2002" s="1" t="s">
        <v>28</v>
      </c>
      <c r="H2002" s="1">
        <v>2100</v>
      </c>
      <c r="I2002" s="1">
        <f t="shared" si="252"/>
        <v>69</v>
      </c>
      <c r="J2002" s="1">
        <f>VLOOKUP(B2002,Cena!$A$2:$B$101,2)</f>
        <v>129</v>
      </c>
      <c r="K2002" s="1">
        <f t="shared" si="248"/>
        <v>8901</v>
      </c>
      <c r="L2002" s="1">
        <f t="shared" si="253"/>
        <v>2047.23</v>
      </c>
      <c r="M2002" s="22">
        <f t="shared" si="249"/>
        <v>10948.23</v>
      </c>
      <c r="N2002" s="1">
        <f t="shared" ca="1" si="254"/>
        <v>3</v>
      </c>
      <c r="P2002" s="1">
        <v>69.093658920610324</v>
      </c>
      <c r="Q2002" s="1">
        <f t="shared" ca="1" si="255"/>
        <v>24</v>
      </c>
      <c r="R2002" s="1">
        <v>12.133191401298973</v>
      </c>
    </row>
    <row r="2003" spans="1:18" x14ac:dyDescent="0.3">
      <c r="A2003" s="26">
        <v>2002</v>
      </c>
      <c r="B2003" s="1">
        <v>7</v>
      </c>
      <c r="C2003" s="1">
        <f t="shared" si="251"/>
        <v>14</v>
      </c>
      <c r="D2003" s="21">
        <f t="shared" ca="1" si="250"/>
        <v>44688</v>
      </c>
      <c r="E2003" s="1" t="s">
        <v>26</v>
      </c>
      <c r="F2003" s="1" t="s">
        <v>2031</v>
      </c>
      <c r="G2003" s="1" t="s">
        <v>28</v>
      </c>
      <c r="H2003" s="1">
        <v>2101</v>
      </c>
      <c r="I2003" s="1">
        <f t="shared" si="252"/>
        <v>52</v>
      </c>
      <c r="J2003" s="1">
        <f>VLOOKUP(B2003,Cena!$A$2:$B$101,2)</f>
        <v>104</v>
      </c>
      <c r="K2003" s="1">
        <f t="shared" si="248"/>
        <v>5408</v>
      </c>
      <c r="L2003" s="1">
        <f t="shared" si="253"/>
        <v>1243.8400000000001</v>
      </c>
      <c r="M2003" s="22">
        <f t="shared" si="249"/>
        <v>6651.84</v>
      </c>
      <c r="N2003" s="1">
        <f t="shared" ca="1" si="254"/>
        <v>5</v>
      </c>
      <c r="P2003" s="1">
        <v>52.186413894378347</v>
      </c>
      <c r="Q2003" s="1">
        <f t="shared" ca="1" si="255"/>
        <v>15</v>
      </c>
      <c r="R2003" s="1">
        <v>14.221305971441325</v>
      </c>
    </row>
    <row r="2004" spans="1:18" x14ac:dyDescent="0.3">
      <c r="A2004" s="26">
        <v>2003</v>
      </c>
      <c r="B2004" s="1">
        <v>14</v>
      </c>
      <c r="C2004" s="1">
        <f t="shared" si="251"/>
        <v>11</v>
      </c>
      <c r="D2004" s="21">
        <f t="shared" ca="1" si="250"/>
        <v>44571</v>
      </c>
      <c r="E2004" s="1" t="s">
        <v>26</v>
      </c>
      <c r="F2004" s="1" t="s">
        <v>2032</v>
      </c>
      <c r="G2004" s="1" t="s">
        <v>28</v>
      </c>
      <c r="H2004" s="1">
        <v>2102</v>
      </c>
      <c r="I2004" s="1">
        <f t="shared" si="252"/>
        <v>53</v>
      </c>
      <c r="J2004" s="1">
        <f>VLOOKUP(B2004,Cena!$A$2:$B$101,2)</f>
        <v>129</v>
      </c>
      <c r="K2004" s="1">
        <f t="shared" si="248"/>
        <v>6837</v>
      </c>
      <c r="L2004" s="1">
        <f t="shared" si="253"/>
        <v>1572.51</v>
      </c>
      <c r="M2004" s="22">
        <f t="shared" si="249"/>
        <v>8409.51</v>
      </c>
      <c r="N2004" s="1">
        <f t="shared" ca="1" si="254"/>
        <v>1</v>
      </c>
      <c r="P2004" s="1">
        <v>53.874185949825915</v>
      </c>
      <c r="Q2004" s="1">
        <f t="shared" ca="1" si="255"/>
        <v>22</v>
      </c>
      <c r="R2004" s="1">
        <v>11.078149125532946</v>
      </c>
    </row>
    <row r="2005" spans="1:18" x14ac:dyDescent="0.3">
      <c r="A2005" s="26">
        <v>2004</v>
      </c>
      <c r="B2005" s="1">
        <v>29</v>
      </c>
      <c r="C2005" s="1">
        <f t="shared" si="251"/>
        <v>12</v>
      </c>
      <c r="D2005" s="21">
        <f t="shared" ca="1" si="250"/>
        <v>44684</v>
      </c>
      <c r="E2005" s="1" t="s">
        <v>26</v>
      </c>
      <c r="F2005" s="1" t="s">
        <v>2033</v>
      </c>
      <c r="G2005" s="1" t="s">
        <v>28</v>
      </c>
      <c r="H2005" s="1">
        <v>2103</v>
      </c>
      <c r="I2005" s="1">
        <f t="shared" si="252"/>
        <v>46</v>
      </c>
      <c r="J2005" s="1">
        <f>VLOOKUP(B2005,Cena!$A$2:$B$101,2)</f>
        <v>105</v>
      </c>
      <c r="K2005" s="1">
        <f t="shared" si="248"/>
        <v>4830</v>
      </c>
      <c r="L2005" s="1">
        <f t="shared" si="253"/>
        <v>1110.9000000000001</v>
      </c>
      <c r="M2005" s="22">
        <f t="shared" si="249"/>
        <v>5940.9</v>
      </c>
      <c r="N2005" s="1">
        <f t="shared" ca="1" si="254"/>
        <v>5</v>
      </c>
      <c r="P2005" s="1">
        <v>46.56988620699849</v>
      </c>
      <c r="Q2005" s="1">
        <f t="shared" ca="1" si="255"/>
        <v>2</v>
      </c>
      <c r="R2005" s="1">
        <v>12.526519438106334</v>
      </c>
    </row>
    <row r="2006" spans="1:18" x14ac:dyDescent="0.3">
      <c r="A2006" s="26">
        <v>2005</v>
      </c>
      <c r="B2006" s="1">
        <v>17</v>
      </c>
      <c r="C2006" s="1">
        <f t="shared" si="251"/>
        <v>9</v>
      </c>
      <c r="D2006" s="21">
        <f t="shared" ca="1" si="250"/>
        <v>44826</v>
      </c>
      <c r="E2006" s="1" t="s">
        <v>26</v>
      </c>
      <c r="F2006" s="1" t="s">
        <v>2034</v>
      </c>
      <c r="G2006" s="1" t="s">
        <v>28</v>
      </c>
      <c r="H2006" s="1">
        <v>2104</v>
      </c>
      <c r="I2006" s="1">
        <f t="shared" si="252"/>
        <v>37</v>
      </c>
      <c r="J2006" s="1">
        <f>VLOOKUP(B2006,Cena!$A$2:$B$101,2)</f>
        <v>84</v>
      </c>
      <c r="K2006" s="1">
        <f t="shared" si="248"/>
        <v>3108</v>
      </c>
      <c r="L2006" s="1">
        <f t="shared" si="253"/>
        <v>714.84</v>
      </c>
      <c r="M2006" s="22">
        <f t="shared" si="249"/>
        <v>3822.84</v>
      </c>
      <c r="N2006" s="1">
        <f t="shared" ca="1" si="254"/>
        <v>9</v>
      </c>
      <c r="P2006" s="1">
        <v>37.212777341483161</v>
      </c>
      <c r="Q2006" s="1">
        <f t="shared" ca="1" si="255"/>
        <v>18</v>
      </c>
      <c r="R2006" s="1">
        <v>9.5781251982407412</v>
      </c>
    </row>
    <row r="2007" spans="1:18" x14ac:dyDescent="0.3">
      <c r="A2007" s="26">
        <v>2006</v>
      </c>
      <c r="B2007" s="1">
        <v>9</v>
      </c>
      <c r="C2007" s="1">
        <f t="shared" si="251"/>
        <v>10</v>
      </c>
      <c r="D2007" s="21">
        <f t="shared" ca="1" si="250"/>
        <v>44820</v>
      </c>
      <c r="E2007" s="1" t="s">
        <v>26</v>
      </c>
      <c r="F2007" s="1" t="s">
        <v>2035</v>
      </c>
      <c r="G2007" s="1" t="s">
        <v>28</v>
      </c>
      <c r="H2007" s="1">
        <v>2105</v>
      </c>
      <c r="I2007" s="1">
        <f t="shared" si="252"/>
        <v>66</v>
      </c>
      <c r="J2007" s="1">
        <f>VLOOKUP(B2007,Cena!$A$2:$B$101,2)</f>
        <v>96</v>
      </c>
      <c r="K2007" s="1">
        <f t="shared" si="248"/>
        <v>6336</v>
      </c>
      <c r="L2007" s="1">
        <f t="shared" si="253"/>
        <v>1457.28</v>
      </c>
      <c r="M2007" s="22">
        <f t="shared" si="249"/>
        <v>7793.28</v>
      </c>
      <c r="N2007" s="1">
        <f t="shared" ca="1" si="254"/>
        <v>9</v>
      </c>
      <c r="P2007" s="1">
        <v>66.263038560282439</v>
      </c>
      <c r="Q2007" s="1">
        <f t="shared" ca="1" si="255"/>
        <v>11</v>
      </c>
      <c r="R2007" s="1">
        <v>10.718631554263993</v>
      </c>
    </row>
    <row r="2008" spans="1:18" x14ac:dyDescent="0.3">
      <c r="A2008" s="26">
        <v>2007</v>
      </c>
      <c r="B2008" s="1">
        <v>5</v>
      </c>
      <c r="C2008" s="1">
        <f t="shared" si="251"/>
        <v>12</v>
      </c>
      <c r="D2008" s="21">
        <f t="shared" ca="1" si="250"/>
        <v>44805</v>
      </c>
      <c r="E2008" s="1" t="s">
        <v>26</v>
      </c>
      <c r="F2008" s="1" t="s">
        <v>2036</v>
      </c>
      <c r="G2008" s="1" t="s">
        <v>28</v>
      </c>
      <c r="H2008" s="1">
        <v>2106</v>
      </c>
      <c r="I2008" s="1">
        <f t="shared" si="252"/>
        <v>54</v>
      </c>
      <c r="J2008" s="1">
        <f>VLOOKUP(B2008,Cena!$A$2:$B$101,2)</f>
        <v>91</v>
      </c>
      <c r="K2008" s="1">
        <f t="shared" si="248"/>
        <v>4914</v>
      </c>
      <c r="L2008" s="1">
        <f t="shared" si="253"/>
        <v>1130.22</v>
      </c>
      <c r="M2008" s="22">
        <f t="shared" si="249"/>
        <v>6044.22</v>
      </c>
      <c r="N2008" s="1">
        <f t="shared" ca="1" si="254"/>
        <v>9</v>
      </c>
      <c r="P2008" s="1">
        <v>54.610899395629531</v>
      </c>
      <c r="Q2008" s="1">
        <f t="shared" ca="1" si="255"/>
        <v>7</v>
      </c>
      <c r="R2008" s="1">
        <v>12.158901679649716</v>
      </c>
    </row>
    <row r="2009" spans="1:18" x14ac:dyDescent="0.3">
      <c r="A2009" s="26">
        <v>2008</v>
      </c>
      <c r="B2009" s="1">
        <v>18</v>
      </c>
      <c r="C2009" s="1">
        <f t="shared" si="251"/>
        <v>12</v>
      </c>
      <c r="D2009" s="21">
        <f t="shared" ca="1" si="250"/>
        <v>44708</v>
      </c>
      <c r="E2009" s="1" t="s">
        <v>26</v>
      </c>
      <c r="F2009" s="1" t="s">
        <v>2037</v>
      </c>
      <c r="G2009" s="1" t="s">
        <v>28</v>
      </c>
      <c r="H2009" s="1">
        <v>2107</v>
      </c>
      <c r="I2009" s="1">
        <f t="shared" si="252"/>
        <v>62</v>
      </c>
      <c r="J2009" s="1">
        <f>VLOOKUP(B2009,Cena!$A$2:$B$101,2)</f>
        <v>90</v>
      </c>
      <c r="K2009" s="1">
        <f t="shared" si="248"/>
        <v>5580</v>
      </c>
      <c r="L2009" s="1">
        <f t="shared" si="253"/>
        <v>1283.4000000000001</v>
      </c>
      <c r="M2009" s="22">
        <f t="shared" si="249"/>
        <v>6863.4</v>
      </c>
      <c r="N2009" s="1">
        <f t="shared" ca="1" si="254"/>
        <v>5</v>
      </c>
      <c r="P2009" s="1">
        <v>62.301666174607817</v>
      </c>
      <c r="Q2009" s="1">
        <f t="shared" ca="1" si="255"/>
        <v>11</v>
      </c>
      <c r="R2009" s="1">
        <v>12.106344254571013</v>
      </c>
    </row>
    <row r="2010" spans="1:18" x14ac:dyDescent="0.3">
      <c r="A2010" s="26">
        <v>2009</v>
      </c>
      <c r="B2010" s="1">
        <v>13</v>
      </c>
      <c r="C2010" s="1">
        <f t="shared" si="251"/>
        <v>8</v>
      </c>
      <c r="D2010" s="21">
        <f t="shared" ca="1" si="250"/>
        <v>44667</v>
      </c>
      <c r="E2010" s="1" t="s">
        <v>26</v>
      </c>
      <c r="F2010" s="1" t="s">
        <v>2038</v>
      </c>
      <c r="G2010" s="1" t="s">
        <v>28</v>
      </c>
      <c r="H2010" s="1">
        <v>2108</v>
      </c>
      <c r="I2010" s="1">
        <f t="shared" si="252"/>
        <v>62</v>
      </c>
      <c r="J2010" s="1">
        <f>VLOOKUP(B2010,Cena!$A$2:$B$101,2)</f>
        <v>94</v>
      </c>
      <c r="K2010" s="1">
        <f t="shared" si="248"/>
        <v>5828</v>
      </c>
      <c r="L2010" s="1">
        <f t="shared" si="253"/>
        <v>1340.44</v>
      </c>
      <c r="M2010" s="22">
        <f t="shared" si="249"/>
        <v>7168.4400000000005</v>
      </c>
      <c r="N2010" s="1">
        <f t="shared" ca="1" si="254"/>
        <v>4</v>
      </c>
      <c r="P2010" s="1">
        <v>62.339251043158583</v>
      </c>
      <c r="Q2010" s="1">
        <f t="shared" ca="1" si="255"/>
        <v>11</v>
      </c>
      <c r="R2010" s="1">
        <v>8.5393230872432468</v>
      </c>
    </row>
    <row r="2011" spans="1:18" x14ac:dyDescent="0.3">
      <c r="A2011" s="26">
        <v>2010</v>
      </c>
      <c r="B2011" s="1">
        <v>21</v>
      </c>
      <c r="C2011" s="1">
        <f t="shared" si="251"/>
        <v>9</v>
      </c>
      <c r="D2011" s="21">
        <f t="shared" ca="1" si="250"/>
        <v>44578</v>
      </c>
      <c r="E2011" s="1" t="s">
        <v>26</v>
      </c>
      <c r="F2011" s="1" t="s">
        <v>2039</v>
      </c>
      <c r="G2011" s="1" t="s">
        <v>28</v>
      </c>
      <c r="H2011" s="1">
        <v>2109</v>
      </c>
      <c r="I2011" s="1">
        <f t="shared" si="252"/>
        <v>65</v>
      </c>
      <c r="J2011" s="1">
        <f>VLOOKUP(B2011,Cena!$A$2:$B$101,2)</f>
        <v>105</v>
      </c>
      <c r="K2011" s="1">
        <f t="shared" si="248"/>
        <v>6825</v>
      </c>
      <c r="L2011" s="1">
        <f t="shared" si="253"/>
        <v>1569.75</v>
      </c>
      <c r="M2011" s="22">
        <f t="shared" si="249"/>
        <v>8394.75</v>
      </c>
      <c r="N2011" s="1">
        <f t="shared" ca="1" si="254"/>
        <v>1</v>
      </c>
      <c r="P2011" s="1">
        <v>65.059322322485968</v>
      </c>
      <c r="Q2011" s="1">
        <f t="shared" ca="1" si="255"/>
        <v>9</v>
      </c>
      <c r="R2011" s="1">
        <v>9.4496761246409733</v>
      </c>
    </row>
    <row r="2012" spans="1:18" x14ac:dyDescent="0.3">
      <c r="A2012" s="26">
        <v>2011</v>
      </c>
      <c r="B2012" s="1">
        <v>23</v>
      </c>
      <c r="C2012" s="1">
        <f t="shared" si="251"/>
        <v>13</v>
      </c>
      <c r="D2012" s="21">
        <f t="shared" ca="1" si="250"/>
        <v>44912</v>
      </c>
      <c r="E2012" s="1" t="s">
        <v>26</v>
      </c>
      <c r="F2012" s="1" t="s">
        <v>2040</v>
      </c>
      <c r="G2012" s="1" t="s">
        <v>28</v>
      </c>
      <c r="H2012" s="1">
        <v>2110</v>
      </c>
      <c r="I2012" s="1">
        <f t="shared" si="252"/>
        <v>44</v>
      </c>
      <c r="J2012" s="1">
        <f>VLOOKUP(B2012,Cena!$A$2:$B$101,2)</f>
        <v>132</v>
      </c>
      <c r="K2012" s="1">
        <f t="shared" si="248"/>
        <v>5808</v>
      </c>
      <c r="L2012" s="1">
        <f t="shared" si="253"/>
        <v>1335.8400000000001</v>
      </c>
      <c r="M2012" s="22">
        <f t="shared" si="249"/>
        <v>7143.84</v>
      </c>
      <c r="N2012" s="1">
        <f t="shared" ca="1" si="254"/>
        <v>12</v>
      </c>
      <c r="P2012" s="1">
        <v>44.146401149919257</v>
      </c>
      <c r="Q2012" s="1">
        <f t="shared" ca="1" si="255"/>
        <v>6</v>
      </c>
      <c r="R2012" s="1">
        <v>13.683629756778828</v>
      </c>
    </row>
    <row r="2013" spans="1:18" x14ac:dyDescent="0.3">
      <c r="A2013" s="26">
        <v>2012</v>
      </c>
      <c r="B2013" s="1">
        <v>1</v>
      </c>
      <c r="C2013" s="1">
        <f t="shared" si="251"/>
        <v>8</v>
      </c>
      <c r="D2013" s="21">
        <f t="shared" ca="1" si="250"/>
        <v>44639</v>
      </c>
      <c r="E2013" s="1" t="s">
        <v>26</v>
      </c>
      <c r="F2013" s="1" t="s">
        <v>2041</v>
      </c>
      <c r="G2013" s="1" t="s">
        <v>28</v>
      </c>
      <c r="H2013" s="1">
        <v>2111</v>
      </c>
      <c r="I2013" s="1">
        <f t="shared" si="252"/>
        <v>50</v>
      </c>
      <c r="J2013" s="1">
        <f>VLOOKUP(B2013,Cena!$A$2:$B$101,2)</f>
        <v>84</v>
      </c>
      <c r="K2013" s="1">
        <f t="shared" si="248"/>
        <v>4200</v>
      </c>
      <c r="L2013" s="1">
        <f t="shared" si="253"/>
        <v>966</v>
      </c>
      <c r="M2013" s="22">
        <f t="shared" si="249"/>
        <v>5166</v>
      </c>
      <c r="N2013" s="1">
        <f t="shared" ca="1" si="254"/>
        <v>3</v>
      </c>
      <c r="P2013" s="1">
        <v>50.099828412203351</v>
      </c>
      <c r="Q2013" s="1">
        <f t="shared" ca="1" si="255"/>
        <v>30</v>
      </c>
      <c r="R2013" s="1">
        <v>8.2160147737886291</v>
      </c>
    </row>
    <row r="2014" spans="1:18" x14ac:dyDescent="0.3">
      <c r="A2014" s="26">
        <v>2013</v>
      </c>
      <c r="B2014" s="1">
        <v>22</v>
      </c>
      <c r="C2014" s="1">
        <f t="shared" si="251"/>
        <v>9</v>
      </c>
      <c r="D2014" s="21">
        <f t="shared" ca="1" si="250"/>
        <v>44811</v>
      </c>
      <c r="E2014" s="1" t="s">
        <v>26</v>
      </c>
      <c r="F2014" s="1" t="s">
        <v>2042</v>
      </c>
      <c r="G2014" s="1" t="s">
        <v>28</v>
      </c>
      <c r="H2014" s="1">
        <v>2112</v>
      </c>
      <c r="I2014" s="1">
        <f t="shared" si="252"/>
        <v>50</v>
      </c>
      <c r="J2014" s="1">
        <f>VLOOKUP(B2014,Cena!$A$2:$B$101,2)</f>
        <v>103</v>
      </c>
      <c r="K2014" s="1">
        <f t="shared" si="248"/>
        <v>5150</v>
      </c>
      <c r="L2014" s="1">
        <f t="shared" si="253"/>
        <v>1184.5</v>
      </c>
      <c r="M2014" s="22">
        <f t="shared" si="249"/>
        <v>6334.5</v>
      </c>
      <c r="N2014" s="1">
        <f t="shared" ca="1" si="254"/>
        <v>9</v>
      </c>
      <c r="P2014" s="1">
        <v>50.268164512817748</v>
      </c>
      <c r="Q2014" s="1">
        <f t="shared" ca="1" si="255"/>
        <v>20</v>
      </c>
      <c r="R2014" s="1">
        <v>9.4418345750091248</v>
      </c>
    </row>
    <row r="2015" spans="1:18" x14ac:dyDescent="0.3">
      <c r="A2015" s="26">
        <v>2014</v>
      </c>
      <c r="B2015" s="1">
        <v>28</v>
      </c>
      <c r="C2015" s="1">
        <f t="shared" si="251"/>
        <v>6</v>
      </c>
      <c r="D2015" s="21">
        <f t="shared" ca="1" si="250"/>
        <v>44754</v>
      </c>
      <c r="E2015" s="1" t="s">
        <v>26</v>
      </c>
      <c r="F2015" s="1" t="s">
        <v>2043</v>
      </c>
      <c r="G2015" s="1" t="s">
        <v>28</v>
      </c>
      <c r="H2015" s="1">
        <v>2113</v>
      </c>
      <c r="I2015" s="1">
        <f t="shared" si="252"/>
        <v>51</v>
      </c>
      <c r="J2015" s="1">
        <f>VLOOKUP(B2015,Cena!$A$2:$B$101,2)</f>
        <v>59</v>
      </c>
      <c r="K2015" s="1">
        <f t="shared" ref="K2015:K2078" si="256">I2015*J2015</f>
        <v>3009</v>
      </c>
      <c r="L2015" s="1">
        <f t="shared" si="253"/>
        <v>692.07</v>
      </c>
      <c r="M2015" s="22">
        <f t="shared" ref="M2015:M2078" si="257">K2015+L2015</f>
        <v>3701.07</v>
      </c>
      <c r="N2015" s="1">
        <f t="shared" ca="1" si="254"/>
        <v>7</v>
      </c>
      <c r="P2015" s="1">
        <v>51.504645297245588</v>
      </c>
      <c r="Q2015" s="1">
        <f t="shared" ca="1" si="255"/>
        <v>2</v>
      </c>
      <c r="R2015" s="1">
        <v>6.4084167913824786</v>
      </c>
    </row>
    <row r="2016" spans="1:18" x14ac:dyDescent="0.3">
      <c r="A2016" s="26">
        <v>2015</v>
      </c>
      <c r="B2016" s="1">
        <v>14</v>
      </c>
      <c r="C2016" s="1">
        <f t="shared" si="251"/>
        <v>10</v>
      </c>
      <c r="D2016" s="21">
        <f t="shared" ca="1" si="250"/>
        <v>44601</v>
      </c>
      <c r="E2016" s="1" t="s">
        <v>26</v>
      </c>
      <c r="F2016" s="1" t="s">
        <v>2044</v>
      </c>
      <c r="G2016" s="1" t="s">
        <v>28</v>
      </c>
      <c r="H2016" s="1">
        <v>2114</v>
      </c>
      <c r="I2016" s="1">
        <f t="shared" si="252"/>
        <v>46</v>
      </c>
      <c r="J2016" s="1">
        <f>VLOOKUP(B2016,Cena!$A$2:$B$101,2)</f>
        <v>129</v>
      </c>
      <c r="K2016" s="1">
        <f t="shared" si="256"/>
        <v>5934</v>
      </c>
      <c r="L2016" s="1">
        <f t="shared" si="253"/>
        <v>1364.8200000000002</v>
      </c>
      <c r="M2016" s="22">
        <f t="shared" si="257"/>
        <v>7298.82</v>
      </c>
      <c r="N2016" s="1">
        <f t="shared" ca="1" si="254"/>
        <v>2</v>
      </c>
      <c r="P2016" s="1">
        <v>46.582857875182526</v>
      </c>
      <c r="Q2016" s="1">
        <f t="shared" ca="1" si="255"/>
        <v>28</v>
      </c>
      <c r="R2016" s="1">
        <v>10.55404711929441</v>
      </c>
    </row>
    <row r="2017" spans="1:18" x14ac:dyDescent="0.3">
      <c r="A2017" s="26">
        <v>2016</v>
      </c>
      <c r="B2017" s="1">
        <v>29</v>
      </c>
      <c r="C2017" s="1">
        <f t="shared" si="251"/>
        <v>12</v>
      </c>
      <c r="D2017" s="21">
        <f t="shared" ca="1" si="250"/>
        <v>44747</v>
      </c>
      <c r="E2017" s="1" t="s">
        <v>26</v>
      </c>
      <c r="F2017" s="1" t="s">
        <v>2045</v>
      </c>
      <c r="G2017" s="1" t="s">
        <v>28</v>
      </c>
      <c r="H2017" s="1">
        <v>2115</v>
      </c>
      <c r="I2017" s="1">
        <f t="shared" si="252"/>
        <v>37</v>
      </c>
      <c r="J2017" s="1">
        <f>VLOOKUP(B2017,Cena!$A$2:$B$101,2)</f>
        <v>105</v>
      </c>
      <c r="K2017" s="1">
        <f t="shared" si="256"/>
        <v>3885</v>
      </c>
      <c r="L2017" s="1">
        <f t="shared" si="253"/>
        <v>893.55000000000007</v>
      </c>
      <c r="M2017" s="22">
        <f t="shared" si="257"/>
        <v>4778.55</v>
      </c>
      <c r="N2017" s="1">
        <f t="shared" ca="1" si="254"/>
        <v>7</v>
      </c>
      <c r="P2017" s="1">
        <v>37.209321261616424</v>
      </c>
      <c r="Q2017" s="1">
        <f t="shared" ca="1" si="255"/>
        <v>13</v>
      </c>
      <c r="R2017" s="1">
        <v>12.69990323431557</v>
      </c>
    </row>
    <row r="2018" spans="1:18" x14ac:dyDescent="0.3">
      <c r="A2018" s="26">
        <v>2017</v>
      </c>
      <c r="B2018" s="1">
        <v>24</v>
      </c>
      <c r="C2018" s="1">
        <f t="shared" si="251"/>
        <v>7</v>
      </c>
      <c r="D2018" s="21">
        <f t="shared" ca="1" si="250"/>
        <v>44784</v>
      </c>
      <c r="E2018" s="1" t="s">
        <v>26</v>
      </c>
      <c r="F2018" s="1" t="s">
        <v>2046</v>
      </c>
      <c r="G2018" s="1" t="s">
        <v>28</v>
      </c>
      <c r="H2018" s="1">
        <v>2116</v>
      </c>
      <c r="I2018" s="1">
        <f t="shared" si="252"/>
        <v>62</v>
      </c>
      <c r="J2018" s="1">
        <f>VLOOKUP(B2018,Cena!$A$2:$B$101,2)</f>
        <v>125</v>
      </c>
      <c r="K2018" s="1">
        <f t="shared" si="256"/>
        <v>7750</v>
      </c>
      <c r="L2018" s="1">
        <f t="shared" si="253"/>
        <v>1782.5</v>
      </c>
      <c r="M2018" s="22">
        <f t="shared" si="257"/>
        <v>9532.5</v>
      </c>
      <c r="N2018" s="1">
        <f t="shared" ca="1" si="254"/>
        <v>8</v>
      </c>
      <c r="P2018" s="1">
        <v>62.358941603451967</v>
      </c>
      <c r="Q2018" s="1">
        <f t="shared" ca="1" si="255"/>
        <v>15</v>
      </c>
      <c r="R2018" s="1">
        <v>7.4788920553692151</v>
      </c>
    </row>
    <row r="2019" spans="1:18" x14ac:dyDescent="0.3">
      <c r="A2019" s="26">
        <v>2018</v>
      </c>
      <c r="B2019" s="1">
        <v>24</v>
      </c>
      <c r="C2019" s="1">
        <f t="shared" si="251"/>
        <v>12</v>
      </c>
      <c r="D2019" s="21">
        <f t="shared" ca="1" si="250"/>
        <v>44883</v>
      </c>
      <c r="E2019" s="1" t="s">
        <v>26</v>
      </c>
      <c r="F2019" s="1" t="s">
        <v>2047</v>
      </c>
      <c r="G2019" s="1" t="s">
        <v>28</v>
      </c>
      <c r="H2019" s="1">
        <v>2117</v>
      </c>
      <c r="I2019" s="1">
        <f t="shared" si="252"/>
        <v>54</v>
      </c>
      <c r="J2019" s="1">
        <f>VLOOKUP(B2019,Cena!$A$2:$B$101,2)</f>
        <v>125</v>
      </c>
      <c r="K2019" s="1">
        <f t="shared" si="256"/>
        <v>6750</v>
      </c>
      <c r="L2019" s="1">
        <f t="shared" si="253"/>
        <v>1552.5</v>
      </c>
      <c r="M2019" s="22">
        <f t="shared" si="257"/>
        <v>8302.5</v>
      </c>
      <c r="N2019" s="1">
        <f t="shared" ca="1" si="254"/>
        <v>11</v>
      </c>
      <c r="P2019" s="1">
        <v>54.473508852242958</v>
      </c>
      <c r="Q2019" s="1">
        <f t="shared" ca="1" si="255"/>
        <v>22</v>
      </c>
      <c r="R2019" s="1">
        <v>12.148647126887226</v>
      </c>
    </row>
    <row r="2020" spans="1:18" x14ac:dyDescent="0.3">
      <c r="A2020" s="26">
        <v>2019</v>
      </c>
      <c r="B2020" s="1">
        <v>25</v>
      </c>
      <c r="C2020" s="1">
        <f t="shared" si="251"/>
        <v>6</v>
      </c>
      <c r="D2020" s="21">
        <f t="shared" ca="1" si="250"/>
        <v>44908</v>
      </c>
      <c r="E2020" s="1" t="s">
        <v>26</v>
      </c>
      <c r="F2020" s="1" t="s">
        <v>2048</v>
      </c>
      <c r="G2020" s="1" t="s">
        <v>28</v>
      </c>
      <c r="H2020" s="1">
        <v>2118</v>
      </c>
      <c r="I2020" s="1">
        <f t="shared" si="252"/>
        <v>67</v>
      </c>
      <c r="J2020" s="1">
        <f>VLOOKUP(B2020,Cena!$A$2:$B$101,2)</f>
        <v>108</v>
      </c>
      <c r="K2020" s="1">
        <f t="shared" si="256"/>
        <v>7236</v>
      </c>
      <c r="L2020" s="1">
        <f t="shared" si="253"/>
        <v>1664.28</v>
      </c>
      <c r="M2020" s="22">
        <f t="shared" si="257"/>
        <v>8900.2800000000007</v>
      </c>
      <c r="N2020" s="1">
        <f t="shared" ca="1" si="254"/>
        <v>12</v>
      </c>
      <c r="P2020" s="1">
        <v>67.158799892058596</v>
      </c>
      <c r="Q2020" s="1">
        <f t="shared" ca="1" si="255"/>
        <v>4</v>
      </c>
      <c r="R2020" s="1">
        <v>6.9249870446219575</v>
      </c>
    </row>
    <row r="2021" spans="1:18" x14ac:dyDescent="0.3">
      <c r="A2021" s="26">
        <v>2020</v>
      </c>
      <c r="B2021" s="1">
        <v>11</v>
      </c>
      <c r="C2021" s="1">
        <f t="shared" si="251"/>
        <v>9</v>
      </c>
      <c r="D2021" s="21">
        <f t="shared" ca="1" si="250"/>
        <v>44593</v>
      </c>
      <c r="E2021" s="1" t="s">
        <v>26</v>
      </c>
      <c r="F2021" s="1" t="s">
        <v>2049</v>
      </c>
      <c r="G2021" s="1" t="s">
        <v>28</v>
      </c>
      <c r="H2021" s="1">
        <v>2119</v>
      </c>
      <c r="I2021" s="1">
        <f t="shared" si="252"/>
        <v>48</v>
      </c>
      <c r="J2021" s="1">
        <f>VLOOKUP(B2021,Cena!$A$2:$B$101,2)</f>
        <v>83</v>
      </c>
      <c r="K2021" s="1">
        <f t="shared" si="256"/>
        <v>3984</v>
      </c>
      <c r="L2021" s="1">
        <f t="shared" si="253"/>
        <v>916.32</v>
      </c>
      <c r="M2021" s="22">
        <f t="shared" si="257"/>
        <v>4900.32</v>
      </c>
      <c r="N2021" s="1">
        <f t="shared" ca="1" si="254"/>
        <v>2</v>
      </c>
      <c r="P2021" s="1">
        <v>48.723990302096354</v>
      </c>
      <c r="Q2021" s="1">
        <f t="shared" ca="1" si="255"/>
        <v>17</v>
      </c>
      <c r="R2021" s="1">
        <v>9.0612764122488443</v>
      </c>
    </row>
    <row r="2022" spans="1:18" x14ac:dyDescent="0.3">
      <c r="A2022" s="26">
        <v>2021</v>
      </c>
      <c r="B2022" s="1">
        <v>9</v>
      </c>
      <c r="C2022" s="1">
        <f t="shared" si="251"/>
        <v>13</v>
      </c>
      <c r="D2022" s="21">
        <f t="shared" ca="1" si="250"/>
        <v>44676</v>
      </c>
      <c r="E2022" s="1" t="s">
        <v>26</v>
      </c>
      <c r="F2022" s="1" t="s">
        <v>2050</v>
      </c>
      <c r="G2022" s="1" t="s">
        <v>28</v>
      </c>
      <c r="H2022" s="1">
        <v>2120</v>
      </c>
      <c r="I2022" s="1">
        <f t="shared" si="252"/>
        <v>57</v>
      </c>
      <c r="J2022" s="1">
        <f>VLOOKUP(B2022,Cena!$A$2:$B$101,2)</f>
        <v>96</v>
      </c>
      <c r="K2022" s="1">
        <f t="shared" si="256"/>
        <v>5472</v>
      </c>
      <c r="L2022" s="1">
        <f t="shared" si="253"/>
        <v>1258.56</v>
      </c>
      <c r="M2022" s="22">
        <f t="shared" si="257"/>
        <v>6730.5599999999995</v>
      </c>
      <c r="N2022" s="1">
        <f t="shared" ca="1" si="254"/>
        <v>4</v>
      </c>
      <c r="P2022" s="1">
        <v>57.0307351052179</v>
      </c>
      <c r="Q2022" s="1">
        <f t="shared" ca="1" si="255"/>
        <v>7</v>
      </c>
      <c r="R2022" s="1">
        <v>13.70528141502291</v>
      </c>
    </row>
    <row r="2023" spans="1:18" x14ac:dyDescent="0.3">
      <c r="A2023" s="26">
        <v>2022</v>
      </c>
      <c r="B2023" s="1">
        <v>30</v>
      </c>
      <c r="C2023" s="1">
        <f t="shared" si="251"/>
        <v>9</v>
      </c>
      <c r="D2023" s="21">
        <f t="shared" ca="1" si="250"/>
        <v>44593</v>
      </c>
      <c r="E2023" s="1" t="s">
        <v>26</v>
      </c>
      <c r="F2023" s="1" t="s">
        <v>2051</v>
      </c>
      <c r="G2023" s="1" t="s">
        <v>28</v>
      </c>
      <c r="H2023" s="1">
        <v>2121</v>
      </c>
      <c r="I2023" s="1">
        <f t="shared" si="252"/>
        <v>50</v>
      </c>
      <c r="J2023" s="1">
        <f>VLOOKUP(B2023,Cena!$A$2:$B$101,2)</f>
        <v>87</v>
      </c>
      <c r="K2023" s="1">
        <f t="shared" si="256"/>
        <v>4350</v>
      </c>
      <c r="L2023" s="1">
        <f t="shared" si="253"/>
        <v>1000.5</v>
      </c>
      <c r="M2023" s="22">
        <f t="shared" si="257"/>
        <v>5350.5</v>
      </c>
      <c r="N2023" s="1">
        <f t="shared" ca="1" si="254"/>
        <v>2</v>
      </c>
      <c r="P2023" s="1">
        <v>50.099828412203351</v>
      </c>
      <c r="Q2023" s="1">
        <f t="shared" ca="1" si="255"/>
        <v>29</v>
      </c>
      <c r="R2023" s="1">
        <v>9.5026541910192464</v>
      </c>
    </row>
    <row r="2024" spans="1:18" x14ac:dyDescent="0.3">
      <c r="A2024" s="26">
        <v>2023</v>
      </c>
      <c r="B2024" s="1">
        <v>21</v>
      </c>
      <c r="C2024" s="1">
        <f t="shared" si="251"/>
        <v>8</v>
      </c>
      <c r="D2024" s="21">
        <f t="shared" ca="1" si="250"/>
        <v>44761</v>
      </c>
      <c r="E2024" s="1" t="s">
        <v>26</v>
      </c>
      <c r="F2024" s="1" t="s">
        <v>2052</v>
      </c>
      <c r="G2024" s="1" t="s">
        <v>28</v>
      </c>
      <c r="H2024" s="1">
        <v>2122</v>
      </c>
      <c r="I2024" s="1">
        <f t="shared" si="252"/>
        <v>53</v>
      </c>
      <c r="J2024" s="1">
        <f>VLOOKUP(B2024,Cena!$A$2:$B$101,2)</f>
        <v>105</v>
      </c>
      <c r="K2024" s="1">
        <f t="shared" si="256"/>
        <v>5565</v>
      </c>
      <c r="L2024" s="1">
        <f t="shared" si="253"/>
        <v>1279.95</v>
      </c>
      <c r="M2024" s="22">
        <f t="shared" si="257"/>
        <v>6844.95</v>
      </c>
      <c r="N2024" s="1">
        <f t="shared" ca="1" si="254"/>
        <v>7</v>
      </c>
      <c r="P2024" s="1">
        <v>53.645936885732226</v>
      </c>
      <c r="Q2024" s="1">
        <f t="shared" ca="1" si="255"/>
        <v>30</v>
      </c>
      <c r="R2024" s="1">
        <v>8.8932358974125236</v>
      </c>
    </row>
    <row r="2025" spans="1:18" x14ac:dyDescent="0.3">
      <c r="A2025" s="26">
        <v>2024</v>
      </c>
      <c r="B2025" s="1">
        <v>28</v>
      </c>
      <c r="C2025" s="1">
        <f t="shared" si="251"/>
        <v>12</v>
      </c>
      <c r="D2025" s="21">
        <f t="shared" ca="1" si="250"/>
        <v>44611</v>
      </c>
      <c r="E2025" s="1" t="s">
        <v>26</v>
      </c>
      <c r="F2025" s="1" t="s">
        <v>2053</v>
      </c>
      <c r="G2025" s="1" t="s">
        <v>28</v>
      </c>
      <c r="H2025" s="1">
        <v>2123</v>
      </c>
      <c r="I2025" s="1">
        <f t="shared" si="252"/>
        <v>47</v>
      </c>
      <c r="J2025" s="1">
        <f>VLOOKUP(B2025,Cena!$A$2:$B$101,2)</f>
        <v>59</v>
      </c>
      <c r="K2025" s="1">
        <f t="shared" si="256"/>
        <v>2773</v>
      </c>
      <c r="L2025" s="1">
        <f t="shared" si="253"/>
        <v>637.79000000000008</v>
      </c>
      <c r="M2025" s="22">
        <f t="shared" si="257"/>
        <v>3410.79</v>
      </c>
      <c r="N2025" s="1">
        <f t="shared" ca="1" si="254"/>
        <v>2</v>
      </c>
      <c r="P2025" s="1">
        <v>47.966119735792745</v>
      </c>
      <c r="Q2025" s="1">
        <f t="shared" ca="1" si="255"/>
        <v>21</v>
      </c>
      <c r="R2025" s="1">
        <v>12.44129978455021</v>
      </c>
    </row>
    <row r="2026" spans="1:18" x14ac:dyDescent="0.3">
      <c r="A2026" s="26">
        <v>2025</v>
      </c>
      <c r="B2026" s="1">
        <v>17</v>
      </c>
      <c r="C2026" s="1">
        <f t="shared" si="251"/>
        <v>5</v>
      </c>
      <c r="D2026" s="21">
        <f t="shared" ca="1" si="250"/>
        <v>44774</v>
      </c>
      <c r="E2026" s="1" t="s">
        <v>26</v>
      </c>
      <c r="F2026" s="1" t="s">
        <v>2054</v>
      </c>
      <c r="G2026" s="1" t="s">
        <v>28</v>
      </c>
      <c r="H2026" s="1">
        <v>2124</v>
      </c>
      <c r="I2026" s="1">
        <f t="shared" si="252"/>
        <v>35</v>
      </c>
      <c r="J2026" s="1">
        <f>VLOOKUP(B2026,Cena!$A$2:$B$101,2)</f>
        <v>84</v>
      </c>
      <c r="K2026" s="1">
        <f t="shared" si="256"/>
        <v>2940</v>
      </c>
      <c r="L2026" s="1">
        <f t="shared" si="253"/>
        <v>676.2</v>
      </c>
      <c r="M2026" s="22">
        <f t="shared" si="257"/>
        <v>3616.2</v>
      </c>
      <c r="N2026" s="1">
        <f t="shared" ca="1" si="254"/>
        <v>8</v>
      </c>
      <c r="P2026" s="1">
        <v>35.665817803237587</v>
      </c>
      <c r="Q2026" s="1">
        <f t="shared" ca="1" si="255"/>
        <v>5</v>
      </c>
      <c r="R2026" s="1">
        <v>5.1218796923058107</v>
      </c>
    </row>
    <row r="2027" spans="1:18" x14ac:dyDescent="0.3">
      <c r="A2027" s="26">
        <v>2026</v>
      </c>
      <c r="B2027" s="1">
        <v>9</v>
      </c>
      <c r="C2027" s="1">
        <f t="shared" si="251"/>
        <v>10</v>
      </c>
      <c r="D2027" s="21">
        <f t="shared" ca="1" si="250"/>
        <v>44618</v>
      </c>
      <c r="E2027" s="1" t="s">
        <v>26</v>
      </c>
      <c r="F2027" s="1" t="s">
        <v>2055</v>
      </c>
      <c r="G2027" s="1" t="s">
        <v>28</v>
      </c>
      <c r="H2027" s="1">
        <v>2125</v>
      </c>
      <c r="I2027" s="1">
        <f t="shared" si="252"/>
        <v>66</v>
      </c>
      <c r="J2027" s="1">
        <f>VLOOKUP(B2027,Cena!$A$2:$B$101,2)</f>
        <v>96</v>
      </c>
      <c r="K2027" s="1">
        <f t="shared" si="256"/>
        <v>6336</v>
      </c>
      <c r="L2027" s="1">
        <f t="shared" si="253"/>
        <v>1457.28</v>
      </c>
      <c r="M2027" s="22">
        <f t="shared" si="257"/>
        <v>7793.28</v>
      </c>
      <c r="N2027" s="1">
        <f t="shared" ca="1" si="254"/>
        <v>2</v>
      </c>
      <c r="P2027" s="1">
        <v>66.542026060051285</v>
      </c>
      <c r="Q2027" s="1">
        <f t="shared" ca="1" si="255"/>
        <v>14</v>
      </c>
      <c r="R2027" s="1">
        <v>10.809612288321659</v>
      </c>
    </row>
    <row r="2028" spans="1:18" x14ac:dyDescent="0.3">
      <c r="A2028" s="26">
        <v>2027</v>
      </c>
      <c r="B2028" s="1">
        <v>7</v>
      </c>
      <c r="C2028" s="1">
        <f t="shared" si="251"/>
        <v>13</v>
      </c>
      <c r="D2028" s="21">
        <f t="shared" ca="1" si="250"/>
        <v>44607</v>
      </c>
      <c r="E2028" s="1" t="s">
        <v>26</v>
      </c>
      <c r="F2028" s="1" t="s">
        <v>2056</v>
      </c>
      <c r="G2028" s="1" t="s">
        <v>28</v>
      </c>
      <c r="H2028" s="1">
        <v>2126</v>
      </c>
      <c r="I2028" s="1">
        <f t="shared" si="252"/>
        <v>61</v>
      </c>
      <c r="J2028" s="1">
        <f>VLOOKUP(B2028,Cena!$A$2:$B$101,2)</f>
        <v>104</v>
      </c>
      <c r="K2028" s="1">
        <f t="shared" si="256"/>
        <v>6344</v>
      </c>
      <c r="L2028" s="1">
        <f t="shared" si="253"/>
        <v>1459.1200000000001</v>
      </c>
      <c r="M2028" s="22">
        <f t="shared" si="257"/>
        <v>7803.12</v>
      </c>
      <c r="N2028" s="1">
        <f t="shared" ca="1" si="254"/>
        <v>2</v>
      </c>
      <c r="P2028" s="1">
        <v>61.175916370120831</v>
      </c>
      <c r="Q2028" s="1">
        <f t="shared" ca="1" si="255"/>
        <v>17</v>
      </c>
      <c r="R2028" s="1">
        <v>13.32161107508</v>
      </c>
    </row>
    <row r="2029" spans="1:18" x14ac:dyDescent="0.3">
      <c r="A2029" s="26">
        <v>2028</v>
      </c>
      <c r="B2029" s="1">
        <v>6</v>
      </c>
      <c r="C2029" s="1">
        <f t="shared" si="251"/>
        <v>10</v>
      </c>
      <c r="D2029" s="21">
        <f t="shared" ca="1" si="250"/>
        <v>44812</v>
      </c>
      <c r="E2029" s="1" t="s">
        <v>26</v>
      </c>
      <c r="F2029" s="1" t="s">
        <v>2057</v>
      </c>
      <c r="G2029" s="1" t="s">
        <v>28</v>
      </c>
      <c r="H2029" s="1">
        <v>2127</v>
      </c>
      <c r="I2029" s="1">
        <f t="shared" si="252"/>
        <v>57</v>
      </c>
      <c r="J2029" s="1">
        <f>VLOOKUP(B2029,Cena!$A$2:$B$101,2)</f>
        <v>86</v>
      </c>
      <c r="K2029" s="1">
        <f t="shared" si="256"/>
        <v>4902</v>
      </c>
      <c r="L2029" s="1">
        <f t="shared" si="253"/>
        <v>1127.46</v>
      </c>
      <c r="M2029" s="22">
        <f t="shared" si="257"/>
        <v>6029.46</v>
      </c>
      <c r="N2029" s="1">
        <f t="shared" ca="1" si="254"/>
        <v>9</v>
      </c>
      <c r="P2029" s="1">
        <v>57.143830771383364</v>
      </c>
      <c r="Q2029" s="1">
        <f t="shared" ca="1" si="255"/>
        <v>2</v>
      </c>
      <c r="R2029" s="1">
        <v>10.071057115746953</v>
      </c>
    </row>
    <row r="2030" spans="1:18" x14ac:dyDescent="0.3">
      <c r="A2030" s="26">
        <v>2029</v>
      </c>
      <c r="B2030" s="1">
        <v>16</v>
      </c>
      <c r="C2030" s="1">
        <f t="shared" si="251"/>
        <v>11</v>
      </c>
      <c r="D2030" s="21">
        <f t="shared" ca="1" si="250"/>
        <v>44890</v>
      </c>
      <c r="E2030" s="1" t="s">
        <v>26</v>
      </c>
      <c r="F2030" s="1" t="s">
        <v>2058</v>
      </c>
      <c r="G2030" s="1" t="s">
        <v>28</v>
      </c>
      <c r="H2030" s="1">
        <v>2128</v>
      </c>
      <c r="I2030" s="1">
        <f t="shared" si="252"/>
        <v>59</v>
      </c>
      <c r="J2030" s="1">
        <f>VLOOKUP(B2030,Cena!$A$2:$B$101,2)</f>
        <v>93</v>
      </c>
      <c r="K2030" s="1">
        <f t="shared" si="256"/>
        <v>5487</v>
      </c>
      <c r="L2030" s="1">
        <f t="shared" si="253"/>
        <v>1262.01</v>
      </c>
      <c r="M2030" s="22">
        <f t="shared" si="257"/>
        <v>6749.01</v>
      </c>
      <c r="N2030" s="1">
        <f t="shared" ca="1" si="254"/>
        <v>11</v>
      </c>
      <c r="P2030" s="1">
        <v>59.264772415917832</v>
      </c>
      <c r="Q2030" s="1">
        <f t="shared" ca="1" si="255"/>
        <v>8</v>
      </c>
      <c r="R2030" s="1">
        <v>11.717506847853656</v>
      </c>
    </row>
    <row r="2031" spans="1:18" x14ac:dyDescent="0.3">
      <c r="A2031" s="26">
        <v>2030</v>
      </c>
      <c r="B2031" s="1">
        <v>24</v>
      </c>
      <c r="C2031" s="1">
        <f t="shared" si="251"/>
        <v>7</v>
      </c>
      <c r="D2031" s="21">
        <f t="shared" ca="1" si="250"/>
        <v>44821</v>
      </c>
      <c r="E2031" s="1" t="s">
        <v>26</v>
      </c>
      <c r="F2031" s="1" t="s">
        <v>2059</v>
      </c>
      <c r="G2031" s="1" t="s">
        <v>28</v>
      </c>
      <c r="H2031" s="1">
        <v>2129</v>
      </c>
      <c r="I2031" s="1">
        <f t="shared" si="252"/>
        <v>61</v>
      </c>
      <c r="J2031" s="1">
        <f>VLOOKUP(B2031,Cena!$A$2:$B$101,2)</f>
        <v>125</v>
      </c>
      <c r="K2031" s="1">
        <f t="shared" si="256"/>
        <v>7625</v>
      </c>
      <c r="L2031" s="1">
        <f t="shared" si="253"/>
        <v>1753.75</v>
      </c>
      <c r="M2031" s="22">
        <f t="shared" si="257"/>
        <v>9378.75</v>
      </c>
      <c r="N2031" s="1">
        <f t="shared" ca="1" si="254"/>
        <v>9</v>
      </c>
      <c r="P2031" s="1">
        <v>61.153110790473875</v>
      </c>
      <c r="Q2031" s="1">
        <f t="shared" ca="1" si="255"/>
        <v>1</v>
      </c>
      <c r="R2031" s="1">
        <v>7.8238292897003703</v>
      </c>
    </row>
    <row r="2032" spans="1:18" x14ac:dyDescent="0.3">
      <c r="A2032" s="26">
        <v>2031</v>
      </c>
      <c r="B2032" s="1">
        <v>27</v>
      </c>
      <c r="C2032" s="1">
        <f t="shared" si="251"/>
        <v>13</v>
      </c>
      <c r="D2032" s="21">
        <f t="shared" ca="1" si="250"/>
        <v>44607</v>
      </c>
      <c r="E2032" s="1" t="s">
        <v>26</v>
      </c>
      <c r="F2032" s="1" t="s">
        <v>2060</v>
      </c>
      <c r="G2032" s="1" t="s">
        <v>28</v>
      </c>
      <c r="H2032" s="1">
        <v>2130</v>
      </c>
      <c r="I2032" s="1">
        <f t="shared" si="252"/>
        <v>41</v>
      </c>
      <c r="J2032" s="1">
        <f>VLOOKUP(B2032,Cena!$A$2:$B$101,2)</f>
        <v>87</v>
      </c>
      <c r="K2032" s="1">
        <f t="shared" si="256"/>
        <v>3567</v>
      </c>
      <c r="L2032" s="1">
        <f t="shared" si="253"/>
        <v>820.41000000000008</v>
      </c>
      <c r="M2032" s="22">
        <f t="shared" si="257"/>
        <v>4387.41</v>
      </c>
      <c r="N2032" s="1">
        <f t="shared" ca="1" si="254"/>
        <v>2</v>
      </c>
      <c r="P2032" s="1">
        <v>41.069626048556529</v>
      </c>
      <c r="Q2032" s="1">
        <f t="shared" ca="1" si="255"/>
        <v>10</v>
      </c>
      <c r="R2032" s="1">
        <v>13.333667564220377</v>
      </c>
    </row>
    <row r="2033" spans="1:18" x14ac:dyDescent="0.3">
      <c r="A2033" s="26">
        <v>2032</v>
      </c>
      <c r="B2033" s="1">
        <v>23</v>
      </c>
      <c r="C2033" s="1">
        <f t="shared" si="251"/>
        <v>10</v>
      </c>
      <c r="D2033" s="21">
        <f t="shared" ca="1" si="250"/>
        <v>44810</v>
      </c>
      <c r="E2033" s="1" t="s">
        <v>26</v>
      </c>
      <c r="F2033" s="1" t="s">
        <v>2061</v>
      </c>
      <c r="G2033" s="1" t="s">
        <v>28</v>
      </c>
      <c r="H2033" s="1">
        <v>2131</v>
      </c>
      <c r="I2033" s="1">
        <f t="shared" si="252"/>
        <v>71</v>
      </c>
      <c r="J2033" s="1">
        <f>VLOOKUP(B2033,Cena!$A$2:$B$101,2)</f>
        <v>132</v>
      </c>
      <c r="K2033" s="1">
        <f t="shared" si="256"/>
        <v>9372</v>
      </c>
      <c r="L2033" s="1">
        <f t="shared" si="253"/>
        <v>2155.56</v>
      </c>
      <c r="M2033" s="22">
        <f t="shared" si="257"/>
        <v>11527.56</v>
      </c>
      <c r="N2033" s="1">
        <f t="shared" ca="1" si="254"/>
        <v>9</v>
      </c>
      <c r="P2033" s="1">
        <v>71.086543711135164</v>
      </c>
      <c r="Q2033" s="1">
        <f t="shared" ca="1" si="255"/>
        <v>4</v>
      </c>
      <c r="R2033" s="1">
        <v>10.498710051033413</v>
      </c>
    </row>
    <row r="2034" spans="1:18" x14ac:dyDescent="0.3">
      <c r="A2034" s="26">
        <v>2033</v>
      </c>
      <c r="B2034" s="1">
        <v>16</v>
      </c>
      <c r="C2034" s="1">
        <f t="shared" si="251"/>
        <v>12</v>
      </c>
      <c r="D2034" s="21">
        <f t="shared" ca="1" si="250"/>
        <v>44815</v>
      </c>
      <c r="E2034" s="1" t="s">
        <v>26</v>
      </c>
      <c r="F2034" s="1" t="s">
        <v>2062</v>
      </c>
      <c r="G2034" s="1" t="s">
        <v>28</v>
      </c>
      <c r="H2034" s="1">
        <v>2132</v>
      </c>
      <c r="I2034" s="1">
        <f t="shared" si="252"/>
        <v>50</v>
      </c>
      <c r="J2034" s="1">
        <f>VLOOKUP(B2034,Cena!$A$2:$B$101,2)</f>
        <v>93</v>
      </c>
      <c r="K2034" s="1">
        <f t="shared" si="256"/>
        <v>4650</v>
      </c>
      <c r="L2034" s="1">
        <f t="shared" si="253"/>
        <v>1069.5</v>
      </c>
      <c r="M2034" s="22">
        <f t="shared" si="257"/>
        <v>5719.5</v>
      </c>
      <c r="N2034" s="1">
        <f t="shared" ca="1" si="254"/>
        <v>9</v>
      </c>
      <c r="P2034" s="1">
        <v>50.294176061288454</v>
      </c>
      <c r="Q2034" s="1">
        <f t="shared" ca="1" si="255"/>
        <v>5</v>
      </c>
      <c r="R2034" s="1">
        <v>12.769832008198136</v>
      </c>
    </row>
    <row r="2035" spans="1:18" x14ac:dyDescent="0.3">
      <c r="A2035" s="26">
        <v>2034</v>
      </c>
      <c r="B2035" s="1">
        <v>28</v>
      </c>
      <c r="C2035" s="1">
        <f t="shared" si="251"/>
        <v>8</v>
      </c>
      <c r="D2035" s="21">
        <f t="shared" ca="1" si="250"/>
        <v>44589</v>
      </c>
      <c r="E2035" s="1" t="s">
        <v>26</v>
      </c>
      <c r="F2035" s="1" t="s">
        <v>2063</v>
      </c>
      <c r="G2035" s="1" t="s">
        <v>28</v>
      </c>
      <c r="H2035" s="1">
        <v>2133</v>
      </c>
      <c r="I2035" s="1">
        <f t="shared" si="252"/>
        <v>39</v>
      </c>
      <c r="J2035" s="1">
        <f>VLOOKUP(B2035,Cena!$A$2:$B$101,2)</f>
        <v>59</v>
      </c>
      <c r="K2035" s="1">
        <f t="shared" si="256"/>
        <v>2301</v>
      </c>
      <c r="L2035" s="1">
        <f t="shared" si="253"/>
        <v>529.23</v>
      </c>
      <c r="M2035" s="22">
        <f t="shared" si="257"/>
        <v>2830.23</v>
      </c>
      <c r="N2035" s="1">
        <f t="shared" ca="1" si="254"/>
        <v>1</v>
      </c>
      <c r="P2035" s="1">
        <v>39.511775311257225</v>
      </c>
      <c r="Q2035" s="1">
        <f t="shared" ca="1" si="255"/>
        <v>13</v>
      </c>
      <c r="R2035" s="1">
        <v>8.9279359624561039</v>
      </c>
    </row>
    <row r="2036" spans="1:18" x14ac:dyDescent="0.3">
      <c r="A2036" s="26">
        <v>2035</v>
      </c>
      <c r="B2036" s="1">
        <v>6</v>
      </c>
      <c r="C2036" s="1">
        <f t="shared" si="251"/>
        <v>11</v>
      </c>
      <c r="D2036" s="21">
        <f t="shared" ca="1" si="250"/>
        <v>44719</v>
      </c>
      <c r="E2036" s="1" t="s">
        <v>26</v>
      </c>
      <c r="F2036" s="1" t="s">
        <v>2064</v>
      </c>
      <c r="G2036" s="1" t="s">
        <v>28</v>
      </c>
      <c r="H2036" s="1">
        <v>2134</v>
      </c>
      <c r="I2036" s="1">
        <f t="shared" si="252"/>
        <v>38</v>
      </c>
      <c r="J2036" s="1">
        <f>VLOOKUP(B2036,Cena!$A$2:$B$101,2)</f>
        <v>86</v>
      </c>
      <c r="K2036" s="1">
        <f t="shared" si="256"/>
        <v>3268</v>
      </c>
      <c r="L2036" s="1">
        <f t="shared" si="253"/>
        <v>751.64</v>
      </c>
      <c r="M2036" s="22">
        <f t="shared" si="257"/>
        <v>4019.64</v>
      </c>
      <c r="N2036" s="1">
        <f t="shared" ca="1" si="254"/>
        <v>6</v>
      </c>
      <c r="P2036" s="1">
        <v>38.814079188159667</v>
      </c>
      <c r="Q2036" s="1">
        <f t="shared" ca="1" si="255"/>
        <v>23</v>
      </c>
      <c r="R2036" s="1">
        <v>11.903214297271916</v>
      </c>
    </row>
    <row r="2037" spans="1:18" x14ac:dyDescent="0.3">
      <c r="A2037" s="26">
        <v>2036</v>
      </c>
      <c r="B2037" s="1">
        <v>19</v>
      </c>
      <c r="C2037" s="1">
        <f t="shared" si="251"/>
        <v>13</v>
      </c>
      <c r="D2037" s="21">
        <f t="shared" ca="1" si="250"/>
        <v>44570</v>
      </c>
      <c r="E2037" s="1" t="s">
        <v>26</v>
      </c>
      <c r="F2037" s="1" t="s">
        <v>2065</v>
      </c>
      <c r="G2037" s="1" t="s">
        <v>28</v>
      </c>
      <c r="H2037" s="1">
        <v>2135</v>
      </c>
      <c r="I2037" s="1">
        <f t="shared" si="252"/>
        <v>45</v>
      </c>
      <c r="J2037" s="1">
        <f>VLOOKUP(B2037,Cena!$A$2:$B$101,2)</f>
        <v>84</v>
      </c>
      <c r="K2037" s="1">
        <f t="shared" si="256"/>
        <v>3780</v>
      </c>
      <c r="L2037" s="1">
        <f t="shared" si="253"/>
        <v>869.40000000000009</v>
      </c>
      <c r="M2037" s="22">
        <f t="shared" si="257"/>
        <v>4649.3999999999996</v>
      </c>
      <c r="N2037" s="1">
        <f t="shared" ca="1" si="254"/>
        <v>1</v>
      </c>
      <c r="P2037" s="1">
        <v>45.476559888629708</v>
      </c>
      <c r="Q2037" s="1">
        <f t="shared" ca="1" si="255"/>
        <v>24</v>
      </c>
      <c r="R2037" s="1">
        <v>13.323464170534862</v>
      </c>
    </row>
    <row r="2038" spans="1:18" x14ac:dyDescent="0.3">
      <c r="A2038" s="26">
        <v>2037</v>
      </c>
      <c r="B2038" s="1">
        <v>11</v>
      </c>
      <c r="C2038" s="1">
        <f t="shared" si="251"/>
        <v>10</v>
      </c>
      <c r="D2038" s="21">
        <f t="shared" ca="1" si="250"/>
        <v>44756</v>
      </c>
      <c r="E2038" s="1" t="s">
        <v>26</v>
      </c>
      <c r="F2038" s="1" t="s">
        <v>2066</v>
      </c>
      <c r="G2038" s="1" t="s">
        <v>28</v>
      </c>
      <c r="H2038" s="1">
        <v>2136</v>
      </c>
      <c r="I2038" s="1">
        <f t="shared" si="252"/>
        <v>45</v>
      </c>
      <c r="J2038" s="1">
        <f>VLOOKUP(B2038,Cena!$A$2:$B$101,2)</f>
        <v>83</v>
      </c>
      <c r="K2038" s="1">
        <f t="shared" si="256"/>
        <v>3735</v>
      </c>
      <c r="L2038" s="1">
        <f t="shared" si="253"/>
        <v>859.05000000000007</v>
      </c>
      <c r="M2038" s="22">
        <f t="shared" si="257"/>
        <v>4594.05</v>
      </c>
      <c r="N2038" s="1">
        <f t="shared" ca="1" si="254"/>
        <v>7</v>
      </c>
      <c r="P2038" s="1">
        <v>45.934615526493872</v>
      </c>
      <c r="Q2038" s="1">
        <f t="shared" ca="1" si="255"/>
        <v>11</v>
      </c>
      <c r="R2038" s="1">
        <v>10.874993588695361</v>
      </c>
    </row>
    <row r="2039" spans="1:18" x14ac:dyDescent="0.3">
      <c r="A2039" s="26">
        <v>2038</v>
      </c>
      <c r="B2039" s="1">
        <v>11</v>
      </c>
      <c r="C2039" s="1">
        <f t="shared" si="251"/>
        <v>6</v>
      </c>
      <c r="D2039" s="21">
        <f t="shared" ca="1" si="250"/>
        <v>44738</v>
      </c>
      <c r="E2039" s="1" t="s">
        <v>26</v>
      </c>
      <c r="F2039" s="1" t="s">
        <v>2067</v>
      </c>
      <c r="G2039" s="1" t="s">
        <v>28</v>
      </c>
      <c r="H2039" s="1">
        <v>2137</v>
      </c>
      <c r="I2039" s="1">
        <f t="shared" si="252"/>
        <v>61</v>
      </c>
      <c r="J2039" s="1">
        <f>VLOOKUP(B2039,Cena!$A$2:$B$101,2)</f>
        <v>83</v>
      </c>
      <c r="K2039" s="1">
        <f t="shared" si="256"/>
        <v>5063</v>
      </c>
      <c r="L2039" s="1">
        <f t="shared" si="253"/>
        <v>1164.49</v>
      </c>
      <c r="M2039" s="22">
        <f t="shared" si="257"/>
        <v>6227.49</v>
      </c>
      <c r="N2039" s="1">
        <f t="shared" ca="1" si="254"/>
        <v>6</v>
      </c>
      <c r="P2039" s="1">
        <v>61.556858225958422</v>
      </c>
      <c r="Q2039" s="1">
        <f t="shared" ca="1" si="255"/>
        <v>5</v>
      </c>
      <c r="R2039" s="1">
        <v>6.4497874316293746</v>
      </c>
    </row>
    <row r="2040" spans="1:18" x14ac:dyDescent="0.3">
      <c r="A2040" s="26">
        <v>2039</v>
      </c>
      <c r="B2040" s="1">
        <v>15</v>
      </c>
      <c r="C2040" s="1">
        <f t="shared" si="251"/>
        <v>9</v>
      </c>
      <c r="D2040" s="21">
        <f t="shared" ca="1" si="250"/>
        <v>44799</v>
      </c>
      <c r="E2040" s="1" t="s">
        <v>26</v>
      </c>
      <c r="F2040" s="1" t="s">
        <v>2068</v>
      </c>
      <c r="G2040" s="1" t="s">
        <v>28</v>
      </c>
      <c r="H2040" s="1">
        <v>2138</v>
      </c>
      <c r="I2040" s="1">
        <f t="shared" si="252"/>
        <v>62</v>
      </c>
      <c r="J2040" s="1">
        <f>VLOOKUP(B2040,Cena!$A$2:$B$101,2)</f>
        <v>85</v>
      </c>
      <c r="K2040" s="1">
        <f t="shared" si="256"/>
        <v>5270</v>
      </c>
      <c r="L2040" s="1">
        <f t="shared" si="253"/>
        <v>1212.1000000000001</v>
      </c>
      <c r="M2040" s="22">
        <f t="shared" si="257"/>
        <v>6482.1</v>
      </c>
      <c r="N2040" s="1">
        <f t="shared" ca="1" si="254"/>
        <v>8</v>
      </c>
      <c r="P2040" s="1">
        <v>62.137047633586917</v>
      </c>
      <c r="Q2040" s="1">
        <f t="shared" ca="1" si="255"/>
        <v>29</v>
      </c>
      <c r="R2040" s="1">
        <v>9.2803736859059427</v>
      </c>
    </row>
    <row r="2041" spans="1:18" x14ac:dyDescent="0.3">
      <c r="A2041" s="26">
        <v>2040</v>
      </c>
      <c r="B2041" s="1">
        <v>23</v>
      </c>
      <c r="C2041" s="1">
        <f t="shared" si="251"/>
        <v>10</v>
      </c>
      <c r="D2041" s="21">
        <f t="shared" ca="1" si="250"/>
        <v>44697</v>
      </c>
      <c r="E2041" s="1" t="s">
        <v>26</v>
      </c>
      <c r="F2041" s="1" t="s">
        <v>2069</v>
      </c>
      <c r="G2041" s="1" t="s">
        <v>28</v>
      </c>
      <c r="H2041" s="1">
        <v>2139</v>
      </c>
      <c r="I2041" s="1">
        <f t="shared" si="252"/>
        <v>47</v>
      </c>
      <c r="J2041" s="1">
        <f>VLOOKUP(B2041,Cena!$A$2:$B$101,2)</f>
        <v>132</v>
      </c>
      <c r="K2041" s="1">
        <f t="shared" si="256"/>
        <v>6204</v>
      </c>
      <c r="L2041" s="1">
        <f t="shared" si="253"/>
        <v>1426.92</v>
      </c>
      <c r="M2041" s="22">
        <f t="shared" si="257"/>
        <v>7630.92</v>
      </c>
      <c r="N2041" s="1">
        <f t="shared" ca="1" si="254"/>
        <v>5</v>
      </c>
      <c r="P2041" s="1">
        <v>47.964550857432187</v>
      </c>
      <c r="Q2041" s="1">
        <f t="shared" ca="1" si="255"/>
        <v>17</v>
      </c>
      <c r="R2041" s="1">
        <v>10.155102952703601</v>
      </c>
    </row>
    <row r="2042" spans="1:18" x14ac:dyDescent="0.3">
      <c r="A2042" s="26">
        <v>2041</v>
      </c>
      <c r="B2042" s="1">
        <v>22</v>
      </c>
      <c r="C2042" s="1">
        <f t="shared" si="251"/>
        <v>10</v>
      </c>
      <c r="D2042" s="21">
        <f t="shared" ca="1" si="250"/>
        <v>44757</v>
      </c>
      <c r="E2042" s="1" t="s">
        <v>26</v>
      </c>
      <c r="F2042" s="1" t="s">
        <v>2070</v>
      </c>
      <c r="G2042" s="1" t="s">
        <v>28</v>
      </c>
      <c r="H2042" s="1">
        <v>2140</v>
      </c>
      <c r="I2042" s="1">
        <f t="shared" si="252"/>
        <v>47</v>
      </c>
      <c r="J2042" s="1">
        <f>VLOOKUP(B2042,Cena!$A$2:$B$101,2)</f>
        <v>103</v>
      </c>
      <c r="K2042" s="1">
        <f t="shared" si="256"/>
        <v>4841</v>
      </c>
      <c r="L2042" s="1">
        <f t="shared" si="253"/>
        <v>1113.43</v>
      </c>
      <c r="M2042" s="22">
        <f t="shared" si="257"/>
        <v>5954.43</v>
      </c>
      <c r="N2042" s="1">
        <f t="shared" ca="1" si="254"/>
        <v>7</v>
      </c>
      <c r="P2042" s="1">
        <v>47.669976892211707</v>
      </c>
      <c r="Q2042" s="1">
        <f t="shared" ca="1" si="255"/>
        <v>19</v>
      </c>
      <c r="R2042" s="1">
        <v>10.220120455196593</v>
      </c>
    </row>
    <row r="2043" spans="1:18" x14ac:dyDescent="0.3">
      <c r="A2043" s="26">
        <v>2042</v>
      </c>
      <c r="B2043" s="1">
        <v>17</v>
      </c>
      <c r="C2043" s="1">
        <f t="shared" si="251"/>
        <v>12</v>
      </c>
      <c r="D2043" s="21">
        <f t="shared" ca="1" si="250"/>
        <v>44898</v>
      </c>
      <c r="E2043" s="1" t="s">
        <v>26</v>
      </c>
      <c r="F2043" s="1" t="s">
        <v>2071</v>
      </c>
      <c r="G2043" s="1" t="s">
        <v>28</v>
      </c>
      <c r="H2043" s="1">
        <v>2141</v>
      </c>
      <c r="I2043" s="1">
        <f t="shared" si="252"/>
        <v>45</v>
      </c>
      <c r="J2043" s="1">
        <f>VLOOKUP(B2043,Cena!$A$2:$B$101,2)</f>
        <v>84</v>
      </c>
      <c r="K2043" s="1">
        <f t="shared" si="256"/>
        <v>3780</v>
      </c>
      <c r="L2043" s="1">
        <f t="shared" si="253"/>
        <v>869.40000000000009</v>
      </c>
      <c r="M2043" s="22">
        <f t="shared" si="257"/>
        <v>4649.3999999999996</v>
      </c>
      <c r="N2043" s="1">
        <f t="shared" ca="1" si="254"/>
        <v>12</v>
      </c>
      <c r="P2043" s="1">
        <v>45.940424923901446</v>
      </c>
      <c r="Q2043" s="1">
        <f t="shared" ca="1" si="255"/>
        <v>29</v>
      </c>
      <c r="R2043" s="1">
        <v>12.875827931347885</v>
      </c>
    </row>
    <row r="2044" spans="1:18" x14ac:dyDescent="0.3">
      <c r="A2044" s="26">
        <v>2043</v>
      </c>
      <c r="B2044" s="1">
        <v>17</v>
      </c>
      <c r="C2044" s="1">
        <f t="shared" si="251"/>
        <v>8</v>
      </c>
      <c r="D2044" s="21">
        <f t="shared" ca="1" si="250"/>
        <v>44660</v>
      </c>
      <c r="E2044" s="1" t="s">
        <v>26</v>
      </c>
      <c r="F2044" s="1" t="s">
        <v>2072</v>
      </c>
      <c r="G2044" s="1" t="s">
        <v>28</v>
      </c>
      <c r="H2044" s="1">
        <v>2142</v>
      </c>
      <c r="I2044" s="1">
        <f t="shared" si="252"/>
        <v>47</v>
      </c>
      <c r="J2044" s="1">
        <f>VLOOKUP(B2044,Cena!$A$2:$B$101,2)</f>
        <v>84</v>
      </c>
      <c r="K2044" s="1">
        <f t="shared" si="256"/>
        <v>3948</v>
      </c>
      <c r="L2044" s="1">
        <f t="shared" si="253"/>
        <v>908.04000000000008</v>
      </c>
      <c r="M2044" s="22">
        <f t="shared" si="257"/>
        <v>4856.04</v>
      </c>
      <c r="N2044" s="1">
        <f t="shared" ca="1" si="254"/>
        <v>4</v>
      </c>
      <c r="P2044" s="1">
        <v>47.026475284656044</v>
      </c>
      <c r="Q2044" s="1">
        <f t="shared" ca="1" si="255"/>
        <v>11</v>
      </c>
      <c r="R2044" s="1">
        <v>8.7630189934861846</v>
      </c>
    </row>
    <row r="2045" spans="1:18" x14ac:dyDescent="0.3">
      <c r="A2045" s="26">
        <v>2044</v>
      </c>
      <c r="B2045" s="1">
        <v>2</v>
      </c>
      <c r="C2045" s="1">
        <f t="shared" si="251"/>
        <v>9</v>
      </c>
      <c r="D2045" s="21">
        <f t="shared" ca="1" si="250"/>
        <v>44586</v>
      </c>
      <c r="E2045" s="1" t="s">
        <v>26</v>
      </c>
      <c r="F2045" s="1" t="s">
        <v>2073</v>
      </c>
      <c r="G2045" s="1" t="s">
        <v>28</v>
      </c>
      <c r="H2045" s="1">
        <v>2143</v>
      </c>
      <c r="I2045" s="1">
        <f t="shared" si="252"/>
        <v>52</v>
      </c>
      <c r="J2045" s="1">
        <f>VLOOKUP(B2045,Cena!$A$2:$B$101,2)</f>
        <v>121</v>
      </c>
      <c r="K2045" s="1">
        <f t="shared" si="256"/>
        <v>6292</v>
      </c>
      <c r="L2045" s="1">
        <f t="shared" si="253"/>
        <v>1447.16</v>
      </c>
      <c r="M2045" s="22">
        <f t="shared" si="257"/>
        <v>7739.16</v>
      </c>
      <c r="N2045" s="1">
        <f t="shared" ca="1" si="254"/>
        <v>1</v>
      </c>
      <c r="P2045" s="1">
        <v>52.403976395726204</v>
      </c>
      <c r="Q2045" s="1">
        <f t="shared" ca="1" si="255"/>
        <v>16</v>
      </c>
      <c r="R2045" s="1">
        <v>9.5924724771612091</v>
      </c>
    </row>
    <row r="2046" spans="1:18" x14ac:dyDescent="0.3">
      <c r="A2046" s="26">
        <v>2045</v>
      </c>
      <c r="B2046" s="1">
        <v>11</v>
      </c>
      <c r="C2046" s="1">
        <f t="shared" si="251"/>
        <v>12</v>
      </c>
      <c r="D2046" s="21">
        <f t="shared" ca="1" si="250"/>
        <v>44715</v>
      </c>
      <c r="E2046" s="1" t="s">
        <v>26</v>
      </c>
      <c r="F2046" s="1" t="s">
        <v>2074</v>
      </c>
      <c r="G2046" s="1" t="s">
        <v>28</v>
      </c>
      <c r="H2046" s="1">
        <v>2144</v>
      </c>
      <c r="I2046" s="1">
        <f t="shared" si="252"/>
        <v>60</v>
      </c>
      <c r="J2046" s="1">
        <f>VLOOKUP(B2046,Cena!$A$2:$B$101,2)</f>
        <v>83</v>
      </c>
      <c r="K2046" s="1">
        <f t="shared" si="256"/>
        <v>4980</v>
      </c>
      <c r="L2046" s="1">
        <f t="shared" si="253"/>
        <v>1145.4000000000001</v>
      </c>
      <c r="M2046" s="22">
        <f t="shared" si="257"/>
        <v>6125.4</v>
      </c>
      <c r="N2046" s="1">
        <f t="shared" ca="1" si="254"/>
        <v>6</v>
      </c>
      <c r="P2046" s="1">
        <v>60.671647032722831</v>
      </c>
      <c r="Q2046" s="1">
        <f t="shared" ca="1" si="255"/>
        <v>24</v>
      </c>
      <c r="R2046" s="1">
        <v>12.91585138256778</v>
      </c>
    </row>
    <row r="2047" spans="1:18" x14ac:dyDescent="0.3">
      <c r="A2047" s="26">
        <v>2046</v>
      </c>
      <c r="B2047" s="1">
        <v>12</v>
      </c>
      <c r="C2047" s="1">
        <f t="shared" si="251"/>
        <v>8</v>
      </c>
      <c r="D2047" s="21">
        <f t="shared" ca="1" si="250"/>
        <v>44623</v>
      </c>
      <c r="E2047" s="1" t="s">
        <v>26</v>
      </c>
      <c r="F2047" s="1" t="s">
        <v>2075</v>
      </c>
      <c r="G2047" s="1" t="s">
        <v>28</v>
      </c>
      <c r="H2047" s="1">
        <v>2145</v>
      </c>
      <c r="I2047" s="1">
        <f t="shared" si="252"/>
        <v>40</v>
      </c>
      <c r="J2047" s="1">
        <f>VLOOKUP(B2047,Cena!$A$2:$B$101,2)</f>
        <v>88</v>
      </c>
      <c r="K2047" s="1">
        <f t="shared" si="256"/>
        <v>3520</v>
      </c>
      <c r="L2047" s="1">
        <f t="shared" si="253"/>
        <v>809.6</v>
      </c>
      <c r="M2047" s="22">
        <f t="shared" si="257"/>
        <v>4329.6000000000004</v>
      </c>
      <c r="N2047" s="1">
        <f t="shared" ca="1" si="254"/>
        <v>3</v>
      </c>
      <c r="P2047" s="1">
        <v>40.773926583642606</v>
      </c>
      <c r="Q2047" s="1">
        <f t="shared" ca="1" si="255"/>
        <v>28</v>
      </c>
      <c r="R2047" s="1">
        <v>8.4219982707145391</v>
      </c>
    </row>
    <row r="2048" spans="1:18" x14ac:dyDescent="0.3">
      <c r="A2048" s="26">
        <v>2047</v>
      </c>
      <c r="B2048" s="1">
        <v>16</v>
      </c>
      <c r="C2048" s="1">
        <f t="shared" si="251"/>
        <v>14</v>
      </c>
      <c r="D2048" s="21">
        <f t="shared" ca="1" si="250"/>
        <v>44572</v>
      </c>
      <c r="E2048" s="1" t="s">
        <v>26</v>
      </c>
      <c r="F2048" s="1" t="s">
        <v>2076</v>
      </c>
      <c r="G2048" s="1" t="s">
        <v>28</v>
      </c>
      <c r="H2048" s="1">
        <v>2146</v>
      </c>
      <c r="I2048" s="1">
        <f t="shared" si="252"/>
        <v>74</v>
      </c>
      <c r="J2048" s="1">
        <f>VLOOKUP(B2048,Cena!$A$2:$B$101,2)</f>
        <v>93</v>
      </c>
      <c r="K2048" s="1">
        <f t="shared" si="256"/>
        <v>6882</v>
      </c>
      <c r="L2048" s="1">
        <f t="shared" si="253"/>
        <v>1582.8600000000001</v>
      </c>
      <c r="M2048" s="22">
        <f t="shared" si="257"/>
        <v>8464.86</v>
      </c>
      <c r="N2048" s="1">
        <f t="shared" ca="1" si="254"/>
        <v>1</v>
      </c>
      <c r="P2048" s="1">
        <v>74.17546056676656</v>
      </c>
      <c r="Q2048" s="1">
        <f t="shared" ca="1" si="255"/>
        <v>5</v>
      </c>
      <c r="R2048" s="1">
        <v>14.383537088870071</v>
      </c>
    </row>
    <row r="2049" spans="1:18" x14ac:dyDescent="0.3">
      <c r="A2049" s="26">
        <v>2048</v>
      </c>
      <c r="B2049" s="1">
        <v>4</v>
      </c>
      <c r="C2049" s="1">
        <f t="shared" si="251"/>
        <v>12</v>
      </c>
      <c r="D2049" s="21">
        <f t="shared" ca="1" si="250"/>
        <v>44577</v>
      </c>
      <c r="E2049" s="1" t="s">
        <v>26</v>
      </c>
      <c r="F2049" s="1" t="s">
        <v>2077</v>
      </c>
      <c r="G2049" s="1" t="s">
        <v>28</v>
      </c>
      <c r="H2049" s="1">
        <v>2147</v>
      </c>
      <c r="I2049" s="1">
        <f t="shared" si="252"/>
        <v>48</v>
      </c>
      <c r="J2049" s="1">
        <f>VLOOKUP(B2049,Cena!$A$2:$B$101,2)</f>
        <v>99</v>
      </c>
      <c r="K2049" s="1">
        <f t="shared" si="256"/>
        <v>4752</v>
      </c>
      <c r="L2049" s="1">
        <f t="shared" si="253"/>
        <v>1092.96</v>
      </c>
      <c r="M2049" s="22">
        <f t="shared" si="257"/>
        <v>5844.96</v>
      </c>
      <c r="N2049" s="1">
        <f t="shared" ca="1" si="254"/>
        <v>1</v>
      </c>
      <c r="P2049" s="1">
        <v>48.002033407829003</v>
      </c>
      <c r="Q2049" s="1">
        <f t="shared" ca="1" si="255"/>
        <v>3</v>
      </c>
      <c r="R2049" s="1">
        <v>12.275373844895512</v>
      </c>
    </row>
    <row r="2050" spans="1:18" x14ac:dyDescent="0.3">
      <c r="A2050" s="26">
        <v>2049</v>
      </c>
      <c r="B2050" s="1">
        <v>11</v>
      </c>
      <c r="C2050" s="1">
        <f t="shared" si="251"/>
        <v>9</v>
      </c>
      <c r="D2050" s="21">
        <f t="shared" ref="D2050:D2113" ca="1" si="258">DATE(2022,RANDBETWEEN(1,12),RANDBETWEEN(1,28))</f>
        <v>44888</v>
      </c>
      <c r="E2050" s="1" t="s">
        <v>26</v>
      </c>
      <c r="F2050" s="1" t="s">
        <v>2078</v>
      </c>
      <c r="G2050" s="1" t="s">
        <v>28</v>
      </c>
      <c r="H2050" s="1">
        <v>2148</v>
      </c>
      <c r="I2050" s="1">
        <f t="shared" si="252"/>
        <v>47</v>
      </c>
      <c r="J2050" s="1">
        <f>VLOOKUP(B2050,Cena!$A$2:$B$101,2)</f>
        <v>83</v>
      </c>
      <c r="K2050" s="1">
        <f t="shared" si="256"/>
        <v>3901</v>
      </c>
      <c r="L2050" s="1">
        <f t="shared" si="253"/>
        <v>897.23</v>
      </c>
      <c r="M2050" s="22">
        <f t="shared" si="257"/>
        <v>4798.2299999999996</v>
      </c>
      <c r="N2050" s="1">
        <f t="shared" ca="1" si="254"/>
        <v>11</v>
      </c>
      <c r="P2050" s="1">
        <v>47.840996002196334</v>
      </c>
      <c r="Q2050" s="1">
        <f t="shared" ca="1" si="255"/>
        <v>5</v>
      </c>
      <c r="R2050" s="1">
        <v>9.2356038092111703</v>
      </c>
    </row>
    <row r="2051" spans="1:18" x14ac:dyDescent="0.3">
      <c r="A2051" s="26">
        <v>2050</v>
      </c>
      <c r="B2051" s="1">
        <v>4</v>
      </c>
      <c r="C2051" s="1">
        <f t="shared" ref="C2051:C2114" si="259">INT(R2051)</f>
        <v>12</v>
      </c>
      <c r="D2051" s="21">
        <f t="shared" ca="1" si="258"/>
        <v>44891</v>
      </c>
      <c r="E2051" s="1" t="s">
        <v>26</v>
      </c>
      <c r="F2051" s="1" t="s">
        <v>2079</v>
      </c>
      <c r="G2051" s="1" t="s">
        <v>28</v>
      </c>
      <c r="H2051" s="1">
        <v>2149</v>
      </c>
      <c r="I2051" s="1">
        <f t="shared" ref="I2051:I2114" si="260">INT(P2051)</f>
        <v>47</v>
      </c>
      <c r="J2051" s="1">
        <f>VLOOKUP(B2051,Cena!$A$2:$B$101,2)</f>
        <v>99</v>
      </c>
      <c r="K2051" s="1">
        <f t="shared" si="256"/>
        <v>4653</v>
      </c>
      <c r="L2051" s="1">
        <f t="shared" ref="L2051:L2114" si="261">K2051*23%</f>
        <v>1070.19</v>
      </c>
      <c r="M2051" s="22">
        <f t="shared" si="257"/>
        <v>5723.1900000000005</v>
      </c>
      <c r="N2051" s="1">
        <f t="shared" ref="N2051:N2114" ca="1" si="262">MONTH(D2051)</f>
        <v>11</v>
      </c>
      <c r="P2051" s="1">
        <v>47.934867224103073</v>
      </c>
      <c r="Q2051" s="1">
        <f t="shared" ref="Q2051:Q2114" ca="1" si="263">RANDBETWEEN(1,30)</f>
        <v>6</v>
      </c>
      <c r="R2051" s="1">
        <v>12.61940726886678</v>
      </c>
    </row>
    <row r="2052" spans="1:18" x14ac:dyDescent="0.3">
      <c r="A2052" s="26">
        <v>2051</v>
      </c>
      <c r="B2052" s="1">
        <v>5</v>
      </c>
      <c r="C2052" s="1">
        <f t="shared" si="259"/>
        <v>11</v>
      </c>
      <c r="D2052" s="21">
        <f t="shared" ca="1" si="258"/>
        <v>44875</v>
      </c>
      <c r="E2052" s="1" t="s">
        <v>26</v>
      </c>
      <c r="F2052" s="1" t="s">
        <v>2080</v>
      </c>
      <c r="G2052" s="1" t="s">
        <v>28</v>
      </c>
      <c r="H2052" s="1">
        <v>2150</v>
      </c>
      <c r="I2052" s="1">
        <f t="shared" si="260"/>
        <v>49</v>
      </c>
      <c r="J2052" s="1">
        <f>VLOOKUP(B2052,Cena!$A$2:$B$101,2)</f>
        <v>91</v>
      </c>
      <c r="K2052" s="1">
        <f t="shared" si="256"/>
        <v>4459</v>
      </c>
      <c r="L2052" s="1">
        <f t="shared" si="261"/>
        <v>1025.57</v>
      </c>
      <c r="M2052" s="22">
        <f t="shared" si="257"/>
        <v>5484.57</v>
      </c>
      <c r="N2052" s="1">
        <f t="shared" ca="1" si="262"/>
        <v>11</v>
      </c>
      <c r="P2052" s="1">
        <v>49.542001205554698</v>
      </c>
      <c r="Q2052" s="1">
        <f t="shared" ca="1" si="263"/>
        <v>13</v>
      </c>
      <c r="R2052" s="1">
        <v>11.822684225771809</v>
      </c>
    </row>
    <row r="2053" spans="1:18" x14ac:dyDescent="0.3">
      <c r="A2053" s="26">
        <v>2052</v>
      </c>
      <c r="B2053" s="1">
        <v>6</v>
      </c>
      <c r="C2053" s="1">
        <f t="shared" si="259"/>
        <v>7</v>
      </c>
      <c r="D2053" s="21">
        <f t="shared" ca="1" si="258"/>
        <v>44615</v>
      </c>
      <c r="E2053" s="1" t="s">
        <v>26</v>
      </c>
      <c r="F2053" s="1" t="s">
        <v>2081</v>
      </c>
      <c r="G2053" s="1" t="s">
        <v>28</v>
      </c>
      <c r="H2053" s="1">
        <v>2151</v>
      </c>
      <c r="I2053" s="1">
        <f t="shared" si="260"/>
        <v>49</v>
      </c>
      <c r="J2053" s="1">
        <f>VLOOKUP(B2053,Cena!$A$2:$B$101,2)</f>
        <v>86</v>
      </c>
      <c r="K2053" s="1">
        <f t="shared" si="256"/>
        <v>4214</v>
      </c>
      <c r="L2053" s="1">
        <f t="shared" si="261"/>
        <v>969.22</v>
      </c>
      <c r="M2053" s="22">
        <f t="shared" si="257"/>
        <v>5183.22</v>
      </c>
      <c r="N2053" s="1">
        <f t="shared" ca="1" si="262"/>
        <v>2</v>
      </c>
      <c r="P2053" s="1">
        <v>49.529745764448307</v>
      </c>
      <c r="Q2053" s="1">
        <f t="shared" ca="1" si="263"/>
        <v>7</v>
      </c>
      <c r="R2053" s="1">
        <v>7.0544934058125364</v>
      </c>
    </row>
    <row r="2054" spans="1:18" x14ac:dyDescent="0.3">
      <c r="A2054" s="26">
        <v>2053</v>
      </c>
      <c r="B2054" s="1">
        <v>17</v>
      </c>
      <c r="C2054" s="1">
        <f t="shared" si="259"/>
        <v>16</v>
      </c>
      <c r="D2054" s="21">
        <f t="shared" ca="1" si="258"/>
        <v>44735</v>
      </c>
      <c r="E2054" s="1" t="s">
        <v>26</v>
      </c>
      <c r="F2054" s="1" t="s">
        <v>2082</v>
      </c>
      <c r="G2054" s="1" t="s">
        <v>28</v>
      </c>
      <c r="H2054" s="1">
        <v>2152</v>
      </c>
      <c r="I2054" s="1">
        <f t="shared" si="260"/>
        <v>40</v>
      </c>
      <c r="J2054" s="1">
        <f>VLOOKUP(B2054,Cena!$A$2:$B$101,2)</f>
        <v>84</v>
      </c>
      <c r="K2054" s="1">
        <f t="shared" si="256"/>
        <v>3360</v>
      </c>
      <c r="L2054" s="1">
        <f t="shared" si="261"/>
        <v>772.80000000000007</v>
      </c>
      <c r="M2054" s="22">
        <f t="shared" si="257"/>
        <v>4132.8</v>
      </c>
      <c r="N2054" s="1">
        <f t="shared" ca="1" si="262"/>
        <v>6</v>
      </c>
      <c r="P2054" s="1">
        <v>40.519199855043553</v>
      </c>
      <c r="Q2054" s="1">
        <f t="shared" ca="1" si="263"/>
        <v>13</v>
      </c>
      <c r="R2054" s="1">
        <v>16.630580173805356</v>
      </c>
    </row>
    <row r="2055" spans="1:18" x14ac:dyDescent="0.3">
      <c r="A2055" s="26">
        <v>2054</v>
      </c>
      <c r="B2055" s="1">
        <v>13</v>
      </c>
      <c r="C2055" s="1">
        <f t="shared" si="259"/>
        <v>9</v>
      </c>
      <c r="D2055" s="21">
        <f t="shared" ca="1" si="258"/>
        <v>44659</v>
      </c>
      <c r="E2055" s="1" t="s">
        <v>26</v>
      </c>
      <c r="F2055" s="1" t="s">
        <v>2083</v>
      </c>
      <c r="G2055" s="1" t="s">
        <v>28</v>
      </c>
      <c r="H2055" s="1">
        <v>2153</v>
      </c>
      <c r="I2055" s="1">
        <f t="shared" si="260"/>
        <v>56</v>
      </c>
      <c r="J2055" s="1">
        <f>VLOOKUP(B2055,Cena!$A$2:$B$101,2)</f>
        <v>94</v>
      </c>
      <c r="K2055" s="1">
        <f t="shared" si="256"/>
        <v>5264</v>
      </c>
      <c r="L2055" s="1">
        <f t="shared" si="261"/>
        <v>1210.72</v>
      </c>
      <c r="M2055" s="22">
        <f t="shared" si="257"/>
        <v>6474.72</v>
      </c>
      <c r="N2055" s="1">
        <f t="shared" ca="1" si="262"/>
        <v>4</v>
      </c>
      <c r="P2055" s="1">
        <v>56.941888841538457</v>
      </c>
      <c r="Q2055" s="1">
        <f t="shared" ca="1" si="263"/>
        <v>23</v>
      </c>
      <c r="R2055" s="1">
        <v>9.3946744325512554</v>
      </c>
    </row>
    <row r="2056" spans="1:18" x14ac:dyDescent="0.3">
      <c r="A2056" s="26">
        <v>2055</v>
      </c>
      <c r="B2056" s="1">
        <v>11</v>
      </c>
      <c r="C2056" s="1">
        <f t="shared" si="259"/>
        <v>5</v>
      </c>
      <c r="D2056" s="21">
        <f t="shared" ca="1" si="258"/>
        <v>44695</v>
      </c>
      <c r="E2056" s="1" t="s">
        <v>26</v>
      </c>
      <c r="F2056" s="1" t="s">
        <v>2084</v>
      </c>
      <c r="G2056" s="1" t="s">
        <v>28</v>
      </c>
      <c r="H2056" s="1">
        <v>2154</v>
      </c>
      <c r="I2056" s="1">
        <f t="shared" si="260"/>
        <v>46</v>
      </c>
      <c r="J2056" s="1">
        <f>VLOOKUP(B2056,Cena!$A$2:$B$101,2)</f>
        <v>83</v>
      </c>
      <c r="K2056" s="1">
        <f t="shared" si="256"/>
        <v>3818</v>
      </c>
      <c r="L2056" s="1">
        <f t="shared" si="261"/>
        <v>878.14</v>
      </c>
      <c r="M2056" s="22">
        <f t="shared" si="257"/>
        <v>4696.1400000000003</v>
      </c>
      <c r="N2056" s="1">
        <f t="shared" ca="1" si="262"/>
        <v>5</v>
      </c>
      <c r="P2056" s="1">
        <v>46.652525169338332</v>
      </c>
      <c r="Q2056" s="1">
        <f t="shared" ca="1" si="263"/>
        <v>27</v>
      </c>
      <c r="R2056" s="1">
        <v>5.8015905576758087</v>
      </c>
    </row>
    <row r="2057" spans="1:18" x14ac:dyDescent="0.3">
      <c r="A2057" s="26">
        <v>2056</v>
      </c>
      <c r="B2057" s="1">
        <v>24</v>
      </c>
      <c r="C2057" s="1">
        <f t="shared" si="259"/>
        <v>6</v>
      </c>
      <c r="D2057" s="21">
        <f t="shared" ca="1" si="258"/>
        <v>44900</v>
      </c>
      <c r="E2057" s="1" t="s">
        <v>26</v>
      </c>
      <c r="F2057" s="1" t="s">
        <v>2085</v>
      </c>
      <c r="G2057" s="1" t="s">
        <v>28</v>
      </c>
      <c r="H2057" s="1">
        <v>2155</v>
      </c>
      <c r="I2057" s="1">
        <f t="shared" si="260"/>
        <v>64</v>
      </c>
      <c r="J2057" s="1">
        <f>VLOOKUP(B2057,Cena!$A$2:$B$101,2)</f>
        <v>125</v>
      </c>
      <c r="K2057" s="1">
        <f t="shared" si="256"/>
        <v>8000</v>
      </c>
      <c r="L2057" s="1">
        <f t="shared" si="261"/>
        <v>1840</v>
      </c>
      <c r="M2057" s="22">
        <f t="shared" si="257"/>
        <v>9840</v>
      </c>
      <c r="N2057" s="1">
        <f t="shared" ca="1" si="262"/>
        <v>12</v>
      </c>
      <c r="P2057" s="1">
        <v>64.782244761590846</v>
      </c>
      <c r="Q2057" s="1">
        <f t="shared" ca="1" si="263"/>
        <v>6</v>
      </c>
      <c r="R2057" s="1">
        <v>6.3489017318352126</v>
      </c>
    </row>
    <row r="2058" spans="1:18" x14ac:dyDescent="0.3">
      <c r="A2058" s="26">
        <v>2057</v>
      </c>
      <c r="B2058" s="1">
        <v>19</v>
      </c>
      <c r="C2058" s="1">
        <f t="shared" si="259"/>
        <v>14</v>
      </c>
      <c r="D2058" s="21">
        <f t="shared" ca="1" si="258"/>
        <v>44575</v>
      </c>
      <c r="E2058" s="1" t="s">
        <v>26</v>
      </c>
      <c r="F2058" s="1" t="s">
        <v>2086</v>
      </c>
      <c r="G2058" s="1" t="s">
        <v>28</v>
      </c>
      <c r="H2058" s="1">
        <v>2156</v>
      </c>
      <c r="I2058" s="1">
        <f t="shared" si="260"/>
        <v>33</v>
      </c>
      <c r="J2058" s="1">
        <f>VLOOKUP(B2058,Cena!$A$2:$B$101,2)</f>
        <v>84</v>
      </c>
      <c r="K2058" s="1">
        <f t="shared" si="256"/>
        <v>2772</v>
      </c>
      <c r="L2058" s="1">
        <f t="shared" si="261"/>
        <v>637.56000000000006</v>
      </c>
      <c r="M2058" s="22">
        <f t="shared" si="257"/>
        <v>3409.56</v>
      </c>
      <c r="N2058" s="1">
        <f t="shared" ca="1" si="262"/>
        <v>1</v>
      </c>
      <c r="P2058" s="1">
        <v>33.466977937496267</v>
      </c>
      <c r="Q2058" s="1">
        <f t="shared" ca="1" si="263"/>
        <v>21</v>
      </c>
      <c r="R2058" s="1">
        <v>14.958928911946714</v>
      </c>
    </row>
    <row r="2059" spans="1:18" x14ac:dyDescent="0.3">
      <c r="A2059" s="26">
        <v>2058</v>
      </c>
      <c r="B2059" s="1">
        <v>2</v>
      </c>
      <c r="C2059" s="1">
        <f t="shared" si="259"/>
        <v>8</v>
      </c>
      <c r="D2059" s="21">
        <f t="shared" ca="1" si="258"/>
        <v>44576</v>
      </c>
      <c r="E2059" s="1" t="s">
        <v>26</v>
      </c>
      <c r="F2059" s="1" t="s">
        <v>2087</v>
      </c>
      <c r="G2059" s="1" t="s">
        <v>28</v>
      </c>
      <c r="H2059" s="1">
        <v>2157</v>
      </c>
      <c r="I2059" s="1">
        <f t="shared" si="260"/>
        <v>57</v>
      </c>
      <c r="J2059" s="1">
        <f>VLOOKUP(B2059,Cena!$A$2:$B$101,2)</f>
        <v>121</v>
      </c>
      <c r="K2059" s="1">
        <f t="shared" si="256"/>
        <v>6897</v>
      </c>
      <c r="L2059" s="1">
        <f t="shared" si="261"/>
        <v>1586.3100000000002</v>
      </c>
      <c r="M2059" s="22">
        <f t="shared" si="257"/>
        <v>8483.31</v>
      </c>
      <c r="N2059" s="1">
        <f t="shared" ca="1" si="262"/>
        <v>1</v>
      </c>
      <c r="P2059" s="1">
        <v>57.693870429648086</v>
      </c>
      <c r="Q2059" s="1">
        <f t="shared" ca="1" si="263"/>
        <v>29</v>
      </c>
      <c r="R2059" s="1">
        <v>8.7519828437143588</v>
      </c>
    </row>
    <row r="2060" spans="1:18" x14ac:dyDescent="0.3">
      <c r="A2060" s="26">
        <v>2059</v>
      </c>
      <c r="B2060" s="1">
        <v>24</v>
      </c>
      <c r="C2060" s="1">
        <f t="shared" si="259"/>
        <v>11</v>
      </c>
      <c r="D2060" s="21">
        <f t="shared" ca="1" si="258"/>
        <v>44871</v>
      </c>
      <c r="E2060" s="1" t="s">
        <v>26</v>
      </c>
      <c r="F2060" s="1" t="s">
        <v>2088</v>
      </c>
      <c r="G2060" s="1" t="s">
        <v>28</v>
      </c>
      <c r="H2060" s="1">
        <v>2158</v>
      </c>
      <c r="I2060" s="1">
        <f t="shared" si="260"/>
        <v>45</v>
      </c>
      <c r="J2060" s="1">
        <f>VLOOKUP(B2060,Cena!$A$2:$B$101,2)</f>
        <v>125</v>
      </c>
      <c r="K2060" s="1">
        <f t="shared" si="256"/>
        <v>5625</v>
      </c>
      <c r="L2060" s="1">
        <f t="shared" si="261"/>
        <v>1293.75</v>
      </c>
      <c r="M2060" s="22">
        <f t="shared" si="257"/>
        <v>6918.75</v>
      </c>
      <c r="N2060" s="1">
        <f t="shared" ca="1" si="262"/>
        <v>11</v>
      </c>
      <c r="P2060" s="1">
        <v>45.946245689992793</v>
      </c>
      <c r="Q2060" s="1">
        <f t="shared" ca="1" si="263"/>
        <v>13</v>
      </c>
      <c r="R2060" s="1">
        <v>11.400752580593689</v>
      </c>
    </row>
    <row r="2061" spans="1:18" x14ac:dyDescent="0.3">
      <c r="A2061" s="26">
        <v>2060</v>
      </c>
      <c r="B2061" s="1">
        <v>6</v>
      </c>
      <c r="C2061" s="1">
        <f t="shared" si="259"/>
        <v>7</v>
      </c>
      <c r="D2061" s="21">
        <f t="shared" ca="1" si="258"/>
        <v>44850</v>
      </c>
      <c r="E2061" s="1" t="s">
        <v>26</v>
      </c>
      <c r="F2061" s="1" t="s">
        <v>2089</v>
      </c>
      <c r="G2061" s="1" t="s">
        <v>28</v>
      </c>
      <c r="H2061" s="1">
        <v>2159</v>
      </c>
      <c r="I2061" s="1">
        <f t="shared" si="260"/>
        <v>60</v>
      </c>
      <c r="J2061" s="1">
        <f>VLOOKUP(B2061,Cena!$A$2:$B$101,2)</f>
        <v>86</v>
      </c>
      <c r="K2061" s="1">
        <f t="shared" si="256"/>
        <v>5160</v>
      </c>
      <c r="L2061" s="1">
        <f t="shared" si="261"/>
        <v>1186.8</v>
      </c>
      <c r="M2061" s="22">
        <f t="shared" si="257"/>
        <v>6346.8</v>
      </c>
      <c r="N2061" s="1">
        <f t="shared" ca="1" si="262"/>
        <v>10</v>
      </c>
      <c r="P2061" s="1">
        <v>60.464395927556325</v>
      </c>
      <c r="Q2061" s="1">
        <f t="shared" ca="1" si="263"/>
        <v>6</v>
      </c>
      <c r="R2061" s="1">
        <v>7.7951972596201813</v>
      </c>
    </row>
    <row r="2062" spans="1:18" x14ac:dyDescent="0.3">
      <c r="A2062" s="26">
        <v>2061</v>
      </c>
      <c r="B2062" s="1">
        <v>7</v>
      </c>
      <c r="C2062" s="1">
        <f t="shared" si="259"/>
        <v>10</v>
      </c>
      <c r="D2062" s="21">
        <f t="shared" ca="1" si="258"/>
        <v>44662</v>
      </c>
      <c r="E2062" s="1" t="s">
        <v>26</v>
      </c>
      <c r="F2062" s="1" t="s">
        <v>2090</v>
      </c>
      <c r="G2062" s="1" t="s">
        <v>28</v>
      </c>
      <c r="H2062" s="1">
        <v>2160</v>
      </c>
      <c r="I2062" s="1">
        <f t="shared" si="260"/>
        <v>60</v>
      </c>
      <c r="J2062" s="1">
        <f>VLOOKUP(B2062,Cena!$A$2:$B$101,2)</f>
        <v>104</v>
      </c>
      <c r="K2062" s="1">
        <f t="shared" si="256"/>
        <v>6240</v>
      </c>
      <c r="L2062" s="1">
        <f t="shared" si="261"/>
        <v>1435.2</v>
      </c>
      <c r="M2062" s="22">
        <f t="shared" si="257"/>
        <v>7675.2</v>
      </c>
      <c r="N2062" s="1">
        <f t="shared" ca="1" si="262"/>
        <v>4</v>
      </c>
      <c r="P2062" s="1">
        <v>60.018493412644602</v>
      </c>
      <c r="Q2062" s="1">
        <f t="shared" ca="1" si="263"/>
        <v>11</v>
      </c>
      <c r="R2062" s="1">
        <v>10.171587544173235</v>
      </c>
    </row>
    <row r="2063" spans="1:18" x14ac:dyDescent="0.3">
      <c r="A2063" s="26">
        <v>2062</v>
      </c>
      <c r="B2063" s="1">
        <v>3</v>
      </c>
      <c r="C2063" s="1">
        <f t="shared" si="259"/>
        <v>8</v>
      </c>
      <c r="D2063" s="21">
        <f t="shared" ca="1" si="258"/>
        <v>44876</v>
      </c>
      <c r="E2063" s="1" t="s">
        <v>26</v>
      </c>
      <c r="F2063" s="1" t="s">
        <v>2091</v>
      </c>
      <c r="G2063" s="1" t="s">
        <v>28</v>
      </c>
      <c r="H2063" s="1">
        <v>2161</v>
      </c>
      <c r="I2063" s="1">
        <f t="shared" si="260"/>
        <v>49</v>
      </c>
      <c r="J2063" s="1">
        <f>VLOOKUP(B2063,Cena!$A$2:$B$101,2)</f>
        <v>89</v>
      </c>
      <c r="K2063" s="1">
        <f t="shared" si="256"/>
        <v>4361</v>
      </c>
      <c r="L2063" s="1">
        <f t="shared" si="261"/>
        <v>1003.0300000000001</v>
      </c>
      <c r="M2063" s="22">
        <f t="shared" si="257"/>
        <v>5364.03</v>
      </c>
      <c r="N2063" s="1">
        <f t="shared" ca="1" si="262"/>
        <v>11</v>
      </c>
      <c r="P2063" s="1">
        <v>49.034241682238644</v>
      </c>
      <c r="Q2063" s="1">
        <f t="shared" ca="1" si="263"/>
        <v>30</v>
      </c>
      <c r="R2063" s="1">
        <v>8.0602950699903886</v>
      </c>
    </row>
    <row r="2064" spans="1:18" x14ac:dyDescent="0.3">
      <c r="A2064" s="26">
        <v>2063</v>
      </c>
      <c r="B2064" s="1">
        <v>20</v>
      </c>
      <c r="C2064" s="1">
        <f t="shared" si="259"/>
        <v>9</v>
      </c>
      <c r="D2064" s="21">
        <f t="shared" ca="1" si="258"/>
        <v>44678</v>
      </c>
      <c r="E2064" s="1" t="s">
        <v>26</v>
      </c>
      <c r="F2064" s="1" t="s">
        <v>2092</v>
      </c>
      <c r="G2064" s="1" t="s">
        <v>28</v>
      </c>
      <c r="H2064" s="1">
        <v>2162</v>
      </c>
      <c r="I2064" s="1">
        <f t="shared" si="260"/>
        <v>63</v>
      </c>
      <c r="J2064" s="1">
        <f>VLOOKUP(B2064,Cena!$A$2:$B$101,2)</f>
        <v>111</v>
      </c>
      <c r="K2064" s="1">
        <f t="shared" si="256"/>
        <v>6993</v>
      </c>
      <c r="L2064" s="1">
        <f t="shared" si="261"/>
        <v>1608.39</v>
      </c>
      <c r="M2064" s="22">
        <f t="shared" si="257"/>
        <v>8601.39</v>
      </c>
      <c r="N2064" s="1">
        <f t="shared" ca="1" si="262"/>
        <v>4</v>
      </c>
      <c r="P2064" s="1">
        <v>63.139924703864381</v>
      </c>
      <c r="Q2064" s="1">
        <f t="shared" ca="1" si="263"/>
        <v>18</v>
      </c>
      <c r="R2064" s="1">
        <v>9.9369777015090222</v>
      </c>
    </row>
    <row r="2065" spans="1:18" x14ac:dyDescent="0.3">
      <c r="A2065" s="26">
        <v>2064</v>
      </c>
      <c r="B2065" s="1">
        <v>6</v>
      </c>
      <c r="C2065" s="1">
        <f t="shared" si="259"/>
        <v>11</v>
      </c>
      <c r="D2065" s="21">
        <f t="shared" ca="1" si="258"/>
        <v>44868</v>
      </c>
      <c r="E2065" s="1" t="s">
        <v>26</v>
      </c>
      <c r="F2065" s="1" t="s">
        <v>2093</v>
      </c>
      <c r="G2065" s="1" t="s">
        <v>28</v>
      </c>
      <c r="H2065" s="1">
        <v>2163</v>
      </c>
      <c r="I2065" s="1">
        <f t="shared" si="260"/>
        <v>67</v>
      </c>
      <c r="J2065" s="1">
        <f>VLOOKUP(B2065,Cena!$A$2:$B$101,2)</f>
        <v>86</v>
      </c>
      <c r="K2065" s="1">
        <f t="shared" si="256"/>
        <v>5762</v>
      </c>
      <c r="L2065" s="1">
        <f t="shared" si="261"/>
        <v>1325.26</v>
      </c>
      <c r="M2065" s="22">
        <f t="shared" si="257"/>
        <v>7087.26</v>
      </c>
      <c r="N2065" s="1">
        <f t="shared" ca="1" si="262"/>
        <v>11</v>
      </c>
      <c r="P2065" s="1">
        <v>67.523461792734452</v>
      </c>
      <c r="Q2065" s="1">
        <f t="shared" ca="1" si="263"/>
        <v>29</v>
      </c>
      <c r="R2065" s="1">
        <v>11.615995870452025</v>
      </c>
    </row>
    <row r="2066" spans="1:18" x14ac:dyDescent="0.3">
      <c r="A2066" s="26">
        <v>2065</v>
      </c>
      <c r="B2066" s="1">
        <v>18</v>
      </c>
      <c r="C2066" s="1">
        <f t="shared" si="259"/>
        <v>16</v>
      </c>
      <c r="D2066" s="21">
        <f t="shared" ca="1" si="258"/>
        <v>44610</v>
      </c>
      <c r="E2066" s="1" t="s">
        <v>26</v>
      </c>
      <c r="F2066" s="1" t="s">
        <v>2094</v>
      </c>
      <c r="G2066" s="1" t="s">
        <v>28</v>
      </c>
      <c r="H2066" s="1">
        <v>2164</v>
      </c>
      <c r="I2066" s="1">
        <f t="shared" si="260"/>
        <v>43</v>
      </c>
      <c r="J2066" s="1">
        <f>VLOOKUP(B2066,Cena!$A$2:$B$101,2)</f>
        <v>90</v>
      </c>
      <c r="K2066" s="1">
        <f t="shared" si="256"/>
        <v>3870</v>
      </c>
      <c r="L2066" s="1">
        <f t="shared" si="261"/>
        <v>890.1</v>
      </c>
      <c r="M2066" s="22">
        <f t="shared" si="257"/>
        <v>4760.1000000000004</v>
      </c>
      <c r="N2066" s="1">
        <f t="shared" ca="1" si="262"/>
        <v>2</v>
      </c>
      <c r="P2066" s="1">
        <v>43.169626577582676</v>
      </c>
      <c r="Q2066" s="1">
        <f t="shared" ca="1" si="263"/>
        <v>26</v>
      </c>
      <c r="R2066" s="1">
        <v>16.054597179172561</v>
      </c>
    </row>
    <row r="2067" spans="1:18" x14ac:dyDescent="0.3">
      <c r="A2067" s="26">
        <v>2066</v>
      </c>
      <c r="B2067" s="1">
        <v>5</v>
      </c>
      <c r="C2067" s="1">
        <f t="shared" si="259"/>
        <v>7</v>
      </c>
      <c r="D2067" s="21">
        <f t="shared" ca="1" si="258"/>
        <v>44713</v>
      </c>
      <c r="E2067" s="1" t="s">
        <v>26</v>
      </c>
      <c r="F2067" s="1" t="s">
        <v>2095</v>
      </c>
      <c r="G2067" s="1" t="s">
        <v>28</v>
      </c>
      <c r="H2067" s="1">
        <v>2165</v>
      </c>
      <c r="I2067" s="1">
        <f t="shared" si="260"/>
        <v>55</v>
      </c>
      <c r="J2067" s="1">
        <f>VLOOKUP(B2067,Cena!$A$2:$B$101,2)</f>
        <v>91</v>
      </c>
      <c r="K2067" s="1">
        <f t="shared" si="256"/>
        <v>5005</v>
      </c>
      <c r="L2067" s="1">
        <f t="shared" si="261"/>
        <v>1151.1500000000001</v>
      </c>
      <c r="M2067" s="22">
        <f t="shared" si="257"/>
        <v>6156.15</v>
      </c>
      <c r="N2067" s="1">
        <f t="shared" ca="1" si="262"/>
        <v>6</v>
      </c>
      <c r="P2067" s="1">
        <v>55.263405000732746</v>
      </c>
      <c r="Q2067" s="1">
        <f t="shared" ca="1" si="263"/>
        <v>8</v>
      </c>
      <c r="R2067" s="1">
        <v>7.2389844060671749</v>
      </c>
    </row>
    <row r="2068" spans="1:18" x14ac:dyDescent="0.3">
      <c r="A2068" s="26">
        <v>2067</v>
      </c>
      <c r="B2068" s="1">
        <v>17</v>
      </c>
      <c r="C2068" s="1">
        <f t="shared" si="259"/>
        <v>12</v>
      </c>
      <c r="D2068" s="21">
        <f t="shared" ca="1" si="258"/>
        <v>44920</v>
      </c>
      <c r="E2068" s="1" t="s">
        <v>26</v>
      </c>
      <c r="F2068" s="1" t="s">
        <v>2096</v>
      </c>
      <c r="G2068" s="1" t="s">
        <v>28</v>
      </c>
      <c r="H2068" s="1">
        <v>2166</v>
      </c>
      <c r="I2068" s="1">
        <f t="shared" si="260"/>
        <v>62</v>
      </c>
      <c r="J2068" s="1">
        <f>VLOOKUP(B2068,Cena!$A$2:$B$101,2)</f>
        <v>84</v>
      </c>
      <c r="K2068" s="1">
        <f t="shared" si="256"/>
        <v>5208</v>
      </c>
      <c r="L2068" s="1">
        <f t="shared" si="261"/>
        <v>1197.8400000000001</v>
      </c>
      <c r="M2068" s="22">
        <f t="shared" si="257"/>
        <v>6405.84</v>
      </c>
      <c r="N2068" s="1">
        <f t="shared" ca="1" si="262"/>
        <v>12</v>
      </c>
      <c r="P2068" s="1">
        <v>62.461373444239143</v>
      </c>
      <c r="Q2068" s="1">
        <f t="shared" ca="1" si="263"/>
        <v>3</v>
      </c>
      <c r="R2068" s="1">
        <v>12.01210355044168</v>
      </c>
    </row>
    <row r="2069" spans="1:18" x14ac:dyDescent="0.3">
      <c r="A2069" s="26">
        <v>2068</v>
      </c>
      <c r="B2069" s="1">
        <v>9</v>
      </c>
      <c r="C2069" s="1">
        <f t="shared" si="259"/>
        <v>11</v>
      </c>
      <c r="D2069" s="21">
        <f t="shared" ca="1" si="258"/>
        <v>44805</v>
      </c>
      <c r="E2069" s="1" t="s">
        <v>26</v>
      </c>
      <c r="F2069" s="1" t="s">
        <v>2097</v>
      </c>
      <c r="G2069" s="1" t="s">
        <v>28</v>
      </c>
      <c r="H2069" s="1">
        <v>2167</v>
      </c>
      <c r="I2069" s="1">
        <f t="shared" si="260"/>
        <v>54</v>
      </c>
      <c r="J2069" s="1">
        <f>VLOOKUP(B2069,Cena!$A$2:$B$101,2)</f>
        <v>96</v>
      </c>
      <c r="K2069" s="1">
        <f t="shared" si="256"/>
        <v>5184</v>
      </c>
      <c r="L2069" s="1">
        <f t="shared" si="261"/>
        <v>1192.3200000000002</v>
      </c>
      <c r="M2069" s="22">
        <f t="shared" si="257"/>
        <v>6376.32</v>
      </c>
      <c r="N2069" s="1">
        <f t="shared" ca="1" si="262"/>
        <v>9</v>
      </c>
      <c r="P2069" s="1">
        <v>54.200364855933003</v>
      </c>
      <c r="Q2069" s="1">
        <f t="shared" ca="1" si="263"/>
        <v>21</v>
      </c>
      <c r="R2069" s="1">
        <v>11.810479943742394</v>
      </c>
    </row>
    <row r="2070" spans="1:18" x14ac:dyDescent="0.3">
      <c r="A2070" s="26">
        <v>2069</v>
      </c>
      <c r="B2070" s="1">
        <v>29</v>
      </c>
      <c r="C2070" s="1">
        <f t="shared" si="259"/>
        <v>14</v>
      </c>
      <c r="D2070" s="21">
        <f t="shared" ca="1" si="258"/>
        <v>44675</v>
      </c>
      <c r="E2070" s="1" t="s">
        <v>26</v>
      </c>
      <c r="F2070" s="1" t="s">
        <v>2098</v>
      </c>
      <c r="G2070" s="1" t="s">
        <v>28</v>
      </c>
      <c r="H2070" s="1">
        <v>2168</v>
      </c>
      <c r="I2070" s="1">
        <f t="shared" si="260"/>
        <v>58</v>
      </c>
      <c r="J2070" s="1">
        <f>VLOOKUP(B2070,Cena!$A$2:$B$101,2)</f>
        <v>105</v>
      </c>
      <c r="K2070" s="1">
        <f t="shared" si="256"/>
        <v>6090</v>
      </c>
      <c r="L2070" s="1">
        <f t="shared" si="261"/>
        <v>1400.7</v>
      </c>
      <c r="M2070" s="22">
        <f t="shared" si="257"/>
        <v>7490.7</v>
      </c>
      <c r="N2070" s="1">
        <f t="shared" ca="1" si="262"/>
        <v>4</v>
      </c>
      <c r="P2070" s="1">
        <v>58.038887244765647</v>
      </c>
      <c r="Q2070" s="1">
        <f t="shared" ca="1" si="263"/>
        <v>30</v>
      </c>
      <c r="R2070" s="1">
        <v>14.245362106303219</v>
      </c>
    </row>
    <row r="2071" spans="1:18" x14ac:dyDescent="0.3">
      <c r="A2071" s="26">
        <v>2070</v>
      </c>
      <c r="B2071" s="1">
        <v>8</v>
      </c>
      <c r="C2071" s="1">
        <f t="shared" si="259"/>
        <v>11</v>
      </c>
      <c r="D2071" s="21">
        <f t="shared" ca="1" si="258"/>
        <v>44801</v>
      </c>
      <c r="E2071" s="1" t="s">
        <v>26</v>
      </c>
      <c r="F2071" s="1" t="s">
        <v>2099</v>
      </c>
      <c r="G2071" s="1" t="s">
        <v>28</v>
      </c>
      <c r="H2071" s="1">
        <v>2169</v>
      </c>
      <c r="I2071" s="1">
        <f t="shared" si="260"/>
        <v>40</v>
      </c>
      <c r="J2071" s="1">
        <f>VLOOKUP(B2071,Cena!$A$2:$B$101,2)</f>
        <v>88</v>
      </c>
      <c r="K2071" s="1">
        <f t="shared" si="256"/>
        <v>3520</v>
      </c>
      <c r="L2071" s="1">
        <f t="shared" si="261"/>
        <v>809.6</v>
      </c>
      <c r="M2071" s="22">
        <f t="shared" si="257"/>
        <v>4329.6000000000004</v>
      </c>
      <c r="N2071" s="1">
        <f t="shared" ca="1" si="262"/>
        <v>8</v>
      </c>
      <c r="P2071" s="1">
        <v>40.624201018363237</v>
      </c>
      <c r="Q2071" s="1">
        <f t="shared" ca="1" si="263"/>
        <v>13</v>
      </c>
      <c r="R2071" s="1">
        <v>11.429486928827828</v>
      </c>
    </row>
    <row r="2072" spans="1:18" x14ac:dyDescent="0.3">
      <c r="A2072" s="26">
        <v>2071</v>
      </c>
      <c r="B2072" s="1">
        <v>6</v>
      </c>
      <c r="C2072" s="1">
        <f t="shared" si="259"/>
        <v>13</v>
      </c>
      <c r="D2072" s="21">
        <f t="shared" ca="1" si="258"/>
        <v>44791</v>
      </c>
      <c r="E2072" s="1" t="s">
        <v>26</v>
      </c>
      <c r="F2072" s="1" t="s">
        <v>2100</v>
      </c>
      <c r="G2072" s="1" t="s">
        <v>28</v>
      </c>
      <c r="H2072" s="1">
        <v>2170</v>
      </c>
      <c r="I2072" s="1">
        <f t="shared" si="260"/>
        <v>30</v>
      </c>
      <c r="J2072" s="1">
        <f>VLOOKUP(B2072,Cena!$A$2:$B$101,2)</f>
        <v>86</v>
      </c>
      <c r="K2072" s="1">
        <f t="shared" si="256"/>
        <v>2580</v>
      </c>
      <c r="L2072" s="1">
        <f t="shared" si="261"/>
        <v>593.4</v>
      </c>
      <c r="M2072" s="22">
        <f t="shared" si="257"/>
        <v>3173.4</v>
      </c>
      <c r="N2072" s="1">
        <f t="shared" ca="1" si="262"/>
        <v>8</v>
      </c>
      <c r="P2072" s="1">
        <v>30.911070451838896</v>
      </c>
      <c r="Q2072" s="1">
        <f t="shared" ca="1" si="263"/>
        <v>8</v>
      </c>
      <c r="R2072" s="1">
        <v>13.112018021056429</v>
      </c>
    </row>
    <row r="2073" spans="1:18" x14ac:dyDescent="0.3">
      <c r="A2073" s="26">
        <v>2072</v>
      </c>
      <c r="B2073" s="1">
        <v>4</v>
      </c>
      <c r="C2073" s="1">
        <f t="shared" si="259"/>
        <v>7</v>
      </c>
      <c r="D2073" s="21">
        <f t="shared" ca="1" si="258"/>
        <v>44587</v>
      </c>
      <c r="E2073" s="1" t="s">
        <v>26</v>
      </c>
      <c r="F2073" s="1" t="s">
        <v>2101</v>
      </c>
      <c r="G2073" s="1" t="s">
        <v>28</v>
      </c>
      <c r="H2073" s="1">
        <v>2171</v>
      </c>
      <c r="I2073" s="1">
        <f t="shared" si="260"/>
        <v>31</v>
      </c>
      <c r="J2073" s="1">
        <f>VLOOKUP(B2073,Cena!$A$2:$B$101,2)</f>
        <v>99</v>
      </c>
      <c r="K2073" s="1">
        <f t="shared" si="256"/>
        <v>3069</v>
      </c>
      <c r="L2073" s="1">
        <f t="shared" si="261"/>
        <v>705.87</v>
      </c>
      <c r="M2073" s="22">
        <f t="shared" si="257"/>
        <v>3774.87</v>
      </c>
      <c r="N2073" s="1">
        <f t="shared" ca="1" si="262"/>
        <v>1</v>
      </c>
      <c r="P2073" s="1">
        <v>31.626933731604367</v>
      </c>
      <c r="Q2073" s="1">
        <f t="shared" ca="1" si="263"/>
        <v>25</v>
      </c>
      <c r="R2073" s="1">
        <v>7.1761781125678681</v>
      </c>
    </row>
    <row r="2074" spans="1:18" x14ac:dyDescent="0.3">
      <c r="A2074" s="26">
        <v>2073</v>
      </c>
      <c r="B2074" s="1">
        <v>21</v>
      </c>
      <c r="C2074" s="1">
        <f t="shared" si="259"/>
        <v>7</v>
      </c>
      <c r="D2074" s="21">
        <f t="shared" ca="1" si="258"/>
        <v>44854</v>
      </c>
      <c r="E2074" s="1" t="s">
        <v>26</v>
      </c>
      <c r="F2074" s="1" t="s">
        <v>2102</v>
      </c>
      <c r="G2074" s="1" t="s">
        <v>28</v>
      </c>
      <c r="H2074" s="1">
        <v>2172</v>
      </c>
      <c r="I2074" s="1">
        <f t="shared" si="260"/>
        <v>32</v>
      </c>
      <c r="J2074" s="1">
        <f>VLOOKUP(B2074,Cena!$A$2:$B$101,2)</f>
        <v>105</v>
      </c>
      <c r="K2074" s="1">
        <f t="shared" si="256"/>
        <v>3360</v>
      </c>
      <c r="L2074" s="1">
        <f t="shared" si="261"/>
        <v>772.80000000000007</v>
      </c>
      <c r="M2074" s="22">
        <f t="shared" si="257"/>
        <v>4132.8</v>
      </c>
      <c r="N2074" s="1">
        <f t="shared" ca="1" si="262"/>
        <v>10</v>
      </c>
      <c r="P2074" s="1">
        <v>32.30346136551816</v>
      </c>
      <c r="Q2074" s="1">
        <f t="shared" ca="1" si="263"/>
        <v>13</v>
      </c>
      <c r="R2074" s="1">
        <v>7.6696699377498589</v>
      </c>
    </row>
    <row r="2075" spans="1:18" x14ac:dyDescent="0.3">
      <c r="A2075" s="26">
        <v>2074</v>
      </c>
      <c r="B2075" s="1">
        <v>19</v>
      </c>
      <c r="C2075" s="1">
        <f t="shared" si="259"/>
        <v>6</v>
      </c>
      <c r="D2075" s="21">
        <f t="shared" ca="1" si="258"/>
        <v>44749</v>
      </c>
      <c r="E2075" s="1" t="s">
        <v>26</v>
      </c>
      <c r="F2075" s="1" t="s">
        <v>2103</v>
      </c>
      <c r="G2075" s="1" t="s">
        <v>28</v>
      </c>
      <c r="H2075" s="1">
        <v>2173</v>
      </c>
      <c r="I2075" s="1">
        <f t="shared" si="260"/>
        <v>44</v>
      </c>
      <c r="J2075" s="1">
        <f>VLOOKUP(B2075,Cena!$A$2:$B$101,2)</f>
        <v>84</v>
      </c>
      <c r="K2075" s="1">
        <f t="shared" si="256"/>
        <v>3696</v>
      </c>
      <c r="L2075" s="1">
        <f t="shared" si="261"/>
        <v>850.08</v>
      </c>
      <c r="M2075" s="22">
        <f t="shared" si="257"/>
        <v>4546.08</v>
      </c>
      <c r="N2075" s="1">
        <f t="shared" ca="1" si="262"/>
        <v>7</v>
      </c>
      <c r="P2075" s="1">
        <v>44.79537109436933</v>
      </c>
      <c r="Q2075" s="1">
        <f t="shared" ca="1" si="263"/>
        <v>2</v>
      </c>
      <c r="R2075" s="1">
        <v>6.8771589919924736</v>
      </c>
    </row>
    <row r="2076" spans="1:18" x14ac:dyDescent="0.3">
      <c r="A2076" s="26">
        <v>2075</v>
      </c>
      <c r="B2076" s="1">
        <v>8</v>
      </c>
      <c r="C2076" s="1">
        <f t="shared" si="259"/>
        <v>10</v>
      </c>
      <c r="D2076" s="21">
        <f t="shared" ca="1" si="258"/>
        <v>44806</v>
      </c>
      <c r="E2076" s="1" t="s">
        <v>26</v>
      </c>
      <c r="F2076" s="1" t="s">
        <v>2104</v>
      </c>
      <c r="G2076" s="1" t="s">
        <v>28</v>
      </c>
      <c r="H2076" s="1">
        <v>2174</v>
      </c>
      <c r="I2076" s="1">
        <f t="shared" si="260"/>
        <v>39</v>
      </c>
      <c r="J2076" s="1">
        <f>VLOOKUP(B2076,Cena!$A$2:$B$101,2)</f>
        <v>88</v>
      </c>
      <c r="K2076" s="1">
        <f t="shared" si="256"/>
        <v>3432</v>
      </c>
      <c r="L2076" s="1">
        <f t="shared" si="261"/>
        <v>789.36</v>
      </c>
      <c r="M2076" s="22">
        <f t="shared" si="257"/>
        <v>4221.3599999999997</v>
      </c>
      <c r="N2076" s="1">
        <f t="shared" ca="1" si="262"/>
        <v>9</v>
      </c>
      <c r="P2076" s="1">
        <v>39.956199897278566</v>
      </c>
      <c r="Q2076" s="1">
        <f t="shared" ca="1" si="263"/>
        <v>14</v>
      </c>
      <c r="R2076" s="1">
        <v>10.720424964129052</v>
      </c>
    </row>
    <row r="2077" spans="1:18" x14ac:dyDescent="0.3">
      <c r="A2077" s="26">
        <v>2076</v>
      </c>
      <c r="B2077" s="1">
        <v>16</v>
      </c>
      <c r="C2077" s="1">
        <f t="shared" si="259"/>
        <v>7</v>
      </c>
      <c r="D2077" s="21">
        <f t="shared" ca="1" si="258"/>
        <v>44589</v>
      </c>
      <c r="E2077" s="1" t="s">
        <v>26</v>
      </c>
      <c r="F2077" s="1" t="s">
        <v>2105</v>
      </c>
      <c r="G2077" s="1" t="s">
        <v>28</v>
      </c>
      <c r="H2077" s="1">
        <v>2175</v>
      </c>
      <c r="I2077" s="1">
        <f t="shared" si="260"/>
        <v>55</v>
      </c>
      <c r="J2077" s="1">
        <f>VLOOKUP(B2077,Cena!$A$2:$B$101,2)</f>
        <v>93</v>
      </c>
      <c r="K2077" s="1">
        <f t="shared" si="256"/>
        <v>5115</v>
      </c>
      <c r="L2077" s="1">
        <f t="shared" si="261"/>
        <v>1176.45</v>
      </c>
      <c r="M2077" s="22">
        <f t="shared" si="257"/>
        <v>6291.45</v>
      </c>
      <c r="N2077" s="1">
        <f t="shared" ca="1" si="262"/>
        <v>1</v>
      </c>
      <c r="P2077" s="1">
        <v>55.463925845106132</v>
      </c>
      <c r="Q2077" s="1">
        <f t="shared" ca="1" si="263"/>
        <v>5</v>
      </c>
      <c r="R2077" s="1">
        <v>7.7150594077102141</v>
      </c>
    </row>
    <row r="2078" spans="1:18" x14ac:dyDescent="0.3">
      <c r="A2078" s="26">
        <v>2077</v>
      </c>
      <c r="B2078" s="1">
        <v>22</v>
      </c>
      <c r="C2078" s="1">
        <f t="shared" si="259"/>
        <v>11</v>
      </c>
      <c r="D2078" s="21">
        <f t="shared" ca="1" si="258"/>
        <v>44634</v>
      </c>
      <c r="E2078" s="1" t="s">
        <v>26</v>
      </c>
      <c r="F2078" s="1" t="s">
        <v>2106</v>
      </c>
      <c r="G2078" s="1" t="s">
        <v>28</v>
      </c>
      <c r="H2078" s="1">
        <v>2176</v>
      </c>
      <c r="I2078" s="1">
        <f t="shared" si="260"/>
        <v>32</v>
      </c>
      <c r="J2078" s="1">
        <f>VLOOKUP(B2078,Cena!$A$2:$B$101,2)</f>
        <v>103</v>
      </c>
      <c r="K2078" s="1">
        <f t="shared" si="256"/>
        <v>3296</v>
      </c>
      <c r="L2078" s="1">
        <f t="shared" si="261"/>
        <v>758.08</v>
      </c>
      <c r="M2078" s="22">
        <f t="shared" si="257"/>
        <v>4054.08</v>
      </c>
      <c r="N2078" s="1">
        <f t="shared" ca="1" si="262"/>
        <v>3</v>
      </c>
      <c r="P2078" s="1">
        <v>32.376220941659994</v>
      </c>
      <c r="Q2078" s="1">
        <f t="shared" ca="1" si="263"/>
        <v>2</v>
      </c>
      <c r="R2078" s="1">
        <v>11.754503387019213</v>
      </c>
    </row>
    <row r="2079" spans="1:18" x14ac:dyDescent="0.3">
      <c r="A2079" s="26">
        <v>2078</v>
      </c>
      <c r="B2079" s="1">
        <v>19</v>
      </c>
      <c r="C2079" s="1">
        <f t="shared" si="259"/>
        <v>5</v>
      </c>
      <c r="D2079" s="21">
        <f t="shared" ca="1" si="258"/>
        <v>44692</v>
      </c>
      <c r="E2079" s="1" t="s">
        <v>26</v>
      </c>
      <c r="F2079" s="1" t="s">
        <v>2107</v>
      </c>
      <c r="G2079" s="1" t="s">
        <v>28</v>
      </c>
      <c r="H2079" s="1">
        <v>2177</v>
      </c>
      <c r="I2079" s="1">
        <f t="shared" si="260"/>
        <v>52</v>
      </c>
      <c r="J2079" s="1">
        <f>VLOOKUP(B2079,Cena!$A$2:$B$101,2)</f>
        <v>84</v>
      </c>
      <c r="K2079" s="1">
        <f t="shared" ref="K2079:K2142" si="264">I2079*J2079</f>
        <v>4368</v>
      </c>
      <c r="L2079" s="1">
        <f t="shared" si="261"/>
        <v>1004.6400000000001</v>
      </c>
      <c r="M2079" s="22">
        <f t="shared" ref="M2079:M2142" si="265">K2079+L2079</f>
        <v>5372.64</v>
      </c>
      <c r="N2079" s="1">
        <f t="shared" ca="1" si="262"/>
        <v>5</v>
      </c>
      <c r="P2079" s="1">
        <v>52.237368335045176</v>
      </c>
      <c r="Q2079" s="1">
        <f t="shared" ca="1" si="263"/>
        <v>9</v>
      </c>
      <c r="R2079" s="1">
        <v>5.6611418383545242</v>
      </c>
    </row>
    <row r="2080" spans="1:18" x14ac:dyDescent="0.3">
      <c r="A2080" s="26">
        <v>2079</v>
      </c>
      <c r="B2080" s="1">
        <v>24</v>
      </c>
      <c r="C2080" s="1">
        <f t="shared" si="259"/>
        <v>6</v>
      </c>
      <c r="D2080" s="21">
        <f t="shared" ca="1" si="258"/>
        <v>44852</v>
      </c>
      <c r="E2080" s="1" t="s">
        <v>26</v>
      </c>
      <c r="F2080" s="1" t="s">
        <v>2108</v>
      </c>
      <c r="G2080" s="1" t="s">
        <v>28</v>
      </c>
      <c r="H2080" s="1">
        <v>2178</v>
      </c>
      <c r="I2080" s="1">
        <f t="shared" si="260"/>
        <v>46</v>
      </c>
      <c r="J2080" s="1">
        <f>VLOOKUP(B2080,Cena!$A$2:$B$101,2)</f>
        <v>125</v>
      </c>
      <c r="K2080" s="1">
        <f t="shared" si="264"/>
        <v>5750</v>
      </c>
      <c r="L2080" s="1">
        <f t="shared" si="261"/>
        <v>1322.5</v>
      </c>
      <c r="M2080" s="22">
        <f t="shared" si="265"/>
        <v>7072.5</v>
      </c>
      <c r="N2080" s="1">
        <f t="shared" ca="1" si="262"/>
        <v>10</v>
      </c>
      <c r="P2080" s="1">
        <v>46.022529558103997</v>
      </c>
      <c r="Q2080" s="1">
        <f t="shared" ca="1" si="263"/>
        <v>10</v>
      </c>
      <c r="R2080" s="1">
        <v>6.4180574352212716</v>
      </c>
    </row>
    <row r="2081" spans="1:18" x14ac:dyDescent="0.3">
      <c r="A2081" s="26">
        <v>2080</v>
      </c>
      <c r="B2081" s="1">
        <v>22</v>
      </c>
      <c r="C2081" s="1">
        <f t="shared" si="259"/>
        <v>4</v>
      </c>
      <c r="D2081" s="21">
        <f t="shared" ca="1" si="258"/>
        <v>44866</v>
      </c>
      <c r="E2081" s="1" t="s">
        <v>26</v>
      </c>
      <c r="F2081" s="1" t="s">
        <v>2109</v>
      </c>
      <c r="G2081" s="1" t="s">
        <v>28</v>
      </c>
      <c r="H2081" s="1">
        <v>2179</v>
      </c>
      <c r="I2081" s="1">
        <f t="shared" si="260"/>
        <v>43</v>
      </c>
      <c r="J2081" s="1">
        <f>VLOOKUP(B2081,Cena!$A$2:$B$101,2)</f>
        <v>103</v>
      </c>
      <c r="K2081" s="1">
        <f t="shared" si="264"/>
        <v>4429</v>
      </c>
      <c r="L2081" s="1">
        <f t="shared" si="261"/>
        <v>1018.6700000000001</v>
      </c>
      <c r="M2081" s="22">
        <f t="shared" si="265"/>
        <v>5447.67</v>
      </c>
      <c r="N2081" s="1">
        <f t="shared" ca="1" si="262"/>
        <v>11</v>
      </c>
      <c r="P2081" s="1">
        <v>43.213032212224789</v>
      </c>
      <c r="Q2081" s="1">
        <f t="shared" ca="1" si="263"/>
        <v>18</v>
      </c>
      <c r="R2081" s="1">
        <v>4.7768174024531618</v>
      </c>
    </row>
    <row r="2082" spans="1:18" x14ac:dyDescent="0.3">
      <c r="A2082" s="26">
        <v>2081</v>
      </c>
      <c r="B2082" s="1">
        <v>8</v>
      </c>
      <c r="C2082" s="1">
        <f t="shared" si="259"/>
        <v>9</v>
      </c>
      <c r="D2082" s="21">
        <f t="shared" ca="1" si="258"/>
        <v>44600</v>
      </c>
      <c r="E2082" s="1" t="s">
        <v>26</v>
      </c>
      <c r="F2082" s="1" t="s">
        <v>2110</v>
      </c>
      <c r="G2082" s="1" t="s">
        <v>28</v>
      </c>
      <c r="H2082" s="1">
        <v>2180</v>
      </c>
      <c r="I2082" s="1">
        <f t="shared" si="260"/>
        <v>46</v>
      </c>
      <c r="J2082" s="1">
        <f>VLOOKUP(B2082,Cena!$A$2:$B$101,2)</f>
        <v>88</v>
      </c>
      <c r="K2082" s="1">
        <f t="shared" si="264"/>
        <v>4048</v>
      </c>
      <c r="L2082" s="1">
        <f t="shared" si="261"/>
        <v>931.04000000000008</v>
      </c>
      <c r="M2082" s="22">
        <f t="shared" si="265"/>
        <v>4979.04</v>
      </c>
      <c r="N2082" s="1">
        <f t="shared" ca="1" si="262"/>
        <v>2</v>
      </c>
      <c r="P2082" s="1">
        <v>46.053975337417796</v>
      </c>
      <c r="Q2082" s="1">
        <f t="shared" ca="1" si="263"/>
        <v>7</v>
      </c>
      <c r="R2082" s="1">
        <v>9.7990698830108158</v>
      </c>
    </row>
    <row r="2083" spans="1:18" x14ac:dyDescent="0.3">
      <c r="A2083" s="26">
        <v>2082</v>
      </c>
      <c r="B2083" s="1">
        <v>4</v>
      </c>
      <c r="C2083" s="1">
        <f t="shared" si="259"/>
        <v>10</v>
      </c>
      <c r="D2083" s="21">
        <f t="shared" ca="1" si="258"/>
        <v>44893</v>
      </c>
      <c r="E2083" s="1" t="s">
        <v>26</v>
      </c>
      <c r="F2083" s="1" t="s">
        <v>2111</v>
      </c>
      <c r="G2083" s="1" t="s">
        <v>28</v>
      </c>
      <c r="H2083" s="1">
        <v>2181</v>
      </c>
      <c r="I2083" s="1">
        <f t="shared" si="260"/>
        <v>39</v>
      </c>
      <c r="J2083" s="1">
        <f>VLOOKUP(B2083,Cena!$A$2:$B$101,2)</f>
        <v>99</v>
      </c>
      <c r="K2083" s="1">
        <f t="shared" si="264"/>
        <v>3861</v>
      </c>
      <c r="L2083" s="1">
        <f t="shared" si="261"/>
        <v>888.03000000000009</v>
      </c>
      <c r="M2083" s="22">
        <f t="shared" si="265"/>
        <v>4749.03</v>
      </c>
      <c r="N2083" s="1">
        <f t="shared" ca="1" si="262"/>
        <v>11</v>
      </c>
      <c r="P2083" s="1">
        <v>39.2455207373132</v>
      </c>
      <c r="Q2083" s="1">
        <f t="shared" ca="1" si="263"/>
        <v>12</v>
      </c>
      <c r="R2083" s="1">
        <v>10.264699906438182</v>
      </c>
    </row>
    <row r="2084" spans="1:18" x14ac:dyDescent="0.3">
      <c r="A2084" s="26">
        <v>2083</v>
      </c>
      <c r="B2084" s="1">
        <v>24</v>
      </c>
      <c r="C2084" s="1">
        <f t="shared" si="259"/>
        <v>12</v>
      </c>
      <c r="D2084" s="21">
        <f t="shared" ca="1" si="258"/>
        <v>44797</v>
      </c>
      <c r="E2084" s="1" t="s">
        <v>26</v>
      </c>
      <c r="F2084" s="1" t="s">
        <v>2112</v>
      </c>
      <c r="G2084" s="1" t="s">
        <v>28</v>
      </c>
      <c r="H2084" s="1">
        <v>2182</v>
      </c>
      <c r="I2084" s="1">
        <f t="shared" si="260"/>
        <v>48</v>
      </c>
      <c r="J2084" s="1">
        <f>VLOOKUP(B2084,Cena!$A$2:$B$101,2)</f>
        <v>125</v>
      </c>
      <c r="K2084" s="1">
        <f t="shared" si="264"/>
        <v>6000</v>
      </c>
      <c r="L2084" s="1">
        <f t="shared" si="261"/>
        <v>1380</v>
      </c>
      <c r="M2084" s="22">
        <f t="shared" si="265"/>
        <v>7380</v>
      </c>
      <c r="N2084" s="1">
        <f t="shared" ca="1" si="262"/>
        <v>8</v>
      </c>
      <c r="P2084" s="1">
        <v>48.974271875340492</v>
      </c>
      <c r="Q2084" s="1">
        <f t="shared" ca="1" si="263"/>
        <v>16</v>
      </c>
      <c r="R2084" s="1">
        <v>12.016867028942215</v>
      </c>
    </row>
    <row r="2085" spans="1:18" x14ac:dyDescent="0.3">
      <c r="A2085" s="26">
        <v>2084</v>
      </c>
      <c r="B2085" s="1">
        <v>24</v>
      </c>
      <c r="C2085" s="1">
        <f t="shared" si="259"/>
        <v>13</v>
      </c>
      <c r="D2085" s="21">
        <f t="shared" ca="1" si="258"/>
        <v>44813</v>
      </c>
      <c r="E2085" s="1" t="s">
        <v>26</v>
      </c>
      <c r="F2085" s="1" t="s">
        <v>2113</v>
      </c>
      <c r="G2085" s="1" t="s">
        <v>28</v>
      </c>
      <c r="H2085" s="1">
        <v>2183</v>
      </c>
      <c r="I2085" s="1">
        <f t="shared" si="260"/>
        <v>19</v>
      </c>
      <c r="J2085" s="1">
        <f>VLOOKUP(B2085,Cena!$A$2:$B$101,2)</f>
        <v>125</v>
      </c>
      <c r="K2085" s="1">
        <f t="shared" si="264"/>
        <v>2375</v>
      </c>
      <c r="L2085" s="1">
        <f t="shared" si="261"/>
        <v>546.25</v>
      </c>
      <c r="M2085" s="22">
        <f t="shared" si="265"/>
        <v>2921.25</v>
      </c>
      <c r="N2085" s="1">
        <f t="shared" ca="1" si="262"/>
        <v>9</v>
      </c>
      <c r="P2085" s="1">
        <v>19.618511386215687</v>
      </c>
      <c r="Q2085" s="1">
        <f t="shared" ca="1" si="263"/>
        <v>24</v>
      </c>
      <c r="R2085" s="1">
        <v>13.441914486757014</v>
      </c>
    </row>
    <row r="2086" spans="1:18" x14ac:dyDescent="0.3">
      <c r="A2086" s="26">
        <v>2085</v>
      </c>
      <c r="B2086" s="1">
        <v>26</v>
      </c>
      <c r="C2086" s="1">
        <f t="shared" si="259"/>
        <v>10</v>
      </c>
      <c r="D2086" s="21">
        <f t="shared" ca="1" si="258"/>
        <v>44737</v>
      </c>
      <c r="E2086" s="1" t="s">
        <v>26</v>
      </c>
      <c r="F2086" s="1" t="s">
        <v>2114</v>
      </c>
      <c r="G2086" s="1" t="s">
        <v>28</v>
      </c>
      <c r="H2086" s="1">
        <v>2184</v>
      </c>
      <c r="I2086" s="1">
        <f t="shared" si="260"/>
        <v>52</v>
      </c>
      <c r="J2086" s="1">
        <f>VLOOKUP(B2086,Cena!$A$2:$B$101,2)</f>
        <v>99</v>
      </c>
      <c r="K2086" s="1">
        <f t="shared" si="264"/>
        <v>5148</v>
      </c>
      <c r="L2086" s="1">
        <f t="shared" si="261"/>
        <v>1184.04</v>
      </c>
      <c r="M2086" s="22">
        <f t="shared" si="265"/>
        <v>6332.04</v>
      </c>
      <c r="N2086" s="1">
        <f t="shared" ca="1" si="262"/>
        <v>6</v>
      </c>
      <c r="P2086" s="1">
        <v>52.098749973811209</v>
      </c>
      <c r="Q2086" s="1">
        <f t="shared" ca="1" si="263"/>
        <v>9</v>
      </c>
      <c r="R2086" s="1">
        <v>10.558949864171154</v>
      </c>
    </row>
    <row r="2087" spans="1:18" x14ac:dyDescent="0.3">
      <c r="A2087" s="26">
        <v>2086</v>
      </c>
      <c r="B2087" s="1">
        <v>22</v>
      </c>
      <c r="C2087" s="1">
        <f t="shared" si="259"/>
        <v>14</v>
      </c>
      <c r="D2087" s="21">
        <f t="shared" ca="1" si="258"/>
        <v>44808</v>
      </c>
      <c r="E2087" s="1" t="s">
        <v>26</v>
      </c>
      <c r="F2087" s="1" t="s">
        <v>2115</v>
      </c>
      <c r="G2087" s="1" t="s">
        <v>28</v>
      </c>
      <c r="H2087" s="1">
        <v>2185</v>
      </c>
      <c r="I2087" s="1">
        <f t="shared" si="260"/>
        <v>53</v>
      </c>
      <c r="J2087" s="1">
        <f>VLOOKUP(B2087,Cena!$A$2:$B$101,2)</f>
        <v>103</v>
      </c>
      <c r="K2087" s="1">
        <f t="shared" si="264"/>
        <v>5459</v>
      </c>
      <c r="L2087" s="1">
        <f t="shared" si="261"/>
        <v>1255.5700000000002</v>
      </c>
      <c r="M2087" s="22">
        <f t="shared" si="265"/>
        <v>6714.57</v>
      </c>
      <c r="N2087" s="1">
        <f t="shared" ca="1" si="262"/>
        <v>9</v>
      </c>
      <c r="P2087" s="1">
        <v>53.129002834612038</v>
      </c>
      <c r="Q2087" s="1">
        <f t="shared" ca="1" si="263"/>
        <v>6</v>
      </c>
      <c r="R2087" s="1">
        <v>14.06791968998732</v>
      </c>
    </row>
    <row r="2088" spans="1:18" x14ac:dyDescent="0.3">
      <c r="A2088" s="26">
        <v>2087</v>
      </c>
      <c r="B2088" s="1">
        <v>25</v>
      </c>
      <c r="C2088" s="1">
        <f t="shared" si="259"/>
        <v>10</v>
      </c>
      <c r="D2088" s="21">
        <f t="shared" ca="1" si="258"/>
        <v>44787</v>
      </c>
      <c r="E2088" s="1" t="s">
        <v>26</v>
      </c>
      <c r="F2088" s="1" t="s">
        <v>2116</v>
      </c>
      <c r="G2088" s="1" t="s">
        <v>28</v>
      </c>
      <c r="H2088" s="1">
        <v>2186</v>
      </c>
      <c r="I2088" s="1">
        <f t="shared" si="260"/>
        <v>47</v>
      </c>
      <c r="J2088" s="1">
        <f>VLOOKUP(B2088,Cena!$A$2:$B$101,2)</f>
        <v>108</v>
      </c>
      <c r="K2088" s="1">
        <f t="shared" si="264"/>
        <v>5076</v>
      </c>
      <c r="L2088" s="1">
        <f t="shared" si="261"/>
        <v>1167.48</v>
      </c>
      <c r="M2088" s="22">
        <f t="shared" si="265"/>
        <v>6243.48</v>
      </c>
      <c r="N2088" s="1">
        <f t="shared" ca="1" si="262"/>
        <v>8</v>
      </c>
      <c r="P2088" s="1">
        <v>47.939562490500975</v>
      </c>
      <c r="Q2088" s="1">
        <f t="shared" ca="1" si="263"/>
        <v>4</v>
      </c>
      <c r="R2088" s="1">
        <v>10.994782567431685</v>
      </c>
    </row>
    <row r="2089" spans="1:18" x14ac:dyDescent="0.3">
      <c r="A2089" s="26">
        <v>2088</v>
      </c>
      <c r="B2089" s="1">
        <v>27</v>
      </c>
      <c r="C2089" s="1">
        <f t="shared" si="259"/>
        <v>13</v>
      </c>
      <c r="D2089" s="21">
        <f t="shared" ca="1" si="258"/>
        <v>44730</v>
      </c>
      <c r="E2089" s="1" t="s">
        <v>26</v>
      </c>
      <c r="F2089" s="1" t="s">
        <v>2117</v>
      </c>
      <c r="G2089" s="1" t="s">
        <v>28</v>
      </c>
      <c r="H2089" s="1">
        <v>2187</v>
      </c>
      <c r="I2089" s="1">
        <f t="shared" si="260"/>
        <v>69</v>
      </c>
      <c r="J2089" s="1">
        <f>VLOOKUP(B2089,Cena!$A$2:$B$101,2)</f>
        <v>87</v>
      </c>
      <c r="K2089" s="1">
        <f t="shared" si="264"/>
        <v>6003</v>
      </c>
      <c r="L2089" s="1">
        <f t="shared" si="261"/>
        <v>1380.69</v>
      </c>
      <c r="M2089" s="22">
        <f t="shared" si="265"/>
        <v>7383.6900000000005</v>
      </c>
      <c r="N2089" s="1">
        <f t="shared" ca="1" si="262"/>
        <v>6</v>
      </c>
      <c r="P2089" s="1">
        <v>69.533126760507002</v>
      </c>
      <c r="Q2089" s="1">
        <f t="shared" ca="1" si="263"/>
        <v>7</v>
      </c>
      <c r="R2089" s="1">
        <v>13.518516678013839</v>
      </c>
    </row>
    <row r="2090" spans="1:18" x14ac:dyDescent="0.3">
      <c r="A2090" s="26">
        <v>2089</v>
      </c>
      <c r="B2090" s="1">
        <v>23</v>
      </c>
      <c r="C2090" s="1">
        <f t="shared" si="259"/>
        <v>8</v>
      </c>
      <c r="D2090" s="21">
        <f t="shared" ca="1" si="258"/>
        <v>44667</v>
      </c>
      <c r="E2090" s="1" t="s">
        <v>26</v>
      </c>
      <c r="F2090" s="1" t="s">
        <v>2118</v>
      </c>
      <c r="G2090" s="1" t="s">
        <v>28</v>
      </c>
      <c r="H2090" s="1">
        <v>2188</v>
      </c>
      <c r="I2090" s="1">
        <f t="shared" si="260"/>
        <v>63</v>
      </c>
      <c r="J2090" s="1">
        <f>VLOOKUP(B2090,Cena!$A$2:$B$101,2)</f>
        <v>132</v>
      </c>
      <c r="K2090" s="1">
        <f t="shared" si="264"/>
        <v>8316</v>
      </c>
      <c r="L2090" s="1">
        <f t="shared" si="261"/>
        <v>1912.68</v>
      </c>
      <c r="M2090" s="22">
        <f t="shared" si="265"/>
        <v>10228.68</v>
      </c>
      <c r="N2090" s="1">
        <f t="shared" ca="1" si="262"/>
        <v>4</v>
      </c>
      <c r="P2090" s="1">
        <v>63.807266441290267</v>
      </c>
      <c r="Q2090" s="1">
        <f t="shared" ca="1" si="263"/>
        <v>16</v>
      </c>
      <c r="R2090" s="1">
        <v>8.2542931320494972</v>
      </c>
    </row>
    <row r="2091" spans="1:18" x14ac:dyDescent="0.3">
      <c r="A2091" s="26">
        <v>2090</v>
      </c>
      <c r="B2091" s="1">
        <v>29</v>
      </c>
      <c r="C2091" s="1">
        <f t="shared" si="259"/>
        <v>10</v>
      </c>
      <c r="D2091" s="21">
        <f t="shared" ca="1" si="258"/>
        <v>44878</v>
      </c>
      <c r="E2091" s="1" t="s">
        <v>26</v>
      </c>
      <c r="F2091" s="1" t="s">
        <v>2119</v>
      </c>
      <c r="G2091" s="1" t="s">
        <v>28</v>
      </c>
      <c r="H2091" s="1">
        <v>2189</v>
      </c>
      <c r="I2091" s="1">
        <f t="shared" si="260"/>
        <v>48</v>
      </c>
      <c r="J2091" s="1">
        <f>VLOOKUP(B2091,Cena!$A$2:$B$101,2)</f>
        <v>105</v>
      </c>
      <c r="K2091" s="1">
        <f t="shared" si="264"/>
        <v>5040</v>
      </c>
      <c r="L2091" s="1">
        <f t="shared" si="261"/>
        <v>1159.2</v>
      </c>
      <c r="M2091" s="22">
        <f t="shared" si="265"/>
        <v>6199.2</v>
      </c>
      <c r="N2091" s="1">
        <f t="shared" ca="1" si="262"/>
        <v>11</v>
      </c>
      <c r="P2091" s="1">
        <v>48.571911419276148</v>
      </c>
      <c r="Q2091" s="1">
        <f t="shared" ca="1" si="263"/>
        <v>21</v>
      </c>
      <c r="R2091" s="1">
        <v>10.591941784477967</v>
      </c>
    </row>
    <row r="2092" spans="1:18" x14ac:dyDescent="0.3">
      <c r="A2092" s="26">
        <v>2091</v>
      </c>
      <c r="B2092" s="1">
        <v>8</v>
      </c>
      <c r="C2092" s="1">
        <f t="shared" si="259"/>
        <v>6</v>
      </c>
      <c r="D2092" s="21">
        <f t="shared" ca="1" si="258"/>
        <v>44708</v>
      </c>
      <c r="E2092" s="1" t="s">
        <v>26</v>
      </c>
      <c r="F2092" s="1" t="s">
        <v>2120</v>
      </c>
      <c r="G2092" s="1" t="s">
        <v>28</v>
      </c>
      <c r="H2092" s="1">
        <v>2190</v>
      </c>
      <c r="I2092" s="1">
        <f t="shared" si="260"/>
        <v>56</v>
      </c>
      <c r="J2092" s="1">
        <f>VLOOKUP(B2092,Cena!$A$2:$B$101,2)</f>
        <v>88</v>
      </c>
      <c r="K2092" s="1">
        <f t="shared" si="264"/>
        <v>4928</v>
      </c>
      <c r="L2092" s="1">
        <f t="shared" si="261"/>
        <v>1133.44</v>
      </c>
      <c r="M2092" s="22">
        <f t="shared" si="265"/>
        <v>6061.4400000000005</v>
      </c>
      <c r="N2092" s="1">
        <f t="shared" ca="1" si="262"/>
        <v>5</v>
      </c>
      <c r="P2092" s="1">
        <v>56.960385690035764</v>
      </c>
      <c r="Q2092" s="1">
        <f t="shared" ca="1" si="263"/>
        <v>20</v>
      </c>
      <c r="R2092" s="1">
        <v>6.1479034027433954</v>
      </c>
    </row>
    <row r="2093" spans="1:18" x14ac:dyDescent="0.3">
      <c r="A2093" s="26">
        <v>2092</v>
      </c>
      <c r="B2093" s="1">
        <v>7</v>
      </c>
      <c r="C2093" s="1">
        <f t="shared" si="259"/>
        <v>7</v>
      </c>
      <c r="D2093" s="21">
        <f t="shared" ca="1" si="258"/>
        <v>44662</v>
      </c>
      <c r="E2093" s="1" t="s">
        <v>26</v>
      </c>
      <c r="F2093" s="1" t="s">
        <v>2121</v>
      </c>
      <c r="G2093" s="1" t="s">
        <v>28</v>
      </c>
      <c r="H2093" s="1">
        <v>2191</v>
      </c>
      <c r="I2093" s="1">
        <f t="shared" si="260"/>
        <v>57</v>
      </c>
      <c r="J2093" s="1">
        <f>VLOOKUP(B2093,Cena!$A$2:$B$101,2)</f>
        <v>104</v>
      </c>
      <c r="K2093" s="1">
        <f t="shared" si="264"/>
        <v>5928</v>
      </c>
      <c r="L2093" s="1">
        <f t="shared" si="261"/>
        <v>1363.44</v>
      </c>
      <c r="M2093" s="22">
        <f t="shared" si="265"/>
        <v>7291.4400000000005</v>
      </c>
      <c r="N2093" s="1">
        <f t="shared" ca="1" si="262"/>
        <v>4</v>
      </c>
      <c r="P2093" s="1">
        <v>57.763992471154779</v>
      </c>
      <c r="Q2093" s="1">
        <f t="shared" ca="1" si="263"/>
        <v>26</v>
      </c>
      <c r="R2093" s="1">
        <v>7.6253036493289983</v>
      </c>
    </row>
    <row r="2094" spans="1:18" x14ac:dyDescent="0.3">
      <c r="A2094" s="26">
        <v>2093</v>
      </c>
      <c r="B2094" s="1">
        <v>22</v>
      </c>
      <c r="C2094" s="1">
        <f t="shared" si="259"/>
        <v>10</v>
      </c>
      <c r="D2094" s="21">
        <f t="shared" ca="1" si="258"/>
        <v>44568</v>
      </c>
      <c r="E2094" s="1" t="s">
        <v>26</v>
      </c>
      <c r="F2094" s="1" t="s">
        <v>2122</v>
      </c>
      <c r="G2094" s="1" t="s">
        <v>28</v>
      </c>
      <c r="H2094" s="1">
        <v>2192</v>
      </c>
      <c r="I2094" s="1">
        <f t="shared" si="260"/>
        <v>46</v>
      </c>
      <c r="J2094" s="1">
        <f>VLOOKUP(B2094,Cena!$A$2:$B$101,2)</f>
        <v>103</v>
      </c>
      <c r="K2094" s="1">
        <f t="shared" si="264"/>
        <v>4738</v>
      </c>
      <c r="L2094" s="1">
        <f t="shared" si="261"/>
        <v>1089.74</v>
      </c>
      <c r="M2094" s="22">
        <f t="shared" si="265"/>
        <v>5827.74</v>
      </c>
      <c r="N2094" s="1">
        <f t="shared" ca="1" si="262"/>
        <v>1</v>
      </c>
      <c r="P2094" s="1">
        <v>46.648477917915443</v>
      </c>
      <c r="Q2094" s="1">
        <f t="shared" ca="1" si="263"/>
        <v>18</v>
      </c>
      <c r="R2094" s="1">
        <v>10.432353886026249</v>
      </c>
    </row>
    <row r="2095" spans="1:18" x14ac:dyDescent="0.3">
      <c r="A2095" s="26">
        <v>2094</v>
      </c>
      <c r="B2095" s="1">
        <v>5</v>
      </c>
      <c r="C2095" s="1">
        <f t="shared" si="259"/>
        <v>13</v>
      </c>
      <c r="D2095" s="21">
        <f t="shared" ca="1" si="258"/>
        <v>44858</v>
      </c>
      <c r="E2095" s="1" t="s">
        <v>26</v>
      </c>
      <c r="F2095" s="1" t="s">
        <v>2123</v>
      </c>
      <c r="G2095" s="1" t="s">
        <v>28</v>
      </c>
      <c r="H2095" s="1">
        <v>2193</v>
      </c>
      <c r="I2095" s="1">
        <f t="shared" si="260"/>
        <v>48</v>
      </c>
      <c r="J2095" s="1">
        <f>VLOOKUP(B2095,Cena!$A$2:$B$101,2)</f>
        <v>91</v>
      </c>
      <c r="K2095" s="1">
        <f t="shared" si="264"/>
        <v>4368</v>
      </c>
      <c r="L2095" s="1">
        <f t="shared" si="261"/>
        <v>1004.6400000000001</v>
      </c>
      <c r="M2095" s="22">
        <f t="shared" si="265"/>
        <v>5372.64</v>
      </c>
      <c r="N2095" s="1">
        <f t="shared" ca="1" si="262"/>
        <v>10</v>
      </c>
      <c r="P2095" s="1">
        <v>48.871169282210758</v>
      </c>
      <c r="Q2095" s="1">
        <f t="shared" ca="1" si="263"/>
        <v>30</v>
      </c>
      <c r="R2095" s="1">
        <v>13.165439466101816</v>
      </c>
    </row>
    <row r="2096" spans="1:18" x14ac:dyDescent="0.3">
      <c r="A2096" s="26">
        <v>2095</v>
      </c>
      <c r="B2096" s="1">
        <v>21</v>
      </c>
      <c r="C2096" s="1">
        <f t="shared" si="259"/>
        <v>11</v>
      </c>
      <c r="D2096" s="21">
        <f t="shared" ca="1" si="258"/>
        <v>44903</v>
      </c>
      <c r="E2096" s="1" t="s">
        <v>26</v>
      </c>
      <c r="F2096" s="1" t="s">
        <v>2124</v>
      </c>
      <c r="G2096" s="1" t="s">
        <v>28</v>
      </c>
      <c r="H2096" s="1">
        <v>2194</v>
      </c>
      <c r="I2096" s="1">
        <f t="shared" si="260"/>
        <v>53</v>
      </c>
      <c r="J2096" s="1">
        <f>VLOOKUP(B2096,Cena!$A$2:$B$101,2)</f>
        <v>105</v>
      </c>
      <c r="K2096" s="1">
        <f t="shared" si="264"/>
        <v>5565</v>
      </c>
      <c r="L2096" s="1">
        <f t="shared" si="261"/>
        <v>1279.95</v>
      </c>
      <c r="M2096" s="22">
        <f t="shared" si="265"/>
        <v>6844.95</v>
      </c>
      <c r="N2096" s="1">
        <f t="shared" ca="1" si="262"/>
        <v>12</v>
      </c>
      <c r="P2096" s="1">
        <v>53.985746843682136</v>
      </c>
      <c r="Q2096" s="1">
        <f t="shared" ca="1" si="263"/>
        <v>9</v>
      </c>
      <c r="R2096" s="1">
        <v>11.697463858363335</v>
      </c>
    </row>
    <row r="2097" spans="1:18" x14ac:dyDescent="0.3">
      <c r="A2097" s="26">
        <v>2096</v>
      </c>
      <c r="B2097" s="1">
        <v>30</v>
      </c>
      <c r="C2097" s="1">
        <f t="shared" si="259"/>
        <v>14</v>
      </c>
      <c r="D2097" s="21">
        <f t="shared" ca="1" si="258"/>
        <v>44709</v>
      </c>
      <c r="E2097" s="1" t="s">
        <v>26</v>
      </c>
      <c r="F2097" s="1" t="s">
        <v>2125</v>
      </c>
      <c r="G2097" s="1" t="s">
        <v>28</v>
      </c>
      <c r="H2097" s="1">
        <v>2195</v>
      </c>
      <c r="I2097" s="1">
        <f t="shared" si="260"/>
        <v>40</v>
      </c>
      <c r="J2097" s="1">
        <f>VLOOKUP(B2097,Cena!$A$2:$B$101,2)</f>
        <v>87</v>
      </c>
      <c r="K2097" s="1">
        <f t="shared" si="264"/>
        <v>3480</v>
      </c>
      <c r="L2097" s="1">
        <f t="shared" si="261"/>
        <v>800.40000000000009</v>
      </c>
      <c r="M2097" s="22">
        <f t="shared" si="265"/>
        <v>4280.3999999999996</v>
      </c>
      <c r="N2097" s="1">
        <f t="shared" ca="1" si="262"/>
        <v>5</v>
      </c>
      <c r="P2097" s="1">
        <v>40.182914189063013</v>
      </c>
      <c r="Q2097" s="1">
        <f t="shared" ca="1" si="263"/>
        <v>25</v>
      </c>
      <c r="R2097" s="1">
        <v>14.308151346776867</v>
      </c>
    </row>
    <row r="2098" spans="1:18" x14ac:dyDescent="0.3">
      <c r="A2098" s="26">
        <v>2097</v>
      </c>
      <c r="B2098" s="1">
        <v>24</v>
      </c>
      <c r="C2098" s="1">
        <f t="shared" si="259"/>
        <v>11</v>
      </c>
      <c r="D2098" s="21">
        <f t="shared" ca="1" si="258"/>
        <v>44633</v>
      </c>
      <c r="E2098" s="1" t="s">
        <v>26</v>
      </c>
      <c r="F2098" s="1" t="s">
        <v>2126</v>
      </c>
      <c r="G2098" s="1" t="s">
        <v>28</v>
      </c>
      <c r="H2098" s="1">
        <v>2196</v>
      </c>
      <c r="I2098" s="1">
        <f t="shared" si="260"/>
        <v>46</v>
      </c>
      <c r="J2098" s="1">
        <f>VLOOKUP(B2098,Cena!$A$2:$B$101,2)</f>
        <v>125</v>
      </c>
      <c r="K2098" s="1">
        <f t="shared" si="264"/>
        <v>5750</v>
      </c>
      <c r="L2098" s="1">
        <f t="shared" si="261"/>
        <v>1322.5</v>
      </c>
      <c r="M2098" s="22">
        <f t="shared" si="265"/>
        <v>7072.5</v>
      </c>
      <c r="N2098" s="1">
        <f t="shared" ca="1" si="262"/>
        <v>3</v>
      </c>
      <c r="P2098" s="1">
        <v>46.50572135578841</v>
      </c>
      <c r="Q2098" s="1">
        <f t="shared" ca="1" si="263"/>
        <v>1</v>
      </c>
      <c r="R2098" s="1">
        <v>11.082764811144443</v>
      </c>
    </row>
    <row r="2099" spans="1:18" x14ac:dyDescent="0.3">
      <c r="A2099" s="26">
        <v>2098</v>
      </c>
      <c r="B2099" s="1">
        <v>21</v>
      </c>
      <c r="C2099" s="1">
        <f t="shared" si="259"/>
        <v>7</v>
      </c>
      <c r="D2099" s="21">
        <f t="shared" ca="1" si="258"/>
        <v>44727</v>
      </c>
      <c r="E2099" s="1" t="s">
        <v>26</v>
      </c>
      <c r="F2099" s="1" t="s">
        <v>2127</v>
      </c>
      <c r="G2099" s="1" t="s">
        <v>28</v>
      </c>
      <c r="H2099" s="1">
        <v>2197</v>
      </c>
      <c r="I2099" s="1">
        <f t="shared" si="260"/>
        <v>65</v>
      </c>
      <c r="J2099" s="1">
        <f>VLOOKUP(B2099,Cena!$A$2:$B$101,2)</f>
        <v>105</v>
      </c>
      <c r="K2099" s="1">
        <f t="shared" si="264"/>
        <v>6825</v>
      </c>
      <c r="L2099" s="1">
        <f t="shared" si="261"/>
        <v>1569.75</v>
      </c>
      <c r="M2099" s="22">
        <f t="shared" si="265"/>
        <v>8394.75</v>
      </c>
      <c r="N2099" s="1">
        <f t="shared" ca="1" si="262"/>
        <v>6</v>
      </c>
      <c r="P2099" s="1">
        <v>65.772002370795235</v>
      </c>
      <c r="Q2099" s="1">
        <f t="shared" ca="1" si="263"/>
        <v>11</v>
      </c>
      <c r="R2099" s="1">
        <v>7.4052968809701269</v>
      </c>
    </row>
    <row r="2100" spans="1:18" x14ac:dyDescent="0.3">
      <c r="A2100" s="26">
        <v>2099</v>
      </c>
      <c r="B2100" s="1">
        <v>9</v>
      </c>
      <c r="C2100" s="1">
        <f t="shared" si="259"/>
        <v>10</v>
      </c>
      <c r="D2100" s="21">
        <f t="shared" ca="1" si="258"/>
        <v>44848</v>
      </c>
      <c r="E2100" s="1" t="s">
        <v>26</v>
      </c>
      <c r="F2100" s="1" t="s">
        <v>2128</v>
      </c>
      <c r="G2100" s="1" t="s">
        <v>28</v>
      </c>
      <c r="H2100" s="1">
        <v>2198</v>
      </c>
      <c r="I2100" s="1">
        <f t="shared" si="260"/>
        <v>37</v>
      </c>
      <c r="J2100" s="1">
        <f>VLOOKUP(B2100,Cena!$A$2:$B$101,2)</f>
        <v>96</v>
      </c>
      <c r="K2100" s="1">
        <f t="shared" si="264"/>
        <v>3552</v>
      </c>
      <c r="L2100" s="1">
        <f t="shared" si="261"/>
        <v>816.96</v>
      </c>
      <c r="M2100" s="22">
        <f t="shared" si="265"/>
        <v>4368.96</v>
      </c>
      <c r="N2100" s="1">
        <f t="shared" ca="1" si="262"/>
        <v>10</v>
      </c>
      <c r="P2100" s="1">
        <v>37.184992278343998</v>
      </c>
      <c r="Q2100" s="1">
        <f t="shared" ca="1" si="263"/>
        <v>29</v>
      </c>
      <c r="R2100" s="1">
        <v>10.476882178190863</v>
      </c>
    </row>
    <row r="2101" spans="1:18" x14ac:dyDescent="0.3">
      <c r="A2101" s="26">
        <v>2100</v>
      </c>
      <c r="B2101" s="1">
        <v>3</v>
      </c>
      <c r="C2101" s="1">
        <f t="shared" si="259"/>
        <v>6</v>
      </c>
      <c r="D2101" s="21">
        <f t="shared" ca="1" si="258"/>
        <v>44565</v>
      </c>
      <c r="E2101" s="1" t="s">
        <v>26</v>
      </c>
      <c r="F2101" s="1" t="s">
        <v>2129</v>
      </c>
      <c r="G2101" s="1" t="s">
        <v>28</v>
      </c>
      <c r="H2101" s="1">
        <v>2199</v>
      </c>
      <c r="I2101" s="1">
        <f t="shared" si="260"/>
        <v>39</v>
      </c>
      <c r="J2101" s="1">
        <f>VLOOKUP(B2101,Cena!$A$2:$B$101,2)</f>
        <v>89</v>
      </c>
      <c r="K2101" s="1">
        <f t="shared" si="264"/>
        <v>3471</v>
      </c>
      <c r="L2101" s="1">
        <f t="shared" si="261"/>
        <v>798.33</v>
      </c>
      <c r="M2101" s="22">
        <f t="shared" si="265"/>
        <v>4269.33</v>
      </c>
      <c r="N2101" s="1">
        <f t="shared" ca="1" si="262"/>
        <v>1</v>
      </c>
      <c r="P2101" s="1">
        <v>39.083153195679188</v>
      </c>
      <c r="Q2101" s="1">
        <f t="shared" ca="1" si="263"/>
        <v>6</v>
      </c>
      <c r="R2101" s="1">
        <v>6.0050786285137292</v>
      </c>
    </row>
    <row r="2102" spans="1:18" x14ac:dyDescent="0.3">
      <c r="A2102" s="26">
        <v>2101</v>
      </c>
      <c r="B2102" s="1">
        <v>10</v>
      </c>
      <c r="C2102" s="1">
        <f t="shared" si="259"/>
        <v>11</v>
      </c>
      <c r="D2102" s="21">
        <f t="shared" ca="1" si="258"/>
        <v>44564</v>
      </c>
      <c r="E2102" s="1" t="s">
        <v>26</v>
      </c>
      <c r="F2102" s="1" t="s">
        <v>2130</v>
      </c>
      <c r="G2102" s="1" t="s">
        <v>28</v>
      </c>
      <c r="H2102" s="1">
        <v>2200</v>
      </c>
      <c r="I2102" s="1">
        <f t="shared" si="260"/>
        <v>47</v>
      </c>
      <c r="J2102" s="1">
        <f>VLOOKUP(B2102,Cena!$A$2:$B$101,2)</f>
        <v>109</v>
      </c>
      <c r="K2102" s="1">
        <f t="shared" si="264"/>
        <v>5123</v>
      </c>
      <c r="L2102" s="1">
        <f t="shared" si="261"/>
        <v>1178.29</v>
      </c>
      <c r="M2102" s="22">
        <f t="shared" si="265"/>
        <v>6301.29</v>
      </c>
      <c r="N2102" s="1">
        <f t="shared" ca="1" si="262"/>
        <v>1</v>
      </c>
      <c r="P2102" s="1">
        <v>47.768122739216778</v>
      </c>
      <c r="Q2102" s="1">
        <f t="shared" ca="1" si="263"/>
        <v>17</v>
      </c>
      <c r="R2102" s="1">
        <v>11.468396249038051</v>
      </c>
    </row>
    <row r="2103" spans="1:18" x14ac:dyDescent="0.3">
      <c r="A2103" s="26">
        <v>2102</v>
      </c>
      <c r="B2103" s="1">
        <v>28</v>
      </c>
      <c r="C2103" s="1">
        <f t="shared" si="259"/>
        <v>11</v>
      </c>
      <c r="D2103" s="21">
        <f t="shared" ca="1" si="258"/>
        <v>44635</v>
      </c>
      <c r="E2103" s="1" t="s">
        <v>26</v>
      </c>
      <c r="F2103" s="1" t="s">
        <v>2131</v>
      </c>
      <c r="G2103" s="1" t="s">
        <v>28</v>
      </c>
      <c r="H2103" s="1">
        <v>2201</v>
      </c>
      <c r="I2103" s="1">
        <f t="shared" si="260"/>
        <v>40</v>
      </c>
      <c r="J2103" s="1">
        <f>VLOOKUP(B2103,Cena!$A$2:$B$101,2)</f>
        <v>59</v>
      </c>
      <c r="K2103" s="1">
        <f t="shared" si="264"/>
        <v>2360</v>
      </c>
      <c r="L2103" s="1">
        <f t="shared" si="261"/>
        <v>542.80000000000007</v>
      </c>
      <c r="M2103" s="22">
        <f t="shared" si="265"/>
        <v>2902.8</v>
      </c>
      <c r="N2103" s="1">
        <f t="shared" ca="1" si="262"/>
        <v>3</v>
      </c>
      <c r="P2103" s="1">
        <v>40.944706951268017</v>
      </c>
      <c r="Q2103" s="1">
        <f t="shared" ca="1" si="263"/>
        <v>19</v>
      </c>
      <c r="R2103" s="1">
        <v>11.919613623613259</v>
      </c>
    </row>
    <row r="2104" spans="1:18" x14ac:dyDescent="0.3">
      <c r="A2104" s="26">
        <v>2103</v>
      </c>
      <c r="B2104" s="1">
        <v>1</v>
      </c>
      <c r="C2104" s="1">
        <f t="shared" si="259"/>
        <v>12</v>
      </c>
      <c r="D2104" s="21">
        <f t="shared" ca="1" si="258"/>
        <v>44821</v>
      </c>
      <c r="E2104" s="1" t="s">
        <v>26</v>
      </c>
      <c r="F2104" s="1" t="s">
        <v>2132</v>
      </c>
      <c r="G2104" s="1" t="s">
        <v>28</v>
      </c>
      <c r="H2104" s="1">
        <v>2202</v>
      </c>
      <c r="I2104" s="1">
        <f t="shared" si="260"/>
        <v>45</v>
      </c>
      <c r="J2104" s="1">
        <f>VLOOKUP(B2104,Cena!$A$2:$B$101,2)</f>
        <v>84</v>
      </c>
      <c r="K2104" s="1">
        <f t="shared" si="264"/>
        <v>3780</v>
      </c>
      <c r="L2104" s="1">
        <f t="shared" si="261"/>
        <v>869.40000000000009</v>
      </c>
      <c r="M2104" s="22">
        <f t="shared" si="265"/>
        <v>4649.3999999999996</v>
      </c>
      <c r="N2104" s="1">
        <f t="shared" ca="1" si="262"/>
        <v>9</v>
      </c>
      <c r="P2104" s="1">
        <v>45.575478806131287</v>
      </c>
      <c r="Q2104" s="1">
        <f t="shared" ca="1" si="263"/>
        <v>9</v>
      </c>
      <c r="R2104" s="1">
        <v>12.340095761610428</v>
      </c>
    </row>
    <row r="2105" spans="1:18" x14ac:dyDescent="0.3">
      <c r="A2105" s="26">
        <v>2104</v>
      </c>
      <c r="B2105" s="1">
        <v>28</v>
      </c>
      <c r="C2105" s="1">
        <f t="shared" si="259"/>
        <v>9</v>
      </c>
      <c r="D2105" s="21">
        <f t="shared" ca="1" si="258"/>
        <v>44788</v>
      </c>
      <c r="E2105" s="1" t="s">
        <v>26</v>
      </c>
      <c r="F2105" s="1" t="s">
        <v>2133</v>
      </c>
      <c r="G2105" s="1" t="s">
        <v>28</v>
      </c>
      <c r="H2105" s="1">
        <v>2203</v>
      </c>
      <c r="I2105" s="1">
        <f t="shared" si="260"/>
        <v>44</v>
      </c>
      <c r="J2105" s="1">
        <f>VLOOKUP(B2105,Cena!$A$2:$B$101,2)</f>
        <v>59</v>
      </c>
      <c r="K2105" s="1">
        <f t="shared" si="264"/>
        <v>2596</v>
      </c>
      <c r="L2105" s="1">
        <f t="shared" si="261"/>
        <v>597.08000000000004</v>
      </c>
      <c r="M2105" s="22">
        <f t="shared" si="265"/>
        <v>3193.08</v>
      </c>
      <c r="N2105" s="1">
        <f t="shared" ca="1" si="262"/>
        <v>8</v>
      </c>
      <c r="P2105" s="1">
        <v>44.543168213567697</v>
      </c>
      <c r="Q2105" s="1">
        <f t="shared" ca="1" si="263"/>
        <v>8</v>
      </c>
      <c r="R2105" s="1">
        <v>9.1455126746586757</v>
      </c>
    </row>
    <row r="2106" spans="1:18" x14ac:dyDescent="0.3">
      <c r="A2106" s="26">
        <v>2105</v>
      </c>
      <c r="B2106" s="1">
        <v>21</v>
      </c>
      <c r="C2106" s="1">
        <f t="shared" si="259"/>
        <v>7</v>
      </c>
      <c r="D2106" s="21">
        <f t="shared" ca="1" si="258"/>
        <v>44768</v>
      </c>
      <c r="E2106" s="1" t="s">
        <v>26</v>
      </c>
      <c r="F2106" s="1" t="s">
        <v>2134</v>
      </c>
      <c r="G2106" s="1" t="s">
        <v>28</v>
      </c>
      <c r="H2106" s="1">
        <v>2204</v>
      </c>
      <c r="I2106" s="1">
        <f t="shared" si="260"/>
        <v>46</v>
      </c>
      <c r="J2106" s="1">
        <f>VLOOKUP(B2106,Cena!$A$2:$B$101,2)</f>
        <v>105</v>
      </c>
      <c r="K2106" s="1">
        <f t="shared" si="264"/>
        <v>4830</v>
      </c>
      <c r="L2106" s="1">
        <f t="shared" si="261"/>
        <v>1110.9000000000001</v>
      </c>
      <c r="M2106" s="22">
        <f t="shared" si="265"/>
        <v>5940.9</v>
      </c>
      <c r="N2106" s="1">
        <f t="shared" ca="1" si="262"/>
        <v>7</v>
      </c>
      <c r="P2106" s="1">
        <v>46.161250237491913</v>
      </c>
      <c r="Q2106" s="1">
        <f t="shared" ca="1" si="263"/>
        <v>12</v>
      </c>
      <c r="R2106" s="1">
        <v>7.8477546846988844</v>
      </c>
    </row>
    <row r="2107" spans="1:18" x14ac:dyDescent="0.3">
      <c r="A2107" s="26">
        <v>2106</v>
      </c>
      <c r="B2107" s="1">
        <v>3</v>
      </c>
      <c r="C2107" s="1">
        <f t="shared" si="259"/>
        <v>9</v>
      </c>
      <c r="D2107" s="21">
        <f t="shared" ca="1" si="258"/>
        <v>44852</v>
      </c>
      <c r="E2107" s="1" t="s">
        <v>26</v>
      </c>
      <c r="F2107" s="1" t="s">
        <v>2135</v>
      </c>
      <c r="G2107" s="1" t="s">
        <v>28</v>
      </c>
      <c r="H2107" s="1">
        <v>2205</v>
      </c>
      <c r="I2107" s="1">
        <f t="shared" si="260"/>
        <v>46</v>
      </c>
      <c r="J2107" s="1">
        <f>VLOOKUP(B2107,Cena!$A$2:$B$101,2)</f>
        <v>89</v>
      </c>
      <c r="K2107" s="1">
        <f t="shared" si="264"/>
        <v>4094</v>
      </c>
      <c r="L2107" s="1">
        <f t="shared" si="261"/>
        <v>941.62</v>
      </c>
      <c r="M2107" s="22">
        <f t="shared" si="265"/>
        <v>5035.62</v>
      </c>
      <c r="N2107" s="1">
        <f t="shared" ca="1" si="262"/>
        <v>10</v>
      </c>
      <c r="P2107" s="1">
        <v>46.363874288363149</v>
      </c>
      <c r="Q2107" s="1">
        <f t="shared" ca="1" si="263"/>
        <v>10</v>
      </c>
      <c r="R2107" s="1">
        <v>9.2044820373848779</v>
      </c>
    </row>
    <row r="2108" spans="1:18" x14ac:dyDescent="0.3">
      <c r="A2108" s="26">
        <v>2107</v>
      </c>
      <c r="B2108" s="1">
        <v>11</v>
      </c>
      <c r="C2108" s="1">
        <f t="shared" si="259"/>
        <v>8</v>
      </c>
      <c r="D2108" s="21">
        <f t="shared" ca="1" si="258"/>
        <v>44571</v>
      </c>
      <c r="E2108" s="1" t="s">
        <v>26</v>
      </c>
      <c r="F2108" s="1" t="s">
        <v>2136</v>
      </c>
      <c r="G2108" s="1" t="s">
        <v>28</v>
      </c>
      <c r="H2108" s="1">
        <v>2206</v>
      </c>
      <c r="I2108" s="1">
        <f t="shared" si="260"/>
        <v>41</v>
      </c>
      <c r="J2108" s="1">
        <f>VLOOKUP(B2108,Cena!$A$2:$B$101,2)</f>
        <v>83</v>
      </c>
      <c r="K2108" s="1">
        <f t="shared" si="264"/>
        <v>3403</v>
      </c>
      <c r="L2108" s="1">
        <f t="shared" si="261"/>
        <v>782.69</v>
      </c>
      <c r="M2108" s="22">
        <f t="shared" si="265"/>
        <v>4185.6900000000005</v>
      </c>
      <c r="N2108" s="1">
        <f t="shared" ca="1" si="262"/>
        <v>1</v>
      </c>
      <c r="P2108" s="1">
        <v>41.980121194501407</v>
      </c>
      <c r="Q2108" s="1">
        <f t="shared" ca="1" si="263"/>
        <v>15</v>
      </c>
      <c r="R2108" s="1">
        <v>8.5379616873615305</v>
      </c>
    </row>
    <row r="2109" spans="1:18" x14ac:dyDescent="0.3">
      <c r="A2109" s="26">
        <v>2108</v>
      </c>
      <c r="B2109" s="1">
        <v>1</v>
      </c>
      <c r="C2109" s="1">
        <f t="shared" si="259"/>
        <v>9</v>
      </c>
      <c r="D2109" s="21">
        <f t="shared" ca="1" si="258"/>
        <v>44569</v>
      </c>
      <c r="E2109" s="1" t="s">
        <v>26</v>
      </c>
      <c r="F2109" s="1" t="s">
        <v>2137</v>
      </c>
      <c r="G2109" s="1" t="s">
        <v>28</v>
      </c>
      <c r="H2109" s="1">
        <v>2207</v>
      </c>
      <c r="I2109" s="1">
        <f t="shared" si="260"/>
        <v>43</v>
      </c>
      <c r="J2109" s="1">
        <f>VLOOKUP(B2109,Cena!$A$2:$B$101,2)</f>
        <v>84</v>
      </c>
      <c r="K2109" s="1">
        <f t="shared" si="264"/>
        <v>3612</v>
      </c>
      <c r="L2109" s="1">
        <f t="shared" si="261"/>
        <v>830.76</v>
      </c>
      <c r="M2109" s="22">
        <f t="shared" si="265"/>
        <v>4442.76</v>
      </c>
      <c r="N2109" s="1">
        <f t="shared" ca="1" si="262"/>
        <v>1</v>
      </c>
      <c r="P2109" s="1">
        <v>43.746700965857599</v>
      </c>
      <c r="Q2109" s="1">
        <f t="shared" ca="1" si="263"/>
        <v>10</v>
      </c>
      <c r="R2109" s="1">
        <v>9.3737787917780224</v>
      </c>
    </row>
    <row r="2110" spans="1:18" x14ac:dyDescent="0.3">
      <c r="A2110" s="26">
        <v>2109</v>
      </c>
      <c r="B2110" s="1">
        <v>4</v>
      </c>
      <c r="C2110" s="1">
        <f t="shared" si="259"/>
        <v>10</v>
      </c>
      <c r="D2110" s="21">
        <f t="shared" ca="1" si="258"/>
        <v>44587</v>
      </c>
      <c r="E2110" s="1" t="s">
        <v>26</v>
      </c>
      <c r="F2110" s="1" t="s">
        <v>2138</v>
      </c>
      <c r="G2110" s="1" t="s">
        <v>28</v>
      </c>
      <c r="H2110" s="1">
        <v>2208</v>
      </c>
      <c r="I2110" s="1">
        <f t="shared" si="260"/>
        <v>31</v>
      </c>
      <c r="J2110" s="1">
        <f>VLOOKUP(B2110,Cena!$A$2:$B$101,2)</f>
        <v>99</v>
      </c>
      <c r="K2110" s="1">
        <f t="shared" si="264"/>
        <v>3069</v>
      </c>
      <c r="L2110" s="1">
        <f t="shared" si="261"/>
        <v>705.87</v>
      </c>
      <c r="M2110" s="22">
        <f t="shared" si="265"/>
        <v>3774.87</v>
      </c>
      <c r="N2110" s="1">
        <f t="shared" ca="1" si="262"/>
        <v>1</v>
      </c>
      <c r="P2110" s="1">
        <v>31.793916958849877</v>
      </c>
      <c r="Q2110" s="1">
        <f t="shared" ca="1" si="263"/>
        <v>19</v>
      </c>
      <c r="R2110" s="1">
        <v>10.117563558887923</v>
      </c>
    </row>
    <row r="2111" spans="1:18" x14ac:dyDescent="0.3">
      <c r="A2111" s="26">
        <v>2110</v>
      </c>
      <c r="B2111" s="1">
        <v>8</v>
      </c>
      <c r="C2111" s="1">
        <f t="shared" si="259"/>
        <v>8</v>
      </c>
      <c r="D2111" s="21">
        <f t="shared" ca="1" si="258"/>
        <v>44726</v>
      </c>
      <c r="E2111" s="1" t="s">
        <v>26</v>
      </c>
      <c r="F2111" s="1" t="s">
        <v>2139</v>
      </c>
      <c r="G2111" s="1" t="s">
        <v>28</v>
      </c>
      <c r="H2111" s="1">
        <v>2209</v>
      </c>
      <c r="I2111" s="1">
        <f t="shared" si="260"/>
        <v>37</v>
      </c>
      <c r="J2111" s="1">
        <f>VLOOKUP(B2111,Cena!$A$2:$B$101,2)</f>
        <v>88</v>
      </c>
      <c r="K2111" s="1">
        <f t="shared" si="264"/>
        <v>3256</v>
      </c>
      <c r="L2111" s="1">
        <f t="shared" si="261"/>
        <v>748.88</v>
      </c>
      <c r="M2111" s="22">
        <f t="shared" si="265"/>
        <v>4004.88</v>
      </c>
      <c r="N2111" s="1">
        <f t="shared" ca="1" si="262"/>
        <v>6</v>
      </c>
      <c r="P2111" s="1">
        <v>37.60486050741747</v>
      </c>
      <c r="Q2111" s="1">
        <f t="shared" ca="1" si="263"/>
        <v>7</v>
      </c>
      <c r="R2111" s="1">
        <v>8.3868292474653572</v>
      </c>
    </row>
    <row r="2112" spans="1:18" x14ac:dyDescent="0.3">
      <c r="A2112" s="26">
        <v>2111</v>
      </c>
      <c r="B2112" s="1">
        <v>4</v>
      </c>
      <c r="C2112" s="1">
        <f t="shared" si="259"/>
        <v>10</v>
      </c>
      <c r="D2112" s="21">
        <f t="shared" ca="1" si="258"/>
        <v>44913</v>
      </c>
      <c r="E2112" s="1" t="s">
        <v>26</v>
      </c>
      <c r="F2112" s="1" t="s">
        <v>2140</v>
      </c>
      <c r="G2112" s="1" t="s">
        <v>28</v>
      </c>
      <c r="H2112" s="1">
        <v>2210</v>
      </c>
      <c r="I2112" s="1">
        <f t="shared" si="260"/>
        <v>56</v>
      </c>
      <c r="J2112" s="1">
        <f>VLOOKUP(B2112,Cena!$A$2:$B$101,2)</f>
        <v>99</v>
      </c>
      <c r="K2112" s="1">
        <f t="shared" si="264"/>
        <v>5544</v>
      </c>
      <c r="L2112" s="1">
        <f t="shared" si="261"/>
        <v>1275.1200000000001</v>
      </c>
      <c r="M2112" s="22">
        <f t="shared" si="265"/>
        <v>6819.12</v>
      </c>
      <c r="N2112" s="1">
        <f t="shared" ca="1" si="262"/>
        <v>12</v>
      </c>
      <c r="P2112" s="1">
        <v>56.008656328049256</v>
      </c>
      <c r="Q2112" s="1">
        <f t="shared" ca="1" si="263"/>
        <v>10</v>
      </c>
      <c r="R2112" s="1">
        <v>10.826358359518053</v>
      </c>
    </row>
    <row r="2113" spans="1:18" x14ac:dyDescent="0.3">
      <c r="A2113" s="26">
        <v>2112</v>
      </c>
      <c r="B2113" s="1">
        <v>16</v>
      </c>
      <c r="C2113" s="1">
        <f t="shared" si="259"/>
        <v>10</v>
      </c>
      <c r="D2113" s="21">
        <f t="shared" ca="1" si="258"/>
        <v>44751</v>
      </c>
      <c r="E2113" s="1" t="s">
        <v>26</v>
      </c>
      <c r="F2113" s="1" t="s">
        <v>2141</v>
      </c>
      <c r="G2113" s="1" t="s">
        <v>28</v>
      </c>
      <c r="H2113" s="1">
        <v>2211</v>
      </c>
      <c r="I2113" s="1">
        <f t="shared" si="260"/>
        <v>65</v>
      </c>
      <c r="J2113" s="1">
        <f>VLOOKUP(B2113,Cena!$A$2:$B$101,2)</f>
        <v>93</v>
      </c>
      <c r="K2113" s="1">
        <f t="shared" si="264"/>
        <v>6045</v>
      </c>
      <c r="L2113" s="1">
        <f t="shared" si="261"/>
        <v>1390.3500000000001</v>
      </c>
      <c r="M2113" s="22">
        <f t="shared" si="265"/>
        <v>7435.35</v>
      </c>
      <c r="N2113" s="1">
        <f t="shared" ca="1" si="262"/>
        <v>7</v>
      </c>
      <c r="P2113" s="1">
        <v>65.049818102852441</v>
      </c>
      <c r="Q2113" s="1">
        <f t="shared" ca="1" si="263"/>
        <v>5</v>
      </c>
      <c r="R2113" s="1">
        <v>10.798939936430543</v>
      </c>
    </row>
    <row r="2114" spans="1:18" x14ac:dyDescent="0.3">
      <c r="A2114" s="26">
        <v>2113</v>
      </c>
      <c r="B2114" s="1">
        <v>28</v>
      </c>
      <c r="C2114" s="1">
        <f t="shared" si="259"/>
        <v>7</v>
      </c>
      <c r="D2114" s="21">
        <f t="shared" ref="D2114:D2177" ca="1" si="266">DATE(2022,RANDBETWEEN(1,12),RANDBETWEEN(1,28))</f>
        <v>44835</v>
      </c>
      <c r="E2114" s="1" t="s">
        <v>26</v>
      </c>
      <c r="F2114" s="1" t="s">
        <v>2142</v>
      </c>
      <c r="G2114" s="1" t="s">
        <v>28</v>
      </c>
      <c r="H2114" s="1">
        <v>2212</v>
      </c>
      <c r="I2114" s="1">
        <f t="shared" si="260"/>
        <v>62</v>
      </c>
      <c r="J2114" s="1">
        <f>VLOOKUP(B2114,Cena!$A$2:$B$101,2)</f>
        <v>59</v>
      </c>
      <c r="K2114" s="1">
        <f t="shared" si="264"/>
        <v>3658</v>
      </c>
      <c r="L2114" s="1">
        <f t="shared" si="261"/>
        <v>841.34</v>
      </c>
      <c r="M2114" s="22">
        <f t="shared" si="265"/>
        <v>4499.34</v>
      </c>
      <c r="N2114" s="1">
        <f t="shared" ca="1" si="262"/>
        <v>10</v>
      </c>
      <c r="P2114" s="1">
        <v>62.173882169008721</v>
      </c>
      <c r="Q2114" s="1">
        <f t="shared" ca="1" si="263"/>
        <v>10</v>
      </c>
      <c r="R2114" s="1">
        <v>7.6351944042107789</v>
      </c>
    </row>
    <row r="2115" spans="1:18" x14ac:dyDescent="0.3">
      <c r="A2115" s="26">
        <v>2114</v>
      </c>
      <c r="B2115" s="1">
        <v>18</v>
      </c>
      <c r="C2115" s="1">
        <f t="shared" ref="C2115:C2178" si="267">INT(R2115)</f>
        <v>12</v>
      </c>
      <c r="D2115" s="21">
        <f t="shared" ca="1" si="266"/>
        <v>44660</v>
      </c>
      <c r="E2115" s="1" t="s">
        <v>26</v>
      </c>
      <c r="F2115" s="1" t="s">
        <v>2143</v>
      </c>
      <c r="G2115" s="1" t="s">
        <v>28</v>
      </c>
      <c r="H2115" s="1">
        <v>2213</v>
      </c>
      <c r="I2115" s="1">
        <f t="shared" ref="I2115:I2178" si="268">INT(P2115)</f>
        <v>49</v>
      </c>
      <c r="J2115" s="1">
        <f>VLOOKUP(B2115,Cena!$A$2:$B$101,2)</f>
        <v>90</v>
      </c>
      <c r="K2115" s="1">
        <f t="shared" si="264"/>
        <v>4410</v>
      </c>
      <c r="L2115" s="1">
        <f t="shared" ref="L2115:L2178" si="269">K2115*23%</f>
        <v>1014.3000000000001</v>
      </c>
      <c r="M2115" s="22">
        <f t="shared" si="265"/>
        <v>5424.3</v>
      </c>
      <c r="N2115" s="1">
        <f t="shared" ref="N2115:N2178" ca="1" si="270">MONTH(D2115)</f>
        <v>4</v>
      </c>
      <c r="P2115" s="1">
        <v>49.7509689819708</v>
      </c>
      <c r="Q2115" s="1">
        <f t="shared" ref="Q2115:Q2178" ca="1" si="271">RANDBETWEEN(1,30)</f>
        <v>25</v>
      </c>
      <c r="R2115" s="1">
        <v>12.814795152517036</v>
      </c>
    </row>
    <row r="2116" spans="1:18" x14ac:dyDescent="0.3">
      <c r="A2116" s="26">
        <v>2115</v>
      </c>
      <c r="B2116" s="1">
        <v>9</v>
      </c>
      <c r="C2116" s="1">
        <f t="shared" si="267"/>
        <v>9</v>
      </c>
      <c r="D2116" s="21">
        <f t="shared" ca="1" si="266"/>
        <v>44859</v>
      </c>
      <c r="E2116" s="1" t="s">
        <v>26</v>
      </c>
      <c r="F2116" s="1" t="s">
        <v>2144</v>
      </c>
      <c r="G2116" s="1" t="s">
        <v>28</v>
      </c>
      <c r="H2116" s="1">
        <v>2214</v>
      </c>
      <c r="I2116" s="1">
        <f t="shared" si="268"/>
        <v>41</v>
      </c>
      <c r="J2116" s="1">
        <f>VLOOKUP(B2116,Cena!$A$2:$B$101,2)</f>
        <v>96</v>
      </c>
      <c r="K2116" s="1">
        <f t="shared" si="264"/>
        <v>3936</v>
      </c>
      <c r="L2116" s="1">
        <f t="shared" si="269"/>
        <v>905.28000000000009</v>
      </c>
      <c r="M2116" s="22">
        <f t="shared" si="265"/>
        <v>4841.28</v>
      </c>
      <c r="N2116" s="1">
        <f t="shared" ca="1" si="270"/>
        <v>10</v>
      </c>
      <c r="P2116" s="1">
        <v>41.334357218875084</v>
      </c>
      <c r="Q2116" s="1">
        <f t="shared" ca="1" si="271"/>
        <v>26</v>
      </c>
      <c r="R2116" s="1">
        <v>9.6199676388641819</v>
      </c>
    </row>
    <row r="2117" spans="1:18" x14ac:dyDescent="0.3">
      <c r="A2117" s="26">
        <v>2116</v>
      </c>
      <c r="B2117" s="1">
        <v>14</v>
      </c>
      <c r="C2117" s="1">
        <f t="shared" si="267"/>
        <v>7</v>
      </c>
      <c r="D2117" s="21">
        <f t="shared" ca="1" si="266"/>
        <v>44687</v>
      </c>
      <c r="E2117" s="1" t="s">
        <v>26</v>
      </c>
      <c r="F2117" s="1" t="s">
        <v>2145</v>
      </c>
      <c r="G2117" s="1" t="s">
        <v>28</v>
      </c>
      <c r="H2117" s="1">
        <v>2215</v>
      </c>
      <c r="I2117" s="1">
        <f t="shared" si="268"/>
        <v>46</v>
      </c>
      <c r="J2117" s="1">
        <f>VLOOKUP(B2117,Cena!$A$2:$B$101,2)</f>
        <v>129</v>
      </c>
      <c r="K2117" s="1">
        <f t="shared" si="264"/>
        <v>5934</v>
      </c>
      <c r="L2117" s="1">
        <f t="shared" si="269"/>
        <v>1364.8200000000002</v>
      </c>
      <c r="M2117" s="22">
        <f t="shared" si="265"/>
        <v>7298.82</v>
      </c>
      <c r="N2117" s="1">
        <f t="shared" ca="1" si="270"/>
        <v>5</v>
      </c>
      <c r="P2117" s="1">
        <v>46.07298377668485</v>
      </c>
      <c r="Q2117" s="1">
        <f t="shared" ca="1" si="271"/>
        <v>15</v>
      </c>
      <c r="R2117" s="1">
        <v>7.9810155537052196</v>
      </c>
    </row>
    <row r="2118" spans="1:18" x14ac:dyDescent="0.3">
      <c r="A2118" s="26">
        <v>2117</v>
      </c>
      <c r="B2118" s="1">
        <v>14</v>
      </c>
      <c r="C2118" s="1">
        <f t="shared" si="267"/>
        <v>10</v>
      </c>
      <c r="D2118" s="21">
        <f t="shared" ca="1" si="266"/>
        <v>44660</v>
      </c>
      <c r="E2118" s="1" t="s">
        <v>26</v>
      </c>
      <c r="F2118" s="1" t="s">
        <v>2146</v>
      </c>
      <c r="G2118" s="1" t="s">
        <v>28</v>
      </c>
      <c r="H2118" s="1">
        <v>2216</v>
      </c>
      <c r="I2118" s="1">
        <f t="shared" si="268"/>
        <v>42</v>
      </c>
      <c r="J2118" s="1">
        <f>VLOOKUP(B2118,Cena!$A$2:$B$101,2)</f>
        <v>129</v>
      </c>
      <c r="K2118" s="1">
        <f t="shared" si="264"/>
        <v>5418</v>
      </c>
      <c r="L2118" s="1">
        <f t="shared" si="269"/>
        <v>1246.1400000000001</v>
      </c>
      <c r="M2118" s="22">
        <f t="shared" si="265"/>
        <v>6664.14</v>
      </c>
      <c r="N2118" s="1">
        <f t="shared" ca="1" si="270"/>
        <v>4</v>
      </c>
      <c r="P2118" s="1">
        <v>42.585969721403671</v>
      </c>
      <c r="Q2118" s="1">
        <f t="shared" ca="1" si="271"/>
        <v>12</v>
      </c>
      <c r="R2118" s="1">
        <v>10.359534624294611</v>
      </c>
    </row>
    <row r="2119" spans="1:18" x14ac:dyDescent="0.3">
      <c r="A2119" s="26">
        <v>2118</v>
      </c>
      <c r="B2119" s="1">
        <v>18</v>
      </c>
      <c r="C2119" s="1">
        <f t="shared" si="267"/>
        <v>11</v>
      </c>
      <c r="D2119" s="21">
        <f t="shared" ca="1" si="266"/>
        <v>44790</v>
      </c>
      <c r="E2119" s="1" t="s">
        <v>26</v>
      </c>
      <c r="F2119" s="1" t="s">
        <v>2147</v>
      </c>
      <c r="G2119" s="1" t="s">
        <v>28</v>
      </c>
      <c r="H2119" s="1">
        <v>2217</v>
      </c>
      <c r="I2119" s="1">
        <f t="shared" si="268"/>
        <v>53</v>
      </c>
      <c r="J2119" s="1">
        <f>VLOOKUP(B2119,Cena!$A$2:$B$101,2)</f>
        <v>90</v>
      </c>
      <c r="K2119" s="1">
        <f t="shared" si="264"/>
        <v>4770</v>
      </c>
      <c r="L2119" s="1">
        <f t="shared" si="269"/>
        <v>1097.1000000000001</v>
      </c>
      <c r="M2119" s="22">
        <f t="shared" si="265"/>
        <v>5867.1</v>
      </c>
      <c r="N2119" s="1">
        <f t="shared" ca="1" si="270"/>
        <v>8</v>
      </c>
      <c r="P2119" s="1">
        <v>53.773777734750183</v>
      </c>
      <c r="Q2119" s="1">
        <f t="shared" ca="1" si="271"/>
        <v>20</v>
      </c>
      <c r="R2119" s="1">
        <v>11.732553300826112</v>
      </c>
    </row>
    <row r="2120" spans="1:18" x14ac:dyDescent="0.3">
      <c r="A2120" s="26">
        <v>2119</v>
      </c>
      <c r="B2120" s="1">
        <v>18</v>
      </c>
      <c r="C2120" s="1">
        <f t="shared" si="267"/>
        <v>8</v>
      </c>
      <c r="D2120" s="21">
        <f t="shared" ca="1" si="266"/>
        <v>44654</v>
      </c>
      <c r="E2120" s="1" t="s">
        <v>26</v>
      </c>
      <c r="F2120" s="1" t="s">
        <v>2148</v>
      </c>
      <c r="G2120" s="1" t="s">
        <v>28</v>
      </c>
      <c r="H2120" s="1">
        <v>2218</v>
      </c>
      <c r="I2120" s="1">
        <f t="shared" si="268"/>
        <v>47</v>
      </c>
      <c r="J2120" s="1">
        <f>VLOOKUP(B2120,Cena!$A$2:$B$101,2)</f>
        <v>90</v>
      </c>
      <c r="K2120" s="1">
        <f t="shared" si="264"/>
        <v>4230</v>
      </c>
      <c r="L2120" s="1">
        <f t="shared" si="269"/>
        <v>972.90000000000009</v>
      </c>
      <c r="M2120" s="22">
        <f t="shared" si="265"/>
        <v>5202.8999999999996</v>
      </c>
      <c r="N2120" s="1">
        <f t="shared" ca="1" si="270"/>
        <v>4</v>
      </c>
      <c r="P2120" s="1">
        <v>47.751649516430916</v>
      </c>
      <c r="Q2120" s="1">
        <f t="shared" ca="1" si="271"/>
        <v>2</v>
      </c>
      <c r="R2120" s="1">
        <v>8.6391230777371675</v>
      </c>
    </row>
    <row r="2121" spans="1:18" x14ac:dyDescent="0.3">
      <c r="A2121" s="26">
        <v>2120</v>
      </c>
      <c r="B2121" s="1">
        <v>27</v>
      </c>
      <c r="C2121" s="1">
        <f t="shared" si="267"/>
        <v>7</v>
      </c>
      <c r="D2121" s="21">
        <f t="shared" ca="1" si="266"/>
        <v>44696</v>
      </c>
      <c r="E2121" s="1" t="s">
        <v>26</v>
      </c>
      <c r="F2121" s="1" t="s">
        <v>2149</v>
      </c>
      <c r="G2121" s="1" t="s">
        <v>28</v>
      </c>
      <c r="H2121" s="1">
        <v>2219</v>
      </c>
      <c r="I2121" s="1">
        <f t="shared" si="268"/>
        <v>65</v>
      </c>
      <c r="J2121" s="1">
        <f>VLOOKUP(B2121,Cena!$A$2:$B$101,2)</f>
        <v>87</v>
      </c>
      <c r="K2121" s="1">
        <f t="shared" si="264"/>
        <v>5655</v>
      </c>
      <c r="L2121" s="1">
        <f t="shared" si="269"/>
        <v>1300.6500000000001</v>
      </c>
      <c r="M2121" s="22">
        <f t="shared" si="265"/>
        <v>6955.65</v>
      </c>
      <c r="N2121" s="1">
        <f t="shared" ca="1" si="270"/>
        <v>5</v>
      </c>
      <c r="P2121" s="1">
        <v>65.648492990294471</v>
      </c>
      <c r="Q2121" s="1">
        <f t="shared" ca="1" si="271"/>
        <v>13</v>
      </c>
      <c r="R2121" s="1">
        <v>7.9886922574223718</v>
      </c>
    </row>
    <row r="2122" spans="1:18" x14ac:dyDescent="0.3">
      <c r="A2122" s="26">
        <v>2121</v>
      </c>
      <c r="B2122" s="1">
        <v>15</v>
      </c>
      <c r="C2122" s="1">
        <f t="shared" si="267"/>
        <v>10</v>
      </c>
      <c r="D2122" s="21">
        <f t="shared" ca="1" si="266"/>
        <v>44856</v>
      </c>
      <c r="E2122" s="1" t="s">
        <v>26</v>
      </c>
      <c r="F2122" s="1" t="s">
        <v>2150</v>
      </c>
      <c r="G2122" s="1" t="s">
        <v>28</v>
      </c>
      <c r="H2122" s="1">
        <v>2220</v>
      </c>
      <c r="I2122" s="1">
        <f t="shared" si="268"/>
        <v>57</v>
      </c>
      <c r="J2122" s="1">
        <f>VLOOKUP(B2122,Cena!$A$2:$B$101,2)</f>
        <v>85</v>
      </c>
      <c r="K2122" s="1">
        <f t="shared" si="264"/>
        <v>4845</v>
      </c>
      <c r="L2122" s="1">
        <f t="shared" si="269"/>
        <v>1114.3500000000001</v>
      </c>
      <c r="M2122" s="22">
        <f t="shared" si="265"/>
        <v>5959.35</v>
      </c>
      <c r="N2122" s="1">
        <f t="shared" ca="1" si="270"/>
        <v>10</v>
      </c>
      <c r="P2122" s="1">
        <v>57.083735908963718</v>
      </c>
      <c r="Q2122" s="1">
        <f t="shared" ca="1" si="271"/>
        <v>11</v>
      </c>
      <c r="R2122" s="1">
        <v>10.524099164067593</v>
      </c>
    </row>
    <row r="2123" spans="1:18" x14ac:dyDescent="0.3">
      <c r="A2123" s="26">
        <v>2122</v>
      </c>
      <c r="B2123" s="1">
        <v>18</v>
      </c>
      <c r="C2123" s="1">
        <f t="shared" si="267"/>
        <v>9</v>
      </c>
      <c r="D2123" s="21">
        <f t="shared" ca="1" si="266"/>
        <v>44643</v>
      </c>
      <c r="E2123" s="1" t="s">
        <v>26</v>
      </c>
      <c r="F2123" s="1" t="s">
        <v>2151</v>
      </c>
      <c r="G2123" s="1" t="s">
        <v>28</v>
      </c>
      <c r="H2123" s="1">
        <v>2221</v>
      </c>
      <c r="I2123" s="1">
        <f t="shared" si="268"/>
        <v>65</v>
      </c>
      <c r="J2123" s="1">
        <f>VLOOKUP(B2123,Cena!$A$2:$B$101,2)</f>
        <v>90</v>
      </c>
      <c r="K2123" s="1">
        <f t="shared" si="264"/>
        <v>5850</v>
      </c>
      <c r="L2123" s="1">
        <f t="shared" si="269"/>
        <v>1345.5</v>
      </c>
      <c r="M2123" s="22">
        <f t="shared" si="265"/>
        <v>7195.5</v>
      </c>
      <c r="N2123" s="1">
        <f t="shared" ca="1" si="270"/>
        <v>3</v>
      </c>
      <c r="P2123" s="1">
        <v>65.841351341805421</v>
      </c>
      <c r="Q2123" s="1">
        <f t="shared" ca="1" si="271"/>
        <v>22</v>
      </c>
      <c r="R2123" s="1">
        <v>9.7114400684949942</v>
      </c>
    </row>
    <row r="2124" spans="1:18" x14ac:dyDescent="0.3">
      <c r="A2124" s="26">
        <v>2123</v>
      </c>
      <c r="B2124" s="1">
        <v>19</v>
      </c>
      <c r="C2124" s="1">
        <f t="shared" si="267"/>
        <v>8</v>
      </c>
      <c r="D2124" s="21">
        <f t="shared" ca="1" si="266"/>
        <v>44627</v>
      </c>
      <c r="E2124" s="1" t="s">
        <v>26</v>
      </c>
      <c r="F2124" s="1" t="s">
        <v>2152</v>
      </c>
      <c r="G2124" s="1" t="s">
        <v>28</v>
      </c>
      <c r="H2124" s="1">
        <v>2222</v>
      </c>
      <c r="I2124" s="1">
        <f t="shared" si="268"/>
        <v>46</v>
      </c>
      <c r="J2124" s="1">
        <f>VLOOKUP(B2124,Cena!$A$2:$B$101,2)</f>
        <v>84</v>
      </c>
      <c r="K2124" s="1">
        <f t="shared" si="264"/>
        <v>3864</v>
      </c>
      <c r="L2124" s="1">
        <f t="shared" si="269"/>
        <v>888.72</v>
      </c>
      <c r="M2124" s="22">
        <f t="shared" si="265"/>
        <v>4752.72</v>
      </c>
      <c r="N2124" s="1">
        <f t="shared" ca="1" si="270"/>
        <v>3</v>
      </c>
      <c r="P2124" s="1">
        <v>46.413680491968989</v>
      </c>
      <c r="Q2124" s="1">
        <f t="shared" ca="1" si="271"/>
        <v>8</v>
      </c>
      <c r="R2124" s="1">
        <v>8.5963370363606373</v>
      </c>
    </row>
    <row r="2125" spans="1:18" x14ac:dyDescent="0.3">
      <c r="A2125" s="26">
        <v>2124</v>
      </c>
      <c r="B2125" s="1">
        <v>6</v>
      </c>
      <c r="C2125" s="1">
        <f t="shared" si="267"/>
        <v>11</v>
      </c>
      <c r="D2125" s="21">
        <f t="shared" ca="1" si="266"/>
        <v>44732</v>
      </c>
      <c r="E2125" s="1" t="s">
        <v>26</v>
      </c>
      <c r="F2125" s="1" t="s">
        <v>2153</v>
      </c>
      <c r="G2125" s="1" t="s">
        <v>28</v>
      </c>
      <c r="H2125" s="1">
        <v>2223</v>
      </c>
      <c r="I2125" s="1">
        <f t="shared" si="268"/>
        <v>33</v>
      </c>
      <c r="J2125" s="1">
        <f>VLOOKUP(B2125,Cena!$A$2:$B$101,2)</f>
        <v>86</v>
      </c>
      <c r="K2125" s="1">
        <f t="shared" si="264"/>
        <v>2838</v>
      </c>
      <c r="L2125" s="1">
        <f t="shared" si="269"/>
        <v>652.74</v>
      </c>
      <c r="M2125" s="22">
        <f t="shared" si="265"/>
        <v>3490.74</v>
      </c>
      <c r="N2125" s="1">
        <f t="shared" ca="1" si="270"/>
        <v>6</v>
      </c>
      <c r="P2125" s="1">
        <v>33.690850058337674</v>
      </c>
      <c r="Q2125" s="1">
        <f t="shared" ca="1" si="271"/>
        <v>4</v>
      </c>
      <c r="R2125" s="1">
        <v>11.412627170793712</v>
      </c>
    </row>
    <row r="2126" spans="1:18" x14ac:dyDescent="0.3">
      <c r="A2126" s="26">
        <v>2125</v>
      </c>
      <c r="B2126" s="1">
        <v>20</v>
      </c>
      <c r="C2126" s="1">
        <f t="shared" si="267"/>
        <v>9</v>
      </c>
      <c r="D2126" s="21">
        <f t="shared" ca="1" si="266"/>
        <v>44565</v>
      </c>
      <c r="E2126" s="1" t="s">
        <v>26</v>
      </c>
      <c r="F2126" s="1" t="s">
        <v>2154</v>
      </c>
      <c r="G2126" s="1" t="s">
        <v>28</v>
      </c>
      <c r="H2126" s="1">
        <v>2224</v>
      </c>
      <c r="I2126" s="1">
        <f t="shared" si="268"/>
        <v>39</v>
      </c>
      <c r="J2126" s="1">
        <f>VLOOKUP(B2126,Cena!$A$2:$B$101,2)</f>
        <v>111</v>
      </c>
      <c r="K2126" s="1">
        <f t="shared" si="264"/>
        <v>4329</v>
      </c>
      <c r="L2126" s="1">
        <f t="shared" si="269"/>
        <v>995.67000000000007</v>
      </c>
      <c r="M2126" s="22">
        <f t="shared" si="265"/>
        <v>5324.67</v>
      </c>
      <c r="N2126" s="1">
        <f t="shared" ca="1" si="270"/>
        <v>1</v>
      </c>
      <c r="P2126" s="1">
        <v>39.514412845892366</v>
      </c>
      <c r="Q2126" s="1">
        <f t="shared" ca="1" si="271"/>
        <v>14</v>
      </c>
      <c r="R2126" s="1">
        <v>9.1005637411944917</v>
      </c>
    </row>
    <row r="2127" spans="1:18" x14ac:dyDescent="0.3">
      <c r="A2127" s="26">
        <v>2126</v>
      </c>
      <c r="B2127" s="1">
        <v>26</v>
      </c>
      <c r="C2127" s="1">
        <f t="shared" si="267"/>
        <v>5</v>
      </c>
      <c r="D2127" s="21">
        <f t="shared" ca="1" si="266"/>
        <v>44724</v>
      </c>
      <c r="E2127" s="1" t="s">
        <v>26</v>
      </c>
      <c r="F2127" s="1" t="s">
        <v>2155</v>
      </c>
      <c r="G2127" s="1" t="s">
        <v>28</v>
      </c>
      <c r="H2127" s="1">
        <v>2225</v>
      </c>
      <c r="I2127" s="1">
        <f t="shared" si="268"/>
        <v>61</v>
      </c>
      <c r="J2127" s="1">
        <f>VLOOKUP(B2127,Cena!$A$2:$B$101,2)</f>
        <v>99</v>
      </c>
      <c r="K2127" s="1">
        <f t="shared" si="264"/>
        <v>6039</v>
      </c>
      <c r="L2127" s="1">
        <f t="shared" si="269"/>
        <v>1388.97</v>
      </c>
      <c r="M2127" s="22">
        <f t="shared" si="265"/>
        <v>7427.97</v>
      </c>
      <c r="N2127" s="1">
        <f t="shared" ca="1" si="270"/>
        <v>6</v>
      </c>
      <c r="P2127" s="1">
        <v>61.167367119924165</v>
      </c>
      <c r="Q2127" s="1">
        <f t="shared" ca="1" si="271"/>
        <v>24</v>
      </c>
      <c r="R2127" s="1">
        <v>5.368966665409971</v>
      </c>
    </row>
    <row r="2128" spans="1:18" x14ac:dyDescent="0.3">
      <c r="A2128" s="26">
        <v>2127</v>
      </c>
      <c r="B2128" s="1">
        <v>1</v>
      </c>
      <c r="C2128" s="1">
        <f t="shared" si="267"/>
        <v>10</v>
      </c>
      <c r="D2128" s="21">
        <f t="shared" ca="1" si="266"/>
        <v>44826</v>
      </c>
      <c r="E2128" s="1" t="s">
        <v>26</v>
      </c>
      <c r="F2128" s="1" t="s">
        <v>2156</v>
      </c>
      <c r="G2128" s="1" t="s">
        <v>28</v>
      </c>
      <c r="H2128" s="1">
        <v>2226</v>
      </c>
      <c r="I2128" s="1">
        <f t="shared" si="268"/>
        <v>53</v>
      </c>
      <c r="J2128" s="1">
        <f>VLOOKUP(B2128,Cena!$A$2:$B$101,2)</f>
        <v>84</v>
      </c>
      <c r="K2128" s="1">
        <f t="shared" si="264"/>
        <v>4452</v>
      </c>
      <c r="L2128" s="1">
        <f t="shared" si="269"/>
        <v>1023.96</v>
      </c>
      <c r="M2128" s="22">
        <f t="shared" si="265"/>
        <v>5475.96</v>
      </c>
      <c r="N2128" s="1">
        <f t="shared" ca="1" si="270"/>
        <v>9</v>
      </c>
      <c r="P2128" s="1">
        <v>53.175637175445445</v>
      </c>
      <c r="Q2128" s="1">
        <f t="shared" ca="1" si="271"/>
        <v>28</v>
      </c>
      <c r="R2128" s="1">
        <v>10.178681602847064</v>
      </c>
    </row>
    <row r="2129" spans="1:18" x14ac:dyDescent="0.3">
      <c r="A2129" s="26">
        <v>2128</v>
      </c>
      <c r="B2129" s="1">
        <v>4</v>
      </c>
      <c r="C2129" s="1">
        <f t="shared" si="267"/>
        <v>14</v>
      </c>
      <c r="D2129" s="21">
        <f t="shared" ca="1" si="266"/>
        <v>44874</v>
      </c>
      <c r="E2129" s="1" t="s">
        <v>26</v>
      </c>
      <c r="F2129" s="1" t="s">
        <v>2157</v>
      </c>
      <c r="G2129" s="1" t="s">
        <v>28</v>
      </c>
      <c r="H2129" s="1">
        <v>2227</v>
      </c>
      <c r="I2129" s="1">
        <f t="shared" si="268"/>
        <v>43</v>
      </c>
      <c r="J2129" s="1">
        <f>VLOOKUP(B2129,Cena!$A$2:$B$101,2)</f>
        <v>99</v>
      </c>
      <c r="K2129" s="1">
        <f t="shared" si="264"/>
        <v>4257</v>
      </c>
      <c r="L2129" s="1">
        <f t="shared" si="269"/>
        <v>979.11</v>
      </c>
      <c r="M2129" s="22">
        <f t="shared" si="265"/>
        <v>5236.1099999999997</v>
      </c>
      <c r="N2129" s="1">
        <f t="shared" ca="1" si="270"/>
        <v>11</v>
      </c>
      <c r="P2129" s="1">
        <v>43.856090441113338</v>
      </c>
      <c r="Q2129" s="1">
        <f t="shared" ca="1" si="271"/>
        <v>18</v>
      </c>
      <c r="R2129" s="1">
        <v>14.822868504561484</v>
      </c>
    </row>
    <row r="2130" spans="1:18" x14ac:dyDescent="0.3">
      <c r="A2130" s="26">
        <v>2129</v>
      </c>
      <c r="B2130" s="1">
        <v>6</v>
      </c>
      <c r="C2130" s="1">
        <f t="shared" si="267"/>
        <v>13</v>
      </c>
      <c r="D2130" s="21">
        <f t="shared" ca="1" si="266"/>
        <v>44684</v>
      </c>
      <c r="E2130" s="1" t="s">
        <v>26</v>
      </c>
      <c r="F2130" s="1" t="s">
        <v>2158</v>
      </c>
      <c r="G2130" s="1" t="s">
        <v>28</v>
      </c>
      <c r="H2130" s="1">
        <v>2228</v>
      </c>
      <c r="I2130" s="1">
        <f t="shared" si="268"/>
        <v>35</v>
      </c>
      <c r="J2130" s="1">
        <f>VLOOKUP(B2130,Cena!$A$2:$B$101,2)</f>
        <v>86</v>
      </c>
      <c r="K2130" s="1">
        <f t="shared" si="264"/>
        <v>3010</v>
      </c>
      <c r="L2130" s="1">
        <f t="shared" si="269"/>
        <v>692.30000000000007</v>
      </c>
      <c r="M2130" s="22">
        <f t="shared" si="265"/>
        <v>3702.3</v>
      </c>
      <c r="N2130" s="1">
        <f t="shared" ca="1" si="270"/>
        <v>5</v>
      </c>
      <c r="P2130" s="1">
        <v>35.680733516346663</v>
      </c>
      <c r="Q2130" s="1">
        <f t="shared" ca="1" si="271"/>
        <v>19</v>
      </c>
      <c r="R2130" s="1">
        <v>13.33134266838897</v>
      </c>
    </row>
    <row r="2131" spans="1:18" x14ac:dyDescent="0.3">
      <c r="A2131" s="26">
        <v>2130</v>
      </c>
      <c r="B2131" s="1">
        <v>7</v>
      </c>
      <c r="C2131" s="1">
        <f t="shared" si="267"/>
        <v>10</v>
      </c>
      <c r="D2131" s="21">
        <f t="shared" ca="1" si="266"/>
        <v>44883</v>
      </c>
      <c r="E2131" s="1" t="s">
        <v>26</v>
      </c>
      <c r="F2131" s="1" t="s">
        <v>2159</v>
      </c>
      <c r="G2131" s="1" t="s">
        <v>28</v>
      </c>
      <c r="H2131" s="1">
        <v>2229</v>
      </c>
      <c r="I2131" s="1">
        <f t="shared" si="268"/>
        <v>49</v>
      </c>
      <c r="J2131" s="1">
        <f>VLOOKUP(B2131,Cena!$A$2:$B$101,2)</f>
        <v>104</v>
      </c>
      <c r="K2131" s="1">
        <f t="shared" si="264"/>
        <v>5096</v>
      </c>
      <c r="L2131" s="1">
        <f t="shared" si="269"/>
        <v>1172.0800000000002</v>
      </c>
      <c r="M2131" s="22">
        <f t="shared" si="265"/>
        <v>6268.08</v>
      </c>
      <c r="N2131" s="1">
        <f t="shared" ca="1" si="270"/>
        <v>11</v>
      </c>
      <c r="P2131" s="1">
        <v>49.369617853517411</v>
      </c>
      <c r="Q2131" s="1">
        <f t="shared" ca="1" si="271"/>
        <v>24</v>
      </c>
      <c r="R2131" s="1">
        <v>10.494031837661169</v>
      </c>
    </row>
    <row r="2132" spans="1:18" x14ac:dyDescent="0.3">
      <c r="A2132" s="26">
        <v>2131</v>
      </c>
      <c r="B2132" s="1">
        <v>9</v>
      </c>
      <c r="C2132" s="1">
        <f t="shared" si="267"/>
        <v>11</v>
      </c>
      <c r="D2132" s="21">
        <f t="shared" ca="1" si="266"/>
        <v>44893</v>
      </c>
      <c r="E2132" s="1" t="s">
        <v>26</v>
      </c>
      <c r="F2132" s="1" t="s">
        <v>2160</v>
      </c>
      <c r="G2132" s="1" t="s">
        <v>28</v>
      </c>
      <c r="H2132" s="1">
        <v>2230</v>
      </c>
      <c r="I2132" s="1">
        <f t="shared" si="268"/>
        <v>41</v>
      </c>
      <c r="J2132" s="1">
        <f>VLOOKUP(B2132,Cena!$A$2:$B$101,2)</f>
        <v>96</v>
      </c>
      <c r="K2132" s="1">
        <f t="shared" si="264"/>
        <v>3936</v>
      </c>
      <c r="L2132" s="1">
        <f t="shared" si="269"/>
        <v>905.28000000000009</v>
      </c>
      <c r="M2132" s="22">
        <f t="shared" si="265"/>
        <v>4841.28</v>
      </c>
      <c r="N2132" s="1">
        <f t="shared" ca="1" si="270"/>
        <v>11</v>
      </c>
      <c r="P2132" s="1">
        <v>41.416484590445179</v>
      </c>
      <c r="Q2132" s="1">
        <f t="shared" ca="1" si="271"/>
        <v>29</v>
      </c>
      <c r="R2132" s="1">
        <v>11.987086761801038</v>
      </c>
    </row>
    <row r="2133" spans="1:18" x14ac:dyDescent="0.3">
      <c r="A2133" s="26">
        <v>2132</v>
      </c>
      <c r="B2133" s="1">
        <v>13</v>
      </c>
      <c r="C2133" s="1">
        <f t="shared" si="267"/>
        <v>6</v>
      </c>
      <c r="D2133" s="21">
        <f t="shared" ca="1" si="266"/>
        <v>44918</v>
      </c>
      <c r="E2133" s="1" t="s">
        <v>26</v>
      </c>
      <c r="F2133" s="1" t="s">
        <v>2161</v>
      </c>
      <c r="G2133" s="1" t="s">
        <v>28</v>
      </c>
      <c r="H2133" s="1">
        <v>2231</v>
      </c>
      <c r="I2133" s="1">
        <f t="shared" si="268"/>
        <v>54</v>
      </c>
      <c r="J2133" s="1">
        <f>VLOOKUP(B2133,Cena!$A$2:$B$101,2)</f>
        <v>94</v>
      </c>
      <c r="K2133" s="1">
        <f t="shared" si="264"/>
        <v>5076</v>
      </c>
      <c r="L2133" s="1">
        <f t="shared" si="269"/>
        <v>1167.48</v>
      </c>
      <c r="M2133" s="22">
        <f t="shared" si="265"/>
        <v>6243.48</v>
      </c>
      <c r="N2133" s="1">
        <f t="shared" ca="1" si="270"/>
        <v>12</v>
      </c>
      <c r="P2133" s="1">
        <v>54.289097432774724</v>
      </c>
      <c r="Q2133" s="1">
        <f t="shared" ca="1" si="271"/>
        <v>18</v>
      </c>
      <c r="R2133" s="1">
        <v>6.3433367611287395</v>
      </c>
    </row>
    <row r="2134" spans="1:18" x14ac:dyDescent="0.3">
      <c r="A2134" s="26">
        <v>2133</v>
      </c>
      <c r="B2134" s="1">
        <v>28</v>
      </c>
      <c r="C2134" s="1">
        <f t="shared" si="267"/>
        <v>8</v>
      </c>
      <c r="D2134" s="21">
        <f t="shared" ca="1" si="266"/>
        <v>44564</v>
      </c>
      <c r="E2134" s="1" t="s">
        <v>26</v>
      </c>
      <c r="F2134" s="1" t="s">
        <v>2162</v>
      </c>
      <c r="G2134" s="1" t="s">
        <v>28</v>
      </c>
      <c r="H2134" s="1">
        <v>2232</v>
      </c>
      <c r="I2134" s="1">
        <f t="shared" si="268"/>
        <v>55</v>
      </c>
      <c r="J2134" s="1">
        <f>VLOOKUP(B2134,Cena!$A$2:$B$101,2)</f>
        <v>59</v>
      </c>
      <c r="K2134" s="1">
        <f t="shared" si="264"/>
        <v>3245</v>
      </c>
      <c r="L2134" s="1">
        <f t="shared" si="269"/>
        <v>746.35</v>
      </c>
      <c r="M2134" s="22">
        <f t="shared" si="265"/>
        <v>3991.35</v>
      </c>
      <c r="N2134" s="1">
        <f t="shared" ca="1" si="270"/>
        <v>1</v>
      </c>
      <c r="P2134" s="1">
        <v>55.554738891078159</v>
      </c>
      <c r="Q2134" s="1">
        <f t="shared" ca="1" si="271"/>
        <v>20</v>
      </c>
      <c r="R2134" s="1">
        <v>8.6900718340621097</v>
      </c>
    </row>
    <row r="2135" spans="1:18" x14ac:dyDescent="0.3">
      <c r="A2135" s="26">
        <v>2134</v>
      </c>
      <c r="B2135" s="1">
        <v>13</v>
      </c>
      <c r="C2135" s="1">
        <f t="shared" si="267"/>
        <v>9</v>
      </c>
      <c r="D2135" s="21">
        <f t="shared" ca="1" si="266"/>
        <v>44809</v>
      </c>
      <c r="E2135" s="1" t="s">
        <v>26</v>
      </c>
      <c r="F2135" s="1" t="s">
        <v>2163</v>
      </c>
      <c r="G2135" s="1" t="s">
        <v>28</v>
      </c>
      <c r="H2135" s="1">
        <v>2233</v>
      </c>
      <c r="I2135" s="1">
        <f t="shared" si="268"/>
        <v>53</v>
      </c>
      <c r="J2135" s="1">
        <f>VLOOKUP(B2135,Cena!$A$2:$B$101,2)</f>
        <v>94</v>
      </c>
      <c r="K2135" s="1">
        <f t="shared" si="264"/>
        <v>4982</v>
      </c>
      <c r="L2135" s="1">
        <f t="shared" si="269"/>
        <v>1145.8600000000001</v>
      </c>
      <c r="M2135" s="22">
        <f t="shared" si="265"/>
        <v>6127.8600000000006</v>
      </c>
      <c r="N2135" s="1">
        <f t="shared" ca="1" si="270"/>
        <v>9</v>
      </c>
      <c r="P2135" s="1">
        <v>53.786101387959206</v>
      </c>
      <c r="Q2135" s="1">
        <f t="shared" ca="1" si="271"/>
        <v>9</v>
      </c>
      <c r="R2135" s="1">
        <v>9.5055787849196349</v>
      </c>
    </row>
    <row r="2136" spans="1:18" x14ac:dyDescent="0.3">
      <c r="A2136" s="26">
        <v>2135</v>
      </c>
      <c r="B2136" s="1">
        <v>16</v>
      </c>
      <c r="C2136" s="1">
        <f t="shared" si="267"/>
        <v>14</v>
      </c>
      <c r="D2136" s="21">
        <f t="shared" ca="1" si="266"/>
        <v>44562</v>
      </c>
      <c r="E2136" s="1" t="s">
        <v>26</v>
      </c>
      <c r="F2136" s="1" t="s">
        <v>2164</v>
      </c>
      <c r="G2136" s="1" t="s">
        <v>28</v>
      </c>
      <c r="H2136" s="1">
        <v>2234</v>
      </c>
      <c r="I2136" s="1">
        <f t="shared" si="268"/>
        <v>58</v>
      </c>
      <c r="J2136" s="1">
        <f>VLOOKUP(B2136,Cena!$A$2:$B$101,2)</f>
        <v>93</v>
      </c>
      <c r="K2136" s="1">
        <f t="shared" si="264"/>
        <v>5394</v>
      </c>
      <c r="L2136" s="1">
        <f t="shared" si="269"/>
        <v>1240.6200000000001</v>
      </c>
      <c r="M2136" s="22">
        <f t="shared" si="265"/>
        <v>6634.62</v>
      </c>
      <c r="N2136" s="1">
        <f t="shared" ca="1" si="270"/>
        <v>1</v>
      </c>
      <c r="P2136" s="1">
        <v>58.466895451419987</v>
      </c>
      <c r="Q2136" s="1">
        <f t="shared" ca="1" si="271"/>
        <v>18</v>
      </c>
      <c r="R2136" s="1">
        <v>14.470666681299917</v>
      </c>
    </row>
    <row r="2137" spans="1:18" x14ac:dyDescent="0.3">
      <c r="A2137" s="26">
        <v>2136</v>
      </c>
      <c r="B2137" s="1">
        <v>2</v>
      </c>
      <c r="C2137" s="1">
        <f t="shared" si="267"/>
        <v>7</v>
      </c>
      <c r="D2137" s="21">
        <f t="shared" ca="1" si="266"/>
        <v>44838</v>
      </c>
      <c r="E2137" s="1" t="s">
        <v>26</v>
      </c>
      <c r="F2137" s="1" t="s">
        <v>2165</v>
      </c>
      <c r="G2137" s="1" t="s">
        <v>28</v>
      </c>
      <c r="H2137" s="1">
        <v>2235</v>
      </c>
      <c r="I2137" s="1">
        <f t="shared" si="268"/>
        <v>47</v>
      </c>
      <c r="J2137" s="1">
        <f>VLOOKUP(B2137,Cena!$A$2:$B$101,2)</f>
        <v>121</v>
      </c>
      <c r="K2137" s="1">
        <f t="shared" si="264"/>
        <v>5687</v>
      </c>
      <c r="L2137" s="1">
        <f t="shared" si="269"/>
        <v>1308.01</v>
      </c>
      <c r="M2137" s="22">
        <f t="shared" si="265"/>
        <v>6995.01</v>
      </c>
      <c r="N2137" s="1">
        <f t="shared" ca="1" si="270"/>
        <v>10</v>
      </c>
      <c r="P2137" s="1">
        <v>47.855093170073815</v>
      </c>
      <c r="Q2137" s="1">
        <f t="shared" ca="1" si="271"/>
        <v>27</v>
      </c>
      <c r="R2137" s="1">
        <v>7.3428771227190737</v>
      </c>
    </row>
    <row r="2138" spans="1:18" x14ac:dyDescent="0.3">
      <c r="A2138" s="26">
        <v>2137</v>
      </c>
      <c r="B2138" s="1">
        <v>9</v>
      </c>
      <c r="C2138" s="1">
        <f t="shared" si="267"/>
        <v>7</v>
      </c>
      <c r="D2138" s="21">
        <f t="shared" ca="1" si="266"/>
        <v>44732</v>
      </c>
      <c r="E2138" s="1" t="s">
        <v>26</v>
      </c>
      <c r="F2138" s="1" t="s">
        <v>2166</v>
      </c>
      <c r="G2138" s="1" t="s">
        <v>28</v>
      </c>
      <c r="H2138" s="1">
        <v>2236</v>
      </c>
      <c r="I2138" s="1">
        <f t="shared" si="268"/>
        <v>65</v>
      </c>
      <c r="J2138" s="1">
        <f>VLOOKUP(B2138,Cena!$A$2:$B$101,2)</f>
        <v>96</v>
      </c>
      <c r="K2138" s="1">
        <f t="shared" si="264"/>
        <v>6240</v>
      </c>
      <c r="L2138" s="1">
        <f t="shared" si="269"/>
        <v>1435.2</v>
      </c>
      <c r="M2138" s="22">
        <f t="shared" si="265"/>
        <v>7675.2</v>
      </c>
      <c r="N2138" s="1">
        <f t="shared" ca="1" si="270"/>
        <v>6</v>
      </c>
      <c r="P2138" s="1">
        <v>65.822615750948898</v>
      </c>
      <c r="Q2138" s="1">
        <f t="shared" ca="1" si="271"/>
        <v>17</v>
      </c>
      <c r="R2138" s="1">
        <v>7.0213082178815966</v>
      </c>
    </row>
    <row r="2139" spans="1:18" x14ac:dyDescent="0.3">
      <c r="A2139" s="26">
        <v>2138</v>
      </c>
      <c r="B2139" s="1">
        <v>19</v>
      </c>
      <c r="C2139" s="1">
        <f t="shared" si="267"/>
        <v>9</v>
      </c>
      <c r="D2139" s="21">
        <f t="shared" ca="1" si="266"/>
        <v>44858</v>
      </c>
      <c r="E2139" s="1" t="s">
        <v>26</v>
      </c>
      <c r="F2139" s="1" t="s">
        <v>2167</v>
      </c>
      <c r="G2139" s="1" t="s">
        <v>28</v>
      </c>
      <c r="H2139" s="1">
        <v>2237</v>
      </c>
      <c r="I2139" s="1">
        <f t="shared" si="268"/>
        <v>68</v>
      </c>
      <c r="J2139" s="1">
        <f>VLOOKUP(B2139,Cena!$A$2:$B$101,2)</f>
        <v>84</v>
      </c>
      <c r="K2139" s="1">
        <f t="shared" si="264"/>
        <v>5712</v>
      </c>
      <c r="L2139" s="1">
        <f t="shared" si="269"/>
        <v>1313.76</v>
      </c>
      <c r="M2139" s="22">
        <f t="shared" si="265"/>
        <v>7025.76</v>
      </c>
      <c r="N2139" s="1">
        <f t="shared" ca="1" si="270"/>
        <v>10</v>
      </c>
      <c r="P2139" s="1">
        <v>68.230184650747105</v>
      </c>
      <c r="Q2139" s="1">
        <f t="shared" ca="1" si="271"/>
        <v>26</v>
      </c>
      <c r="R2139" s="1">
        <v>9.0975027230888372</v>
      </c>
    </row>
    <row r="2140" spans="1:18" x14ac:dyDescent="0.3">
      <c r="A2140" s="26">
        <v>2139</v>
      </c>
      <c r="B2140" s="1">
        <v>11</v>
      </c>
      <c r="C2140" s="1">
        <f t="shared" si="267"/>
        <v>10</v>
      </c>
      <c r="D2140" s="21">
        <f t="shared" ca="1" si="266"/>
        <v>44847</v>
      </c>
      <c r="E2140" s="1" t="s">
        <v>26</v>
      </c>
      <c r="F2140" s="1" t="s">
        <v>2168</v>
      </c>
      <c r="G2140" s="1" t="s">
        <v>28</v>
      </c>
      <c r="H2140" s="1">
        <v>2238</v>
      </c>
      <c r="I2140" s="1">
        <f t="shared" si="268"/>
        <v>48</v>
      </c>
      <c r="J2140" s="1">
        <f>VLOOKUP(B2140,Cena!$A$2:$B$101,2)</f>
        <v>83</v>
      </c>
      <c r="K2140" s="1">
        <f t="shared" si="264"/>
        <v>3984</v>
      </c>
      <c r="L2140" s="1">
        <f t="shared" si="269"/>
        <v>916.32</v>
      </c>
      <c r="M2140" s="22">
        <f t="shared" si="265"/>
        <v>4900.32</v>
      </c>
      <c r="N2140" s="1">
        <f t="shared" ca="1" si="270"/>
        <v>10</v>
      </c>
      <c r="P2140" s="1">
        <v>48.33887613931438</v>
      </c>
      <c r="Q2140" s="1">
        <f t="shared" ca="1" si="271"/>
        <v>27</v>
      </c>
      <c r="R2140" s="1">
        <v>10.18903563159256</v>
      </c>
    </row>
    <row r="2141" spans="1:18" x14ac:dyDescent="0.3">
      <c r="A2141" s="26">
        <v>2140</v>
      </c>
      <c r="B2141" s="1">
        <v>10</v>
      </c>
      <c r="C2141" s="1">
        <f t="shared" si="267"/>
        <v>11</v>
      </c>
      <c r="D2141" s="21">
        <f t="shared" ca="1" si="266"/>
        <v>44573</v>
      </c>
      <c r="E2141" s="1" t="s">
        <v>26</v>
      </c>
      <c r="F2141" s="1" t="s">
        <v>2169</v>
      </c>
      <c r="G2141" s="1" t="s">
        <v>28</v>
      </c>
      <c r="H2141" s="1">
        <v>2239</v>
      </c>
      <c r="I2141" s="1">
        <f t="shared" si="268"/>
        <v>60</v>
      </c>
      <c r="J2141" s="1">
        <f>VLOOKUP(B2141,Cena!$A$2:$B$101,2)</f>
        <v>109</v>
      </c>
      <c r="K2141" s="1">
        <f t="shared" si="264"/>
        <v>6540</v>
      </c>
      <c r="L2141" s="1">
        <f t="shared" si="269"/>
        <v>1504.2</v>
      </c>
      <c r="M2141" s="22">
        <f t="shared" si="265"/>
        <v>8044.2</v>
      </c>
      <c r="N2141" s="1">
        <f t="shared" ca="1" si="270"/>
        <v>1</v>
      </c>
      <c r="P2141" s="1">
        <v>60.370945346949156</v>
      </c>
      <c r="Q2141" s="1">
        <f t="shared" ca="1" si="271"/>
        <v>15</v>
      </c>
      <c r="R2141" s="1">
        <v>11.181086872747983</v>
      </c>
    </row>
    <row r="2142" spans="1:18" x14ac:dyDescent="0.3">
      <c r="A2142" s="26">
        <v>2141</v>
      </c>
      <c r="B2142" s="1">
        <v>6</v>
      </c>
      <c r="C2142" s="1">
        <f t="shared" si="267"/>
        <v>11</v>
      </c>
      <c r="D2142" s="21">
        <f t="shared" ca="1" si="266"/>
        <v>44595</v>
      </c>
      <c r="E2142" s="1" t="s">
        <v>26</v>
      </c>
      <c r="F2142" s="1" t="s">
        <v>2170</v>
      </c>
      <c r="G2142" s="1" t="s">
        <v>28</v>
      </c>
      <c r="H2142" s="1">
        <v>2240</v>
      </c>
      <c r="I2142" s="1">
        <f t="shared" si="268"/>
        <v>46</v>
      </c>
      <c r="J2142" s="1">
        <f>VLOOKUP(B2142,Cena!$A$2:$B$101,2)</f>
        <v>86</v>
      </c>
      <c r="K2142" s="1">
        <f t="shared" si="264"/>
        <v>3956</v>
      </c>
      <c r="L2142" s="1">
        <f t="shared" si="269"/>
        <v>909.88</v>
      </c>
      <c r="M2142" s="22">
        <f t="shared" si="265"/>
        <v>4865.88</v>
      </c>
      <c r="N2142" s="1">
        <f t="shared" ca="1" si="270"/>
        <v>2</v>
      </c>
      <c r="P2142" s="1">
        <v>46.202393504063366</v>
      </c>
      <c r="Q2142" s="1">
        <f t="shared" ca="1" si="271"/>
        <v>17</v>
      </c>
      <c r="R2142" s="1">
        <v>11.004102045953914</v>
      </c>
    </row>
    <row r="2143" spans="1:18" x14ac:dyDescent="0.3">
      <c r="A2143" s="26">
        <v>2142</v>
      </c>
      <c r="B2143" s="1">
        <v>13</v>
      </c>
      <c r="C2143" s="1">
        <f t="shared" si="267"/>
        <v>11</v>
      </c>
      <c r="D2143" s="21">
        <f t="shared" ca="1" si="266"/>
        <v>44778</v>
      </c>
      <c r="E2143" s="1" t="s">
        <v>26</v>
      </c>
      <c r="F2143" s="1" t="s">
        <v>2171</v>
      </c>
      <c r="G2143" s="1" t="s">
        <v>28</v>
      </c>
      <c r="H2143" s="1">
        <v>2241</v>
      </c>
      <c r="I2143" s="1">
        <f t="shared" si="268"/>
        <v>48</v>
      </c>
      <c r="J2143" s="1">
        <f>VLOOKUP(B2143,Cena!$A$2:$B$101,2)</f>
        <v>94</v>
      </c>
      <c r="K2143" s="1">
        <f t="shared" ref="K2143:K2206" si="272">I2143*J2143</f>
        <v>4512</v>
      </c>
      <c r="L2143" s="1">
        <f t="shared" si="269"/>
        <v>1037.76</v>
      </c>
      <c r="M2143" s="22">
        <f t="shared" ref="M2143:M2206" si="273">K2143+L2143</f>
        <v>5549.76</v>
      </c>
      <c r="N2143" s="1">
        <f t="shared" ca="1" si="270"/>
        <v>8</v>
      </c>
      <c r="P2143" s="1">
        <v>48.952739588276017</v>
      </c>
      <c r="Q2143" s="1">
        <f t="shared" ca="1" si="271"/>
        <v>9</v>
      </c>
      <c r="R2143" s="1">
        <v>11.142313976743026</v>
      </c>
    </row>
    <row r="2144" spans="1:18" x14ac:dyDescent="0.3">
      <c r="A2144" s="26">
        <v>2143</v>
      </c>
      <c r="B2144" s="1">
        <v>10</v>
      </c>
      <c r="C2144" s="1">
        <f t="shared" si="267"/>
        <v>10</v>
      </c>
      <c r="D2144" s="21">
        <f t="shared" ca="1" si="266"/>
        <v>44790</v>
      </c>
      <c r="E2144" s="1" t="s">
        <v>26</v>
      </c>
      <c r="F2144" s="1" t="s">
        <v>2172</v>
      </c>
      <c r="G2144" s="1" t="s">
        <v>28</v>
      </c>
      <c r="H2144" s="1">
        <v>2242</v>
      </c>
      <c r="I2144" s="1">
        <f t="shared" si="268"/>
        <v>42</v>
      </c>
      <c r="J2144" s="1">
        <f>VLOOKUP(B2144,Cena!$A$2:$B$101,2)</f>
        <v>109</v>
      </c>
      <c r="K2144" s="1">
        <f t="shared" si="272"/>
        <v>4578</v>
      </c>
      <c r="L2144" s="1">
        <f t="shared" si="269"/>
        <v>1052.94</v>
      </c>
      <c r="M2144" s="22">
        <f t="shared" si="273"/>
        <v>5630.9400000000005</v>
      </c>
      <c r="N2144" s="1">
        <f t="shared" ca="1" si="270"/>
        <v>8</v>
      </c>
      <c r="P2144" s="1">
        <v>42.117591318674386</v>
      </c>
      <c r="Q2144" s="1">
        <f t="shared" ca="1" si="271"/>
        <v>20</v>
      </c>
      <c r="R2144" s="1">
        <v>10.612021722190548</v>
      </c>
    </row>
    <row r="2145" spans="1:18" x14ac:dyDescent="0.3">
      <c r="A2145" s="26">
        <v>2144</v>
      </c>
      <c r="B2145" s="1">
        <v>12</v>
      </c>
      <c r="C2145" s="1">
        <f t="shared" si="267"/>
        <v>14</v>
      </c>
      <c r="D2145" s="21">
        <f t="shared" ca="1" si="266"/>
        <v>44672</v>
      </c>
      <c r="E2145" s="1" t="s">
        <v>26</v>
      </c>
      <c r="F2145" s="1" t="s">
        <v>2173</v>
      </c>
      <c r="G2145" s="1" t="s">
        <v>28</v>
      </c>
      <c r="H2145" s="1">
        <v>2243</v>
      </c>
      <c r="I2145" s="1">
        <f t="shared" si="268"/>
        <v>49</v>
      </c>
      <c r="J2145" s="1">
        <f>VLOOKUP(B2145,Cena!$A$2:$B$101,2)</f>
        <v>88</v>
      </c>
      <c r="K2145" s="1">
        <f t="shared" si="272"/>
        <v>4312</v>
      </c>
      <c r="L2145" s="1">
        <f t="shared" si="269"/>
        <v>991.76</v>
      </c>
      <c r="M2145" s="22">
        <f t="shared" si="273"/>
        <v>5303.76</v>
      </c>
      <c r="N2145" s="1">
        <f t="shared" ca="1" si="270"/>
        <v>4</v>
      </c>
      <c r="P2145" s="1">
        <v>49.558849594905041</v>
      </c>
      <c r="Q2145" s="1">
        <f t="shared" ca="1" si="271"/>
        <v>22</v>
      </c>
      <c r="R2145" s="1">
        <v>14.440710199560272</v>
      </c>
    </row>
    <row r="2146" spans="1:18" x14ac:dyDescent="0.3">
      <c r="A2146" s="26">
        <v>2145</v>
      </c>
      <c r="B2146" s="1">
        <v>18</v>
      </c>
      <c r="C2146" s="1">
        <f t="shared" si="267"/>
        <v>11</v>
      </c>
      <c r="D2146" s="21">
        <f t="shared" ca="1" si="266"/>
        <v>44842</v>
      </c>
      <c r="E2146" s="1" t="s">
        <v>26</v>
      </c>
      <c r="F2146" s="1" t="s">
        <v>2174</v>
      </c>
      <c r="G2146" s="1" t="s">
        <v>28</v>
      </c>
      <c r="H2146" s="1">
        <v>2244</v>
      </c>
      <c r="I2146" s="1">
        <f t="shared" si="268"/>
        <v>43</v>
      </c>
      <c r="J2146" s="1">
        <f>VLOOKUP(B2146,Cena!$A$2:$B$101,2)</f>
        <v>90</v>
      </c>
      <c r="K2146" s="1">
        <f t="shared" si="272"/>
        <v>3870</v>
      </c>
      <c r="L2146" s="1">
        <f t="shared" si="269"/>
        <v>890.1</v>
      </c>
      <c r="M2146" s="22">
        <f t="shared" si="273"/>
        <v>4760.1000000000004</v>
      </c>
      <c r="N2146" s="1">
        <f t="shared" ca="1" si="270"/>
        <v>10</v>
      </c>
      <c r="P2146" s="1">
        <v>43.911433193716221</v>
      </c>
      <c r="Q2146" s="1">
        <f t="shared" ca="1" si="271"/>
        <v>28</v>
      </c>
      <c r="R2146" s="1">
        <v>11.886650125015876</v>
      </c>
    </row>
    <row r="2147" spans="1:18" x14ac:dyDescent="0.3">
      <c r="A2147" s="26">
        <v>2146</v>
      </c>
      <c r="B2147" s="1">
        <v>27</v>
      </c>
      <c r="C2147" s="1">
        <f t="shared" si="267"/>
        <v>8</v>
      </c>
      <c r="D2147" s="21">
        <f t="shared" ca="1" si="266"/>
        <v>44669</v>
      </c>
      <c r="E2147" s="1" t="s">
        <v>26</v>
      </c>
      <c r="F2147" s="1" t="s">
        <v>2175</v>
      </c>
      <c r="G2147" s="1" t="s">
        <v>28</v>
      </c>
      <c r="H2147" s="1">
        <v>2245</v>
      </c>
      <c r="I2147" s="1">
        <f t="shared" si="268"/>
        <v>29</v>
      </c>
      <c r="J2147" s="1">
        <f>VLOOKUP(B2147,Cena!$A$2:$B$101,2)</f>
        <v>87</v>
      </c>
      <c r="K2147" s="1">
        <f t="shared" si="272"/>
        <v>2523</v>
      </c>
      <c r="L2147" s="1">
        <f t="shared" si="269"/>
        <v>580.29000000000008</v>
      </c>
      <c r="M2147" s="22">
        <f t="shared" si="273"/>
        <v>3103.29</v>
      </c>
      <c r="N2147" s="1">
        <f t="shared" ca="1" si="270"/>
        <v>4</v>
      </c>
      <c r="P2147" s="1">
        <v>29.472977429395542</v>
      </c>
      <c r="Q2147" s="1">
        <f t="shared" ca="1" si="271"/>
        <v>23</v>
      </c>
      <c r="R2147" s="1">
        <v>8.2214376359479502</v>
      </c>
    </row>
    <row r="2148" spans="1:18" x14ac:dyDescent="0.3">
      <c r="A2148" s="26">
        <v>2147</v>
      </c>
      <c r="B2148" s="1">
        <v>25</v>
      </c>
      <c r="C2148" s="1">
        <f t="shared" si="267"/>
        <v>11</v>
      </c>
      <c r="D2148" s="21">
        <f t="shared" ca="1" si="266"/>
        <v>44676</v>
      </c>
      <c r="E2148" s="1" t="s">
        <v>26</v>
      </c>
      <c r="F2148" s="1" t="s">
        <v>2176</v>
      </c>
      <c r="G2148" s="1" t="s">
        <v>28</v>
      </c>
      <c r="H2148" s="1">
        <v>2246</v>
      </c>
      <c r="I2148" s="1">
        <f t="shared" si="268"/>
        <v>43</v>
      </c>
      <c r="J2148" s="1">
        <f>VLOOKUP(B2148,Cena!$A$2:$B$101,2)</f>
        <v>108</v>
      </c>
      <c r="K2148" s="1">
        <f t="shared" si="272"/>
        <v>4644</v>
      </c>
      <c r="L2148" s="1">
        <f t="shared" si="269"/>
        <v>1068.1200000000001</v>
      </c>
      <c r="M2148" s="22">
        <f t="shared" si="273"/>
        <v>5712.12</v>
      </c>
      <c r="N2148" s="1">
        <f t="shared" ca="1" si="270"/>
        <v>4</v>
      </c>
      <c r="P2148" s="1">
        <v>43.834831002459396</v>
      </c>
      <c r="Q2148" s="1">
        <f t="shared" ca="1" si="271"/>
        <v>25</v>
      </c>
      <c r="R2148" s="1">
        <v>11.747906708260416</v>
      </c>
    </row>
    <row r="2149" spans="1:18" x14ac:dyDescent="0.3">
      <c r="A2149" s="26">
        <v>2148</v>
      </c>
      <c r="B2149" s="1">
        <v>11</v>
      </c>
      <c r="C2149" s="1">
        <f t="shared" si="267"/>
        <v>7</v>
      </c>
      <c r="D2149" s="21">
        <f t="shared" ca="1" si="266"/>
        <v>44593</v>
      </c>
      <c r="E2149" s="1" t="s">
        <v>26</v>
      </c>
      <c r="F2149" s="1" t="s">
        <v>2177</v>
      </c>
      <c r="G2149" s="1" t="s">
        <v>28</v>
      </c>
      <c r="H2149" s="1">
        <v>2247</v>
      </c>
      <c r="I2149" s="1">
        <f t="shared" si="268"/>
        <v>27</v>
      </c>
      <c r="J2149" s="1">
        <f>VLOOKUP(B2149,Cena!$A$2:$B$101,2)</f>
        <v>83</v>
      </c>
      <c r="K2149" s="1">
        <f t="shared" si="272"/>
        <v>2241</v>
      </c>
      <c r="L2149" s="1">
        <f t="shared" si="269"/>
        <v>515.43000000000006</v>
      </c>
      <c r="M2149" s="22">
        <f t="shared" si="273"/>
        <v>2756.4300000000003</v>
      </c>
      <c r="N2149" s="1">
        <f t="shared" ca="1" si="270"/>
        <v>2</v>
      </c>
      <c r="P2149" s="1">
        <v>27.977859089151025</v>
      </c>
      <c r="Q2149" s="1">
        <f t="shared" ca="1" si="271"/>
        <v>26</v>
      </c>
      <c r="R2149" s="1">
        <v>7.1186070979456417</v>
      </c>
    </row>
    <row r="2150" spans="1:18" x14ac:dyDescent="0.3">
      <c r="A2150" s="26">
        <v>2149</v>
      </c>
      <c r="B2150" s="1">
        <v>15</v>
      </c>
      <c r="C2150" s="1">
        <f t="shared" si="267"/>
        <v>11</v>
      </c>
      <c r="D2150" s="21">
        <f t="shared" ca="1" si="266"/>
        <v>44739</v>
      </c>
      <c r="E2150" s="1" t="s">
        <v>26</v>
      </c>
      <c r="F2150" s="1" t="s">
        <v>2178</v>
      </c>
      <c r="G2150" s="1" t="s">
        <v>28</v>
      </c>
      <c r="H2150" s="1">
        <v>2248</v>
      </c>
      <c r="I2150" s="1">
        <f t="shared" si="268"/>
        <v>61</v>
      </c>
      <c r="J2150" s="1">
        <f>VLOOKUP(B2150,Cena!$A$2:$B$101,2)</f>
        <v>85</v>
      </c>
      <c r="K2150" s="1">
        <f t="shared" si="272"/>
        <v>5185</v>
      </c>
      <c r="L2150" s="1">
        <f t="shared" si="269"/>
        <v>1192.55</v>
      </c>
      <c r="M2150" s="22">
        <f t="shared" si="273"/>
        <v>6377.55</v>
      </c>
      <c r="N2150" s="1">
        <f t="shared" ca="1" si="270"/>
        <v>6</v>
      </c>
      <c r="P2150" s="1">
        <v>61.591237125685439</v>
      </c>
      <c r="Q2150" s="1">
        <f t="shared" ca="1" si="271"/>
        <v>14</v>
      </c>
      <c r="R2150" s="1">
        <v>11.949280203916715</v>
      </c>
    </row>
    <row r="2151" spans="1:18" x14ac:dyDescent="0.3">
      <c r="A2151" s="26">
        <v>2150</v>
      </c>
      <c r="B2151" s="1">
        <v>22</v>
      </c>
      <c r="C2151" s="1">
        <f t="shared" si="267"/>
        <v>9</v>
      </c>
      <c r="D2151" s="21">
        <f t="shared" ca="1" si="266"/>
        <v>44858</v>
      </c>
      <c r="E2151" s="1" t="s">
        <v>26</v>
      </c>
      <c r="F2151" s="1" t="s">
        <v>2179</v>
      </c>
      <c r="G2151" s="1" t="s">
        <v>28</v>
      </c>
      <c r="H2151" s="1">
        <v>2249</v>
      </c>
      <c r="I2151" s="1">
        <f t="shared" si="268"/>
        <v>57</v>
      </c>
      <c r="J2151" s="1">
        <f>VLOOKUP(B2151,Cena!$A$2:$B$101,2)</f>
        <v>103</v>
      </c>
      <c r="K2151" s="1">
        <f t="shared" si="272"/>
        <v>5871</v>
      </c>
      <c r="L2151" s="1">
        <f t="shared" si="269"/>
        <v>1350.3300000000002</v>
      </c>
      <c r="M2151" s="22">
        <f t="shared" si="273"/>
        <v>7221.33</v>
      </c>
      <c r="N2151" s="1">
        <f t="shared" ca="1" si="270"/>
        <v>10</v>
      </c>
      <c r="P2151" s="1">
        <v>57.665107659704518</v>
      </c>
      <c r="Q2151" s="1">
        <f t="shared" ca="1" si="271"/>
        <v>30</v>
      </c>
      <c r="R2151" s="1">
        <v>9.6044834915664978</v>
      </c>
    </row>
    <row r="2152" spans="1:18" x14ac:dyDescent="0.3">
      <c r="A2152" s="26">
        <v>2151</v>
      </c>
      <c r="B2152" s="1">
        <v>29</v>
      </c>
      <c r="C2152" s="1">
        <f t="shared" si="267"/>
        <v>9</v>
      </c>
      <c r="D2152" s="21">
        <f t="shared" ca="1" si="266"/>
        <v>44683</v>
      </c>
      <c r="E2152" s="1" t="s">
        <v>26</v>
      </c>
      <c r="F2152" s="1" t="s">
        <v>2180</v>
      </c>
      <c r="G2152" s="1" t="s">
        <v>28</v>
      </c>
      <c r="H2152" s="1">
        <v>2250</v>
      </c>
      <c r="I2152" s="1">
        <f t="shared" si="268"/>
        <v>56</v>
      </c>
      <c r="J2152" s="1">
        <f>VLOOKUP(B2152,Cena!$A$2:$B$101,2)</f>
        <v>105</v>
      </c>
      <c r="K2152" s="1">
        <f t="shared" si="272"/>
        <v>5880</v>
      </c>
      <c r="L2152" s="1">
        <f t="shared" si="269"/>
        <v>1352.4</v>
      </c>
      <c r="M2152" s="22">
        <f t="shared" si="273"/>
        <v>7232.4</v>
      </c>
      <c r="N2152" s="1">
        <f t="shared" ca="1" si="270"/>
        <v>5</v>
      </c>
      <c r="P2152" s="1">
        <v>56.700543053739239</v>
      </c>
      <c r="Q2152" s="1">
        <f t="shared" ca="1" si="271"/>
        <v>27</v>
      </c>
      <c r="R2152" s="1">
        <v>9.2568177731300239</v>
      </c>
    </row>
    <row r="2153" spans="1:18" x14ac:dyDescent="0.3">
      <c r="A2153" s="26">
        <v>2152</v>
      </c>
      <c r="B2153" s="1">
        <v>7</v>
      </c>
      <c r="C2153" s="1">
        <f t="shared" si="267"/>
        <v>13</v>
      </c>
      <c r="D2153" s="21">
        <f t="shared" ca="1" si="266"/>
        <v>44807</v>
      </c>
      <c r="E2153" s="1" t="s">
        <v>26</v>
      </c>
      <c r="F2153" s="1" t="s">
        <v>2181</v>
      </c>
      <c r="G2153" s="1" t="s">
        <v>28</v>
      </c>
      <c r="H2153" s="1">
        <v>2251</v>
      </c>
      <c r="I2153" s="1">
        <f t="shared" si="268"/>
        <v>61</v>
      </c>
      <c r="J2153" s="1">
        <f>VLOOKUP(B2153,Cena!$A$2:$B$101,2)</f>
        <v>104</v>
      </c>
      <c r="K2153" s="1">
        <f t="shared" si="272"/>
        <v>6344</v>
      </c>
      <c r="L2153" s="1">
        <f t="shared" si="269"/>
        <v>1459.1200000000001</v>
      </c>
      <c r="M2153" s="22">
        <f t="shared" si="273"/>
        <v>7803.12</v>
      </c>
      <c r="N2153" s="1">
        <f t="shared" ca="1" si="270"/>
        <v>9</v>
      </c>
      <c r="P2153" s="1">
        <v>61.518159226397984</v>
      </c>
      <c r="Q2153" s="1">
        <f t="shared" ca="1" si="271"/>
        <v>1</v>
      </c>
      <c r="R2153" s="1">
        <v>13.677973836602177</v>
      </c>
    </row>
    <row r="2154" spans="1:18" x14ac:dyDescent="0.3">
      <c r="A2154" s="26">
        <v>2153</v>
      </c>
      <c r="B2154" s="1">
        <v>1</v>
      </c>
      <c r="C2154" s="1">
        <f t="shared" si="267"/>
        <v>8</v>
      </c>
      <c r="D2154" s="21">
        <f t="shared" ca="1" si="266"/>
        <v>44912</v>
      </c>
      <c r="E2154" s="1" t="s">
        <v>26</v>
      </c>
      <c r="F2154" s="1" t="s">
        <v>2182</v>
      </c>
      <c r="G2154" s="1" t="s">
        <v>28</v>
      </c>
      <c r="H2154" s="1">
        <v>2252</v>
      </c>
      <c r="I2154" s="1">
        <f t="shared" si="268"/>
        <v>55</v>
      </c>
      <c r="J2154" s="1">
        <f>VLOOKUP(B2154,Cena!$A$2:$B$101,2)</f>
        <v>84</v>
      </c>
      <c r="K2154" s="1">
        <f t="shared" si="272"/>
        <v>4620</v>
      </c>
      <c r="L2154" s="1">
        <f t="shared" si="269"/>
        <v>1062.6000000000001</v>
      </c>
      <c r="M2154" s="22">
        <f t="shared" si="273"/>
        <v>5682.6</v>
      </c>
      <c r="N2154" s="1">
        <f t="shared" ca="1" si="270"/>
        <v>12</v>
      </c>
      <c r="P2154" s="1">
        <v>55.147785486769862</v>
      </c>
      <c r="Q2154" s="1">
        <f t="shared" ca="1" si="271"/>
        <v>10</v>
      </c>
      <c r="R2154" s="1">
        <v>8.6032719334616559</v>
      </c>
    </row>
    <row r="2155" spans="1:18" x14ac:dyDescent="0.3">
      <c r="A2155" s="26">
        <v>2154</v>
      </c>
      <c r="B2155" s="1">
        <v>7</v>
      </c>
      <c r="C2155" s="1">
        <f t="shared" si="267"/>
        <v>8</v>
      </c>
      <c r="D2155" s="21">
        <f t="shared" ca="1" si="266"/>
        <v>44582</v>
      </c>
      <c r="E2155" s="1" t="s">
        <v>26</v>
      </c>
      <c r="F2155" s="1" t="s">
        <v>2183</v>
      </c>
      <c r="G2155" s="1" t="s">
        <v>28</v>
      </c>
      <c r="H2155" s="1">
        <v>2253</v>
      </c>
      <c r="I2155" s="1">
        <f t="shared" si="268"/>
        <v>41</v>
      </c>
      <c r="J2155" s="1">
        <f>VLOOKUP(B2155,Cena!$A$2:$B$101,2)</f>
        <v>104</v>
      </c>
      <c r="K2155" s="1">
        <f t="shared" si="272"/>
        <v>4264</v>
      </c>
      <c r="L2155" s="1">
        <f t="shared" si="269"/>
        <v>980.72</v>
      </c>
      <c r="M2155" s="22">
        <f t="shared" si="273"/>
        <v>5244.72</v>
      </c>
      <c r="N2155" s="1">
        <f t="shared" ca="1" si="270"/>
        <v>1</v>
      </c>
      <c r="P2155" s="1">
        <v>41.078743732941803</v>
      </c>
      <c r="Q2155" s="1">
        <f t="shared" ca="1" si="271"/>
        <v>20</v>
      </c>
      <c r="R2155" s="1">
        <v>8.4637895522610052</v>
      </c>
    </row>
    <row r="2156" spans="1:18" x14ac:dyDescent="0.3">
      <c r="A2156" s="26">
        <v>2155</v>
      </c>
      <c r="B2156" s="1">
        <v>16</v>
      </c>
      <c r="C2156" s="1">
        <f t="shared" si="267"/>
        <v>10</v>
      </c>
      <c r="D2156" s="21">
        <f t="shared" ca="1" si="266"/>
        <v>44904</v>
      </c>
      <c r="E2156" s="1" t="s">
        <v>26</v>
      </c>
      <c r="F2156" s="1" t="s">
        <v>2184</v>
      </c>
      <c r="G2156" s="1" t="s">
        <v>28</v>
      </c>
      <c r="H2156" s="1">
        <v>2254</v>
      </c>
      <c r="I2156" s="1">
        <f t="shared" si="268"/>
        <v>54</v>
      </c>
      <c r="J2156" s="1">
        <f>VLOOKUP(B2156,Cena!$A$2:$B$101,2)</f>
        <v>93</v>
      </c>
      <c r="K2156" s="1">
        <f t="shared" si="272"/>
        <v>5022</v>
      </c>
      <c r="L2156" s="1">
        <f t="shared" si="269"/>
        <v>1155.06</v>
      </c>
      <c r="M2156" s="22">
        <f t="shared" si="273"/>
        <v>6177.0599999999995</v>
      </c>
      <c r="N2156" s="1">
        <f t="shared" ca="1" si="270"/>
        <v>12</v>
      </c>
      <c r="P2156" s="1">
        <v>54.749176696350332</v>
      </c>
      <c r="Q2156" s="1">
        <f t="shared" ca="1" si="271"/>
        <v>28</v>
      </c>
      <c r="R2156" s="1">
        <v>10.010038547770819</v>
      </c>
    </row>
    <row r="2157" spans="1:18" x14ac:dyDescent="0.3">
      <c r="A2157" s="26">
        <v>2156</v>
      </c>
      <c r="B2157" s="1">
        <v>23</v>
      </c>
      <c r="C2157" s="1">
        <f t="shared" si="267"/>
        <v>11</v>
      </c>
      <c r="D2157" s="21">
        <f t="shared" ca="1" si="266"/>
        <v>44725</v>
      </c>
      <c r="E2157" s="1" t="s">
        <v>26</v>
      </c>
      <c r="F2157" s="1" t="s">
        <v>2185</v>
      </c>
      <c r="G2157" s="1" t="s">
        <v>28</v>
      </c>
      <c r="H2157" s="1">
        <v>2255</v>
      </c>
      <c r="I2157" s="1">
        <f t="shared" si="268"/>
        <v>45</v>
      </c>
      <c r="J2157" s="1">
        <f>VLOOKUP(B2157,Cena!$A$2:$B$101,2)</f>
        <v>132</v>
      </c>
      <c r="K2157" s="1">
        <f t="shared" si="272"/>
        <v>5940</v>
      </c>
      <c r="L2157" s="1">
        <f t="shared" si="269"/>
        <v>1366.2</v>
      </c>
      <c r="M2157" s="22">
        <f t="shared" si="273"/>
        <v>7306.2</v>
      </c>
      <c r="N2157" s="1">
        <f t="shared" ca="1" si="270"/>
        <v>6</v>
      </c>
      <c r="P2157" s="1">
        <v>45.362713889335282</v>
      </c>
      <c r="Q2157" s="1">
        <f t="shared" ca="1" si="271"/>
        <v>25</v>
      </c>
      <c r="R2157" s="1">
        <v>11.531128646092839</v>
      </c>
    </row>
    <row r="2158" spans="1:18" x14ac:dyDescent="0.3">
      <c r="A2158" s="26">
        <v>2157</v>
      </c>
      <c r="B2158" s="1">
        <v>28</v>
      </c>
      <c r="C2158" s="1">
        <f t="shared" si="267"/>
        <v>9</v>
      </c>
      <c r="D2158" s="21">
        <f t="shared" ca="1" si="266"/>
        <v>44874</v>
      </c>
      <c r="E2158" s="1" t="s">
        <v>26</v>
      </c>
      <c r="F2158" s="1" t="s">
        <v>2186</v>
      </c>
      <c r="G2158" s="1" t="s">
        <v>28</v>
      </c>
      <c r="H2158" s="1">
        <v>2256</v>
      </c>
      <c r="I2158" s="1">
        <f t="shared" si="268"/>
        <v>48</v>
      </c>
      <c r="J2158" s="1">
        <f>VLOOKUP(B2158,Cena!$A$2:$B$101,2)</f>
        <v>59</v>
      </c>
      <c r="K2158" s="1">
        <f t="shared" si="272"/>
        <v>2832</v>
      </c>
      <c r="L2158" s="1">
        <f t="shared" si="269"/>
        <v>651.36</v>
      </c>
      <c r="M2158" s="22">
        <f t="shared" si="273"/>
        <v>3483.36</v>
      </c>
      <c r="N2158" s="1">
        <f t="shared" ca="1" si="270"/>
        <v>11</v>
      </c>
      <c r="P2158" s="1">
        <v>48.788757693546358</v>
      </c>
      <c r="Q2158" s="1">
        <f t="shared" ca="1" si="271"/>
        <v>18</v>
      </c>
      <c r="R2158" s="1">
        <v>9.4494771726749605</v>
      </c>
    </row>
    <row r="2159" spans="1:18" x14ac:dyDescent="0.3">
      <c r="A2159" s="26">
        <v>2158</v>
      </c>
      <c r="B2159" s="1">
        <v>21</v>
      </c>
      <c r="C2159" s="1">
        <f t="shared" si="267"/>
        <v>8</v>
      </c>
      <c r="D2159" s="21">
        <f t="shared" ca="1" si="266"/>
        <v>44859</v>
      </c>
      <c r="E2159" s="1" t="s">
        <v>26</v>
      </c>
      <c r="F2159" s="1" t="s">
        <v>2187</v>
      </c>
      <c r="G2159" s="1" t="s">
        <v>28</v>
      </c>
      <c r="H2159" s="1">
        <v>2257</v>
      </c>
      <c r="I2159" s="1">
        <f t="shared" si="268"/>
        <v>38</v>
      </c>
      <c r="J2159" s="1">
        <f>VLOOKUP(B2159,Cena!$A$2:$B$101,2)</f>
        <v>105</v>
      </c>
      <c r="K2159" s="1">
        <f t="shared" si="272"/>
        <v>3990</v>
      </c>
      <c r="L2159" s="1">
        <f t="shared" si="269"/>
        <v>917.7</v>
      </c>
      <c r="M2159" s="22">
        <f t="shared" si="273"/>
        <v>4907.7</v>
      </c>
      <c r="N2159" s="1">
        <f t="shared" ca="1" si="270"/>
        <v>10</v>
      </c>
      <c r="P2159" s="1">
        <v>38.555782692856155</v>
      </c>
      <c r="Q2159" s="1">
        <f t="shared" ca="1" si="271"/>
        <v>17</v>
      </c>
      <c r="R2159" s="1">
        <v>8.9300306424411247</v>
      </c>
    </row>
    <row r="2160" spans="1:18" x14ac:dyDescent="0.3">
      <c r="A2160" s="26">
        <v>2159</v>
      </c>
      <c r="B2160" s="1">
        <v>7</v>
      </c>
      <c r="C2160" s="1">
        <f t="shared" si="267"/>
        <v>13</v>
      </c>
      <c r="D2160" s="21">
        <f t="shared" ca="1" si="266"/>
        <v>44659</v>
      </c>
      <c r="E2160" s="1" t="s">
        <v>26</v>
      </c>
      <c r="F2160" s="1" t="s">
        <v>2188</v>
      </c>
      <c r="G2160" s="1" t="s">
        <v>28</v>
      </c>
      <c r="H2160" s="1">
        <v>2258</v>
      </c>
      <c r="I2160" s="1">
        <f t="shared" si="268"/>
        <v>57</v>
      </c>
      <c r="J2160" s="1">
        <f>VLOOKUP(B2160,Cena!$A$2:$B$101,2)</f>
        <v>104</v>
      </c>
      <c r="K2160" s="1">
        <f t="shared" si="272"/>
        <v>5928</v>
      </c>
      <c r="L2160" s="1">
        <f t="shared" si="269"/>
        <v>1363.44</v>
      </c>
      <c r="M2160" s="22">
        <f t="shared" si="273"/>
        <v>7291.4400000000005</v>
      </c>
      <c r="N2160" s="1">
        <f t="shared" ca="1" si="270"/>
        <v>4</v>
      </c>
      <c r="P2160" s="1">
        <v>57.947301128297113</v>
      </c>
      <c r="Q2160" s="1">
        <f t="shared" ca="1" si="271"/>
        <v>24</v>
      </c>
      <c r="R2160" s="1">
        <v>13.837124040728668</v>
      </c>
    </row>
    <row r="2161" spans="1:18" x14ac:dyDescent="0.3">
      <c r="A2161" s="26">
        <v>2160</v>
      </c>
      <c r="B2161" s="1">
        <v>15</v>
      </c>
      <c r="C2161" s="1">
        <f t="shared" si="267"/>
        <v>11</v>
      </c>
      <c r="D2161" s="21">
        <f t="shared" ca="1" si="266"/>
        <v>44769</v>
      </c>
      <c r="E2161" s="1" t="s">
        <v>26</v>
      </c>
      <c r="F2161" s="1" t="s">
        <v>2189</v>
      </c>
      <c r="G2161" s="1" t="s">
        <v>28</v>
      </c>
      <c r="H2161" s="1">
        <v>2259</v>
      </c>
      <c r="I2161" s="1">
        <f t="shared" si="268"/>
        <v>52</v>
      </c>
      <c r="J2161" s="1">
        <f>VLOOKUP(B2161,Cena!$A$2:$B$101,2)</f>
        <v>85</v>
      </c>
      <c r="K2161" s="1">
        <f t="shared" si="272"/>
        <v>4420</v>
      </c>
      <c r="L2161" s="1">
        <f t="shared" si="269"/>
        <v>1016.6</v>
      </c>
      <c r="M2161" s="22">
        <f t="shared" si="273"/>
        <v>5436.6</v>
      </c>
      <c r="N2161" s="1">
        <f t="shared" ca="1" si="270"/>
        <v>7</v>
      </c>
      <c r="P2161" s="1">
        <v>52.882495664380258</v>
      </c>
      <c r="Q2161" s="1">
        <f t="shared" ca="1" si="271"/>
        <v>9</v>
      </c>
      <c r="R2161" s="1">
        <v>11.228127644026245</v>
      </c>
    </row>
    <row r="2162" spans="1:18" x14ac:dyDescent="0.3">
      <c r="A2162" s="26">
        <v>2161</v>
      </c>
      <c r="B2162" s="1">
        <v>11</v>
      </c>
      <c r="C2162" s="1">
        <f t="shared" si="267"/>
        <v>8</v>
      </c>
      <c r="D2162" s="21">
        <f t="shared" ca="1" si="266"/>
        <v>44862</v>
      </c>
      <c r="E2162" s="1" t="s">
        <v>26</v>
      </c>
      <c r="F2162" s="1" t="s">
        <v>2190</v>
      </c>
      <c r="G2162" s="1" t="s">
        <v>28</v>
      </c>
      <c r="H2162" s="1">
        <v>2260</v>
      </c>
      <c r="I2162" s="1">
        <f t="shared" si="268"/>
        <v>53</v>
      </c>
      <c r="J2162" s="1">
        <f>VLOOKUP(B2162,Cena!$A$2:$B$101,2)</f>
        <v>83</v>
      </c>
      <c r="K2162" s="1">
        <f t="shared" si="272"/>
        <v>4399</v>
      </c>
      <c r="L2162" s="1">
        <f t="shared" si="269"/>
        <v>1011.7700000000001</v>
      </c>
      <c r="M2162" s="22">
        <f t="shared" si="273"/>
        <v>5410.77</v>
      </c>
      <c r="N2162" s="1">
        <f t="shared" ca="1" si="270"/>
        <v>10</v>
      </c>
      <c r="P2162" s="1">
        <v>53.391198788449401</v>
      </c>
      <c r="Q2162" s="1">
        <f t="shared" ca="1" si="271"/>
        <v>4</v>
      </c>
      <c r="R2162" s="1">
        <v>8.4203640224222909</v>
      </c>
    </row>
    <row r="2163" spans="1:18" x14ac:dyDescent="0.3">
      <c r="A2163" s="26">
        <v>2162</v>
      </c>
      <c r="B2163" s="1">
        <v>2</v>
      </c>
      <c r="C2163" s="1">
        <f t="shared" si="267"/>
        <v>5</v>
      </c>
      <c r="D2163" s="21">
        <f t="shared" ca="1" si="266"/>
        <v>44877</v>
      </c>
      <c r="E2163" s="1" t="s">
        <v>26</v>
      </c>
      <c r="F2163" s="1" t="s">
        <v>2191</v>
      </c>
      <c r="G2163" s="1" t="s">
        <v>28</v>
      </c>
      <c r="H2163" s="1">
        <v>2261</v>
      </c>
      <c r="I2163" s="1">
        <f t="shared" si="268"/>
        <v>58</v>
      </c>
      <c r="J2163" s="1">
        <f>VLOOKUP(B2163,Cena!$A$2:$B$101,2)</f>
        <v>121</v>
      </c>
      <c r="K2163" s="1">
        <f t="shared" si="272"/>
        <v>7018</v>
      </c>
      <c r="L2163" s="1">
        <f t="shared" si="269"/>
        <v>1614.14</v>
      </c>
      <c r="M2163" s="22">
        <f t="shared" si="273"/>
        <v>8632.14</v>
      </c>
      <c r="N2163" s="1">
        <f t="shared" ca="1" si="270"/>
        <v>11</v>
      </c>
      <c r="P2163" s="1">
        <v>58.611186785856262</v>
      </c>
      <c r="Q2163" s="1">
        <f t="shared" ca="1" si="271"/>
        <v>10</v>
      </c>
      <c r="R2163" s="1">
        <v>5.1585550661548041</v>
      </c>
    </row>
    <row r="2164" spans="1:18" x14ac:dyDescent="0.3">
      <c r="A2164" s="26">
        <v>2163</v>
      </c>
      <c r="B2164" s="1">
        <v>1</v>
      </c>
      <c r="C2164" s="1">
        <f t="shared" si="267"/>
        <v>12</v>
      </c>
      <c r="D2164" s="21">
        <f t="shared" ca="1" si="266"/>
        <v>44775</v>
      </c>
      <c r="E2164" s="1" t="s">
        <v>26</v>
      </c>
      <c r="F2164" s="1" t="s">
        <v>2192</v>
      </c>
      <c r="G2164" s="1" t="s">
        <v>28</v>
      </c>
      <c r="H2164" s="1">
        <v>2262</v>
      </c>
      <c r="I2164" s="1">
        <f t="shared" si="268"/>
        <v>63</v>
      </c>
      <c r="J2164" s="1">
        <f>VLOOKUP(B2164,Cena!$A$2:$B$101,2)</f>
        <v>84</v>
      </c>
      <c r="K2164" s="1">
        <f t="shared" si="272"/>
        <v>5292</v>
      </c>
      <c r="L2164" s="1">
        <f t="shared" si="269"/>
        <v>1217.1600000000001</v>
      </c>
      <c r="M2164" s="22">
        <f t="shared" si="273"/>
        <v>6509.16</v>
      </c>
      <c r="N2164" s="1">
        <f t="shared" ca="1" si="270"/>
        <v>8</v>
      </c>
      <c r="P2164" s="1">
        <v>63.136309462424833</v>
      </c>
      <c r="Q2164" s="1">
        <f t="shared" ca="1" si="271"/>
        <v>9</v>
      </c>
      <c r="R2164" s="1">
        <v>12.649733232829021</v>
      </c>
    </row>
    <row r="2165" spans="1:18" x14ac:dyDescent="0.3">
      <c r="A2165" s="26">
        <v>2164</v>
      </c>
      <c r="B2165" s="1">
        <v>29</v>
      </c>
      <c r="C2165" s="1">
        <f t="shared" si="267"/>
        <v>11</v>
      </c>
      <c r="D2165" s="21">
        <f t="shared" ca="1" si="266"/>
        <v>44577</v>
      </c>
      <c r="E2165" s="1" t="s">
        <v>26</v>
      </c>
      <c r="F2165" s="1" t="s">
        <v>2193</v>
      </c>
      <c r="G2165" s="1" t="s">
        <v>28</v>
      </c>
      <c r="H2165" s="1">
        <v>2263</v>
      </c>
      <c r="I2165" s="1">
        <f t="shared" si="268"/>
        <v>45</v>
      </c>
      <c r="J2165" s="1">
        <f>VLOOKUP(B2165,Cena!$A$2:$B$101,2)</f>
        <v>105</v>
      </c>
      <c r="K2165" s="1">
        <f t="shared" si="272"/>
        <v>4725</v>
      </c>
      <c r="L2165" s="1">
        <f t="shared" si="269"/>
        <v>1086.75</v>
      </c>
      <c r="M2165" s="22">
        <f t="shared" si="273"/>
        <v>5811.75</v>
      </c>
      <c r="N2165" s="1">
        <f t="shared" ca="1" si="270"/>
        <v>1</v>
      </c>
      <c r="P2165" s="1">
        <v>45.343955561111216</v>
      </c>
      <c r="Q2165" s="1">
        <f t="shared" ca="1" si="271"/>
        <v>19</v>
      </c>
      <c r="R2165" s="1">
        <v>11.824429318730836</v>
      </c>
    </row>
    <row r="2166" spans="1:18" x14ac:dyDescent="0.3">
      <c r="A2166" s="26">
        <v>2165</v>
      </c>
      <c r="B2166" s="1">
        <v>20</v>
      </c>
      <c r="C2166" s="1">
        <f t="shared" si="267"/>
        <v>6</v>
      </c>
      <c r="D2166" s="21">
        <f t="shared" ca="1" si="266"/>
        <v>44656</v>
      </c>
      <c r="E2166" s="1" t="s">
        <v>26</v>
      </c>
      <c r="F2166" s="1" t="s">
        <v>2194</v>
      </c>
      <c r="G2166" s="1" t="s">
        <v>28</v>
      </c>
      <c r="H2166" s="1">
        <v>2264</v>
      </c>
      <c r="I2166" s="1">
        <f t="shared" si="268"/>
        <v>55</v>
      </c>
      <c r="J2166" s="1">
        <f>VLOOKUP(B2166,Cena!$A$2:$B$101,2)</f>
        <v>111</v>
      </c>
      <c r="K2166" s="1">
        <f t="shared" si="272"/>
        <v>6105</v>
      </c>
      <c r="L2166" s="1">
        <f t="shared" si="269"/>
        <v>1404.15</v>
      </c>
      <c r="M2166" s="22">
        <f t="shared" si="273"/>
        <v>7509.15</v>
      </c>
      <c r="N2166" s="1">
        <f t="shared" ca="1" si="270"/>
        <v>4</v>
      </c>
      <c r="P2166" s="1">
        <v>55.792867341369856</v>
      </c>
      <c r="Q2166" s="1">
        <f t="shared" ca="1" si="271"/>
        <v>23</v>
      </c>
      <c r="R2166" s="1">
        <v>6.6000245876784902</v>
      </c>
    </row>
    <row r="2167" spans="1:18" x14ac:dyDescent="0.3">
      <c r="A2167" s="26">
        <v>2166</v>
      </c>
      <c r="B2167" s="1">
        <v>22</v>
      </c>
      <c r="C2167" s="1">
        <f t="shared" si="267"/>
        <v>11</v>
      </c>
      <c r="D2167" s="21">
        <f t="shared" ca="1" si="266"/>
        <v>44656</v>
      </c>
      <c r="E2167" s="1" t="s">
        <v>26</v>
      </c>
      <c r="F2167" s="1" t="s">
        <v>2195</v>
      </c>
      <c r="G2167" s="1" t="s">
        <v>28</v>
      </c>
      <c r="H2167" s="1">
        <v>2265</v>
      </c>
      <c r="I2167" s="1">
        <f t="shared" si="268"/>
        <v>55</v>
      </c>
      <c r="J2167" s="1">
        <f>VLOOKUP(B2167,Cena!$A$2:$B$101,2)</f>
        <v>103</v>
      </c>
      <c r="K2167" s="1">
        <f t="shared" si="272"/>
        <v>5665</v>
      </c>
      <c r="L2167" s="1">
        <f t="shared" si="269"/>
        <v>1302.95</v>
      </c>
      <c r="M2167" s="22">
        <f t="shared" si="273"/>
        <v>6967.95</v>
      </c>
      <c r="N2167" s="1">
        <f t="shared" ca="1" si="270"/>
        <v>4</v>
      </c>
      <c r="P2167" s="1">
        <v>55.875403985555749</v>
      </c>
      <c r="Q2167" s="1">
        <f t="shared" ca="1" si="271"/>
        <v>30</v>
      </c>
      <c r="R2167" s="1">
        <v>11.367317281619762</v>
      </c>
    </row>
    <row r="2168" spans="1:18" x14ac:dyDescent="0.3">
      <c r="A2168" s="26">
        <v>2167</v>
      </c>
      <c r="B2168" s="1">
        <v>25</v>
      </c>
      <c r="C2168" s="1">
        <f t="shared" si="267"/>
        <v>9</v>
      </c>
      <c r="D2168" s="21">
        <f t="shared" ca="1" si="266"/>
        <v>44782</v>
      </c>
      <c r="E2168" s="1" t="s">
        <v>26</v>
      </c>
      <c r="F2168" s="1" t="s">
        <v>2196</v>
      </c>
      <c r="G2168" s="1" t="s">
        <v>28</v>
      </c>
      <c r="H2168" s="1">
        <v>2266</v>
      </c>
      <c r="I2168" s="1">
        <f t="shared" si="268"/>
        <v>42</v>
      </c>
      <c r="J2168" s="1">
        <f>VLOOKUP(B2168,Cena!$A$2:$B$101,2)</f>
        <v>108</v>
      </c>
      <c r="K2168" s="1">
        <f t="shared" si="272"/>
        <v>4536</v>
      </c>
      <c r="L2168" s="1">
        <f t="shared" si="269"/>
        <v>1043.28</v>
      </c>
      <c r="M2168" s="22">
        <f t="shared" si="273"/>
        <v>5579.28</v>
      </c>
      <c r="N2168" s="1">
        <f t="shared" ca="1" si="270"/>
        <v>8</v>
      </c>
      <c r="P2168" s="1">
        <v>42.850234775687568</v>
      </c>
      <c r="Q2168" s="1">
        <f t="shared" ca="1" si="271"/>
        <v>24</v>
      </c>
      <c r="R2168" s="1">
        <v>9.1602976479043718</v>
      </c>
    </row>
    <row r="2169" spans="1:18" x14ac:dyDescent="0.3">
      <c r="A2169" s="26">
        <v>2168</v>
      </c>
      <c r="B2169" s="1">
        <v>22</v>
      </c>
      <c r="C2169" s="1">
        <f t="shared" si="267"/>
        <v>10</v>
      </c>
      <c r="D2169" s="21">
        <f t="shared" ca="1" si="266"/>
        <v>44899</v>
      </c>
      <c r="E2169" s="1" t="s">
        <v>26</v>
      </c>
      <c r="F2169" s="1" t="s">
        <v>2197</v>
      </c>
      <c r="G2169" s="1" t="s">
        <v>28</v>
      </c>
      <c r="H2169" s="1">
        <v>2267</v>
      </c>
      <c r="I2169" s="1">
        <f t="shared" si="268"/>
        <v>43</v>
      </c>
      <c r="J2169" s="1">
        <f>VLOOKUP(B2169,Cena!$A$2:$B$101,2)</f>
        <v>103</v>
      </c>
      <c r="K2169" s="1">
        <f t="shared" si="272"/>
        <v>4429</v>
      </c>
      <c r="L2169" s="1">
        <f t="shared" si="269"/>
        <v>1018.6700000000001</v>
      </c>
      <c r="M2169" s="22">
        <f t="shared" si="273"/>
        <v>5447.67</v>
      </c>
      <c r="N2169" s="1">
        <f t="shared" ca="1" si="270"/>
        <v>12</v>
      </c>
      <c r="P2169" s="1">
        <v>43.983101376215927</v>
      </c>
      <c r="Q2169" s="1">
        <f t="shared" ca="1" si="271"/>
        <v>5</v>
      </c>
      <c r="R2169" s="1">
        <v>10.169859504239867</v>
      </c>
    </row>
    <row r="2170" spans="1:18" x14ac:dyDescent="0.3">
      <c r="A2170" s="26">
        <v>2169</v>
      </c>
      <c r="B2170" s="1">
        <v>27</v>
      </c>
      <c r="C2170" s="1">
        <f t="shared" si="267"/>
        <v>17</v>
      </c>
      <c r="D2170" s="21">
        <f t="shared" ca="1" si="266"/>
        <v>44733</v>
      </c>
      <c r="E2170" s="1" t="s">
        <v>26</v>
      </c>
      <c r="F2170" s="1" t="s">
        <v>2198</v>
      </c>
      <c r="G2170" s="1" t="s">
        <v>28</v>
      </c>
      <c r="H2170" s="1">
        <v>2268</v>
      </c>
      <c r="I2170" s="1">
        <f t="shared" si="268"/>
        <v>48</v>
      </c>
      <c r="J2170" s="1">
        <f>VLOOKUP(B2170,Cena!$A$2:$B$101,2)</f>
        <v>87</v>
      </c>
      <c r="K2170" s="1">
        <f t="shared" si="272"/>
        <v>4176</v>
      </c>
      <c r="L2170" s="1">
        <f t="shared" si="269"/>
        <v>960.48</v>
      </c>
      <c r="M2170" s="22">
        <f t="shared" si="273"/>
        <v>5136.4799999999996</v>
      </c>
      <c r="N2170" s="1">
        <f t="shared" ca="1" si="270"/>
        <v>6</v>
      </c>
      <c r="P2170" s="1">
        <v>48.653777311119484</v>
      </c>
      <c r="Q2170" s="1">
        <f t="shared" ca="1" si="271"/>
        <v>12</v>
      </c>
      <c r="R2170" s="1">
        <v>17.143171387724578</v>
      </c>
    </row>
    <row r="2171" spans="1:18" x14ac:dyDescent="0.3">
      <c r="A2171" s="26">
        <v>2170</v>
      </c>
      <c r="B2171" s="1">
        <v>5</v>
      </c>
      <c r="C2171" s="1">
        <f t="shared" si="267"/>
        <v>7</v>
      </c>
      <c r="D2171" s="21">
        <f t="shared" ca="1" si="266"/>
        <v>44844</v>
      </c>
      <c r="E2171" s="1" t="s">
        <v>26</v>
      </c>
      <c r="F2171" s="1" t="s">
        <v>2199</v>
      </c>
      <c r="G2171" s="1" t="s">
        <v>28</v>
      </c>
      <c r="H2171" s="1">
        <v>2269</v>
      </c>
      <c r="I2171" s="1">
        <f t="shared" si="268"/>
        <v>49</v>
      </c>
      <c r="J2171" s="1">
        <f>VLOOKUP(B2171,Cena!$A$2:$B$101,2)</f>
        <v>91</v>
      </c>
      <c r="K2171" s="1">
        <f t="shared" si="272"/>
        <v>4459</v>
      </c>
      <c r="L2171" s="1">
        <f t="shared" si="269"/>
        <v>1025.57</v>
      </c>
      <c r="M2171" s="22">
        <f t="shared" si="273"/>
        <v>5484.57</v>
      </c>
      <c r="N2171" s="1">
        <f t="shared" ca="1" si="270"/>
        <v>10</v>
      </c>
      <c r="P2171" s="1">
        <v>49.606313849653816</v>
      </c>
      <c r="Q2171" s="1">
        <f t="shared" ca="1" si="271"/>
        <v>21</v>
      </c>
      <c r="R2171" s="1">
        <v>7.2966691075271228</v>
      </c>
    </row>
    <row r="2172" spans="1:18" x14ac:dyDescent="0.3">
      <c r="A2172" s="26">
        <v>2171</v>
      </c>
      <c r="B2172" s="1">
        <v>22</v>
      </c>
      <c r="C2172" s="1">
        <f t="shared" si="267"/>
        <v>9</v>
      </c>
      <c r="D2172" s="21">
        <f t="shared" ca="1" si="266"/>
        <v>44595</v>
      </c>
      <c r="E2172" s="1" t="s">
        <v>26</v>
      </c>
      <c r="F2172" s="1" t="s">
        <v>2200</v>
      </c>
      <c r="G2172" s="1" t="s">
        <v>28</v>
      </c>
      <c r="H2172" s="1">
        <v>2270</v>
      </c>
      <c r="I2172" s="1">
        <f t="shared" si="268"/>
        <v>77</v>
      </c>
      <c r="J2172" s="1">
        <f>VLOOKUP(B2172,Cena!$A$2:$B$101,2)</f>
        <v>103</v>
      </c>
      <c r="K2172" s="1">
        <f t="shared" si="272"/>
        <v>7931</v>
      </c>
      <c r="L2172" s="1">
        <f t="shared" si="269"/>
        <v>1824.13</v>
      </c>
      <c r="M2172" s="22">
        <f t="shared" si="273"/>
        <v>9755.130000000001</v>
      </c>
      <c r="N2172" s="1">
        <f t="shared" ca="1" si="270"/>
        <v>2</v>
      </c>
      <c r="P2172" s="1">
        <v>77.487840270623565</v>
      </c>
      <c r="Q2172" s="1">
        <f t="shared" ca="1" si="271"/>
        <v>10</v>
      </c>
      <c r="R2172" s="1">
        <v>9.1637366747454507</v>
      </c>
    </row>
    <row r="2173" spans="1:18" x14ac:dyDescent="0.3">
      <c r="A2173" s="26">
        <v>2172</v>
      </c>
      <c r="B2173" s="1">
        <v>30</v>
      </c>
      <c r="C2173" s="1">
        <f t="shared" si="267"/>
        <v>8</v>
      </c>
      <c r="D2173" s="21">
        <f t="shared" ca="1" si="266"/>
        <v>44633</v>
      </c>
      <c r="E2173" s="1" t="s">
        <v>26</v>
      </c>
      <c r="F2173" s="1" t="s">
        <v>2201</v>
      </c>
      <c r="G2173" s="1" t="s">
        <v>28</v>
      </c>
      <c r="H2173" s="1">
        <v>2271</v>
      </c>
      <c r="I2173" s="1">
        <f t="shared" si="268"/>
        <v>41</v>
      </c>
      <c r="J2173" s="1">
        <f>VLOOKUP(B2173,Cena!$A$2:$B$101,2)</f>
        <v>87</v>
      </c>
      <c r="K2173" s="1">
        <f t="shared" si="272"/>
        <v>3567</v>
      </c>
      <c r="L2173" s="1">
        <f t="shared" si="269"/>
        <v>820.41000000000008</v>
      </c>
      <c r="M2173" s="22">
        <f t="shared" si="273"/>
        <v>4387.41</v>
      </c>
      <c r="N2173" s="1">
        <f t="shared" ca="1" si="270"/>
        <v>3</v>
      </c>
      <c r="P2173" s="1">
        <v>41.476033756043762</v>
      </c>
      <c r="Q2173" s="1">
        <f t="shared" ca="1" si="271"/>
        <v>30</v>
      </c>
      <c r="R2173" s="1">
        <v>8.4114822382252896</v>
      </c>
    </row>
    <row r="2174" spans="1:18" x14ac:dyDescent="0.3">
      <c r="A2174" s="26">
        <v>2173</v>
      </c>
      <c r="B2174" s="1">
        <v>30</v>
      </c>
      <c r="C2174" s="1">
        <f t="shared" si="267"/>
        <v>11</v>
      </c>
      <c r="D2174" s="21">
        <f t="shared" ca="1" si="266"/>
        <v>44693</v>
      </c>
      <c r="E2174" s="1" t="s">
        <v>26</v>
      </c>
      <c r="F2174" s="1" t="s">
        <v>2202</v>
      </c>
      <c r="G2174" s="1" t="s">
        <v>28</v>
      </c>
      <c r="H2174" s="1">
        <v>2272</v>
      </c>
      <c r="I2174" s="1">
        <f t="shared" si="268"/>
        <v>31</v>
      </c>
      <c r="J2174" s="1">
        <f>VLOOKUP(B2174,Cena!$A$2:$B$101,2)</f>
        <v>87</v>
      </c>
      <c r="K2174" s="1">
        <f t="shared" si="272"/>
        <v>2697</v>
      </c>
      <c r="L2174" s="1">
        <f t="shared" si="269"/>
        <v>620.31000000000006</v>
      </c>
      <c r="M2174" s="22">
        <f t="shared" si="273"/>
        <v>3317.31</v>
      </c>
      <c r="N2174" s="1">
        <f t="shared" ca="1" si="270"/>
        <v>5</v>
      </c>
      <c r="P2174" s="1">
        <v>31.54353306745179</v>
      </c>
      <c r="Q2174" s="1">
        <f t="shared" ca="1" si="271"/>
        <v>28</v>
      </c>
      <c r="R2174" s="1">
        <v>11.303789076700923</v>
      </c>
    </row>
    <row r="2175" spans="1:18" x14ac:dyDescent="0.3">
      <c r="A2175" s="26">
        <v>2174</v>
      </c>
      <c r="B2175" s="1">
        <v>13</v>
      </c>
      <c r="C2175" s="1">
        <f t="shared" si="267"/>
        <v>14</v>
      </c>
      <c r="D2175" s="21">
        <f t="shared" ca="1" si="266"/>
        <v>44817</v>
      </c>
      <c r="E2175" s="1" t="s">
        <v>26</v>
      </c>
      <c r="F2175" s="1" t="s">
        <v>2203</v>
      </c>
      <c r="G2175" s="1" t="s">
        <v>28</v>
      </c>
      <c r="H2175" s="1">
        <v>2273</v>
      </c>
      <c r="I2175" s="1">
        <f t="shared" si="268"/>
        <v>57</v>
      </c>
      <c r="J2175" s="1">
        <f>VLOOKUP(B2175,Cena!$A$2:$B$101,2)</f>
        <v>94</v>
      </c>
      <c r="K2175" s="1">
        <f t="shared" si="272"/>
        <v>5358</v>
      </c>
      <c r="L2175" s="1">
        <f t="shared" si="269"/>
        <v>1232.3400000000001</v>
      </c>
      <c r="M2175" s="22">
        <f t="shared" si="273"/>
        <v>6590.34</v>
      </c>
      <c r="N2175" s="1">
        <f t="shared" ca="1" si="270"/>
        <v>9</v>
      </c>
      <c r="P2175" s="1">
        <v>57.380845090665389</v>
      </c>
      <c r="Q2175" s="1">
        <f t="shared" ca="1" si="271"/>
        <v>23</v>
      </c>
      <c r="R2175" s="1">
        <v>14.262437869329005</v>
      </c>
    </row>
    <row r="2176" spans="1:18" x14ac:dyDescent="0.3">
      <c r="A2176" s="26">
        <v>2175</v>
      </c>
      <c r="B2176" s="1">
        <v>11</v>
      </c>
      <c r="C2176" s="1">
        <f t="shared" si="267"/>
        <v>8</v>
      </c>
      <c r="D2176" s="21">
        <f t="shared" ca="1" si="266"/>
        <v>44838</v>
      </c>
      <c r="E2176" s="1" t="s">
        <v>26</v>
      </c>
      <c r="F2176" s="1" t="s">
        <v>2204</v>
      </c>
      <c r="G2176" s="1" t="s">
        <v>28</v>
      </c>
      <c r="H2176" s="1">
        <v>2274</v>
      </c>
      <c r="I2176" s="1">
        <f t="shared" si="268"/>
        <v>54</v>
      </c>
      <c r="J2176" s="1">
        <f>VLOOKUP(B2176,Cena!$A$2:$B$101,2)</f>
        <v>83</v>
      </c>
      <c r="K2176" s="1">
        <f t="shared" si="272"/>
        <v>4482</v>
      </c>
      <c r="L2176" s="1">
        <f t="shared" si="269"/>
        <v>1030.8600000000001</v>
      </c>
      <c r="M2176" s="22">
        <f t="shared" si="273"/>
        <v>5512.8600000000006</v>
      </c>
      <c r="N2176" s="1">
        <f t="shared" ca="1" si="270"/>
        <v>10</v>
      </c>
      <c r="P2176" s="1">
        <v>54.559910848911386</v>
      </c>
      <c r="Q2176" s="1">
        <f t="shared" ca="1" si="271"/>
        <v>25</v>
      </c>
      <c r="R2176" s="1">
        <v>8.1905148160876706</v>
      </c>
    </row>
    <row r="2177" spans="1:18" x14ac:dyDescent="0.3">
      <c r="A2177" s="26">
        <v>2176</v>
      </c>
      <c r="B2177" s="1">
        <v>28</v>
      </c>
      <c r="C2177" s="1">
        <f t="shared" si="267"/>
        <v>10</v>
      </c>
      <c r="D2177" s="21">
        <f t="shared" ca="1" si="266"/>
        <v>44630</v>
      </c>
      <c r="E2177" s="1" t="s">
        <v>26</v>
      </c>
      <c r="F2177" s="1" t="s">
        <v>2205</v>
      </c>
      <c r="G2177" s="1" t="s">
        <v>28</v>
      </c>
      <c r="H2177" s="1">
        <v>2275</v>
      </c>
      <c r="I2177" s="1">
        <f t="shared" si="268"/>
        <v>51</v>
      </c>
      <c r="J2177" s="1">
        <f>VLOOKUP(B2177,Cena!$A$2:$B$101,2)</f>
        <v>59</v>
      </c>
      <c r="K2177" s="1">
        <f t="shared" si="272"/>
        <v>3009</v>
      </c>
      <c r="L2177" s="1">
        <f t="shared" si="269"/>
        <v>692.07</v>
      </c>
      <c r="M2177" s="22">
        <f t="shared" si="273"/>
        <v>3701.07</v>
      </c>
      <c r="N2177" s="1">
        <f t="shared" ca="1" si="270"/>
        <v>3</v>
      </c>
      <c r="P2177" s="1">
        <v>51.428088580723852</v>
      </c>
      <c r="Q2177" s="1">
        <f t="shared" ca="1" si="271"/>
        <v>9</v>
      </c>
      <c r="R2177" s="1">
        <v>10.046952663979027</v>
      </c>
    </row>
    <row r="2178" spans="1:18" x14ac:dyDescent="0.3">
      <c r="A2178" s="26">
        <v>2177</v>
      </c>
      <c r="B2178" s="1">
        <v>17</v>
      </c>
      <c r="C2178" s="1">
        <f t="shared" si="267"/>
        <v>6</v>
      </c>
      <c r="D2178" s="21">
        <f t="shared" ref="D2178:D2241" ca="1" si="274">DATE(2022,RANDBETWEEN(1,12),RANDBETWEEN(1,28))</f>
        <v>44585</v>
      </c>
      <c r="E2178" s="1" t="s">
        <v>26</v>
      </c>
      <c r="F2178" s="1" t="s">
        <v>2206</v>
      </c>
      <c r="G2178" s="1" t="s">
        <v>28</v>
      </c>
      <c r="H2178" s="1">
        <v>2276</v>
      </c>
      <c r="I2178" s="1">
        <f t="shared" si="268"/>
        <v>57</v>
      </c>
      <c r="J2178" s="1">
        <f>VLOOKUP(B2178,Cena!$A$2:$B$101,2)</f>
        <v>84</v>
      </c>
      <c r="K2178" s="1">
        <f t="shared" si="272"/>
        <v>4788</v>
      </c>
      <c r="L2178" s="1">
        <f t="shared" si="269"/>
        <v>1101.24</v>
      </c>
      <c r="M2178" s="22">
        <f t="shared" si="273"/>
        <v>5889.24</v>
      </c>
      <c r="N2178" s="1">
        <f t="shared" ca="1" si="270"/>
        <v>1</v>
      </c>
      <c r="P2178" s="1">
        <v>57.020958037173841</v>
      </c>
      <c r="Q2178" s="1">
        <f t="shared" ca="1" si="271"/>
        <v>19</v>
      </c>
      <c r="R2178" s="1">
        <v>6.6424525155161973</v>
      </c>
    </row>
    <row r="2179" spans="1:18" x14ac:dyDescent="0.3">
      <c r="A2179" s="26">
        <v>2178</v>
      </c>
      <c r="B2179" s="1">
        <v>29</v>
      </c>
      <c r="C2179" s="1">
        <f t="shared" ref="C2179:C2242" si="275">INT(R2179)</f>
        <v>9</v>
      </c>
      <c r="D2179" s="21">
        <f t="shared" ca="1" si="274"/>
        <v>44605</v>
      </c>
      <c r="E2179" s="1" t="s">
        <v>26</v>
      </c>
      <c r="F2179" s="1" t="s">
        <v>2207</v>
      </c>
      <c r="G2179" s="1" t="s">
        <v>28</v>
      </c>
      <c r="H2179" s="1">
        <v>2277</v>
      </c>
      <c r="I2179" s="1">
        <f t="shared" ref="I2179:I2242" si="276">INT(P2179)</f>
        <v>41</v>
      </c>
      <c r="J2179" s="1">
        <f>VLOOKUP(B2179,Cena!$A$2:$B$101,2)</f>
        <v>105</v>
      </c>
      <c r="K2179" s="1">
        <f t="shared" si="272"/>
        <v>4305</v>
      </c>
      <c r="L2179" s="1">
        <f t="shared" ref="L2179:L2242" si="277">K2179*23%</f>
        <v>990.15000000000009</v>
      </c>
      <c r="M2179" s="22">
        <f t="shared" si="273"/>
        <v>5295.15</v>
      </c>
      <c r="N2179" s="1">
        <f t="shared" ref="N2179:N2242" ca="1" si="278">MONTH(D2179)</f>
        <v>2</v>
      </c>
      <c r="P2179" s="1">
        <v>41.303138813236728</v>
      </c>
      <c r="Q2179" s="1">
        <f t="shared" ref="Q2179:Q2242" ca="1" si="279">RANDBETWEEN(1,30)</f>
        <v>25</v>
      </c>
      <c r="R2179" s="1">
        <v>9.7270265339466278</v>
      </c>
    </row>
    <row r="2180" spans="1:18" x14ac:dyDescent="0.3">
      <c r="A2180" s="26">
        <v>2179</v>
      </c>
      <c r="B2180" s="1">
        <v>15</v>
      </c>
      <c r="C2180" s="1">
        <f t="shared" si="275"/>
        <v>10</v>
      </c>
      <c r="D2180" s="21">
        <f t="shared" ca="1" si="274"/>
        <v>44774</v>
      </c>
      <c r="E2180" s="1" t="s">
        <v>26</v>
      </c>
      <c r="F2180" s="1" t="s">
        <v>2208</v>
      </c>
      <c r="G2180" s="1" t="s">
        <v>28</v>
      </c>
      <c r="H2180" s="1">
        <v>2278</v>
      </c>
      <c r="I2180" s="1">
        <f t="shared" si="276"/>
        <v>51</v>
      </c>
      <c r="J2180" s="1">
        <f>VLOOKUP(B2180,Cena!$A$2:$B$101,2)</f>
        <v>85</v>
      </c>
      <c r="K2180" s="1">
        <f t="shared" si="272"/>
        <v>4335</v>
      </c>
      <c r="L2180" s="1">
        <f t="shared" si="277"/>
        <v>997.05000000000007</v>
      </c>
      <c r="M2180" s="22">
        <f t="shared" si="273"/>
        <v>5332.05</v>
      </c>
      <c r="N2180" s="1">
        <f t="shared" ca="1" si="278"/>
        <v>8</v>
      </c>
      <c r="P2180" s="1">
        <v>51.32383775053313</v>
      </c>
      <c r="Q2180" s="1">
        <f t="shared" ca="1" si="279"/>
        <v>5</v>
      </c>
      <c r="R2180" s="1">
        <v>10.429054125561379</v>
      </c>
    </row>
    <row r="2181" spans="1:18" x14ac:dyDescent="0.3">
      <c r="A2181" s="26">
        <v>2180</v>
      </c>
      <c r="B2181" s="1">
        <v>22</v>
      </c>
      <c r="C2181" s="1">
        <f t="shared" si="275"/>
        <v>9</v>
      </c>
      <c r="D2181" s="21">
        <f t="shared" ca="1" si="274"/>
        <v>44801</v>
      </c>
      <c r="E2181" s="1" t="s">
        <v>26</v>
      </c>
      <c r="F2181" s="1" t="s">
        <v>2209</v>
      </c>
      <c r="G2181" s="1" t="s">
        <v>28</v>
      </c>
      <c r="H2181" s="1">
        <v>2279</v>
      </c>
      <c r="I2181" s="1">
        <f t="shared" si="276"/>
        <v>53</v>
      </c>
      <c r="J2181" s="1">
        <f>VLOOKUP(B2181,Cena!$A$2:$B$101,2)</f>
        <v>103</v>
      </c>
      <c r="K2181" s="1">
        <f t="shared" si="272"/>
        <v>5459</v>
      </c>
      <c r="L2181" s="1">
        <f t="shared" si="277"/>
        <v>1255.5700000000002</v>
      </c>
      <c r="M2181" s="22">
        <f t="shared" si="273"/>
        <v>6714.57</v>
      </c>
      <c r="N2181" s="1">
        <f t="shared" ca="1" si="278"/>
        <v>8</v>
      </c>
      <c r="P2181" s="1">
        <v>53.894808742188616</v>
      </c>
      <c r="Q2181" s="1">
        <f t="shared" ca="1" si="279"/>
        <v>15</v>
      </c>
      <c r="R2181" s="1">
        <v>9.622292534695589</v>
      </c>
    </row>
    <row r="2182" spans="1:18" x14ac:dyDescent="0.3">
      <c r="A2182" s="26">
        <v>2181</v>
      </c>
      <c r="B2182" s="1">
        <v>5</v>
      </c>
      <c r="C2182" s="1">
        <f t="shared" si="275"/>
        <v>7</v>
      </c>
      <c r="D2182" s="21">
        <f t="shared" ca="1" si="274"/>
        <v>44721</v>
      </c>
      <c r="E2182" s="1" t="s">
        <v>26</v>
      </c>
      <c r="F2182" s="1" t="s">
        <v>2210</v>
      </c>
      <c r="G2182" s="1" t="s">
        <v>28</v>
      </c>
      <c r="H2182" s="1">
        <v>2280</v>
      </c>
      <c r="I2182" s="1">
        <f t="shared" si="276"/>
        <v>59</v>
      </c>
      <c r="J2182" s="1">
        <f>VLOOKUP(B2182,Cena!$A$2:$B$101,2)</f>
        <v>91</v>
      </c>
      <c r="K2182" s="1">
        <f t="shared" si="272"/>
        <v>5369</v>
      </c>
      <c r="L2182" s="1">
        <f t="shared" si="277"/>
        <v>1234.8700000000001</v>
      </c>
      <c r="M2182" s="22">
        <f t="shared" si="273"/>
        <v>6603.87</v>
      </c>
      <c r="N2182" s="1">
        <f t="shared" ca="1" si="278"/>
        <v>6</v>
      </c>
      <c r="P2182" s="1">
        <v>59.302448233938776</v>
      </c>
      <c r="Q2182" s="1">
        <f t="shared" ca="1" si="279"/>
        <v>26</v>
      </c>
      <c r="R2182" s="1">
        <v>7.6628657805122202</v>
      </c>
    </row>
    <row r="2183" spans="1:18" x14ac:dyDescent="0.3">
      <c r="A2183" s="26">
        <v>2182</v>
      </c>
      <c r="B2183" s="1">
        <v>11</v>
      </c>
      <c r="C2183" s="1">
        <f t="shared" si="275"/>
        <v>10</v>
      </c>
      <c r="D2183" s="21">
        <f t="shared" ca="1" si="274"/>
        <v>44923</v>
      </c>
      <c r="E2183" s="1" t="s">
        <v>26</v>
      </c>
      <c r="F2183" s="1" t="s">
        <v>2211</v>
      </c>
      <c r="G2183" s="1" t="s">
        <v>28</v>
      </c>
      <c r="H2183" s="1">
        <v>2281</v>
      </c>
      <c r="I2183" s="1">
        <f t="shared" si="276"/>
        <v>46</v>
      </c>
      <c r="J2183" s="1">
        <f>VLOOKUP(B2183,Cena!$A$2:$B$101,2)</f>
        <v>83</v>
      </c>
      <c r="K2183" s="1">
        <f t="shared" si="272"/>
        <v>3818</v>
      </c>
      <c r="L2183" s="1">
        <f t="shared" si="277"/>
        <v>878.14</v>
      </c>
      <c r="M2183" s="22">
        <f t="shared" si="273"/>
        <v>4696.1400000000003</v>
      </c>
      <c r="N2183" s="1">
        <f t="shared" ca="1" si="278"/>
        <v>12</v>
      </c>
      <c r="P2183" s="1">
        <v>46.743804331345018</v>
      </c>
      <c r="Q2183" s="1">
        <f t="shared" ca="1" si="279"/>
        <v>22</v>
      </c>
      <c r="R2183" s="1">
        <v>10.049629989007371</v>
      </c>
    </row>
    <row r="2184" spans="1:18" x14ac:dyDescent="0.3">
      <c r="A2184" s="26">
        <v>2183</v>
      </c>
      <c r="B2184" s="1">
        <v>30</v>
      </c>
      <c r="C2184" s="1">
        <f t="shared" si="275"/>
        <v>10</v>
      </c>
      <c r="D2184" s="21">
        <f t="shared" ca="1" si="274"/>
        <v>44717</v>
      </c>
      <c r="E2184" s="1" t="s">
        <v>26</v>
      </c>
      <c r="F2184" s="1" t="s">
        <v>2212</v>
      </c>
      <c r="G2184" s="1" t="s">
        <v>28</v>
      </c>
      <c r="H2184" s="1">
        <v>2282</v>
      </c>
      <c r="I2184" s="1">
        <f t="shared" si="276"/>
        <v>52</v>
      </c>
      <c r="J2184" s="1">
        <f>VLOOKUP(B2184,Cena!$A$2:$B$101,2)</f>
        <v>87</v>
      </c>
      <c r="K2184" s="1">
        <f t="shared" si="272"/>
        <v>4524</v>
      </c>
      <c r="L2184" s="1">
        <f t="shared" si="277"/>
        <v>1040.52</v>
      </c>
      <c r="M2184" s="22">
        <f t="shared" si="273"/>
        <v>5564.52</v>
      </c>
      <c r="N2184" s="1">
        <f t="shared" ca="1" si="278"/>
        <v>6</v>
      </c>
      <c r="P2184" s="1">
        <v>52.891260919568595</v>
      </c>
      <c r="Q2184" s="1">
        <f t="shared" ca="1" si="279"/>
        <v>18</v>
      </c>
      <c r="R2184" s="1">
        <v>10.810217670732527</v>
      </c>
    </row>
    <row r="2185" spans="1:18" x14ac:dyDescent="0.3">
      <c r="A2185" s="26">
        <v>2184</v>
      </c>
      <c r="B2185" s="1">
        <v>1</v>
      </c>
      <c r="C2185" s="1">
        <f t="shared" si="275"/>
        <v>8</v>
      </c>
      <c r="D2185" s="21">
        <f t="shared" ca="1" si="274"/>
        <v>44844</v>
      </c>
      <c r="E2185" s="1" t="s">
        <v>26</v>
      </c>
      <c r="F2185" s="1" t="s">
        <v>2213</v>
      </c>
      <c r="G2185" s="1" t="s">
        <v>28</v>
      </c>
      <c r="H2185" s="1">
        <v>2283</v>
      </c>
      <c r="I2185" s="1">
        <f t="shared" si="276"/>
        <v>49</v>
      </c>
      <c r="J2185" s="1">
        <f>VLOOKUP(B2185,Cena!$A$2:$B$101,2)</f>
        <v>84</v>
      </c>
      <c r="K2185" s="1">
        <f t="shared" si="272"/>
        <v>4116</v>
      </c>
      <c r="L2185" s="1">
        <f t="shared" si="277"/>
        <v>946.68000000000006</v>
      </c>
      <c r="M2185" s="22">
        <f t="shared" si="273"/>
        <v>5062.68</v>
      </c>
      <c r="N2185" s="1">
        <f t="shared" ca="1" si="278"/>
        <v>10</v>
      </c>
      <c r="P2185" s="1">
        <v>49.456213117809966</v>
      </c>
      <c r="Q2185" s="1">
        <f t="shared" ca="1" si="279"/>
        <v>24</v>
      </c>
      <c r="R2185" s="1">
        <v>8.0659765697055263</v>
      </c>
    </row>
    <row r="2186" spans="1:18" x14ac:dyDescent="0.3">
      <c r="A2186" s="26">
        <v>2185</v>
      </c>
      <c r="B2186" s="1">
        <v>14</v>
      </c>
      <c r="C2186" s="1">
        <f t="shared" si="275"/>
        <v>7</v>
      </c>
      <c r="D2186" s="21">
        <f t="shared" ca="1" si="274"/>
        <v>44844</v>
      </c>
      <c r="E2186" s="1" t="s">
        <v>26</v>
      </c>
      <c r="F2186" s="1" t="s">
        <v>2214</v>
      </c>
      <c r="G2186" s="1" t="s">
        <v>28</v>
      </c>
      <c r="H2186" s="1">
        <v>2284</v>
      </c>
      <c r="I2186" s="1">
        <f t="shared" si="276"/>
        <v>61</v>
      </c>
      <c r="J2186" s="1">
        <f>VLOOKUP(B2186,Cena!$A$2:$B$101,2)</f>
        <v>129</v>
      </c>
      <c r="K2186" s="1">
        <f t="shared" si="272"/>
        <v>7869</v>
      </c>
      <c r="L2186" s="1">
        <f t="shared" si="277"/>
        <v>1809.8700000000001</v>
      </c>
      <c r="M2186" s="22">
        <f t="shared" si="273"/>
        <v>9678.8700000000008</v>
      </c>
      <c r="N2186" s="1">
        <f t="shared" ca="1" si="278"/>
        <v>10</v>
      </c>
      <c r="P2186" s="1">
        <v>61.266388355579693</v>
      </c>
      <c r="Q2186" s="1">
        <f t="shared" ca="1" si="279"/>
        <v>26</v>
      </c>
      <c r="R2186" s="1">
        <v>7.7069137457874604</v>
      </c>
    </row>
    <row r="2187" spans="1:18" x14ac:dyDescent="0.3">
      <c r="A2187" s="26">
        <v>2186</v>
      </c>
      <c r="B2187" s="1">
        <v>15</v>
      </c>
      <c r="C2187" s="1">
        <f t="shared" si="275"/>
        <v>12</v>
      </c>
      <c r="D2187" s="21">
        <f t="shared" ca="1" si="274"/>
        <v>44760</v>
      </c>
      <c r="E2187" s="1" t="s">
        <v>26</v>
      </c>
      <c r="F2187" s="1" t="s">
        <v>2215</v>
      </c>
      <c r="G2187" s="1" t="s">
        <v>28</v>
      </c>
      <c r="H2187" s="1">
        <v>2285</v>
      </c>
      <c r="I2187" s="1">
        <f t="shared" si="276"/>
        <v>71</v>
      </c>
      <c r="J2187" s="1">
        <f>VLOOKUP(B2187,Cena!$A$2:$B$101,2)</f>
        <v>85</v>
      </c>
      <c r="K2187" s="1">
        <f t="shared" si="272"/>
        <v>6035</v>
      </c>
      <c r="L2187" s="1">
        <f t="shared" si="277"/>
        <v>1388.05</v>
      </c>
      <c r="M2187" s="22">
        <f t="shared" si="273"/>
        <v>7423.05</v>
      </c>
      <c r="N2187" s="1">
        <f t="shared" ca="1" si="278"/>
        <v>7</v>
      </c>
      <c r="P2187" s="1">
        <v>71.5153704630211</v>
      </c>
      <c r="Q2187" s="1">
        <f t="shared" ca="1" si="279"/>
        <v>9</v>
      </c>
      <c r="R2187" s="1">
        <v>12.338020976822008</v>
      </c>
    </row>
    <row r="2188" spans="1:18" x14ac:dyDescent="0.3">
      <c r="A2188" s="26">
        <v>2187</v>
      </c>
      <c r="B2188" s="1">
        <v>14</v>
      </c>
      <c r="C2188" s="1">
        <f t="shared" si="275"/>
        <v>10</v>
      </c>
      <c r="D2188" s="21">
        <f t="shared" ca="1" si="274"/>
        <v>44620</v>
      </c>
      <c r="E2188" s="1" t="s">
        <v>26</v>
      </c>
      <c r="F2188" s="1" t="s">
        <v>2216</v>
      </c>
      <c r="G2188" s="1" t="s">
        <v>28</v>
      </c>
      <c r="H2188" s="1">
        <v>2286</v>
      </c>
      <c r="I2188" s="1">
        <f t="shared" si="276"/>
        <v>50</v>
      </c>
      <c r="J2188" s="1">
        <f>VLOOKUP(B2188,Cena!$A$2:$B$101,2)</f>
        <v>129</v>
      </c>
      <c r="K2188" s="1">
        <f t="shared" si="272"/>
        <v>6450</v>
      </c>
      <c r="L2188" s="1">
        <f t="shared" si="277"/>
        <v>1483.5</v>
      </c>
      <c r="M2188" s="22">
        <f t="shared" si="273"/>
        <v>7933.5</v>
      </c>
      <c r="N2188" s="1">
        <f t="shared" ca="1" si="278"/>
        <v>2</v>
      </c>
      <c r="P2188" s="1">
        <v>50.915042619453743</v>
      </c>
      <c r="Q2188" s="1">
        <f t="shared" ca="1" si="279"/>
        <v>1</v>
      </c>
      <c r="R2188" s="1">
        <v>10.624248741587508</v>
      </c>
    </row>
    <row r="2189" spans="1:18" x14ac:dyDescent="0.3">
      <c r="A2189" s="26">
        <v>2188</v>
      </c>
      <c r="B2189" s="1">
        <v>18</v>
      </c>
      <c r="C2189" s="1">
        <f t="shared" si="275"/>
        <v>11</v>
      </c>
      <c r="D2189" s="21">
        <f t="shared" ca="1" si="274"/>
        <v>44720</v>
      </c>
      <c r="E2189" s="1" t="s">
        <v>26</v>
      </c>
      <c r="F2189" s="1" t="s">
        <v>2217</v>
      </c>
      <c r="G2189" s="1" t="s">
        <v>28</v>
      </c>
      <c r="H2189" s="1">
        <v>2287</v>
      </c>
      <c r="I2189" s="1">
        <f t="shared" si="276"/>
        <v>47</v>
      </c>
      <c r="J2189" s="1">
        <f>VLOOKUP(B2189,Cena!$A$2:$B$101,2)</f>
        <v>90</v>
      </c>
      <c r="K2189" s="1">
        <f t="shared" si="272"/>
        <v>4230</v>
      </c>
      <c r="L2189" s="1">
        <f t="shared" si="277"/>
        <v>972.90000000000009</v>
      </c>
      <c r="M2189" s="22">
        <f t="shared" si="273"/>
        <v>5202.8999999999996</v>
      </c>
      <c r="N2189" s="1">
        <f t="shared" ca="1" si="278"/>
        <v>6</v>
      </c>
      <c r="P2189" s="1">
        <v>47.618067482108017</v>
      </c>
      <c r="Q2189" s="1">
        <f t="shared" ca="1" si="279"/>
        <v>11</v>
      </c>
      <c r="R2189" s="1">
        <v>11.994175136132981</v>
      </c>
    </row>
    <row r="2190" spans="1:18" x14ac:dyDescent="0.3">
      <c r="A2190" s="26">
        <v>2189</v>
      </c>
      <c r="B2190" s="1">
        <v>13</v>
      </c>
      <c r="C2190" s="1">
        <f t="shared" si="275"/>
        <v>8</v>
      </c>
      <c r="D2190" s="21">
        <f t="shared" ca="1" si="274"/>
        <v>44766</v>
      </c>
      <c r="E2190" s="1" t="s">
        <v>26</v>
      </c>
      <c r="F2190" s="1" t="s">
        <v>2218</v>
      </c>
      <c r="G2190" s="1" t="s">
        <v>28</v>
      </c>
      <c r="H2190" s="1">
        <v>2288</v>
      </c>
      <c r="I2190" s="1">
        <f t="shared" si="276"/>
        <v>36</v>
      </c>
      <c r="J2190" s="1">
        <f>VLOOKUP(B2190,Cena!$A$2:$B$101,2)</f>
        <v>94</v>
      </c>
      <c r="K2190" s="1">
        <f t="shared" si="272"/>
        <v>3384</v>
      </c>
      <c r="L2190" s="1">
        <f t="shared" si="277"/>
        <v>778.32</v>
      </c>
      <c r="M2190" s="22">
        <f t="shared" si="273"/>
        <v>4162.32</v>
      </c>
      <c r="N2190" s="1">
        <f t="shared" ca="1" si="278"/>
        <v>7</v>
      </c>
      <c r="P2190" s="1">
        <v>36.495913617545739</v>
      </c>
      <c r="Q2190" s="1">
        <f t="shared" ca="1" si="279"/>
        <v>7</v>
      </c>
      <c r="R2190" s="1">
        <v>8.4895794113981538</v>
      </c>
    </row>
    <row r="2191" spans="1:18" x14ac:dyDescent="0.3">
      <c r="A2191" s="26">
        <v>2190</v>
      </c>
      <c r="B2191" s="1">
        <v>25</v>
      </c>
      <c r="C2191" s="1">
        <f t="shared" si="275"/>
        <v>9</v>
      </c>
      <c r="D2191" s="21">
        <f t="shared" ca="1" si="274"/>
        <v>44814</v>
      </c>
      <c r="E2191" s="1" t="s">
        <v>26</v>
      </c>
      <c r="F2191" s="1" t="s">
        <v>2219</v>
      </c>
      <c r="G2191" s="1" t="s">
        <v>28</v>
      </c>
      <c r="H2191" s="1">
        <v>2289</v>
      </c>
      <c r="I2191" s="1">
        <f t="shared" si="276"/>
        <v>34</v>
      </c>
      <c r="J2191" s="1">
        <f>VLOOKUP(B2191,Cena!$A$2:$B$101,2)</f>
        <v>108</v>
      </c>
      <c r="K2191" s="1">
        <f t="shared" si="272"/>
        <v>3672</v>
      </c>
      <c r="L2191" s="1">
        <f t="shared" si="277"/>
        <v>844.56000000000006</v>
      </c>
      <c r="M2191" s="22">
        <f t="shared" si="273"/>
        <v>4516.5600000000004</v>
      </c>
      <c r="N2191" s="1">
        <f t="shared" ca="1" si="278"/>
        <v>9</v>
      </c>
      <c r="P2191" s="1">
        <v>34.636588123976253</v>
      </c>
      <c r="Q2191" s="1">
        <f t="shared" ca="1" si="279"/>
        <v>28</v>
      </c>
      <c r="R2191" s="1">
        <v>9.5059681623388315</v>
      </c>
    </row>
    <row r="2192" spans="1:18" x14ac:dyDescent="0.3">
      <c r="A2192" s="26">
        <v>2191</v>
      </c>
      <c r="B2192" s="1">
        <v>16</v>
      </c>
      <c r="C2192" s="1">
        <f t="shared" si="275"/>
        <v>9</v>
      </c>
      <c r="D2192" s="21">
        <f t="shared" ca="1" si="274"/>
        <v>44846</v>
      </c>
      <c r="E2192" s="1" t="s">
        <v>26</v>
      </c>
      <c r="F2192" s="1" t="s">
        <v>2220</v>
      </c>
      <c r="G2192" s="1" t="s">
        <v>28</v>
      </c>
      <c r="H2192" s="1">
        <v>2290</v>
      </c>
      <c r="I2192" s="1">
        <f t="shared" si="276"/>
        <v>62</v>
      </c>
      <c r="J2192" s="1">
        <f>VLOOKUP(B2192,Cena!$A$2:$B$101,2)</f>
        <v>93</v>
      </c>
      <c r="K2192" s="1">
        <f t="shared" si="272"/>
        <v>5766</v>
      </c>
      <c r="L2192" s="1">
        <f t="shared" si="277"/>
        <v>1326.18</v>
      </c>
      <c r="M2192" s="22">
        <f t="shared" si="273"/>
        <v>7092.18</v>
      </c>
      <c r="N2192" s="1">
        <f t="shared" ca="1" si="278"/>
        <v>10</v>
      </c>
      <c r="P2192" s="1">
        <v>62.484679245972075</v>
      </c>
      <c r="Q2192" s="1">
        <f t="shared" ca="1" si="279"/>
        <v>22</v>
      </c>
      <c r="R2192" s="1">
        <v>9.2125253811536822</v>
      </c>
    </row>
    <row r="2193" spans="1:18" x14ac:dyDescent="0.3">
      <c r="A2193" s="26">
        <v>2192</v>
      </c>
      <c r="B2193" s="1">
        <v>8</v>
      </c>
      <c r="C2193" s="1">
        <f t="shared" si="275"/>
        <v>7</v>
      </c>
      <c r="D2193" s="21">
        <f t="shared" ca="1" si="274"/>
        <v>44826</v>
      </c>
      <c r="E2193" s="1" t="s">
        <v>26</v>
      </c>
      <c r="F2193" s="1" t="s">
        <v>2221</v>
      </c>
      <c r="G2193" s="1" t="s">
        <v>28</v>
      </c>
      <c r="H2193" s="1">
        <v>2291</v>
      </c>
      <c r="I2193" s="1">
        <f t="shared" si="276"/>
        <v>41</v>
      </c>
      <c r="J2193" s="1">
        <f>VLOOKUP(B2193,Cena!$A$2:$B$101,2)</f>
        <v>88</v>
      </c>
      <c r="K2193" s="1">
        <f t="shared" si="272"/>
        <v>3608</v>
      </c>
      <c r="L2193" s="1">
        <f t="shared" si="277"/>
        <v>829.84</v>
      </c>
      <c r="M2193" s="22">
        <f t="shared" si="273"/>
        <v>4437.84</v>
      </c>
      <c r="N2193" s="1">
        <f t="shared" ca="1" si="278"/>
        <v>9</v>
      </c>
      <c r="P2193" s="1">
        <v>41.049094205664005</v>
      </c>
      <c r="Q2193" s="1">
        <f t="shared" ca="1" si="279"/>
        <v>11</v>
      </c>
      <c r="R2193" s="1">
        <v>7.5148853081918787</v>
      </c>
    </row>
    <row r="2194" spans="1:18" x14ac:dyDescent="0.3">
      <c r="A2194" s="26">
        <v>2193</v>
      </c>
      <c r="B2194" s="1">
        <v>28</v>
      </c>
      <c r="C2194" s="1">
        <f t="shared" si="275"/>
        <v>12</v>
      </c>
      <c r="D2194" s="21">
        <f t="shared" ca="1" si="274"/>
        <v>44683</v>
      </c>
      <c r="E2194" s="1" t="s">
        <v>26</v>
      </c>
      <c r="F2194" s="1" t="s">
        <v>2222</v>
      </c>
      <c r="G2194" s="1" t="s">
        <v>28</v>
      </c>
      <c r="H2194" s="1">
        <v>2292</v>
      </c>
      <c r="I2194" s="1">
        <f t="shared" si="276"/>
        <v>45</v>
      </c>
      <c r="J2194" s="1">
        <f>VLOOKUP(B2194,Cena!$A$2:$B$101,2)</f>
        <v>59</v>
      </c>
      <c r="K2194" s="1">
        <f t="shared" si="272"/>
        <v>2655</v>
      </c>
      <c r="L2194" s="1">
        <f t="shared" si="277"/>
        <v>610.65</v>
      </c>
      <c r="M2194" s="22">
        <f t="shared" si="273"/>
        <v>3265.65</v>
      </c>
      <c r="N2194" s="1">
        <f t="shared" ca="1" si="278"/>
        <v>5</v>
      </c>
      <c r="P2194" s="1">
        <v>45.09352619497804</v>
      </c>
      <c r="Q2194" s="1">
        <f t="shared" ca="1" si="279"/>
        <v>26</v>
      </c>
      <c r="R2194" s="1">
        <v>12.214977712355903</v>
      </c>
    </row>
    <row r="2195" spans="1:18" x14ac:dyDescent="0.3">
      <c r="A2195" s="26">
        <v>2194</v>
      </c>
      <c r="B2195" s="1">
        <v>11</v>
      </c>
      <c r="C2195" s="1">
        <f t="shared" si="275"/>
        <v>10</v>
      </c>
      <c r="D2195" s="21">
        <f t="shared" ca="1" si="274"/>
        <v>44608</v>
      </c>
      <c r="E2195" s="1" t="s">
        <v>26</v>
      </c>
      <c r="F2195" s="1" t="s">
        <v>2223</v>
      </c>
      <c r="G2195" s="1" t="s">
        <v>28</v>
      </c>
      <c r="H2195" s="1">
        <v>2293</v>
      </c>
      <c r="I2195" s="1">
        <f t="shared" si="276"/>
        <v>46</v>
      </c>
      <c r="J2195" s="1">
        <f>VLOOKUP(B2195,Cena!$A$2:$B$101,2)</f>
        <v>83</v>
      </c>
      <c r="K2195" s="1">
        <f t="shared" si="272"/>
        <v>3818</v>
      </c>
      <c r="L2195" s="1">
        <f t="shared" si="277"/>
        <v>878.14</v>
      </c>
      <c r="M2195" s="22">
        <f t="shared" si="273"/>
        <v>4696.1400000000003</v>
      </c>
      <c r="N2195" s="1">
        <f t="shared" ca="1" si="278"/>
        <v>2</v>
      </c>
      <c r="P2195" s="1">
        <v>46.108499544789083</v>
      </c>
      <c r="Q2195" s="1">
        <f t="shared" ca="1" si="279"/>
        <v>17</v>
      </c>
      <c r="R2195" s="1">
        <v>10.036817482396145</v>
      </c>
    </row>
    <row r="2196" spans="1:18" x14ac:dyDescent="0.3">
      <c r="A2196" s="26">
        <v>2195</v>
      </c>
      <c r="B2196" s="1">
        <v>8</v>
      </c>
      <c r="C2196" s="1">
        <f t="shared" si="275"/>
        <v>16</v>
      </c>
      <c r="D2196" s="21">
        <f t="shared" ca="1" si="274"/>
        <v>44643</v>
      </c>
      <c r="E2196" s="1" t="s">
        <v>26</v>
      </c>
      <c r="F2196" s="1" t="s">
        <v>2224</v>
      </c>
      <c r="G2196" s="1" t="s">
        <v>28</v>
      </c>
      <c r="H2196" s="1">
        <v>2294</v>
      </c>
      <c r="I2196" s="1">
        <f t="shared" si="276"/>
        <v>42</v>
      </c>
      <c r="J2196" s="1">
        <f>VLOOKUP(B2196,Cena!$A$2:$B$101,2)</f>
        <v>88</v>
      </c>
      <c r="K2196" s="1">
        <f t="shared" si="272"/>
        <v>3696</v>
      </c>
      <c r="L2196" s="1">
        <f t="shared" si="277"/>
        <v>850.08</v>
      </c>
      <c r="M2196" s="22">
        <f t="shared" si="273"/>
        <v>4546.08</v>
      </c>
      <c r="N2196" s="1">
        <f t="shared" ca="1" si="278"/>
        <v>3</v>
      </c>
      <c r="P2196" s="1">
        <v>42.857146935421042</v>
      </c>
      <c r="Q2196" s="1">
        <f t="shared" ca="1" si="279"/>
        <v>10</v>
      </c>
      <c r="R2196" s="1">
        <v>16.637128535658121</v>
      </c>
    </row>
    <row r="2197" spans="1:18" x14ac:dyDescent="0.3">
      <c r="A2197" s="26">
        <v>2196</v>
      </c>
      <c r="B2197" s="1">
        <v>26</v>
      </c>
      <c r="C2197" s="1">
        <f t="shared" si="275"/>
        <v>11</v>
      </c>
      <c r="D2197" s="21">
        <f t="shared" ca="1" si="274"/>
        <v>44769</v>
      </c>
      <c r="E2197" s="1" t="s">
        <v>26</v>
      </c>
      <c r="F2197" s="1" t="s">
        <v>2225</v>
      </c>
      <c r="G2197" s="1" t="s">
        <v>28</v>
      </c>
      <c r="H2197" s="1">
        <v>2295</v>
      </c>
      <c r="I2197" s="1">
        <f t="shared" si="276"/>
        <v>45</v>
      </c>
      <c r="J2197" s="1">
        <f>VLOOKUP(B2197,Cena!$A$2:$B$101,2)</f>
        <v>99</v>
      </c>
      <c r="K2197" s="1">
        <f t="shared" si="272"/>
        <v>4455</v>
      </c>
      <c r="L2197" s="1">
        <f t="shared" si="277"/>
        <v>1024.6500000000001</v>
      </c>
      <c r="M2197" s="22">
        <f t="shared" si="273"/>
        <v>5479.65</v>
      </c>
      <c r="N2197" s="1">
        <f t="shared" ca="1" si="278"/>
        <v>7</v>
      </c>
      <c r="P2197" s="1">
        <v>45.61678123427555</v>
      </c>
      <c r="Q2197" s="1">
        <f t="shared" ca="1" si="279"/>
        <v>30</v>
      </c>
      <c r="R2197" s="1">
        <v>11.678250782788382</v>
      </c>
    </row>
    <row r="2198" spans="1:18" x14ac:dyDescent="0.3">
      <c r="A2198" s="26">
        <v>2197</v>
      </c>
      <c r="B2198" s="1">
        <v>3</v>
      </c>
      <c r="C2198" s="1">
        <f t="shared" si="275"/>
        <v>10</v>
      </c>
      <c r="D2198" s="21">
        <f t="shared" ca="1" si="274"/>
        <v>44762</v>
      </c>
      <c r="E2198" s="1" t="s">
        <v>26</v>
      </c>
      <c r="F2198" s="1" t="s">
        <v>2226</v>
      </c>
      <c r="G2198" s="1" t="s">
        <v>28</v>
      </c>
      <c r="H2198" s="1">
        <v>2296</v>
      </c>
      <c r="I2198" s="1">
        <f t="shared" si="276"/>
        <v>84</v>
      </c>
      <c r="J2198" s="1">
        <f>VLOOKUP(B2198,Cena!$A$2:$B$101,2)</f>
        <v>89</v>
      </c>
      <c r="K2198" s="1">
        <f t="shared" si="272"/>
        <v>7476</v>
      </c>
      <c r="L2198" s="1">
        <f t="shared" si="277"/>
        <v>1719.48</v>
      </c>
      <c r="M2198" s="22">
        <f t="shared" si="273"/>
        <v>9195.48</v>
      </c>
      <c r="N2198" s="1">
        <f t="shared" ca="1" si="278"/>
        <v>7</v>
      </c>
      <c r="P2198" s="1">
        <v>84.272670745849609</v>
      </c>
      <c r="Q2198" s="1">
        <f t="shared" ca="1" si="279"/>
        <v>15</v>
      </c>
      <c r="R2198" s="1">
        <v>10.055177906688186</v>
      </c>
    </row>
    <row r="2199" spans="1:18" x14ac:dyDescent="0.3">
      <c r="A2199" s="26">
        <v>2198</v>
      </c>
      <c r="B2199" s="1">
        <v>9</v>
      </c>
      <c r="C2199" s="1">
        <f t="shared" si="275"/>
        <v>10</v>
      </c>
      <c r="D2199" s="21">
        <f t="shared" ca="1" si="274"/>
        <v>44718</v>
      </c>
      <c r="E2199" s="1" t="s">
        <v>26</v>
      </c>
      <c r="F2199" s="1" t="s">
        <v>2227</v>
      </c>
      <c r="G2199" s="1" t="s">
        <v>28</v>
      </c>
      <c r="H2199" s="1">
        <v>2297</v>
      </c>
      <c r="I2199" s="1">
        <f t="shared" si="276"/>
        <v>67</v>
      </c>
      <c r="J2199" s="1">
        <f>VLOOKUP(B2199,Cena!$A$2:$B$101,2)</f>
        <v>96</v>
      </c>
      <c r="K2199" s="1">
        <f t="shared" si="272"/>
        <v>6432</v>
      </c>
      <c r="L2199" s="1">
        <f t="shared" si="277"/>
        <v>1479.3600000000001</v>
      </c>
      <c r="M2199" s="22">
        <f t="shared" si="273"/>
        <v>7911.3600000000006</v>
      </c>
      <c r="N2199" s="1">
        <f t="shared" ca="1" si="278"/>
        <v>6</v>
      </c>
      <c r="P2199" s="1">
        <v>67.947422747965902</v>
      </c>
      <c r="Q2199" s="1">
        <f t="shared" ca="1" si="279"/>
        <v>7</v>
      </c>
      <c r="R2199" s="1">
        <v>10.673304612064385</v>
      </c>
    </row>
    <row r="2200" spans="1:18" x14ac:dyDescent="0.3">
      <c r="A2200" s="26">
        <v>2199</v>
      </c>
      <c r="B2200" s="1">
        <v>3</v>
      </c>
      <c r="C2200" s="1">
        <f t="shared" si="275"/>
        <v>9</v>
      </c>
      <c r="D2200" s="21">
        <f t="shared" ca="1" si="274"/>
        <v>44922</v>
      </c>
      <c r="E2200" s="1" t="s">
        <v>26</v>
      </c>
      <c r="F2200" s="1" t="s">
        <v>2228</v>
      </c>
      <c r="G2200" s="1" t="s">
        <v>28</v>
      </c>
      <c r="H2200" s="1">
        <v>2298</v>
      </c>
      <c r="I2200" s="1">
        <f t="shared" si="276"/>
        <v>41</v>
      </c>
      <c r="J2200" s="1">
        <f>VLOOKUP(B2200,Cena!$A$2:$B$101,2)</f>
        <v>89</v>
      </c>
      <c r="K2200" s="1">
        <f t="shared" si="272"/>
        <v>3649</v>
      </c>
      <c r="L2200" s="1">
        <f t="shared" si="277"/>
        <v>839.27</v>
      </c>
      <c r="M2200" s="22">
        <f t="shared" si="273"/>
        <v>4488.2700000000004</v>
      </c>
      <c r="N2200" s="1">
        <f t="shared" ca="1" si="278"/>
        <v>12</v>
      </c>
      <c r="P2200" s="1">
        <v>41.946310728962999</v>
      </c>
      <c r="Q2200" s="1">
        <f t="shared" ca="1" si="279"/>
        <v>15</v>
      </c>
      <c r="R2200" s="1">
        <v>9.2652107039248222</v>
      </c>
    </row>
    <row r="2201" spans="1:18" x14ac:dyDescent="0.3">
      <c r="A2201" s="26">
        <v>2200</v>
      </c>
      <c r="B2201" s="1">
        <v>15</v>
      </c>
      <c r="C2201" s="1">
        <f t="shared" si="275"/>
        <v>11</v>
      </c>
      <c r="D2201" s="21">
        <f t="shared" ca="1" si="274"/>
        <v>44906</v>
      </c>
      <c r="E2201" s="1" t="s">
        <v>26</v>
      </c>
      <c r="F2201" s="1" t="s">
        <v>2229</v>
      </c>
      <c r="G2201" s="1" t="s">
        <v>28</v>
      </c>
      <c r="H2201" s="1">
        <v>2299</v>
      </c>
      <c r="I2201" s="1">
        <f t="shared" si="276"/>
        <v>47</v>
      </c>
      <c r="J2201" s="1">
        <f>VLOOKUP(B2201,Cena!$A$2:$B$101,2)</f>
        <v>85</v>
      </c>
      <c r="K2201" s="1">
        <f t="shared" si="272"/>
        <v>3995</v>
      </c>
      <c r="L2201" s="1">
        <f t="shared" si="277"/>
        <v>918.85</v>
      </c>
      <c r="M2201" s="22">
        <f t="shared" si="273"/>
        <v>4913.8500000000004</v>
      </c>
      <c r="N2201" s="1">
        <f t="shared" ca="1" si="278"/>
        <v>12</v>
      </c>
      <c r="P2201" s="1">
        <v>47.415307007031515</v>
      </c>
      <c r="Q2201" s="1">
        <f t="shared" ca="1" si="279"/>
        <v>10</v>
      </c>
      <c r="R2201" s="1">
        <v>11.58244120029849</v>
      </c>
    </row>
    <row r="2202" spans="1:18" x14ac:dyDescent="0.3">
      <c r="A2202" s="26">
        <v>2201</v>
      </c>
      <c r="B2202" s="1">
        <v>4</v>
      </c>
      <c r="C2202" s="1">
        <f t="shared" si="275"/>
        <v>9</v>
      </c>
      <c r="D2202" s="21">
        <f t="shared" ca="1" si="274"/>
        <v>44784</v>
      </c>
      <c r="E2202" s="1" t="s">
        <v>26</v>
      </c>
      <c r="F2202" s="1" t="s">
        <v>2230</v>
      </c>
      <c r="G2202" s="1" t="s">
        <v>28</v>
      </c>
      <c r="H2202" s="1">
        <v>2300</v>
      </c>
      <c r="I2202" s="1">
        <f t="shared" si="276"/>
        <v>50</v>
      </c>
      <c r="J2202" s="1">
        <f>VLOOKUP(B2202,Cena!$A$2:$B$101,2)</f>
        <v>99</v>
      </c>
      <c r="K2202" s="1">
        <f t="shared" si="272"/>
        <v>4950</v>
      </c>
      <c r="L2202" s="1">
        <f t="shared" si="277"/>
        <v>1138.5</v>
      </c>
      <c r="M2202" s="22">
        <f t="shared" si="273"/>
        <v>6088.5</v>
      </c>
      <c r="N2202" s="1">
        <f t="shared" ca="1" si="278"/>
        <v>8</v>
      </c>
      <c r="P2202" s="1">
        <v>50.545321654499276</v>
      </c>
      <c r="Q2202" s="1">
        <f t="shared" ca="1" si="279"/>
        <v>22</v>
      </c>
      <c r="R2202" s="1">
        <v>9.5279893028055085</v>
      </c>
    </row>
    <row r="2203" spans="1:18" x14ac:dyDescent="0.3">
      <c r="A2203" s="26">
        <v>2202</v>
      </c>
      <c r="B2203" s="1">
        <v>9</v>
      </c>
      <c r="C2203" s="1">
        <f t="shared" si="275"/>
        <v>7</v>
      </c>
      <c r="D2203" s="21">
        <f t="shared" ca="1" si="274"/>
        <v>44715</v>
      </c>
      <c r="E2203" s="1" t="s">
        <v>26</v>
      </c>
      <c r="F2203" s="1" t="s">
        <v>2231</v>
      </c>
      <c r="G2203" s="1" t="s">
        <v>28</v>
      </c>
      <c r="H2203" s="1">
        <v>2301</v>
      </c>
      <c r="I2203" s="1">
        <f t="shared" si="276"/>
        <v>40</v>
      </c>
      <c r="J2203" s="1">
        <f>VLOOKUP(B2203,Cena!$A$2:$B$101,2)</f>
        <v>96</v>
      </c>
      <c r="K2203" s="1">
        <f t="shared" si="272"/>
        <v>3840</v>
      </c>
      <c r="L2203" s="1">
        <f t="shared" si="277"/>
        <v>883.2</v>
      </c>
      <c r="M2203" s="22">
        <f t="shared" si="273"/>
        <v>4723.2</v>
      </c>
      <c r="N2203" s="1">
        <f t="shared" ca="1" si="278"/>
        <v>6</v>
      </c>
      <c r="P2203" s="1">
        <v>40.818332662456669</v>
      </c>
      <c r="Q2203" s="1">
        <f t="shared" ca="1" si="279"/>
        <v>11</v>
      </c>
      <c r="R2203" s="1">
        <v>7.9479810008342611</v>
      </c>
    </row>
    <row r="2204" spans="1:18" x14ac:dyDescent="0.3">
      <c r="A2204" s="26">
        <v>2203</v>
      </c>
      <c r="B2204" s="1">
        <v>6</v>
      </c>
      <c r="C2204" s="1">
        <f t="shared" si="275"/>
        <v>10</v>
      </c>
      <c r="D2204" s="21">
        <f t="shared" ca="1" si="274"/>
        <v>44767</v>
      </c>
      <c r="E2204" s="1" t="s">
        <v>26</v>
      </c>
      <c r="F2204" s="1" t="s">
        <v>2232</v>
      </c>
      <c r="G2204" s="1" t="s">
        <v>28</v>
      </c>
      <c r="H2204" s="1">
        <v>2302</v>
      </c>
      <c r="I2204" s="1">
        <f t="shared" si="276"/>
        <v>46</v>
      </c>
      <c r="J2204" s="1">
        <f>VLOOKUP(B2204,Cena!$A$2:$B$101,2)</f>
        <v>86</v>
      </c>
      <c r="K2204" s="1">
        <f t="shared" si="272"/>
        <v>3956</v>
      </c>
      <c r="L2204" s="1">
        <f t="shared" si="277"/>
        <v>909.88</v>
      </c>
      <c r="M2204" s="22">
        <f t="shared" si="273"/>
        <v>4865.88</v>
      </c>
      <c r="N2204" s="1">
        <f t="shared" ca="1" si="278"/>
        <v>7</v>
      </c>
      <c r="P2204" s="1">
        <v>46.215547071187757</v>
      </c>
      <c r="Q2204" s="1">
        <f t="shared" ca="1" si="279"/>
        <v>11</v>
      </c>
      <c r="R2204" s="1">
        <v>10.506906872033142</v>
      </c>
    </row>
    <row r="2205" spans="1:18" x14ac:dyDescent="0.3">
      <c r="A2205" s="26">
        <v>2204</v>
      </c>
      <c r="B2205" s="1">
        <v>29</v>
      </c>
      <c r="C2205" s="1">
        <f t="shared" si="275"/>
        <v>5</v>
      </c>
      <c r="D2205" s="21">
        <f t="shared" ca="1" si="274"/>
        <v>44774</v>
      </c>
      <c r="E2205" s="1" t="s">
        <v>26</v>
      </c>
      <c r="F2205" s="1" t="s">
        <v>2233</v>
      </c>
      <c r="G2205" s="1" t="s">
        <v>28</v>
      </c>
      <c r="H2205" s="1">
        <v>2303</v>
      </c>
      <c r="I2205" s="1">
        <f t="shared" si="276"/>
        <v>41</v>
      </c>
      <c r="J2205" s="1">
        <f>VLOOKUP(B2205,Cena!$A$2:$B$101,2)</f>
        <v>105</v>
      </c>
      <c r="K2205" s="1">
        <f t="shared" si="272"/>
        <v>4305</v>
      </c>
      <c r="L2205" s="1">
        <f t="shared" si="277"/>
        <v>990.15000000000009</v>
      </c>
      <c r="M2205" s="22">
        <f t="shared" si="273"/>
        <v>5295.15</v>
      </c>
      <c r="N2205" s="1">
        <f t="shared" ca="1" si="278"/>
        <v>8</v>
      </c>
      <c r="P2205" s="1">
        <v>41.55606928979978</v>
      </c>
      <c r="Q2205" s="1">
        <f t="shared" ca="1" si="279"/>
        <v>22</v>
      </c>
      <c r="R2205" s="1">
        <v>5.638540895015467</v>
      </c>
    </row>
    <row r="2206" spans="1:18" x14ac:dyDescent="0.3">
      <c r="A2206" s="26">
        <v>2205</v>
      </c>
      <c r="B2206" s="1">
        <v>25</v>
      </c>
      <c r="C2206" s="1">
        <f t="shared" si="275"/>
        <v>7</v>
      </c>
      <c r="D2206" s="21">
        <f t="shared" ca="1" si="274"/>
        <v>44747</v>
      </c>
      <c r="E2206" s="1" t="s">
        <v>26</v>
      </c>
      <c r="F2206" s="1" t="s">
        <v>2234</v>
      </c>
      <c r="G2206" s="1" t="s">
        <v>28</v>
      </c>
      <c r="H2206" s="1">
        <v>2304</v>
      </c>
      <c r="I2206" s="1">
        <f t="shared" si="276"/>
        <v>53</v>
      </c>
      <c r="J2206" s="1">
        <f>VLOOKUP(B2206,Cena!$A$2:$B$101,2)</f>
        <v>108</v>
      </c>
      <c r="K2206" s="1">
        <f t="shared" si="272"/>
        <v>5724</v>
      </c>
      <c r="L2206" s="1">
        <f t="shared" si="277"/>
        <v>1316.52</v>
      </c>
      <c r="M2206" s="22">
        <f t="shared" si="273"/>
        <v>7040.52</v>
      </c>
      <c r="N2206" s="1">
        <f t="shared" ca="1" si="278"/>
        <v>7</v>
      </c>
      <c r="P2206" s="1">
        <v>53.776244739128742</v>
      </c>
      <c r="Q2206" s="1">
        <f t="shared" ca="1" si="279"/>
        <v>4</v>
      </c>
      <c r="R2206" s="1">
        <v>7.9616120526770828</v>
      </c>
    </row>
    <row r="2207" spans="1:18" x14ac:dyDescent="0.3">
      <c r="A2207" s="26">
        <v>2206</v>
      </c>
      <c r="B2207" s="1">
        <v>9</v>
      </c>
      <c r="C2207" s="1">
        <f t="shared" si="275"/>
        <v>11</v>
      </c>
      <c r="D2207" s="21">
        <f t="shared" ca="1" si="274"/>
        <v>44896</v>
      </c>
      <c r="E2207" s="1" t="s">
        <v>26</v>
      </c>
      <c r="F2207" s="1" t="s">
        <v>2235</v>
      </c>
      <c r="G2207" s="1" t="s">
        <v>28</v>
      </c>
      <c r="H2207" s="1">
        <v>2305</v>
      </c>
      <c r="I2207" s="1">
        <f t="shared" si="276"/>
        <v>51</v>
      </c>
      <c r="J2207" s="1">
        <f>VLOOKUP(B2207,Cena!$A$2:$B$101,2)</f>
        <v>96</v>
      </c>
      <c r="K2207" s="1">
        <f t="shared" ref="K2207:K2270" si="280">I2207*J2207</f>
        <v>4896</v>
      </c>
      <c r="L2207" s="1">
        <f t="shared" si="277"/>
        <v>1126.0800000000002</v>
      </c>
      <c r="M2207" s="22">
        <f t="shared" ref="M2207:M2270" si="281">K2207+L2207</f>
        <v>6022.08</v>
      </c>
      <c r="N2207" s="1">
        <f t="shared" ca="1" si="278"/>
        <v>12</v>
      </c>
      <c r="P2207" s="1">
        <v>51.952730599441566</v>
      </c>
      <c r="Q2207" s="1">
        <f t="shared" ca="1" si="279"/>
        <v>25</v>
      </c>
      <c r="R2207" s="1">
        <v>11.094332446882618</v>
      </c>
    </row>
    <row r="2208" spans="1:18" x14ac:dyDescent="0.3">
      <c r="A2208" s="26">
        <v>2207</v>
      </c>
      <c r="B2208" s="1">
        <v>18</v>
      </c>
      <c r="C2208" s="1">
        <f t="shared" si="275"/>
        <v>6</v>
      </c>
      <c r="D2208" s="21">
        <f t="shared" ca="1" si="274"/>
        <v>44597</v>
      </c>
      <c r="E2208" s="1" t="s">
        <v>26</v>
      </c>
      <c r="F2208" s="1" t="s">
        <v>2236</v>
      </c>
      <c r="G2208" s="1" t="s">
        <v>28</v>
      </c>
      <c r="H2208" s="1">
        <v>2306</v>
      </c>
      <c r="I2208" s="1">
        <f t="shared" si="276"/>
        <v>56</v>
      </c>
      <c r="J2208" s="1">
        <f>VLOOKUP(B2208,Cena!$A$2:$B$101,2)</f>
        <v>90</v>
      </c>
      <c r="K2208" s="1">
        <f t="shared" si="280"/>
        <v>5040</v>
      </c>
      <c r="L2208" s="1">
        <f t="shared" si="277"/>
        <v>1159.2</v>
      </c>
      <c r="M2208" s="22">
        <f t="shared" si="281"/>
        <v>6199.2</v>
      </c>
      <c r="N2208" s="1">
        <f t="shared" ca="1" si="278"/>
        <v>2</v>
      </c>
      <c r="P2208" s="1">
        <v>56.786967787775211</v>
      </c>
      <c r="Q2208" s="1">
        <f t="shared" ca="1" si="279"/>
        <v>9</v>
      </c>
      <c r="R2208" s="1">
        <v>6.5131223689240869</v>
      </c>
    </row>
    <row r="2209" spans="1:18" x14ac:dyDescent="0.3">
      <c r="A2209" s="26">
        <v>2208</v>
      </c>
      <c r="B2209" s="1">
        <v>7</v>
      </c>
      <c r="C2209" s="1">
        <f t="shared" si="275"/>
        <v>13</v>
      </c>
      <c r="D2209" s="21">
        <f t="shared" ca="1" si="274"/>
        <v>44901</v>
      </c>
      <c r="E2209" s="1" t="s">
        <v>26</v>
      </c>
      <c r="F2209" s="1" t="s">
        <v>2237</v>
      </c>
      <c r="G2209" s="1" t="s">
        <v>28</v>
      </c>
      <c r="H2209" s="1">
        <v>2307</v>
      </c>
      <c r="I2209" s="1">
        <f t="shared" si="276"/>
        <v>49</v>
      </c>
      <c r="J2209" s="1">
        <f>VLOOKUP(B2209,Cena!$A$2:$B$101,2)</f>
        <v>104</v>
      </c>
      <c r="K2209" s="1">
        <f t="shared" si="280"/>
        <v>5096</v>
      </c>
      <c r="L2209" s="1">
        <f t="shared" si="277"/>
        <v>1172.0800000000002</v>
      </c>
      <c r="M2209" s="22">
        <f t="shared" si="281"/>
        <v>6268.08</v>
      </c>
      <c r="N2209" s="1">
        <f t="shared" ca="1" si="278"/>
        <v>12</v>
      </c>
      <c r="P2209" s="1">
        <v>49.386477611551527</v>
      </c>
      <c r="Q2209" s="1">
        <f t="shared" ca="1" si="279"/>
        <v>23</v>
      </c>
      <c r="R2209" s="1">
        <v>13.153536454192363</v>
      </c>
    </row>
    <row r="2210" spans="1:18" x14ac:dyDescent="0.3">
      <c r="A2210" s="26">
        <v>2209</v>
      </c>
      <c r="B2210" s="1">
        <v>23</v>
      </c>
      <c r="C2210" s="1">
        <f t="shared" si="275"/>
        <v>9</v>
      </c>
      <c r="D2210" s="21">
        <f t="shared" ca="1" si="274"/>
        <v>44814</v>
      </c>
      <c r="E2210" s="1" t="s">
        <v>26</v>
      </c>
      <c r="F2210" s="1" t="s">
        <v>2238</v>
      </c>
      <c r="G2210" s="1" t="s">
        <v>28</v>
      </c>
      <c r="H2210" s="1">
        <v>2308</v>
      </c>
      <c r="I2210" s="1">
        <f t="shared" si="276"/>
        <v>53</v>
      </c>
      <c r="J2210" s="1">
        <f>VLOOKUP(B2210,Cena!$A$2:$B$101,2)</f>
        <v>132</v>
      </c>
      <c r="K2210" s="1">
        <f t="shared" si="280"/>
        <v>6996</v>
      </c>
      <c r="L2210" s="1">
        <f t="shared" si="277"/>
        <v>1609.0800000000002</v>
      </c>
      <c r="M2210" s="22">
        <f t="shared" si="281"/>
        <v>8605.08</v>
      </c>
      <c r="N2210" s="1">
        <f t="shared" ca="1" si="278"/>
        <v>9</v>
      </c>
      <c r="P2210" s="1">
        <v>53.705690687638707</v>
      </c>
      <c r="Q2210" s="1">
        <f t="shared" ca="1" si="279"/>
        <v>17</v>
      </c>
      <c r="R2210" s="1">
        <v>9.7599047674157191</v>
      </c>
    </row>
    <row r="2211" spans="1:18" x14ac:dyDescent="0.3">
      <c r="A2211" s="26">
        <v>2210</v>
      </c>
      <c r="B2211" s="1">
        <v>16</v>
      </c>
      <c r="C2211" s="1">
        <f t="shared" si="275"/>
        <v>11</v>
      </c>
      <c r="D2211" s="21">
        <f t="shared" ca="1" si="274"/>
        <v>44705</v>
      </c>
      <c r="E2211" s="1" t="s">
        <v>26</v>
      </c>
      <c r="F2211" s="1" t="s">
        <v>2239</v>
      </c>
      <c r="G2211" s="1" t="s">
        <v>28</v>
      </c>
      <c r="H2211" s="1">
        <v>2309</v>
      </c>
      <c r="I2211" s="1">
        <f t="shared" si="276"/>
        <v>46</v>
      </c>
      <c r="J2211" s="1">
        <f>VLOOKUP(B2211,Cena!$A$2:$B$101,2)</f>
        <v>93</v>
      </c>
      <c r="K2211" s="1">
        <f t="shared" si="280"/>
        <v>4278</v>
      </c>
      <c r="L2211" s="1">
        <f t="shared" si="277"/>
        <v>983.94</v>
      </c>
      <c r="M2211" s="22">
        <f t="shared" si="281"/>
        <v>5261.9400000000005</v>
      </c>
      <c r="N2211" s="1">
        <f t="shared" ca="1" si="278"/>
        <v>5</v>
      </c>
      <c r="P2211" s="1">
        <v>46.788142198056448</v>
      </c>
      <c r="Q2211" s="1">
        <f t="shared" ca="1" si="279"/>
        <v>27</v>
      </c>
      <c r="R2211" s="1">
        <v>11.603524424353964</v>
      </c>
    </row>
    <row r="2212" spans="1:18" x14ac:dyDescent="0.3">
      <c r="A2212" s="26">
        <v>2211</v>
      </c>
      <c r="B2212" s="1">
        <v>12</v>
      </c>
      <c r="C2212" s="1">
        <f t="shared" si="275"/>
        <v>9</v>
      </c>
      <c r="D2212" s="21">
        <f t="shared" ca="1" si="274"/>
        <v>44706</v>
      </c>
      <c r="E2212" s="1" t="s">
        <v>26</v>
      </c>
      <c r="F2212" s="1" t="s">
        <v>2240</v>
      </c>
      <c r="G2212" s="1" t="s">
        <v>28</v>
      </c>
      <c r="H2212" s="1">
        <v>2310</v>
      </c>
      <c r="I2212" s="1">
        <f t="shared" si="276"/>
        <v>41</v>
      </c>
      <c r="J2212" s="1">
        <f>VLOOKUP(B2212,Cena!$A$2:$B$101,2)</f>
        <v>88</v>
      </c>
      <c r="K2212" s="1">
        <f t="shared" si="280"/>
        <v>3608</v>
      </c>
      <c r="L2212" s="1">
        <f t="shared" si="277"/>
        <v>829.84</v>
      </c>
      <c r="M2212" s="22">
        <f t="shared" si="281"/>
        <v>4437.84</v>
      </c>
      <c r="N2212" s="1">
        <f t="shared" ca="1" si="278"/>
        <v>5</v>
      </c>
      <c r="P2212" s="1">
        <v>41.310960467671975</v>
      </c>
      <c r="Q2212" s="1">
        <f t="shared" ca="1" si="279"/>
        <v>27</v>
      </c>
      <c r="R2212" s="1">
        <v>9.8454711658268934</v>
      </c>
    </row>
    <row r="2213" spans="1:18" x14ac:dyDescent="0.3">
      <c r="A2213" s="26">
        <v>2212</v>
      </c>
      <c r="B2213" s="1">
        <v>6</v>
      </c>
      <c r="C2213" s="1">
        <f t="shared" si="275"/>
        <v>10</v>
      </c>
      <c r="D2213" s="21">
        <f t="shared" ca="1" si="274"/>
        <v>44782</v>
      </c>
      <c r="E2213" s="1" t="s">
        <v>26</v>
      </c>
      <c r="F2213" s="1" t="s">
        <v>2241</v>
      </c>
      <c r="G2213" s="1" t="s">
        <v>28</v>
      </c>
      <c r="H2213" s="1">
        <v>2311</v>
      </c>
      <c r="I2213" s="1">
        <f t="shared" si="276"/>
        <v>35</v>
      </c>
      <c r="J2213" s="1">
        <f>VLOOKUP(B2213,Cena!$A$2:$B$101,2)</f>
        <v>86</v>
      </c>
      <c r="K2213" s="1">
        <f t="shared" si="280"/>
        <v>3010</v>
      </c>
      <c r="L2213" s="1">
        <f t="shared" si="277"/>
        <v>692.30000000000007</v>
      </c>
      <c r="M2213" s="22">
        <f t="shared" si="281"/>
        <v>3702.3</v>
      </c>
      <c r="N2213" s="1">
        <f t="shared" ca="1" si="278"/>
        <v>8</v>
      </c>
      <c r="P2213" s="1">
        <v>35.030399329843931</v>
      </c>
      <c r="Q2213" s="1">
        <f t="shared" ca="1" si="279"/>
        <v>13</v>
      </c>
      <c r="R2213" s="1">
        <v>10.579166226089001</v>
      </c>
    </row>
    <row r="2214" spans="1:18" x14ac:dyDescent="0.3">
      <c r="A2214" s="26">
        <v>2213</v>
      </c>
      <c r="B2214" s="1">
        <v>7</v>
      </c>
      <c r="C2214" s="1">
        <f t="shared" si="275"/>
        <v>11</v>
      </c>
      <c r="D2214" s="21">
        <f t="shared" ca="1" si="274"/>
        <v>44672</v>
      </c>
      <c r="E2214" s="1" t="s">
        <v>26</v>
      </c>
      <c r="F2214" s="1" t="s">
        <v>2242</v>
      </c>
      <c r="G2214" s="1" t="s">
        <v>28</v>
      </c>
      <c r="H2214" s="1">
        <v>2312</v>
      </c>
      <c r="I2214" s="1">
        <f t="shared" si="276"/>
        <v>62</v>
      </c>
      <c r="J2214" s="1">
        <f>VLOOKUP(B2214,Cena!$A$2:$B$101,2)</f>
        <v>104</v>
      </c>
      <c r="K2214" s="1">
        <f t="shared" si="280"/>
        <v>6448</v>
      </c>
      <c r="L2214" s="1">
        <f t="shared" si="277"/>
        <v>1483.04</v>
      </c>
      <c r="M2214" s="22">
        <f t="shared" si="281"/>
        <v>7931.04</v>
      </c>
      <c r="N2214" s="1">
        <f t="shared" ca="1" si="278"/>
        <v>4</v>
      </c>
      <c r="P2214" s="1">
        <v>62.804571269953158</v>
      </c>
      <c r="Q2214" s="1">
        <f t="shared" ca="1" si="279"/>
        <v>7</v>
      </c>
      <c r="R2214" s="1">
        <v>11.155490281234961</v>
      </c>
    </row>
    <row r="2215" spans="1:18" x14ac:dyDescent="0.3">
      <c r="A2215" s="26">
        <v>2214</v>
      </c>
      <c r="B2215" s="1">
        <v>30</v>
      </c>
      <c r="C2215" s="1">
        <f t="shared" si="275"/>
        <v>9</v>
      </c>
      <c r="D2215" s="21">
        <f t="shared" ca="1" si="274"/>
        <v>44892</v>
      </c>
      <c r="E2215" s="1" t="s">
        <v>26</v>
      </c>
      <c r="F2215" s="1" t="s">
        <v>2243</v>
      </c>
      <c r="G2215" s="1" t="s">
        <v>28</v>
      </c>
      <c r="H2215" s="1">
        <v>2313</v>
      </c>
      <c r="I2215" s="1">
        <f t="shared" si="276"/>
        <v>41</v>
      </c>
      <c r="J2215" s="1">
        <f>VLOOKUP(B2215,Cena!$A$2:$B$101,2)</f>
        <v>87</v>
      </c>
      <c r="K2215" s="1">
        <f t="shared" si="280"/>
        <v>3567</v>
      </c>
      <c r="L2215" s="1">
        <f t="shared" si="277"/>
        <v>820.41000000000008</v>
      </c>
      <c r="M2215" s="22">
        <f t="shared" si="281"/>
        <v>4387.41</v>
      </c>
      <c r="N2215" s="1">
        <f t="shared" ca="1" si="278"/>
        <v>11</v>
      </c>
      <c r="P2215" s="1">
        <v>41.264007803692948</v>
      </c>
      <c r="Q2215" s="1">
        <f t="shared" ca="1" si="279"/>
        <v>6</v>
      </c>
      <c r="R2215" s="1">
        <v>9.3030684208861203</v>
      </c>
    </row>
    <row r="2216" spans="1:18" x14ac:dyDescent="0.3">
      <c r="A2216" s="26">
        <v>2215</v>
      </c>
      <c r="B2216" s="1">
        <v>23</v>
      </c>
      <c r="C2216" s="1">
        <f t="shared" si="275"/>
        <v>4</v>
      </c>
      <c r="D2216" s="21">
        <f t="shared" ca="1" si="274"/>
        <v>44789</v>
      </c>
      <c r="E2216" s="1" t="s">
        <v>26</v>
      </c>
      <c r="F2216" s="1" t="s">
        <v>2244</v>
      </c>
      <c r="G2216" s="1" t="s">
        <v>28</v>
      </c>
      <c r="H2216" s="1">
        <v>2314</v>
      </c>
      <c r="I2216" s="1">
        <f t="shared" si="276"/>
        <v>68</v>
      </c>
      <c r="J2216" s="1">
        <f>VLOOKUP(B2216,Cena!$A$2:$B$101,2)</f>
        <v>132</v>
      </c>
      <c r="K2216" s="1">
        <f t="shared" si="280"/>
        <v>8976</v>
      </c>
      <c r="L2216" s="1">
        <f t="shared" si="277"/>
        <v>2064.48</v>
      </c>
      <c r="M2216" s="22">
        <f t="shared" si="281"/>
        <v>11040.48</v>
      </c>
      <c r="N2216" s="1">
        <f t="shared" ca="1" si="278"/>
        <v>8</v>
      </c>
      <c r="P2216" s="1">
        <v>68.916762201115489</v>
      </c>
      <c r="Q2216" s="1">
        <f t="shared" ca="1" si="279"/>
        <v>30</v>
      </c>
      <c r="R2216" s="1">
        <v>4.0413545118644834</v>
      </c>
    </row>
    <row r="2217" spans="1:18" x14ac:dyDescent="0.3">
      <c r="A2217" s="26">
        <v>2216</v>
      </c>
      <c r="B2217" s="1">
        <v>30</v>
      </c>
      <c r="C2217" s="1">
        <f t="shared" si="275"/>
        <v>9</v>
      </c>
      <c r="D2217" s="21">
        <f t="shared" ca="1" si="274"/>
        <v>44689</v>
      </c>
      <c r="E2217" s="1" t="s">
        <v>26</v>
      </c>
      <c r="F2217" s="1" t="s">
        <v>2245</v>
      </c>
      <c r="G2217" s="1" t="s">
        <v>28</v>
      </c>
      <c r="H2217" s="1">
        <v>2315</v>
      </c>
      <c r="I2217" s="1">
        <f t="shared" si="276"/>
        <v>37</v>
      </c>
      <c r="J2217" s="1">
        <f>VLOOKUP(B2217,Cena!$A$2:$B$101,2)</f>
        <v>87</v>
      </c>
      <c r="K2217" s="1">
        <f t="shared" si="280"/>
        <v>3219</v>
      </c>
      <c r="L2217" s="1">
        <f t="shared" si="277"/>
        <v>740.37</v>
      </c>
      <c r="M2217" s="22">
        <f t="shared" si="281"/>
        <v>3959.37</v>
      </c>
      <c r="N2217" s="1">
        <f t="shared" ca="1" si="278"/>
        <v>5</v>
      </c>
      <c r="P2217" s="1">
        <v>37.621345098887105</v>
      </c>
      <c r="Q2217" s="1">
        <f t="shared" ca="1" si="279"/>
        <v>11</v>
      </c>
      <c r="R2217" s="1">
        <v>9.2380082858289825</v>
      </c>
    </row>
    <row r="2218" spans="1:18" x14ac:dyDescent="0.3">
      <c r="A2218" s="26">
        <v>2217</v>
      </c>
      <c r="B2218" s="1">
        <v>9</v>
      </c>
      <c r="C2218" s="1">
        <f t="shared" si="275"/>
        <v>10</v>
      </c>
      <c r="D2218" s="21">
        <f t="shared" ca="1" si="274"/>
        <v>44832</v>
      </c>
      <c r="E2218" s="1" t="s">
        <v>26</v>
      </c>
      <c r="F2218" s="1" t="s">
        <v>2246</v>
      </c>
      <c r="G2218" s="1" t="s">
        <v>28</v>
      </c>
      <c r="H2218" s="1">
        <v>2316</v>
      </c>
      <c r="I2218" s="1">
        <f t="shared" si="276"/>
        <v>48</v>
      </c>
      <c r="J2218" s="1">
        <f>VLOOKUP(B2218,Cena!$A$2:$B$101,2)</f>
        <v>96</v>
      </c>
      <c r="K2218" s="1">
        <f t="shared" si="280"/>
        <v>4608</v>
      </c>
      <c r="L2218" s="1">
        <f t="shared" si="277"/>
        <v>1059.8400000000001</v>
      </c>
      <c r="M2218" s="22">
        <f t="shared" si="281"/>
        <v>5667.84</v>
      </c>
      <c r="N2218" s="1">
        <f t="shared" ca="1" si="278"/>
        <v>9</v>
      </c>
      <c r="P2218" s="1">
        <v>48.941962076060008</v>
      </c>
      <c r="Q2218" s="1">
        <f t="shared" ca="1" si="279"/>
        <v>25</v>
      </c>
      <c r="R2218" s="1">
        <v>10.69693157911388</v>
      </c>
    </row>
    <row r="2219" spans="1:18" x14ac:dyDescent="0.3">
      <c r="A2219" s="26">
        <v>2218</v>
      </c>
      <c r="B2219" s="1">
        <v>14</v>
      </c>
      <c r="C2219" s="1">
        <f t="shared" si="275"/>
        <v>8</v>
      </c>
      <c r="D2219" s="21">
        <f t="shared" ca="1" si="274"/>
        <v>44846</v>
      </c>
      <c r="E2219" s="1" t="s">
        <v>26</v>
      </c>
      <c r="F2219" s="1" t="s">
        <v>2247</v>
      </c>
      <c r="G2219" s="1" t="s">
        <v>28</v>
      </c>
      <c r="H2219" s="1">
        <v>2317</v>
      </c>
      <c r="I2219" s="1">
        <f t="shared" si="276"/>
        <v>34</v>
      </c>
      <c r="J2219" s="1">
        <f>VLOOKUP(B2219,Cena!$A$2:$B$101,2)</f>
        <v>129</v>
      </c>
      <c r="K2219" s="1">
        <f t="shared" si="280"/>
        <v>4386</v>
      </c>
      <c r="L2219" s="1">
        <f t="shared" si="277"/>
        <v>1008.7800000000001</v>
      </c>
      <c r="M2219" s="22">
        <f t="shared" si="281"/>
        <v>5394.78</v>
      </c>
      <c r="N2219" s="1">
        <f t="shared" ca="1" si="278"/>
        <v>10</v>
      </c>
      <c r="P2219" s="1">
        <v>34.16669768630527</v>
      </c>
      <c r="Q2219" s="1">
        <f t="shared" ca="1" si="279"/>
        <v>27</v>
      </c>
      <c r="R2219" s="1">
        <v>8.780066334802541</v>
      </c>
    </row>
    <row r="2220" spans="1:18" x14ac:dyDescent="0.3">
      <c r="A2220" s="26">
        <v>2219</v>
      </c>
      <c r="B2220" s="1">
        <v>26</v>
      </c>
      <c r="C2220" s="1">
        <f t="shared" si="275"/>
        <v>8</v>
      </c>
      <c r="D2220" s="21">
        <f t="shared" ca="1" si="274"/>
        <v>44897</v>
      </c>
      <c r="E2220" s="1" t="s">
        <v>26</v>
      </c>
      <c r="F2220" s="1" t="s">
        <v>2248</v>
      </c>
      <c r="G2220" s="1" t="s">
        <v>28</v>
      </c>
      <c r="H2220" s="1">
        <v>2318</v>
      </c>
      <c r="I2220" s="1">
        <f t="shared" si="276"/>
        <v>28</v>
      </c>
      <c r="J2220" s="1">
        <f>VLOOKUP(B2220,Cena!$A$2:$B$101,2)</f>
        <v>99</v>
      </c>
      <c r="K2220" s="1">
        <f t="shared" si="280"/>
        <v>2772</v>
      </c>
      <c r="L2220" s="1">
        <f t="shared" si="277"/>
        <v>637.56000000000006</v>
      </c>
      <c r="M2220" s="22">
        <f t="shared" si="281"/>
        <v>3409.56</v>
      </c>
      <c r="N2220" s="1">
        <f t="shared" ca="1" si="278"/>
        <v>12</v>
      </c>
      <c r="P2220" s="1">
        <v>28.189043758902699</v>
      </c>
      <c r="Q2220" s="1">
        <f t="shared" ca="1" si="279"/>
        <v>27</v>
      </c>
      <c r="R2220" s="1">
        <v>8.3387226620834554</v>
      </c>
    </row>
    <row r="2221" spans="1:18" x14ac:dyDescent="0.3">
      <c r="A2221" s="26">
        <v>2220</v>
      </c>
      <c r="B2221" s="1">
        <v>3</v>
      </c>
      <c r="C2221" s="1">
        <f t="shared" si="275"/>
        <v>6</v>
      </c>
      <c r="D2221" s="21">
        <f t="shared" ca="1" si="274"/>
        <v>44786</v>
      </c>
      <c r="E2221" s="1" t="s">
        <v>26</v>
      </c>
      <c r="F2221" s="1" t="s">
        <v>2249</v>
      </c>
      <c r="G2221" s="1" t="s">
        <v>28</v>
      </c>
      <c r="H2221" s="1">
        <v>2319</v>
      </c>
      <c r="I2221" s="1">
        <f t="shared" si="276"/>
        <v>44</v>
      </c>
      <c r="J2221" s="1">
        <f>VLOOKUP(B2221,Cena!$A$2:$B$101,2)</f>
        <v>89</v>
      </c>
      <c r="K2221" s="1">
        <f t="shared" si="280"/>
        <v>3916</v>
      </c>
      <c r="L2221" s="1">
        <f t="shared" si="277"/>
        <v>900.68000000000006</v>
      </c>
      <c r="M2221" s="22">
        <f t="shared" si="281"/>
        <v>4816.68</v>
      </c>
      <c r="N2221" s="1">
        <f t="shared" ca="1" si="278"/>
        <v>8</v>
      </c>
      <c r="P2221" s="1">
        <v>44.042582329711877</v>
      </c>
      <c r="Q2221" s="1">
        <f t="shared" ca="1" si="279"/>
        <v>28</v>
      </c>
      <c r="R2221" s="1">
        <v>6.9537157085142098</v>
      </c>
    </row>
    <row r="2222" spans="1:18" x14ac:dyDescent="0.3">
      <c r="A2222" s="26">
        <v>2221</v>
      </c>
      <c r="B2222" s="1">
        <v>25</v>
      </c>
      <c r="C2222" s="1">
        <f t="shared" si="275"/>
        <v>10</v>
      </c>
      <c r="D2222" s="21">
        <f t="shared" ca="1" si="274"/>
        <v>44736</v>
      </c>
      <c r="E2222" s="1" t="s">
        <v>26</v>
      </c>
      <c r="F2222" s="1" t="s">
        <v>2250</v>
      </c>
      <c r="G2222" s="1" t="s">
        <v>28</v>
      </c>
      <c r="H2222" s="1">
        <v>2320</v>
      </c>
      <c r="I2222" s="1">
        <f t="shared" si="276"/>
        <v>47</v>
      </c>
      <c r="J2222" s="1">
        <f>VLOOKUP(B2222,Cena!$A$2:$B$101,2)</f>
        <v>108</v>
      </c>
      <c r="K2222" s="1">
        <f t="shared" si="280"/>
        <v>5076</v>
      </c>
      <c r="L2222" s="1">
        <f t="shared" si="277"/>
        <v>1167.48</v>
      </c>
      <c r="M2222" s="22">
        <f t="shared" si="281"/>
        <v>6243.48</v>
      </c>
      <c r="N2222" s="1">
        <f t="shared" ca="1" si="278"/>
        <v>6</v>
      </c>
      <c r="P2222" s="1">
        <v>47.318684563651914</v>
      </c>
      <c r="Q2222" s="1">
        <f t="shared" ca="1" si="279"/>
        <v>28</v>
      </c>
      <c r="R2222" s="1">
        <v>10.094212282419903</v>
      </c>
    </row>
    <row r="2223" spans="1:18" x14ac:dyDescent="0.3">
      <c r="A2223" s="26">
        <v>2222</v>
      </c>
      <c r="B2223" s="1">
        <v>3</v>
      </c>
      <c r="C2223" s="1">
        <f t="shared" si="275"/>
        <v>12</v>
      </c>
      <c r="D2223" s="21">
        <f t="shared" ca="1" si="274"/>
        <v>44857</v>
      </c>
      <c r="E2223" s="1" t="s">
        <v>26</v>
      </c>
      <c r="F2223" s="1" t="s">
        <v>2251</v>
      </c>
      <c r="G2223" s="1" t="s">
        <v>28</v>
      </c>
      <c r="H2223" s="1">
        <v>2321</v>
      </c>
      <c r="I2223" s="1">
        <f t="shared" si="276"/>
        <v>63</v>
      </c>
      <c r="J2223" s="1">
        <f>VLOOKUP(B2223,Cena!$A$2:$B$101,2)</f>
        <v>89</v>
      </c>
      <c r="K2223" s="1">
        <f t="shared" si="280"/>
        <v>5607</v>
      </c>
      <c r="L2223" s="1">
        <f t="shared" si="277"/>
        <v>1289.6100000000001</v>
      </c>
      <c r="M2223" s="22">
        <f t="shared" si="281"/>
        <v>6896.6100000000006</v>
      </c>
      <c r="N2223" s="1">
        <f t="shared" ca="1" si="278"/>
        <v>10</v>
      </c>
      <c r="P2223" s="1">
        <v>63.685257727047428</v>
      </c>
      <c r="Q2223" s="1">
        <f t="shared" ca="1" si="279"/>
        <v>6</v>
      </c>
      <c r="R2223" s="1">
        <v>12.266710907861125</v>
      </c>
    </row>
    <row r="2224" spans="1:18" x14ac:dyDescent="0.3">
      <c r="A2224" s="26">
        <v>2223</v>
      </c>
      <c r="B2224" s="1">
        <v>9</v>
      </c>
      <c r="C2224" s="1">
        <f t="shared" si="275"/>
        <v>10</v>
      </c>
      <c r="D2224" s="21">
        <f t="shared" ca="1" si="274"/>
        <v>44877</v>
      </c>
      <c r="E2224" s="1" t="s">
        <v>26</v>
      </c>
      <c r="F2224" s="1" t="s">
        <v>2252</v>
      </c>
      <c r="G2224" s="1" t="s">
        <v>28</v>
      </c>
      <c r="H2224" s="1">
        <v>2322</v>
      </c>
      <c r="I2224" s="1">
        <f t="shared" si="276"/>
        <v>49</v>
      </c>
      <c r="J2224" s="1">
        <f>VLOOKUP(B2224,Cena!$A$2:$B$101,2)</f>
        <v>96</v>
      </c>
      <c r="K2224" s="1">
        <f t="shared" si="280"/>
        <v>4704</v>
      </c>
      <c r="L2224" s="1">
        <f t="shared" si="277"/>
        <v>1081.92</v>
      </c>
      <c r="M2224" s="22">
        <f t="shared" si="281"/>
        <v>5785.92</v>
      </c>
      <c r="N2224" s="1">
        <f t="shared" ca="1" si="278"/>
        <v>11</v>
      </c>
      <c r="P2224" s="1">
        <v>49.533577010879526</v>
      </c>
      <c r="Q2224" s="1">
        <f t="shared" ca="1" si="279"/>
        <v>23</v>
      </c>
      <c r="R2224" s="1">
        <v>10.1495493506809</v>
      </c>
    </row>
    <row r="2225" spans="1:18" x14ac:dyDescent="0.3">
      <c r="A2225" s="26">
        <v>2224</v>
      </c>
      <c r="B2225" s="1">
        <v>24</v>
      </c>
      <c r="C2225" s="1">
        <f t="shared" si="275"/>
        <v>10</v>
      </c>
      <c r="D2225" s="21">
        <f t="shared" ca="1" si="274"/>
        <v>44798</v>
      </c>
      <c r="E2225" s="1" t="s">
        <v>26</v>
      </c>
      <c r="F2225" s="1" t="s">
        <v>2253</v>
      </c>
      <c r="G2225" s="1" t="s">
        <v>28</v>
      </c>
      <c r="H2225" s="1">
        <v>2323</v>
      </c>
      <c r="I2225" s="1">
        <f t="shared" si="276"/>
        <v>53</v>
      </c>
      <c r="J2225" s="1">
        <f>VLOOKUP(B2225,Cena!$A$2:$B$101,2)</f>
        <v>125</v>
      </c>
      <c r="K2225" s="1">
        <f t="shared" si="280"/>
        <v>6625</v>
      </c>
      <c r="L2225" s="1">
        <f t="shared" si="277"/>
        <v>1523.75</v>
      </c>
      <c r="M2225" s="22">
        <f t="shared" si="281"/>
        <v>8148.75</v>
      </c>
      <c r="N2225" s="1">
        <f t="shared" ca="1" si="278"/>
        <v>8</v>
      </c>
      <c r="P2225" s="1">
        <v>53.374998414074071</v>
      </c>
      <c r="Q2225" s="1">
        <f t="shared" ca="1" si="279"/>
        <v>20</v>
      </c>
      <c r="R2225" s="1">
        <v>10.643009911982517</v>
      </c>
    </row>
    <row r="2226" spans="1:18" x14ac:dyDescent="0.3">
      <c r="A2226" s="26">
        <v>2225</v>
      </c>
      <c r="B2226" s="1">
        <v>19</v>
      </c>
      <c r="C2226" s="1">
        <f t="shared" si="275"/>
        <v>7</v>
      </c>
      <c r="D2226" s="21">
        <f t="shared" ca="1" si="274"/>
        <v>44663</v>
      </c>
      <c r="E2226" s="1" t="s">
        <v>26</v>
      </c>
      <c r="F2226" s="1" t="s">
        <v>2254</v>
      </c>
      <c r="G2226" s="1" t="s">
        <v>28</v>
      </c>
      <c r="H2226" s="1">
        <v>2324</v>
      </c>
      <c r="I2226" s="1">
        <f t="shared" si="276"/>
        <v>48</v>
      </c>
      <c r="J2226" s="1">
        <f>VLOOKUP(B2226,Cena!$A$2:$B$101,2)</f>
        <v>84</v>
      </c>
      <c r="K2226" s="1">
        <f t="shared" si="280"/>
        <v>4032</v>
      </c>
      <c r="L2226" s="1">
        <f t="shared" si="277"/>
        <v>927.36</v>
      </c>
      <c r="M2226" s="22">
        <f t="shared" si="281"/>
        <v>4959.3599999999997</v>
      </c>
      <c r="N2226" s="1">
        <f t="shared" ca="1" si="278"/>
        <v>4</v>
      </c>
      <c r="P2226" s="1">
        <v>48.064424744370626</v>
      </c>
      <c r="Q2226" s="1">
        <f t="shared" ca="1" si="279"/>
        <v>14</v>
      </c>
      <c r="R2226" s="1">
        <v>7.5596210788353346</v>
      </c>
    </row>
    <row r="2227" spans="1:18" x14ac:dyDescent="0.3">
      <c r="A2227" s="26">
        <v>2226</v>
      </c>
      <c r="B2227" s="1">
        <v>4</v>
      </c>
      <c r="C2227" s="1">
        <f t="shared" si="275"/>
        <v>9</v>
      </c>
      <c r="D2227" s="21">
        <f t="shared" ca="1" si="274"/>
        <v>44747</v>
      </c>
      <c r="E2227" s="1" t="s">
        <v>26</v>
      </c>
      <c r="F2227" s="1" t="s">
        <v>2255</v>
      </c>
      <c r="G2227" s="1" t="s">
        <v>28</v>
      </c>
      <c r="H2227" s="1">
        <v>2325</v>
      </c>
      <c r="I2227" s="1">
        <f t="shared" si="276"/>
        <v>48</v>
      </c>
      <c r="J2227" s="1">
        <f>VLOOKUP(B2227,Cena!$A$2:$B$101,2)</f>
        <v>99</v>
      </c>
      <c r="K2227" s="1">
        <f t="shared" si="280"/>
        <v>4752</v>
      </c>
      <c r="L2227" s="1">
        <f t="shared" si="277"/>
        <v>1092.96</v>
      </c>
      <c r="M2227" s="22">
        <f t="shared" si="281"/>
        <v>5844.96</v>
      </c>
      <c r="N2227" s="1">
        <f t="shared" ca="1" si="278"/>
        <v>7</v>
      </c>
      <c r="P2227" s="1">
        <v>48.107273313507903</v>
      </c>
      <c r="Q2227" s="1">
        <f t="shared" ca="1" si="279"/>
        <v>26</v>
      </c>
      <c r="R2227" s="1">
        <v>9.5903408489539288</v>
      </c>
    </row>
    <row r="2228" spans="1:18" x14ac:dyDescent="0.3">
      <c r="A2228" s="26">
        <v>2227</v>
      </c>
      <c r="B2228" s="1">
        <v>13</v>
      </c>
      <c r="C2228" s="1">
        <f t="shared" si="275"/>
        <v>7</v>
      </c>
      <c r="D2228" s="21">
        <f t="shared" ca="1" si="274"/>
        <v>44570</v>
      </c>
      <c r="E2228" s="1" t="s">
        <v>26</v>
      </c>
      <c r="F2228" s="1" t="s">
        <v>2256</v>
      </c>
      <c r="G2228" s="1" t="s">
        <v>28</v>
      </c>
      <c r="H2228" s="1">
        <v>2326</v>
      </c>
      <c r="I2228" s="1">
        <f t="shared" si="276"/>
        <v>49</v>
      </c>
      <c r="J2228" s="1">
        <f>VLOOKUP(B2228,Cena!$A$2:$B$101,2)</f>
        <v>94</v>
      </c>
      <c r="K2228" s="1">
        <f t="shared" si="280"/>
        <v>4606</v>
      </c>
      <c r="L2228" s="1">
        <f t="shared" si="277"/>
        <v>1059.3800000000001</v>
      </c>
      <c r="M2228" s="22">
        <f t="shared" si="281"/>
        <v>5665.38</v>
      </c>
      <c r="N2228" s="1">
        <f t="shared" ca="1" si="278"/>
        <v>1</v>
      </c>
      <c r="P2228" s="1">
        <v>49.493752511625644</v>
      </c>
      <c r="Q2228" s="1">
        <f t="shared" ca="1" si="279"/>
        <v>10</v>
      </c>
      <c r="R2228" s="1">
        <v>7.930251538491575</v>
      </c>
    </row>
    <row r="2229" spans="1:18" x14ac:dyDescent="0.3">
      <c r="A2229" s="26">
        <v>2228</v>
      </c>
      <c r="B2229" s="1">
        <v>15</v>
      </c>
      <c r="C2229" s="1">
        <f t="shared" si="275"/>
        <v>8</v>
      </c>
      <c r="D2229" s="21">
        <f t="shared" ca="1" si="274"/>
        <v>44714</v>
      </c>
      <c r="E2229" s="1" t="s">
        <v>26</v>
      </c>
      <c r="F2229" s="1" t="s">
        <v>2257</v>
      </c>
      <c r="G2229" s="1" t="s">
        <v>28</v>
      </c>
      <c r="H2229" s="1">
        <v>2327</v>
      </c>
      <c r="I2229" s="1">
        <f t="shared" si="276"/>
        <v>35</v>
      </c>
      <c r="J2229" s="1">
        <f>VLOOKUP(B2229,Cena!$A$2:$B$101,2)</f>
        <v>85</v>
      </c>
      <c r="K2229" s="1">
        <f t="shared" si="280"/>
        <v>2975</v>
      </c>
      <c r="L2229" s="1">
        <f t="shared" si="277"/>
        <v>684.25</v>
      </c>
      <c r="M2229" s="22">
        <f t="shared" si="281"/>
        <v>3659.25</v>
      </c>
      <c r="N2229" s="1">
        <f t="shared" ca="1" si="278"/>
        <v>6</v>
      </c>
      <c r="P2229" s="1">
        <v>35.977228789124638</v>
      </c>
      <c r="Q2229" s="1">
        <f t="shared" ca="1" si="279"/>
        <v>27</v>
      </c>
      <c r="R2229" s="1">
        <v>8.5504246069467627</v>
      </c>
    </row>
    <row r="2230" spans="1:18" x14ac:dyDescent="0.3">
      <c r="A2230" s="26">
        <v>2229</v>
      </c>
      <c r="B2230" s="1">
        <v>28</v>
      </c>
      <c r="C2230" s="1">
        <f t="shared" si="275"/>
        <v>5</v>
      </c>
      <c r="D2230" s="21">
        <f t="shared" ca="1" si="274"/>
        <v>44686</v>
      </c>
      <c r="E2230" s="1" t="s">
        <v>26</v>
      </c>
      <c r="F2230" s="1" t="s">
        <v>2258</v>
      </c>
      <c r="G2230" s="1" t="s">
        <v>28</v>
      </c>
      <c r="H2230" s="1">
        <v>2328</v>
      </c>
      <c r="I2230" s="1">
        <f t="shared" si="276"/>
        <v>53</v>
      </c>
      <c r="J2230" s="1">
        <f>VLOOKUP(B2230,Cena!$A$2:$B$101,2)</f>
        <v>59</v>
      </c>
      <c r="K2230" s="1">
        <f t="shared" si="280"/>
        <v>3127</v>
      </c>
      <c r="L2230" s="1">
        <f t="shared" si="277"/>
        <v>719.21</v>
      </c>
      <c r="M2230" s="22">
        <f t="shared" si="281"/>
        <v>3846.21</v>
      </c>
      <c r="N2230" s="1">
        <f t="shared" ca="1" si="278"/>
        <v>5</v>
      </c>
      <c r="P2230" s="1">
        <v>53.808304427366238</v>
      </c>
      <c r="Q2230" s="1">
        <f t="shared" ca="1" si="279"/>
        <v>1</v>
      </c>
      <c r="R2230" s="1">
        <v>5.0587380226352252</v>
      </c>
    </row>
    <row r="2231" spans="1:18" x14ac:dyDescent="0.3">
      <c r="A2231" s="26">
        <v>2230</v>
      </c>
      <c r="B2231" s="1">
        <v>19</v>
      </c>
      <c r="C2231" s="1">
        <f t="shared" si="275"/>
        <v>16</v>
      </c>
      <c r="D2231" s="21">
        <f t="shared" ca="1" si="274"/>
        <v>44687</v>
      </c>
      <c r="E2231" s="1" t="s">
        <v>26</v>
      </c>
      <c r="F2231" s="1" t="s">
        <v>2259</v>
      </c>
      <c r="G2231" s="1" t="s">
        <v>28</v>
      </c>
      <c r="H2231" s="1">
        <v>2329</v>
      </c>
      <c r="I2231" s="1">
        <f t="shared" si="276"/>
        <v>45</v>
      </c>
      <c r="J2231" s="1">
        <f>VLOOKUP(B2231,Cena!$A$2:$B$101,2)</f>
        <v>84</v>
      </c>
      <c r="K2231" s="1">
        <f t="shared" si="280"/>
        <v>3780</v>
      </c>
      <c r="L2231" s="1">
        <f t="shared" si="277"/>
        <v>869.40000000000009</v>
      </c>
      <c r="M2231" s="22">
        <f t="shared" si="281"/>
        <v>4649.3999999999996</v>
      </c>
      <c r="N2231" s="1">
        <f t="shared" ca="1" si="278"/>
        <v>5</v>
      </c>
      <c r="P2231" s="1">
        <v>45.840539668279234</v>
      </c>
      <c r="Q2231" s="1">
        <f t="shared" ca="1" si="279"/>
        <v>24</v>
      </c>
      <c r="R2231" s="1">
        <v>16.022764864610508</v>
      </c>
    </row>
    <row r="2232" spans="1:18" x14ac:dyDescent="0.3">
      <c r="A2232" s="26">
        <v>2231</v>
      </c>
      <c r="B2232" s="1">
        <v>17</v>
      </c>
      <c r="C2232" s="1">
        <f t="shared" si="275"/>
        <v>10</v>
      </c>
      <c r="D2232" s="21">
        <f t="shared" ca="1" si="274"/>
        <v>44868</v>
      </c>
      <c r="E2232" s="1" t="s">
        <v>26</v>
      </c>
      <c r="F2232" s="1" t="s">
        <v>2260</v>
      </c>
      <c r="G2232" s="1" t="s">
        <v>28</v>
      </c>
      <c r="H2232" s="1">
        <v>2330</v>
      </c>
      <c r="I2232" s="1">
        <f t="shared" si="276"/>
        <v>35</v>
      </c>
      <c r="J2232" s="1">
        <f>VLOOKUP(B2232,Cena!$A$2:$B$101,2)</f>
        <v>84</v>
      </c>
      <c r="K2232" s="1">
        <f t="shared" si="280"/>
        <v>2940</v>
      </c>
      <c r="L2232" s="1">
        <f t="shared" si="277"/>
        <v>676.2</v>
      </c>
      <c r="M2232" s="22">
        <f t="shared" si="281"/>
        <v>3616.2</v>
      </c>
      <c r="N2232" s="1">
        <f t="shared" ca="1" si="278"/>
        <v>11</v>
      </c>
      <c r="P2232" s="1">
        <v>35.612157615832984</v>
      </c>
      <c r="Q2232" s="1">
        <f t="shared" ca="1" si="279"/>
        <v>18</v>
      </c>
      <c r="R2232" s="1">
        <v>10.86442923930008</v>
      </c>
    </row>
    <row r="2233" spans="1:18" x14ac:dyDescent="0.3">
      <c r="A2233" s="26">
        <v>2232</v>
      </c>
      <c r="B2233" s="1">
        <v>15</v>
      </c>
      <c r="C2233" s="1">
        <f t="shared" si="275"/>
        <v>7</v>
      </c>
      <c r="D2233" s="21">
        <f t="shared" ca="1" si="274"/>
        <v>44857</v>
      </c>
      <c r="E2233" s="1" t="s">
        <v>26</v>
      </c>
      <c r="F2233" s="1" t="s">
        <v>2261</v>
      </c>
      <c r="G2233" s="1" t="s">
        <v>28</v>
      </c>
      <c r="H2233" s="1">
        <v>2331</v>
      </c>
      <c r="I2233" s="1">
        <f t="shared" si="276"/>
        <v>69</v>
      </c>
      <c r="J2233" s="1">
        <f>VLOOKUP(B2233,Cena!$A$2:$B$101,2)</f>
        <v>85</v>
      </c>
      <c r="K2233" s="1">
        <f t="shared" si="280"/>
        <v>5865</v>
      </c>
      <c r="L2233" s="1">
        <f t="shared" si="277"/>
        <v>1348.95</v>
      </c>
      <c r="M2233" s="22">
        <f t="shared" si="281"/>
        <v>7213.95</v>
      </c>
      <c r="N2233" s="1">
        <f t="shared" ca="1" si="278"/>
        <v>10</v>
      </c>
      <c r="P2233" s="1">
        <v>69.410890672588721</v>
      </c>
      <c r="Q2233" s="1">
        <f t="shared" ca="1" si="279"/>
        <v>12</v>
      </c>
      <c r="R2233" s="1">
        <v>7.4066099639458116</v>
      </c>
    </row>
    <row r="2234" spans="1:18" x14ac:dyDescent="0.3">
      <c r="A2234" s="26">
        <v>2233</v>
      </c>
      <c r="B2234" s="1">
        <v>14</v>
      </c>
      <c r="C2234" s="1">
        <f t="shared" si="275"/>
        <v>10</v>
      </c>
      <c r="D2234" s="21">
        <f t="shared" ca="1" si="274"/>
        <v>44800</v>
      </c>
      <c r="E2234" s="1" t="s">
        <v>26</v>
      </c>
      <c r="F2234" s="1" t="s">
        <v>2262</v>
      </c>
      <c r="G2234" s="1" t="s">
        <v>28</v>
      </c>
      <c r="H2234" s="1">
        <v>2332</v>
      </c>
      <c r="I2234" s="1">
        <f t="shared" si="276"/>
        <v>60</v>
      </c>
      <c r="J2234" s="1">
        <f>VLOOKUP(B2234,Cena!$A$2:$B$101,2)</f>
        <v>129</v>
      </c>
      <c r="K2234" s="1">
        <f t="shared" si="280"/>
        <v>7740</v>
      </c>
      <c r="L2234" s="1">
        <f t="shared" si="277"/>
        <v>1780.2</v>
      </c>
      <c r="M2234" s="22">
        <f t="shared" si="281"/>
        <v>9520.2000000000007</v>
      </c>
      <c r="N2234" s="1">
        <f t="shared" ca="1" si="278"/>
        <v>8</v>
      </c>
      <c r="P2234" s="1">
        <v>60.878056855290197</v>
      </c>
      <c r="Q2234" s="1">
        <f t="shared" ca="1" si="279"/>
        <v>1</v>
      </c>
      <c r="R2234" s="1">
        <v>10.106268771560281</v>
      </c>
    </row>
    <row r="2235" spans="1:18" x14ac:dyDescent="0.3">
      <c r="A2235" s="26">
        <v>2234</v>
      </c>
      <c r="B2235" s="1">
        <v>10</v>
      </c>
      <c r="C2235" s="1">
        <f t="shared" si="275"/>
        <v>9</v>
      </c>
      <c r="D2235" s="21">
        <f t="shared" ca="1" si="274"/>
        <v>44584</v>
      </c>
      <c r="E2235" s="1" t="s">
        <v>26</v>
      </c>
      <c r="F2235" s="1" t="s">
        <v>2263</v>
      </c>
      <c r="G2235" s="1" t="s">
        <v>28</v>
      </c>
      <c r="H2235" s="1">
        <v>2333</v>
      </c>
      <c r="I2235" s="1">
        <f t="shared" si="276"/>
        <v>42</v>
      </c>
      <c r="J2235" s="1">
        <f>VLOOKUP(B2235,Cena!$A$2:$B$101,2)</f>
        <v>109</v>
      </c>
      <c r="K2235" s="1">
        <f t="shared" si="280"/>
        <v>4578</v>
      </c>
      <c r="L2235" s="1">
        <f t="shared" si="277"/>
        <v>1052.94</v>
      </c>
      <c r="M2235" s="22">
        <f t="shared" si="281"/>
        <v>5630.9400000000005</v>
      </c>
      <c r="N2235" s="1">
        <f t="shared" ca="1" si="278"/>
        <v>1</v>
      </c>
      <c r="P2235" s="1">
        <v>42.377934177056886</v>
      </c>
      <c r="Q2235" s="1">
        <f t="shared" ca="1" si="279"/>
        <v>29</v>
      </c>
      <c r="R2235" s="1">
        <v>9.6989231476618443</v>
      </c>
    </row>
    <row r="2236" spans="1:18" x14ac:dyDescent="0.3">
      <c r="A2236" s="26">
        <v>2235</v>
      </c>
      <c r="B2236" s="1">
        <v>21</v>
      </c>
      <c r="C2236" s="1">
        <f t="shared" si="275"/>
        <v>11</v>
      </c>
      <c r="D2236" s="21">
        <f t="shared" ca="1" si="274"/>
        <v>44843</v>
      </c>
      <c r="E2236" s="1" t="s">
        <v>26</v>
      </c>
      <c r="F2236" s="1" t="s">
        <v>2264</v>
      </c>
      <c r="G2236" s="1" t="s">
        <v>28</v>
      </c>
      <c r="H2236" s="1">
        <v>2334</v>
      </c>
      <c r="I2236" s="1">
        <f t="shared" si="276"/>
        <v>42</v>
      </c>
      <c r="J2236" s="1">
        <f>VLOOKUP(B2236,Cena!$A$2:$B$101,2)</f>
        <v>105</v>
      </c>
      <c r="K2236" s="1">
        <f t="shared" si="280"/>
        <v>4410</v>
      </c>
      <c r="L2236" s="1">
        <f t="shared" si="277"/>
        <v>1014.3000000000001</v>
      </c>
      <c r="M2236" s="22">
        <f t="shared" si="281"/>
        <v>5424.3</v>
      </c>
      <c r="N2236" s="1">
        <f t="shared" ca="1" si="278"/>
        <v>10</v>
      </c>
      <c r="P2236" s="1">
        <v>42.754101185710169</v>
      </c>
      <c r="Q2236" s="1">
        <f t="shared" ca="1" si="279"/>
        <v>20</v>
      </c>
      <c r="R2236" s="1">
        <v>11.530668214400066</v>
      </c>
    </row>
    <row r="2237" spans="1:18" x14ac:dyDescent="0.3">
      <c r="A2237" s="26">
        <v>2236</v>
      </c>
      <c r="B2237" s="1">
        <v>30</v>
      </c>
      <c r="C2237" s="1">
        <f t="shared" si="275"/>
        <v>10</v>
      </c>
      <c r="D2237" s="21">
        <f t="shared" ca="1" si="274"/>
        <v>44636</v>
      </c>
      <c r="E2237" s="1" t="s">
        <v>26</v>
      </c>
      <c r="F2237" s="1" t="s">
        <v>2265</v>
      </c>
      <c r="G2237" s="1" t="s">
        <v>28</v>
      </c>
      <c r="H2237" s="1">
        <v>2335</v>
      </c>
      <c r="I2237" s="1">
        <f t="shared" si="276"/>
        <v>63</v>
      </c>
      <c r="J2237" s="1">
        <f>VLOOKUP(B2237,Cena!$A$2:$B$101,2)</f>
        <v>87</v>
      </c>
      <c r="K2237" s="1">
        <f t="shared" si="280"/>
        <v>5481</v>
      </c>
      <c r="L2237" s="1">
        <f t="shared" si="277"/>
        <v>1260.6300000000001</v>
      </c>
      <c r="M2237" s="22">
        <f t="shared" si="281"/>
        <v>6741.63</v>
      </c>
      <c r="N2237" s="1">
        <f t="shared" ca="1" si="278"/>
        <v>3</v>
      </c>
      <c r="P2237" s="1">
        <v>63.161729839339387</v>
      </c>
      <c r="Q2237" s="1">
        <f t="shared" ca="1" si="279"/>
        <v>1</v>
      </c>
      <c r="R2237" s="1">
        <v>10.431577973358799</v>
      </c>
    </row>
    <row r="2238" spans="1:18" x14ac:dyDescent="0.3">
      <c r="A2238" s="26">
        <v>2237</v>
      </c>
      <c r="B2238" s="1">
        <v>16</v>
      </c>
      <c r="C2238" s="1">
        <f t="shared" si="275"/>
        <v>11</v>
      </c>
      <c r="D2238" s="21">
        <f t="shared" ca="1" si="274"/>
        <v>44623</v>
      </c>
      <c r="E2238" s="1" t="s">
        <v>26</v>
      </c>
      <c r="F2238" s="1" t="s">
        <v>2266</v>
      </c>
      <c r="G2238" s="1" t="s">
        <v>28</v>
      </c>
      <c r="H2238" s="1">
        <v>2336</v>
      </c>
      <c r="I2238" s="1">
        <f t="shared" si="276"/>
        <v>44</v>
      </c>
      <c r="J2238" s="1">
        <f>VLOOKUP(B2238,Cena!$A$2:$B$101,2)</f>
        <v>93</v>
      </c>
      <c r="K2238" s="1">
        <f t="shared" si="280"/>
        <v>4092</v>
      </c>
      <c r="L2238" s="1">
        <f t="shared" si="277"/>
        <v>941.16000000000008</v>
      </c>
      <c r="M2238" s="22">
        <f t="shared" si="281"/>
        <v>5033.16</v>
      </c>
      <c r="N2238" s="1">
        <f t="shared" ca="1" si="278"/>
        <v>3</v>
      </c>
      <c r="P2238" s="1">
        <v>44.720769791456405</v>
      </c>
      <c r="Q2238" s="1">
        <f t="shared" ca="1" si="279"/>
        <v>2</v>
      </c>
      <c r="R2238" s="1">
        <v>11.867636001406936</v>
      </c>
    </row>
    <row r="2239" spans="1:18" x14ac:dyDescent="0.3">
      <c r="A2239" s="26">
        <v>2238</v>
      </c>
      <c r="B2239" s="1">
        <v>4</v>
      </c>
      <c r="C2239" s="1">
        <f t="shared" si="275"/>
        <v>8</v>
      </c>
      <c r="D2239" s="21">
        <f t="shared" ca="1" si="274"/>
        <v>44821</v>
      </c>
      <c r="E2239" s="1" t="s">
        <v>26</v>
      </c>
      <c r="F2239" s="1" t="s">
        <v>2267</v>
      </c>
      <c r="G2239" s="1" t="s">
        <v>28</v>
      </c>
      <c r="H2239" s="1">
        <v>2337</v>
      </c>
      <c r="I2239" s="1">
        <f t="shared" si="276"/>
        <v>59</v>
      </c>
      <c r="J2239" s="1">
        <f>VLOOKUP(B2239,Cena!$A$2:$B$101,2)</f>
        <v>99</v>
      </c>
      <c r="K2239" s="1">
        <f t="shared" si="280"/>
        <v>5841</v>
      </c>
      <c r="L2239" s="1">
        <f t="shared" si="277"/>
        <v>1343.43</v>
      </c>
      <c r="M2239" s="22">
        <f t="shared" si="281"/>
        <v>7184.43</v>
      </c>
      <c r="N2239" s="1">
        <f t="shared" ca="1" si="278"/>
        <v>9</v>
      </c>
      <c r="P2239" s="1">
        <v>59.263590072805528</v>
      </c>
      <c r="Q2239" s="1">
        <f t="shared" ca="1" si="279"/>
        <v>7</v>
      </c>
      <c r="R2239" s="1">
        <v>8.6377900995648815</v>
      </c>
    </row>
    <row r="2240" spans="1:18" x14ac:dyDescent="0.3">
      <c r="A2240" s="26">
        <v>2239</v>
      </c>
      <c r="B2240" s="1">
        <v>7</v>
      </c>
      <c r="C2240" s="1">
        <f t="shared" si="275"/>
        <v>14</v>
      </c>
      <c r="D2240" s="21">
        <f t="shared" ca="1" si="274"/>
        <v>44848</v>
      </c>
      <c r="E2240" s="1" t="s">
        <v>26</v>
      </c>
      <c r="F2240" s="1" t="s">
        <v>2268</v>
      </c>
      <c r="G2240" s="1" t="s">
        <v>28</v>
      </c>
      <c r="H2240" s="1">
        <v>2338</v>
      </c>
      <c r="I2240" s="1">
        <f t="shared" si="276"/>
        <v>61</v>
      </c>
      <c r="J2240" s="1">
        <f>VLOOKUP(B2240,Cena!$A$2:$B$101,2)</f>
        <v>104</v>
      </c>
      <c r="K2240" s="1">
        <f t="shared" si="280"/>
        <v>6344</v>
      </c>
      <c r="L2240" s="1">
        <f t="shared" si="277"/>
        <v>1459.1200000000001</v>
      </c>
      <c r="M2240" s="22">
        <f t="shared" si="281"/>
        <v>7803.12</v>
      </c>
      <c r="N2240" s="1">
        <f t="shared" ca="1" si="278"/>
        <v>10</v>
      </c>
      <c r="P2240" s="1">
        <v>61.120391718577594</v>
      </c>
      <c r="Q2240" s="1">
        <f t="shared" ca="1" si="279"/>
        <v>27</v>
      </c>
      <c r="R2240" s="1">
        <v>14.29638475907268</v>
      </c>
    </row>
    <row r="2241" spans="1:18" x14ac:dyDescent="0.3">
      <c r="A2241" s="26">
        <v>2240</v>
      </c>
      <c r="B2241" s="1">
        <v>12</v>
      </c>
      <c r="C2241" s="1">
        <f t="shared" si="275"/>
        <v>13</v>
      </c>
      <c r="D2241" s="21">
        <f t="shared" ca="1" si="274"/>
        <v>44866</v>
      </c>
      <c r="E2241" s="1" t="s">
        <v>26</v>
      </c>
      <c r="F2241" s="1" t="s">
        <v>2269</v>
      </c>
      <c r="G2241" s="1" t="s">
        <v>28</v>
      </c>
      <c r="H2241" s="1">
        <v>2339</v>
      </c>
      <c r="I2241" s="1">
        <f t="shared" si="276"/>
        <v>42</v>
      </c>
      <c r="J2241" s="1">
        <f>VLOOKUP(B2241,Cena!$A$2:$B$101,2)</f>
        <v>88</v>
      </c>
      <c r="K2241" s="1">
        <f t="shared" si="280"/>
        <v>3696</v>
      </c>
      <c r="L2241" s="1">
        <f t="shared" si="277"/>
        <v>850.08</v>
      </c>
      <c r="M2241" s="22">
        <f t="shared" si="281"/>
        <v>4546.08</v>
      </c>
      <c r="N2241" s="1">
        <f t="shared" ca="1" si="278"/>
        <v>11</v>
      </c>
      <c r="P2241" s="1">
        <v>42.057951203605626</v>
      </c>
      <c r="Q2241" s="1">
        <f t="shared" ca="1" si="279"/>
        <v>23</v>
      </c>
      <c r="R2241" s="1">
        <v>13.515435764711583</v>
      </c>
    </row>
    <row r="2242" spans="1:18" x14ac:dyDescent="0.3">
      <c r="A2242" s="26">
        <v>2241</v>
      </c>
      <c r="B2242" s="1">
        <v>29</v>
      </c>
      <c r="C2242" s="1">
        <f t="shared" si="275"/>
        <v>11</v>
      </c>
      <c r="D2242" s="21">
        <f t="shared" ref="D2242:D2305" ca="1" si="282">DATE(2022,RANDBETWEEN(1,12),RANDBETWEEN(1,28))</f>
        <v>44621</v>
      </c>
      <c r="E2242" s="1" t="s">
        <v>26</v>
      </c>
      <c r="F2242" s="1" t="s">
        <v>2270</v>
      </c>
      <c r="G2242" s="1" t="s">
        <v>28</v>
      </c>
      <c r="H2242" s="1">
        <v>2340</v>
      </c>
      <c r="I2242" s="1">
        <f t="shared" si="276"/>
        <v>43</v>
      </c>
      <c r="J2242" s="1">
        <f>VLOOKUP(B2242,Cena!$A$2:$B$101,2)</f>
        <v>105</v>
      </c>
      <c r="K2242" s="1">
        <f t="shared" si="280"/>
        <v>4515</v>
      </c>
      <c r="L2242" s="1">
        <f t="shared" si="277"/>
        <v>1038.45</v>
      </c>
      <c r="M2242" s="22">
        <f t="shared" si="281"/>
        <v>5553.45</v>
      </c>
      <c r="N2242" s="1">
        <f t="shared" ca="1" si="278"/>
        <v>3</v>
      </c>
      <c r="P2242" s="1">
        <v>43.388246366521344</v>
      </c>
      <c r="Q2242" s="1">
        <f t="shared" ca="1" si="279"/>
        <v>20</v>
      </c>
      <c r="R2242" s="1">
        <v>11.824929540816811</v>
      </c>
    </row>
    <row r="2243" spans="1:18" x14ac:dyDescent="0.3">
      <c r="A2243" s="26">
        <v>2242</v>
      </c>
      <c r="B2243" s="1">
        <v>15</v>
      </c>
      <c r="C2243" s="1">
        <f t="shared" ref="C2243:C2306" si="283">INT(R2243)</f>
        <v>11</v>
      </c>
      <c r="D2243" s="21">
        <f t="shared" ca="1" si="282"/>
        <v>44823</v>
      </c>
      <c r="E2243" s="1" t="s">
        <v>26</v>
      </c>
      <c r="F2243" s="1" t="s">
        <v>2271</v>
      </c>
      <c r="G2243" s="1" t="s">
        <v>28</v>
      </c>
      <c r="H2243" s="1">
        <v>2341</v>
      </c>
      <c r="I2243" s="1">
        <f t="shared" ref="I2243:I2306" si="284">INT(P2243)</f>
        <v>59</v>
      </c>
      <c r="J2243" s="1">
        <f>VLOOKUP(B2243,Cena!$A$2:$B$101,2)</f>
        <v>85</v>
      </c>
      <c r="K2243" s="1">
        <f t="shared" si="280"/>
        <v>5015</v>
      </c>
      <c r="L2243" s="1">
        <f t="shared" ref="L2243:L2306" si="285">K2243*23%</f>
        <v>1153.45</v>
      </c>
      <c r="M2243" s="22">
        <f t="shared" si="281"/>
        <v>6168.45</v>
      </c>
      <c r="N2243" s="1">
        <f t="shared" ref="N2243:N2306" ca="1" si="286">MONTH(D2243)</f>
        <v>9</v>
      </c>
      <c r="P2243" s="1">
        <v>59.910422704706434</v>
      </c>
      <c r="Q2243" s="1">
        <f t="shared" ref="Q2243:Q2306" ca="1" si="287">RANDBETWEEN(1,30)</f>
        <v>27</v>
      </c>
      <c r="R2243" s="1">
        <v>11.370869995298563</v>
      </c>
    </row>
    <row r="2244" spans="1:18" x14ac:dyDescent="0.3">
      <c r="A2244" s="26">
        <v>2243</v>
      </c>
      <c r="B2244" s="1">
        <v>19</v>
      </c>
      <c r="C2244" s="1">
        <f t="shared" si="283"/>
        <v>12</v>
      </c>
      <c r="D2244" s="21">
        <f t="shared" ca="1" si="282"/>
        <v>44643</v>
      </c>
      <c r="E2244" s="1" t="s">
        <v>26</v>
      </c>
      <c r="F2244" s="1" t="s">
        <v>2272</v>
      </c>
      <c r="G2244" s="1" t="s">
        <v>28</v>
      </c>
      <c r="H2244" s="1">
        <v>2342</v>
      </c>
      <c r="I2244" s="1">
        <f t="shared" si="284"/>
        <v>52</v>
      </c>
      <c r="J2244" s="1">
        <f>VLOOKUP(B2244,Cena!$A$2:$B$101,2)</f>
        <v>84</v>
      </c>
      <c r="K2244" s="1">
        <f t="shared" si="280"/>
        <v>4368</v>
      </c>
      <c r="L2244" s="1">
        <f t="shared" si="285"/>
        <v>1004.6400000000001</v>
      </c>
      <c r="M2244" s="22">
        <f t="shared" si="281"/>
        <v>5372.64</v>
      </c>
      <c r="N2244" s="1">
        <f t="shared" ca="1" si="286"/>
        <v>3</v>
      </c>
      <c r="P2244" s="1">
        <v>52.978322299895808</v>
      </c>
      <c r="Q2244" s="1">
        <f t="shared" ca="1" si="287"/>
        <v>27</v>
      </c>
      <c r="R2244" s="1">
        <v>12.763476913969498</v>
      </c>
    </row>
    <row r="2245" spans="1:18" x14ac:dyDescent="0.3">
      <c r="A2245" s="26">
        <v>2244</v>
      </c>
      <c r="B2245" s="1">
        <v>26</v>
      </c>
      <c r="C2245" s="1">
        <f t="shared" si="283"/>
        <v>11</v>
      </c>
      <c r="D2245" s="21">
        <f t="shared" ca="1" si="282"/>
        <v>44821</v>
      </c>
      <c r="E2245" s="1" t="s">
        <v>26</v>
      </c>
      <c r="F2245" s="1" t="s">
        <v>2273</v>
      </c>
      <c r="G2245" s="1" t="s">
        <v>28</v>
      </c>
      <c r="H2245" s="1">
        <v>2343</v>
      </c>
      <c r="I2245" s="1">
        <f t="shared" si="284"/>
        <v>42</v>
      </c>
      <c r="J2245" s="1">
        <f>VLOOKUP(B2245,Cena!$A$2:$B$101,2)</f>
        <v>99</v>
      </c>
      <c r="K2245" s="1">
        <f t="shared" si="280"/>
        <v>4158</v>
      </c>
      <c r="L2245" s="1">
        <f t="shared" si="285"/>
        <v>956.34</v>
      </c>
      <c r="M2245" s="22">
        <f t="shared" si="281"/>
        <v>5114.34</v>
      </c>
      <c r="N2245" s="1">
        <f t="shared" ca="1" si="286"/>
        <v>9</v>
      </c>
      <c r="P2245" s="1">
        <v>42.413677318836562</v>
      </c>
      <c r="Q2245" s="1">
        <f t="shared" ca="1" si="287"/>
        <v>15</v>
      </c>
      <c r="R2245" s="1">
        <v>11.110561242967378</v>
      </c>
    </row>
    <row r="2246" spans="1:18" x14ac:dyDescent="0.3">
      <c r="A2246" s="26">
        <v>2245</v>
      </c>
      <c r="B2246" s="1">
        <v>26</v>
      </c>
      <c r="C2246" s="1">
        <f t="shared" si="283"/>
        <v>8</v>
      </c>
      <c r="D2246" s="21">
        <f t="shared" ca="1" si="282"/>
        <v>44821</v>
      </c>
      <c r="E2246" s="1" t="s">
        <v>26</v>
      </c>
      <c r="F2246" s="1" t="s">
        <v>2274</v>
      </c>
      <c r="G2246" s="1" t="s">
        <v>28</v>
      </c>
      <c r="H2246" s="1">
        <v>2344</v>
      </c>
      <c r="I2246" s="1">
        <f t="shared" si="284"/>
        <v>49</v>
      </c>
      <c r="J2246" s="1">
        <f>VLOOKUP(B2246,Cena!$A$2:$B$101,2)</f>
        <v>99</v>
      </c>
      <c r="K2246" s="1">
        <f t="shared" si="280"/>
        <v>4851</v>
      </c>
      <c r="L2246" s="1">
        <f t="shared" si="285"/>
        <v>1115.73</v>
      </c>
      <c r="M2246" s="22">
        <f t="shared" si="281"/>
        <v>5966.73</v>
      </c>
      <c r="N2246" s="1">
        <f t="shared" ca="1" si="286"/>
        <v>9</v>
      </c>
      <c r="P2246" s="1">
        <v>49.125657268450595</v>
      </c>
      <c r="Q2246" s="1">
        <f t="shared" ca="1" si="287"/>
        <v>9</v>
      </c>
      <c r="R2246" s="1">
        <v>8.4322528234770289</v>
      </c>
    </row>
    <row r="2247" spans="1:18" x14ac:dyDescent="0.3">
      <c r="A2247" s="26">
        <v>2246</v>
      </c>
      <c r="B2247" s="1">
        <v>14</v>
      </c>
      <c r="C2247" s="1">
        <f t="shared" si="283"/>
        <v>9</v>
      </c>
      <c r="D2247" s="21">
        <f t="shared" ca="1" si="282"/>
        <v>44697</v>
      </c>
      <c r="E2247" s="1" t="s">
        <v>26</v>
      </c>
      <c r="F2247" s="1" t="s">
        <v>2275</v>
      </c>
      <c r="G2247" s="1" t="s">
        <v>28</v>
      </c>
      <c r="H2247" s="1">
        <v>2345</v>
      </c>
      <c r="I2247" s="1">
        <f t="shared" si="284"/>
        <v>47</v>
      </c>
      <c r="J2247" s="1">
        <f>VLOOKUP(B2247,Cena!$A$2:$B$101,2)</f>
        <v>129</v>
      </c>
      <c r="K2247" s="1">
        <f t="shared" si="280"/>
        <v>6063</v>
      </c>
      <c r="L2247" s="1">
        <f t="shared" si="285"/>
        <v>1394.49</v>
      </c>
      <c r="M2247" s="22">
        <f t="shared" si="281"/>
        <v>7457.49</v>
      </c>
      <c r="N2247" s="1">
        <f t="shared" ca="1" si="286"/>
        <v>5</v>
      </c>
      <c r="P2247" s="1">
        <v>47.541658558475319</v>
      </c>
      <c r="Q2247" s="1">
        <f t="shared" ca="1" si="287"/>
        <v>18</v>
      </c>
      <c r="R2247" s="1">
        <v>9.4469305875099963</v>
      </c>
    </row>
    <row r="2248" spans="1:18" x14ac:dyDescent="0.3">
      <c r="A2248" s="26">
        <v>2247</v>
      </c>
      <c r="B2248" s="1">
        <v>29</v>
      </c>
      <c r="C2248" s="1">
        <f t="shared" si="283"/>
        <v>12</v>
      </c>
      <c r="D2248" s="21">
        <f t="shared" ca="1" si="282"/>
        <v>44668</v>
      </c>
      <c r="E2248" s="1" t="s">
        <v>26</v>
      </c>
      <c r="F2248" s="1" t="s">
        <v>2276</v>
      </c>
      <c r="G2248" s="1" t="s">
        <v>28</v>
      </c>
      <c r="H2248" s="1">
        <v>2346</v>
      </c>
      <c r="I2248" s="1">
        <f t="shared" si="284"/>
        <v>51</v>
      </c>
      <c r="J2248" s="1">
        <f>VLOOKUP(B2248,Cena!$A$2:$B$101,2)</f>
        <v>105</v>
      </c>
      <c r="K2248" s="1">
        <f t="shared" si="280"/>
        <v>5355</v>
      </c>
      <c r="L2248" s="1">
        <f t="shared" si="285"/>
        <v>1231.6500000000001</v>
      </c>
      <c r="M2248" s="22">
        <f t="shared" si="281"/>
        <v>6586.65</v>
      </c>
      <c r="N2248" s="1">
        <f t="shared" ca="1" si="286"/>
        <v>4</v>
      </c>
      <c r="P2248" s="1">
        <v>51.633202373341192</v>
      </c>
      <c r="Q2248" s="1">
        <f t="shared" ca="1" si="287"/>
        <v>20</v>
      </c>
      <c r="R2248" s="1">
        <v>12.038655111391563</v>
      </c>
    </row>
    <row r="2249" spans="1:18" x14ac:dyDescent="0.3">
      <c r="A2249" s="26">
        <v>2248</v>
      </c>
      <c r="B2249" s="1">
        <v>15</v>
      </c>
      <c r="C2249" s="1">
        <f t="shared" si="283"/>
        <v>12</v>
      </c>
      <c r="D2249" s="21">
        <f t="shared" ca="1" si="282"/>
        <v>44780</v>
      </c>
      <c r="E2249" s="1" t="s">
        <v>26</v>
      </c>
      <c r="F2249" s="1" t="s">
        <v>2277</v>
      </c>
      <c r="G2249" s="1" t="s">
        <v>28</v>
      </c>
      <c r="H2249" s="1">
        <v>2347</v>
      </c>
      <c r="I2249" s="1">
        <f t="shared" si="284"/>
        <v>57</v>
      </c>
      <c r="J2249" s="1">
        <f>VLOOKUP(B2249,Cena!$A$2:$B$101,2)</f>
        <v>85</v>
      </c>
      <c r="K2249" s="1">
        <f t="shared" si="280"/>
        <v>4845</v>
      </c>
      <c r="L2249" s="1">
        <f t="shared" si="285"/>
        <v>1114.3500000000001</v>
      </c>
      <c r="M2249" s="22">
        <f t="shared" si="281"/>
        <v>5959.35</v>
      </c>
      <c r="N2249" s="1">
        <f t="shared" ca="1" si="286"/>
        <v>8</v>
      </c>
      <c r="P2249" s="1">
        <v>57.653807188034989</v>
      </c>
      <c r="Q2249" s="1">
        <f t="shared" ca="1" si="287"/>
        <v>26</v>
      </c>
      <c r="R2249" s="1">
        <v>12.778324414975941</v>
      </c>
    </row>
    <row r="2250" spans="1:18" x14ac:dyDescent="0.3">
      <c r="A2250" s="26">
        <v>2249</v>
      </c>
      <c r="B2250" s="1">
        <v>14</v>
      </c>
      <c r="C2250" s="1">
        <f t="shared" si="283"/>
        <v>9</v>
      </c>
      <c r="D2250" s="21">
        <f t="shared" ca="1" si="282"/>
        <v>44798</v>
      </c>
      <c r="E2250" s="1" t="s">
        <v>26</v>
      </c>
      <c r="F2250" s="1" t="s">
        <v>2278</v>
      </c>
      <c r="G2250" s="1" t="s">
        <v>28</v>
      </c>
      <c r="H2250" s="1">
        <v>2348</v>
      </c>
      <c r="I2250" s="1">
        <f t="shared" si="284"/>
        <v>54</v>
      </c>
      <c r="J2250" s="1">
        <f>VLOOKUP(B2250,Cena!$A$2:$B$101,2)</f>
        <v>129</v>
      </c>
      <c r="K2250" s="1">
        <f t="shared" si="280"/>
        <v>6966</v>
      </c>
      <c r="L2250" s="1">
        <f t="shared" si="285"/>
        <v>1602.18</v>
      </c>
      <c r="M2250" s="22">
        <f t="shared" si="281"/>
        <v>8568.18</v>
      </c>
      <c r="N2250" s="1">
        <f t="shared" ca="1" si="286"/>
        <v>8</v>
      </c>
      <c r="P2250" s="1">
        <v>54.35376250607078</v>
      </c>
      <c r="Q2250" s="1">
        <f t="shared" ca="1" si="287"/>
        <v>4</v>
      </c>
      <c r="R2250" s="1">
        <v>9.7683573838003213</v>
      </c>
    </row>
    <row r="2251" spans="1:18" x14ac:dyDescent="0.3">
      <c r="A2251" s="26">
        <v>2250</v>
      </c>
      <c r="B2251" s="1">
        <v>23</v>
      </c>
      <c r="C2251" s="1">
        <f t="shared" si="283"/>
        <v>8</v>
      </c>
      <c r="D2251" s="21">
        <f t="shared" ca="1" si="282"/>
        <v>44638</v>
      </c>
      <c r="E2251" s="1" t="s">
        <v>26</v>
      </c>
      <c r="F2251" s="1" t="s">
        <v>2279</v>
      </c>
      <c r="G2251" s="1" t="s">
        <v>28</v>
      </c>
      <c r="H2251" s="1">
        <v>2349</v>
      </c>
      <c r="I2251" s="1">
        <f t="shared" si="284"/>
        <v>30</v>
      </c>
      <c r="J2251" s="1">
        <f>VLOOKUP(B2251,Cena!$A$2:$B$101,2)</f>
        <v>132</v>
      </c>
      <c r="K2251" s="1">
        <f t="shared" si="280"/>
        <v>3960</v>
      </c>
      <c r="L2251" s="1">
        <f t="shared" si="285"/>
        <v>910.80000000000007</v>
      </c>
      <c r="M2251" s="22">
        <f t="shared" si="281"/>
        <v>4870.8</v>
      </c>
      <c r="N2251" s="1">
        <f t="shared" ca="1" si="286"/>
        <v>3</v>
      </c>
      <c r="P2251" s="1">
        <v>30.995562509633601</v>
      </c>
      <c r="Q2251" s="1">
        <f t="shared" ca="1" si="287"/>
        <v>22</v>
      </c>
      <c r="R2251" s="1">
        <v>8.9022995805498795</v>
      </c>
    </row>
    <row r="2252" spans="1:18" x14ac:dyDescent="0.3">
      <c r="A2252" s="26">
        <v>2251</v>
      </c>
      <c r="B2252" s="1">
        <v>7</v>
      </c>
      <c r="C2252" s="1">
        <f t="shared" si="283"/>
        <v>13</v>
      </c>
      <c r="D2252" s="21">
        <f t="shared" ca="1" si="282"/>
        <v>44670</v>
      </c>
      <c r="E2252" s="1" t="s">
        <v>26</v>
      </c>
      <c r="F2252" s="1" t="s">
        <v>2280</v>
      </c>
      <c r="G2252" s="1" t="s">
        <v>28</v>
      </c>
      <c r="H2252" s="1">
        <v>2350</v>
      </c>
      <c r="I2252" s="1">
        <f t="shared" si="284"/>
        <v>49</v>
      </c>
      <c r="J2252" s="1">
        <f>VLOOKUP(B2252,Cena!$A$2:$B$101,2)</f>
        <v>104</v>
      </c>
      <c r="K2252" s="1">
        <f t="shared" si="280"/>
        <v>5096</v>
      </c>
      <c r="L2252" s="1">
        <f t="shared" si="285"/>
        <v>1172.0800000000002</v>
      </c>
      <c r="M2252" s="22">
        <f t="shared" si="281"/>
        <v>6268.08</v>
      </c>
      <c r="N2252" s="1">
        <f t="shared" ca="1" si="286"/>
        <v>4</v>
      </c>
      <c r="P2252" s="1">
        <v>49.781584847369231</v>
      </c>
      <c r="Q2252" s="1">
        <f t="shared" ca="1" si="287"/>
        <v>7</v>
      </c>
      <c r="R2252" s="1">
        <v>13.542891136021353</v>
      </c>
    </row>
    <row r="2253" spans="1:18" x14ac:dyDescent="0.3">
      <c r="A2253" s="26">
        <v>2252</v>
      </c>
      <c r="B2253" s="1">
        <v>14</v>
      </c>
      <c r="C2253" s="1">
        <f t="shared" si="283"/>
        <v>10</v>
      </c>
      <c r="D2253" s="21">
        <f t="shared" ca="1" si="282"/>
        <v>44718</v>
      </c>
      <c r="E2253" s="1" t="s">
        <v>26</v>
      </c>
      <c r="F2253" s="1" t="s">
        <v>2281</v>
      </c>
      <c r="G2253" s="1" t="s">
        <v>28</v>
      </c>
      <c r="H2253" s="1">
        <v>2351</v>
      </c>
      <c r="I2253" s="1">
        <f t="shared" si="284"/>
        <v>34</v>
      </c>
      <c r="J2253" s="1">
        <f>VLOOKUP(B2253,Cena!$A$2:$B$101,2)</f>
        <v>129</v>
      </c>
      <c r="K2253" s="1">
        <f t="shared" si="280"/>
        <v>4386</v>
      </c>
      <c r="L2253" s="1">
        <f t="shared" si="285"/>
        <v>1008.7800000000001</v>
      </c>
      <c r="M2253" s="22">
        <f t="shared" si="281"/>
        <v>5394.78</v>
      </c>
      <c r="N2253" s="1">
        <f t="shared" ca="1" si="286"/>
        <v>6</v>
      </c>
      <c r="P2253" s="1">
        <v>34.288751875283197</v>
      </c>
      <c r="Q2253" s="1">
        <f t="shared" ca="1" si="287"/>
        <v>30</v>
      </c>
      <c r="R2253" s="1">
        <v>10.525272980667069</v>
      </c>
    </row>
    <row r="2254" spans="1:18" x14ac:dyDescent="0.3">
      <c r="A2254" s="26">
        <v>2253</v>
      </c>
      <c r="B2254" s="1">
        <v>9</v>
      </c>
      <c r="C2254" s="1">
        <f t="shared" si="283"/>
        <v>11</v>
      </c>
      <c r="D2254" s="21">
        <f t="shared" ca="1" si="282"/>
        <v>44907</v>
      </c>
      <c r="E2254" s="1" t="s">
        <v>26</v>
      </c>
      <c r="F2254" s="1" t="s">
        <v>2282</v>
      </c>
      <c r="G2254" s="1" t="s">
        <v>28</v>
      </c>
      <c r="H2254" s="1">
        <v>2352</v>
      </c>
      <c r="I2254" s="1">
        <f t="shared" si="284"/>
        <v>42</v>
      </c>
      <c r="J2254" s="1">
        <f>VLOOKUP(B2254,Cena!$A$2:$B$101,2)</f>
        <v>96</v>
      </c>
      <c r="K2254" s="1">
        <f t="shared" si="280"/>
        <v>4032</v>
      </c>
      <c r="L2254" s="1">
        <f t="shared" si="285"/>
        <v>927.36</v>
      </c>
      <c r="M2254" s="22">
        <f t="shared" si="281"/>
        <v>4959.3599999999997</v>
      </c>
      <c r="N2254" s="1">
        <f t="shared" ca="1" si="286"/>
        <v>12</v>
      </c>
      <c r="P2254" s="1">
        <v>42.864059095154516</v>
      </c>
      <c r="Q2254" s="1">
        <f t="shared" ca="1" si="287"/>
        <v>3</v>
      </c>
      <c r="R2254" s="1">
        <v>11.655081405260717</v>
      </c>
    </row>
    <row r="2255" spans="1:18" x14ac:dyDescent="0.3">
      <c r="A2255" s="26">
        <v>2254</v>
      </c>
      <c r="B2255" s="1">
        <v>14</v>
      </c>
      <c r="C2255" s="1">
        <f t="shared" si="283"/>
        <v>14</v>
      </c>
      <c r="D2255" s="21">
        <f t="shared" ca="1" si="282"/>
        <v>44781</v>
      </c>
      <c r="E2255" s="1" t="s">
        <v>26</v>
      </c>
      <c r="F2255" s="1" t="s">
        <v>2283</v>
      </c>
      <c r="G2255" s="1" t="s">
        <v>28</v>
      </c>
      <c r="H2255" s="1">
        <v>2353</v>
      </c>
      <c r="I2255" s="1">
        <f t="shared" si="284"/>
        <v>45</v>
      </c>
      <c r="J2255" s="1">
        <f>VLOOKUP(B2255,Cena!$A$2:$B$101,2)</f>
        <v>129</v>
      </c>
      <c r="K2255" s="1">
        <f t="shared" si="280"/>
        <v>5805</v>
      </c>
      <c r="L2255" s="1">
        <f t="shared" si="285"/>
        <v>1335.15</v>
      </c>
      <c r="M2255" s="22">
        <f t="shared" si="281"/>
        <v>7140.15</v>
      </c>
      <c r="N2255" s="1">
        <f t="shared" ca="1" si="286"/>
        <v>8</v>
      </c>
      <c r="P2255" s="1">
        <v>45.53410816588439</v>
      </c>
      <c r="Q2255" s="1">
        <f t="shared" ca="1" si="287"/>
        <v>21</v>
      </c>
      <c r="R2255" s="1">
        <v>14.170465217612218</v>
      </c>
    </row>
    <row r="2256" spans="1:18" x14ac:dyDescent="0.3">
      <c r="A2256" s="26">
        <v>2255</v>
      </c>
      <c r="B2256" s="1">
        <v>23</v>
      </c>
      <c r="C2256" s="1">
        <f t="shared" si="283"/>
        <v>8</v>
      </c>
      <c r="D2256" s="21">
        <f t="shared" ca="1" si="282"/>
        <v>44808</v>
      </c>
      <c r="E2256" s="1" t="s">
        <v>26</v>
      </c>
      <c r="F2256" s="1" t="s">
        <v>2284</v>
      </c>
      <c r="G2256" s="1" t="s">
        <v>28</v>
      </c>
      <c r="H2256" s="1">
        <v>2354</v>
      </c>
      <c r="I2256" s="1">
        <f t="shared" si="284"/>
        <v>61</v>
      </c>
      <c r="J2256" s="1">
        <f>VLOOKUP(B2256,Cena!$A$2:$B$101,2)</f>
        <v>132</v>
      </c>
      <c r="K2256" s="1">
        <f t="shared" si="280"/>
        <v>8052</v>
      </c>
      <c r="L2256" s="1">
        <f t="shared" si="285"/>
        <v>1851.96</v>
      </c>
      <c r="M2256" s="22">
        <f t="shared" si="281"/>
        <v>9903.9599999999991</v>
      </c>
      <c r="N2256" s="1">
        <f t="shared" ca="1" si="286"/>
        <v>9</v>
      </c>
      <c r="P2256" s="1">
        <v>61.000520316883922</v>
      </c>
      <c r="Q2256" s="1">
        <f t="shared" ca="1" si="287"/>
        <v>20</v>
      </c>
      <c r="R2256" s="1">
        <v>8.9703439950972097</v>
      </c>
    </row>
    <row r="2257" spans="1:18" x14ac:dyDescent="0.3">
      <c r="A2257" s="26">
        <v>2256</v>
      </c>
      <c r="B2257" s="1">
        <v>13</v>
      </c>
      <c r="C2257" s="1">
        <f t="shared" si="283"/>
        <v>9</v>
      </c>
      <c r="D2257" s="21">
        <f t="shared" ca="1" si="282"/>
        <v>44830</v>
      </c>
      <c r="E2257" s="1" t="s">
        <v>26</v>
      </c>
      <c r="F2257" s="1" t="s">
        <v>2285</v>
      </c>
      <c r="G2257" s="1" t="s">
        <v>28</v>
      </c>
      <c r="H2257" s="1">
        <v>2355</v>
      </c>
      <c r="I2257" s="1">
        <f t="shared" si="284"/>
        <v>43</v>
      </c>
      <c r="J2257" s="1">
        <f>VLOOKUP(B2257,Cena!$A$2:$B$101,2)</f>
        <v>94</v>
      </c>
      <c r="K2257" s="1">
        <f t="shared" si="280"/>
        <v>4042</v>
      </c>
      <c r="L2257" s="1">
        <f t="shared" si="285"/>
        <v>929.66000000000008</v>
      </c>
      <c r="M2257" s="22">
        <f t="shared" si="281"/>
        <v>4971.66</v>
      </c>
      <c r="N2257" s="1">
        <f t="shared" ca="1" si="286"/>
        <v>9</v>
      </c>
      <c r="P2257" s="1">
        <v>43.462301972613204</v>
      </c>
      <c r="Q2257" s="1">
        <f t="shared" ca="1" si="287"/>
        <v>15</v>
      </c>
      <c r="R2257" s="1">
        <v>9.249018856062321</v>
      </c>
    </row>
    <row r="2258" spans="1:18" x14ac:dyDescent="0.3">
      <c r="A2258" s="26">
        <v>2257</v>
      </c>
      <c r="B2258" s="1">
        <v>23</v>
      </c>
      <c r="C2258" s="1">
        <f t="shared" si="283"/>
        <v>9</v>
      </c>
      <c r="D2258" s="21">
        <f t="shared" ca="1" si="282"/>
        <v>44613</v>
      </c>
      <c r="E2258" s="1" t="s">
        <v>26</v>
      </c>
      <c r="F2258" s="1" t="s">
        <v>2286</v>
      </c>
      <c r="G2258" s="1" t="s">
        <v>28</v>
      </c>
      <c r="H2258" s="1">
        <v>2356</v>
      </c>
      <c r="I2258" s="1">
        <f t="shared" si="284"/>
        <v>44</v>
      </c>
      <c r="J2258" s="1">
        <f>VLOOKUP(B2258,Cena!$A$2:$B$101,2)</f>
        <v>132</v>
      </c>
      <c r="K2258" s="1">
        <f t="shared" si="280"/>
        <v>5808</v>
      </c>
      <c r="L2258" s="1">
        <f t="shared" si="285"/>
        <v>1335.8400000000001</v>
      </c>
      <c r="M2258" s="22">
        <f t="shared" si="281"/>
        <v>7143.84</v>
      </c>
      <c r="N2258" s="1">
        <f t="shared" ca="1" si="286"/>
        <v>2</v>
      </c>
      <c r="P2258" s="1">
        <v>44.986251294903923</v>
      </c>
      <c r="Q2258" s="1">
        <f t="shared" ca="1" si="287"/>
        <v>2</v>
      </c>
      <c r="R2258" s="1">
        <v>9.7652821548399515</v>
      </c>
    </row>
    <row r="2259" spans="1:18" x14ac:dyDescent="0.3">
      <c r="A2259" s="26">
        <v>2258</v>
      </c>
      <c r="B2259" s="1">
        <v>6</v>
      </c>
      <c r="C2259" s="1">
        <f t="shared" si="283"/>
        <v>10</v>
      </c>
      <c r="D2259" s="21">
        <f t="shared" ca="1" si="282"/>
        <v>44676</v>
      </c>
      <c r="E2259" s="1" t="s">
        <v>26</v>
      </c>
      <c r="F2259" s="1" t="s">
        <v>2287</v>
      </c>
      <c r="G2259" s="1" t="s">
        <v>28</v>
      </c>
      <c r="H2259" s="1">
        <v>2357</v>
      </c>
      <c r="I2259" s="1">
        <f t="shared" si="284"/>
        <v>43</v>
      </c>
      <c r="J2259" s="1">
        <f>VLOOKUP(B2259,Cena!$A$2:$B$101,2)</f>
        <v>86</v>
      </c>
      <c r="K2259" s="1">
        <f t="shared" si="280"/>
        <v>3698</v>
      </c>
      <c r="L2259" s="1">
        <f t="shared" si="285"/>
        <v>850.54000000000008</v>
      </c>
      <c r="M2259" s="22">
        <f t="shared" si="281"/>
        <v>4548.54</v>
      </c>
      <c r="N2259" s="1">
        <f t="shared" ca="1" si="286"/>
        <v>4</v>
      </c>
      <c r="P2259" s="1">
        <v>43.605615600245073</v>
      </c>
      <c r="Q2259" s="1">
        <f t="shared" ca="1" si="287"/>
        <v>22</v>
      </c>
      <c r="R2259" s="1">
        <v>10.88292892996833</v>
      </c>
    </row>
    <row r="2260" spans="1:18" x14ac:dyDescent="0.3">
      <c r="A2260" s="26">
        <v>2259</v>
      </c>
      <c r="B2260" s="1">
        <v>28</v>
      </c>
      <c r="C2260" s="1">
        <f t="shared" si="283"/>
        <v>8</v>
      </c>
      <c r="D2260" s="21">
        <f t="shared" ca="1" si="282"/>
        <v>44823</v>
      </c>
      <c r="E2260" s="1" t="s">
        <v>26</v>
      </c>
      <c r="F2260" s="1" t="s">
        <v>2288</v>
      </c>
      <c r="G2260" s="1" t="s">
        <v>28</v>
      </c>
      <c r="H2260" s="1">
        <v>2358</v>
      </c>
      <c r="I2260" s="1">
        <f t="shared" si="284"/>
        <v>41</v>
      </c>
      <c r="J2260" s="1">
        <f>VLOOKUP(B2260,Cena!$A$2:$B$101,2)</f>
        <v>59</v>
      </c>
      <c r="K2260" s="1">
        <f t="shared" si="280"/>
        <v>2419</v>
      </c>
      <c r="L2260" s="1">
        <f t="shared" si="285"/>
        <v>556.37</v>
      </c>
      <c r="M2260" s="22">
        <f t="shared" si="281"/>
        <v>2975.37</v>
      </c>
      <c r="N2260" s="1">
        <f t="shared" ca="1" si="286"/>
        <v>9</v>
      </c>
      <c r="P2260" s="1">
        <v>41.649656294612214</v>
      </c>
      <c r="Q2260" s="1">
        <f t="shared" ca="1" si="287"/>
        <v>8</v>
      </c>
      <c r="R2260" s="1">
        <v>8.3572791961705661</v>
      </c>
    </row>
    <row r="2261" spans="1:18" x14ac:dyDescent="0.3">
      <c r="A2261" s="26">
        <v>2260</v>
      </c>
      <c r="B2261" s="1">
        <v>1</v>
      </c>
      <c r="C2261" s="1">
        <f t="shared" si="283"/>
        <v>8</v>
      </c>
      <c r="D2261" s="21">
        <f t="shared" ca="1" si="282"/>
        <v>44562</v>
      </c>
      <c r="E2261" s="1" t="s">
        <v>26</v>
      </c>
      <c r="F2261" s="1" t="s">
        <v>2289</v>
      </c>
      <c r="G2261" s="1" t="s">
        <v>28</v>
      </c>
      <c r="H2261" s="1">
        <v>2359</v>
      </c>
      <c r="I2261" s="1">
        <f t="shared" si="284"/>
        <v>37</v>
      </c>
      <c r="J2261" s="1">
        <f>VLOOKUP(B2261,Cena!$A$2:$B$101,2)</f>
        <v>84</v>
      </c>
      <c r="K2261" s="1">
        <f t="shared" si="280"/>
        <v>3108</v>
      </c>
      <c r="L2261" s="1">
        <f t="shared" si="285"/>
        <v>714.84</v>
      </c>
      <c r="M2261" s="22">
        <f t="shared" si="281"/>
        <v>3822.84</v>
      </c>
      <c r="N2261" s="1">
        <f t="shared" ca="1" si="286"/>
        <v>1</v>
      </c>
      <c r="P2261" s="1">
        <v>37.819683155976236</v>
      </c>
      <c r="Q2261" s="1">
        <f t="shared" ca="1" si="287"/>
        <v>13</v>
      </c>
      <c r="R2261" s="1">
        <v>8.5684866032897844</v>
      </c>
    </row>
    <row r="2262" spans="1:18" x14ac:dyDescent="0.3">
      <c r="A2262" s="26">
        <v>2261</v>
      </c>
      <c r="B2262" s="1">
        <v>11</v>
      </c>
      <c r="C2262" s="1">
        <f t="shared" si="283"/>
        <v>7</v>
      </c>
      <c r="D2262" s="21">
        <f t="shared" ca="1" si="282"/>
        <v>44661</v>
      </c>
      <c r="E2262" s="1" t="s">
        <v>26</v>
      </c>
      <c r="F2262" s="1" t="s">
        <v>2290</v>
      </c>
      <c r="G2262" s="1" t="s">
        <v>28</v>
      </c>
      <c r="H2262" s="1">
        <v>2360</v>
      </c>
      <c r="I2262" s="1">
        <f t="shared" si="284"/>
        <v>44</v>
      </c>
      <c r="J2262" s="1">
        <f>VLOOKUP(B2262,Cena!$A$2:$B$101,2)</f>
        <v>83</v>
      </c>
      <c r="K2262" s="1">
        <f t="shared" si="280"/>
        <v>3652</v>
      </c>
      <c r="L2262" s="1">
        <f t="shared" si="285"/>
        <v>839.96</v>
      </c>
      <c r="M2262" s="22">
        <f t="shared" si="281"/>
        <v>4491.96</v>
      </c>
      <c r="N2262" s="1">
        <f t="shared" ca="1" si="286"/>
        <v>4</v>
      </c>
      <c r="P2262" s="1">
        <v>44.492497989995172</v>
      </c>
      <c r="Q2262" s="1">
        <f t="shared" ca="1" si="287"/>
        <v>2</v>
      </c>
      <c r="R2262" s="1">
        <v>7.0894236867025029</v>
      </c>
    </row>
    <row r="2263" spans="1:18" x14ac:dyDescent="0.3">
      <c r="A2263" s="26">
        <v>2262</v>
      </c>
      <c r="B2263" s="1">
        <v>21</v>
      </c>
      <c r="C2263" s="1">
        <f t="shared" si="283"/>
        <v>10</v>
      </c>
      <c r="D2263" s="21">
        <f t="shared" ca="1" si="282"/>
        <v>44598</v>
      </c>
      <c r="E2263" s="1" t="s">
        <v>26</v>
      </c>
      <c r="F2263" s="1" t="s">
        <v>2291</v>
      </c>
      <c r="G2263" s="1" t="s">
        <v>28</v>
      </c>
      <c r="H2263" s="1">
        <v>2361</v>
      </c>
      <c r="I2263" s="1">
        <f t="shared" si="284"/>
        <v>42</v>
      </c>
      <c r="J2263" s="1">
        <f>VLOOKUP(B2263,Cena!$A$2:$B$101,2)</f>
        <v>105</v>
      </c>
      <c r="K2263" s="1">
        <f t="shared" si="280"/>
        <v>4410</v>
      </c>
      <c r="L2263" s="1">
        <f t="shared" si="285"/>
        <v>1014.3000000000001</v>
      </c>
      <c r="M2263" s="22">
        <f t="shared" si="281"/>
        <v>5424.3</v>
      </c>
      <c r="N2263" s="1">
        <f t="shared" ca="1" si="286"/>
        <v>2</v>
      </c>
      <c r="P2263" s="1">
        <v>42.218420175049687</v>
      </c>
      <c r="Q2263" s="1">
        <f t="shared" ca="1" si="287"/>
        <v>16</v>
      </c>
      <c r="R2263" s="1">
        <v>10.941801658882468</v>
      </c>
    </row>
    <row r="2264" spans="1:18" x14ac:dyDescent="0.3">
      <c r="A2264" s="26">
        <v>2263</v>
      </c>
      <c r="B2264" s="1">
        <v>23</v>
      </c>
      <c r="C2264" s="1">
        <f t="shared" si="283"/>
        <v>5</v>
      </c>
      <c r="D2264" s="21">
        <f t="shared" ca="1" si="282"/>
        <v>44615</v>
      </c>
      <c r="E2264" s="1" t="s">
        <v>26</v>
      </c>
      <c r="F2264" s="1" t="s">
        <v>2292</v>
      </c>
      <c r="G2264" s="1" t="s">
        <v>28</v>
      </c>
      <c r="H2264" s="1">
        <v>2362</v>
      </c>
      <c r="I2264" s="1">
        <f t="shared" si="284"/>
        <v>68</v>
      </c>
      <c r="J2264" s="1">
        <f>VLOOKUP(B2264,Cena!$A$2:$B$101,2)</f>
        <v>132</v>
      </c>
      <c r="K2264" s="1">
        <f t="shared" si="280"/>
        <v>8976</v>
      </c>
      <c r="L2264" s="1">
        <f t="shared" si="285"/>
        <v>2064.48</v>
      </c>
      <c r="M2264" s="22">
        <f t="shared" si="281"/>
        <v>11040.48</v>
      </c>
      <c r="N2264" s="1">
        <f t="shared" ca="1" si="286"/>
        <v>2</v>
      </c>
      <c r="P2264" s="1">
        <v>68.485934560885653</v>
      </c>
      <c r="Q2264" s="1">
        <f t="shared" ca="1" si="287"/>
        <v>28</v>
      </c>
      <c r="R2264" s="1">
        <v>5.1598056213697419</v>
      </c>
    </row>
    <row r="2265" spans="1:18" x14ac:dyDescent="0.3">
      <c r="A2265" s="26">
        <v>2264</v>
      </c>
      <c r="B2265" s="1">
        <v>21</v>
      </c>
      <c r="C2265" s="1">
        <f t="shared" si="283"/>
        <v>8</v>
      </c>
      <c r="D2265" s="21">
        <f t="shared" ca="1" si="282"/>
        <v>44652</v>
      </c>
      <c r="E2265" s="1" t="s">
        <v>26</v>
      </c>
      <c r="F2265" s="1" t="s">
        <v>2293</v>
      </c>
      <c r="G2265" s="1" t="s">
        <v>28</v>
      </c>
      <c r="H2265" s="1">
        <v>2363</v>
      </c>
      <c r="I2265" s="1">
        <f t="shared" si="284"/>
        <v>60</v>
      </c>
      <c r="J2265" s="1">
        <f>VLOOKUP(B2265,Cena!$A$2:$B$101,2)</f>
        <v>105</v>
      </c>
      <c r="K2265" s="1">
        <f t="shared" si="280"/>
        <v>6300</v>
      </c>
      <c r="L2265" s="1">
        <f t="shared" si="285"/>
        <v>1449</v>
      </c>
      <c r="M2265" s="22">
        <f t="shared" si="281"/>
        <v>7749</v>
      </c>
      <c r="N2265" s="1">
        <f t="shared" ca="1" si="286"/>
        <v>4</v>
      </c>
      <c r="P2265" s="1">
        <v>60.078065315610729</v>
      </c>
      <c r="Q2265" s="1">
        <f t="shared" ca="1" si="287"/>
        <v>2</v>
      </c>
      <c r="R2265" s="1">
        <v>8.6889775982490391</v>
      </c>
    </row>
    <row r="2266" spans="1:18" x14ac:dyDescent="0.3">
      <c r="A2266" s="26">
        <v>2265</v>
      </c>
      <c r="B2266" s="1">
        <v>9</v>
      </c>
      <c r="C2266" s="1">
        <f t="shared" si="283"/>
        <v>13</v>
      </c>
      <c r="D2266" s="21">
        <f t="shared" ca="1" si="282"/>
        <v>44638</v>
      </c>
      <c r="E2266" s="1" t="s">
        <v>26</v>
      </c>
      <c r="F2266" s="1" t="s">
        <v>2294</v>
      </c>
      <c r="G2266" s="1" t="s">
        <v>28</v>
      </c>
      <c r="H2266" s="1">
        <v>2364</v>
      </c>
      <c r="I2266" s="1">
        <f t="shared" si="284"/>
        <v>41</v>
      </c>
      <c r="J2266" s="1">
        <f>VLOOKUP(B2266,Cena!$A$2:$B$101,2)</f>
        <v>96</v>
      </c>
      <c r="K2266" s="1">
        <f t="shared" si="280"/>
        <v>3936</v>
      </c>
      <c r="L2266" s="1">
        <f t="shared" si="285"/>
        <v>905.28000000000009</v>
      </c>
      <c r="M2266" s="22">
        <f t="shared" si="281"/>
        <v>4841.28</v>
      </c>
      <c r="N2266" s="1">
        <f t="shared" ca="1" si="286"/>
        <v>3</v>
      </c>
      <c r="P2266" s="1">
        <v>41.224717632576358</v>
      </c>
      <c r="Q2266" s="1">
        <f t="shared" ca="1" si="287"/>
        <v>30</v>
      </c>
      <c r="R2266" s="1">
        <v>13.563889094948536</v>
      </c>
    </row>
    <row r="2267" spans="1:18" x14ac:dyDescent="0.3">
      <c r="A2267" s="26">
        <v>2266</v>
      </c>
      <c r="B2267" s="1">
        <v>4</v>
      </c>
      <c r="C2267" s="1">
        <f t="shared" si="283"/>
        <v>7</v>
      </c>
      <c r="D2267" s="21">
        <f t="shared" ca="1" si="282"/>
        <v>44583</v>
      </c>
      <c r="E2267" s="1" t="s">
        <v>26</v>
      </c>
      <c r="F2267" s="1" t="s">
        <v>2295</v>
      </c>
      <c r="G2267" s="1" t="s">
        <v>28</v>
      </c>
      <c r="H2267" s="1">
        <v>2365</v>
      </c>
      <c r="I2267" s="1">
        <f t="shared" si="284"/>
        <v>55</v>
      </c>
      <c r="J2267" s="1">
        <f>VLOOKUP(B2267,Cena!$A$2:$B$101,2)</f>
        <v>99</v>
      </c>
      <c r="K2267" s="1">
        <f t="shared" si="280"/>
        <v>5445</v>
      </c>
      <c r="L2267" s="1">
        <f t="shared" si="285"/>
        <v>1252.3500000000001</v>
      </c>
      <c r="M2267" s="22">
        <f t="shared" si="281"/>
        <v>6697.35</v>
      </c>
      <c r="N2267" s="1">
        <f t="shared" ca="1" si="286"/>
        <v>1</v>
      </c>
      <c r="P2267" s="1">
        <v>55.063247954240069</v>
      </c>
      <c r="Q2267" s="1">
        <f t="shared" ca="1" si="287"/>
        <v>22</v>
      </c>
      <c r="R2267" s="1">
        <v>7.7060383571370039</v>
      </c>
    </row>
    <row r="2268" spans="1:18" x14ac:dyDescent="0.3">
      <c r="A2268" s="26">
        <v>2267</v>
      </c>
      <c r="B2268" s="1">
        <v>1</v>
      </c>
      <c r="C2268" s="1">
        <f t="shared" si="283"/>
        <v>7</v>
      </c>
      <c r="D2268" s="21">
        <f t="shared" ca="1" si="282"/>
        <v>44595</v>
      </c>
      <c r="E2268" s="1" t="s">
        <v>26</v>
      </c>
      <c r="F2268" s="1" t="s">
        <v>2296</v>
      </c>
      <c r="G2268" s="1" t="s">
        <v>28</v>
      </c>
      <c r="H2268" s="1">
        <v>2366</v>
      </c>
      <c r="I2268" s="1">
        <f t="shared" si="284"/>
        <v>54</v>
      </c>
      <c r="J2268" s="1">
        <f>VLOOKUP(B2268,Cena!$A$2:$B$101,2)</f>
        <v>84</v>
      </c>
      <c r="K2268" s="1">
        <f t="shared" si="280"/>
        <v>4536</v>
      </c>
      <c r="L2268" s="1">
        <f t="shared" si="285"/>
        <v>1043.28</v>
      </c>
      <c r="M2268" s="22">
        <f t="shared" si="281"/>
        <v>5579.28</v>
      </c>
      <c r="N2268" s="1">
        <f t="shared" ca="1" si="286"/>
        <v>2</v>
      </c>
      <c r="P2268" s="1">
        <v>54.051264568261104</v>
      </c>
      <c r="Q2268" s="1">
        <f t="shared" ca="1" si="287"/>
        <v>12</v>
      </c>
      <c r="R2268" s="1">
        <v>7.5580806221842067</v>
      </c>
    </row>
    <row r="2269" spans="1:18" x14ac:dyDescent="0.3">
      <c r="A2269" s="26">
        <v>2268</v>
      </c>
      <c r="B2269" s="1">
        <v>15</v>
      </c>
      <c r="C2269" s="1">
        <f t="shared" si="283"/>
        <v>6</v>
      </c>
      <c r="D2269" s="21">
        <f t="shared" ca="1" si="282"/>
        <v>44845</v>
      </c>
      <c r="E2269" s="1" t="s">
        <v>26</v>
      </c>
      <c r="F2269" s="1" t="s">
        <v>2297</v>
      </c>
      <c r="G2269" s="1" t="s">
        <v>28</v>
      </c>
      <c r="H2269" s="1">
        <v>2367</v>
      </c>
      <c r="I2269" s="1">
        <f t="shared" si="284"/>
        <v>50</v>
      </c>
      <c r="J2269" s="1">
        <f>VLOOKUP(B2269,Cena!$A$2:$B$101,2)</f>
        <v>85</v>
      </c>
      <c r="K2269" s="1">
        <f t="shared" si="280"/>
        <v>4250</v>
      </c>
      <c r="L2269" s="1">
        <f t="shared" si="285"/>
        <v>977.5</v>
      </c>
      <c r="M2269" s="22">
        <f t="shared" si="281"/>
        <v>5227.5</v>
      </c>
      <c r="N2269" s="1">
        <f t="shared" ca="1" si="286"/>
        <v>10</v>
      </c>
      <c r="P2269" s="1">
        <v>50.562181412533391</v>
      </c>
      <c r="Q2269" s="1">
        <f t="shared" ca="1" si="287"/>
        <v>21</v>
      </c>
      <c r="R2269" s="1">
        <v>6.0207674121193122</v>
      </c>
    </row>
    <row r="2270" spans="1:18" x14ac:dyDescent="0.3">
      <c r="A2270" s="26">
        <v>2269</v>
      </c>
      <c r="B2270" s="1">
        <v>24</v>
      </c>
      <c r="C2270" s="1">
        <f t="shared" si="283"/>
        <v>4</v>
      </c>
      <c r="D2270" s="21">
        <f t="shared" ca="1" si="282"/>
        <v>44847</v>
      </c>
      <c r="E2270" s="1" t="s">
        <v>26</v>
      </c>
      <c r="F2270" s="1" t="s">
        <v>2298</v>
      </c>
      <c r="G2270" s="1" t="s">
        <v>28</v>
      </c>
      <c r="H2270" s="1">
        <v>2368</v>
      </c>
      <c r="I2270" s="1">
        <f t="shared" si="284"/>
        <v>53</v>
      </c>
      <c r="J2270" s="1">
        <f>VLOOKUP(B2270,Cena!$A$2:$B$101,2)</f>
        <v>125</v>
      </c>
      <c r="K2270" s="1">
        <f t="shared" si="280"/>
        <v>6625</v>
      </c>
      <c r="L2270" s="1">
        <f t="shared" si="285"/>
        <v>1523.75</v>
      </c>
      <c r="M2270" s="22">
        <f t="shared" si="281"/>
        <v>8148.75</v>
      </c>
      <c r="N2270" s="1">
        <f t="shared" ca="1" si="286"/>
        <v>10</v>
      </c>
      <c r="P2270" s="1">
        <v>53.09366896544816</v>
      </c>
      <c r="Q2270" s="1">
        <f t="shared" ca="1" si="287"/>
        <v>9</v>
      </c>
      <c r="R2270" s="1">
        <v>4.6611296763876453</v>
      </c>
    </row>
    <row r="2271" spans="1:18" x14ac:dyDescent="0.3">
      <c r="A2271" s="26">
        <v>2270</v>
      </c>
      <c r="B2271" s="1">
        <v>21</v>
      </c>
      <c r="C2271" s="1">
        <f t="shared" si="283"/>
        <v>7</v>
      </c>
      <c r="D2271" s="21">
        <f t="shared" ca="1" si="282"/>
        <v>44782</v>
      </c>
      <c r="E2271" s="1" t="s">
        <v>26</v>
      </c>
      <c r="F2271" s="1" t="s">
        <v>2299</v>
      </c>
      <c r="G2271" s="1" t="s">
        <v>28</v>
      </c>
      <c r="H2271" s="1">
        <v>2369</v>
      </c>
      <c r="I2271" s="1">
        <f t="shared" si="284"/>
        <v>60</v>
      </c>
      <c r="J2271" s="1">
        <f>VLOOKUP(B2271,Cena!$A$2:$B$101,2)</f>
        <v>105</v>
      </c>
      <c r="K2271" s="1">
        <f t="shared" ref="K2271:K2334" si="288">I2271*J2271</f>
        <v>6300</v>
      </c>
      <c r="L2271" s="1">
        <f t="shared" si="285"/>
        <v>1449</v>
      </c>
      <c r="M2271" s="22">
        <f t="shared" ref="M2271:M2334" si="289">K2271+L2271</f>
        <v>7749</v>
      </c>
      <c r="N2271" s="1">
        <f t="shared" ca="1" si="286"/>
        <v>8</v>
      </c>
      <c r="P2271" s="1">
        <v>60.538747119426262</v>
      </c>
      <c r="Q2271" s="1">
        <f t="shared" ca="1" si="287"/>
        <v>23</v>
      </c>
      <c r="R2271" s="1">
        <v>7.9844574227172416</v>
      </c>
    </row>
    <row r="2272" spans="1:18" x14ac:dyDescent="0.3">
      <c r="A2272" s="26">
        <v>2271</v>
      </c>
      <c r="B2272" s="1">
        <v>21</v>
      </c>
      <c r="C2272" s="1">
        <f t="shared" si="283"/>
        <v>14</v>
      </c>
      <c r="D2272" s="21">
        <f t="shared" ca="1" si="282"/>
        <v>44881</v>
      </c>
      <c r="E2272" s="1" t="s">
        <v>26</v>
      </c>
      <c r="F2272" s="1" t="s">
        <v>2300</v>
      </c>
      <c r="G2272" s="1" t="s">
        <v>28</v>
      </c>
      <c r="H2272" s="1">
        <v>2370</v>
      </c>
      <c r="I2272" s="1">
        <f t="shared" si="284"/>
        <v>42</v>
      </c>
      <c r="J2272" s="1">
        <f>VLOOKUP(B2272,Cena!$A$2:$B$101,2)</f>
        <v>105</v>
      </c>
      <c r="K2272" s="1">
        <f t="shared" si="288"/>
        <v>4410</v>
      </c>
      <c r="L2272" s="1">
        <f t="shared" si="285"/>
        <v>1014.3000000000001</v>
      </c>
      <c r="M2272" s="22">
        <f t="shared" si="289"/>
        <v>5424.3</v>
      </c>
      <c r="N2272" s="1">
        <f t="shared" ca="1" si="286"/>
        <v>11</v>
      </c>
      <c r="P2272" s="1">
        <v>42.574885254725814</v>
      </c>
      <c r="Q2272" s="1">
        <f t="shared" ca="1" si="287"/>
        <v>3</v>
      </c>
      <c r="R2272" s="1">
        <v>14.441631062945817</v>
      </c>
    </row>
    <row r="2273" spans="1:18" x14ac:dyDescent="0.3">
      <c r="A2273" s="26">
        <v>2272</v>
      </c>
      <c r="B2273" s="1">
        <v>10</v>
      </c>
      <c r="C2273" s="1">
        <f t="shared" si="283"/>
        <v>10</v>
      </c>
      <c r="D2273" s="21">
        <f t="shared" ca="1" si="282"/>
        <v>44656</v>
      </c>
      <c r="E2273" s="1" t="s">
        <v>26</v>
      </c>
      <c r="F2273" s="1" t="s">
        <v>2301</v>
      </c>
      <c r="G2273" s="1" t="s">
        <v>28</v>
      </c>
      <c r="H2273" s="1">
        <v>2371</v>
      </c>
      <c r="I2273" s="1">
        <f t="shared" si="284"/>
        <v>47</v>
      </c>
      <c r="J2273" s="1">
        <f>VLOOKUP(B2273,Cena!$A$2:$B$101,2)</f>
        <v>109</v>
      </c>
      <c r="K2273" s="1">
        <f t="shared" si="288"/>
        <v>5123</v>
      </c>
      <c r="L2273" s="1">
        <f t="shared" si="285"/>
        <v>1178.29</v>
      </c>
      <c r="M2273" s="22">
        <f t="shared" si="289"/>
        <v>6301.29</v>
      </c>
      <c r="N2273" s="1">
        <f t="shared" ca="1" si="286"/>
        <v>4</v>
      </c>
      <c r="P2273" s="1">
        <v>47.51483983345679</v>
      </c>
      <c r="Q2273" s="1">
        <f t="shared" ca="1" si="287"/>
        <v>22</v>
      </c>
      <c r="R2273" s="1">
        <v>10.164303060046223</v>
      </c>
    </row>
    <row r="2274" spans="1:18" x14ac:dyDescent="0.3">
      <c r="A2274" s="26">
        <v>2273</v>
      </c>
      <c r="B2274" s="1">
        <v>12</v>
      </c>
      <c r="C2274" s="1">
        <f t="shared" si="283"/>
        <v>9</v>
      </c>
      <c r="D2274" s="21">
        <f t="shared" ca="1" si="282"/>
        <v>44876</v>
      </c>
      <c r="E2274" s="1" t="s">
        <v>26</v>
      </c>
      <c r="F2274" s="1" t="s">
        <v>2302</v>
      </c>
      <c r="G2274" s="1" t="s">
        <v>28</v>
      </c>
      <c r="H2274" s="1">
        <v>2372</v>
      </c>
      <c r="I2274" s="1">
        <f t="shared" si="284"/>
        <v>65</v>
      </c>
      <c r="J2274" s="1">
        <f>VLOOKUP(B2274,Cena!$A$2:$B$101,2)</f>
        <v>88</v>
      </c>
      <c r="K2274" s="1">
        <f t="shared" si="288"/>
        <v>5720</v>
      </c>
      <c r="L2274" s="1">
        <f t="shared" si="285"/>
        <v>1315.6000000000001</v>
      </c>
      <c r="M2274" s="22">
        <f t="shared" si="289"/>
        <v>7035.6</v>
      </c>
      <c r="N2274" s="1">
        <f t="shared" ca="1" si="286"/>
        <v>11</v>
      </c>
      <c r="P2274" s="1">
        <v>65.949626686051488</v>
      </c>
      <c r="Q2274" s="1">
        <f t="shared" ca="1" si="287"/>
        <v>4</v>
      </c>
      <c r="R2274" s="1">
        <v>9.4549625625950284</v>
      </c>
    </row>
    <row r="2275" spans="1:18" x14ac:dyDescent="0.3">
      <c r="A2275" s="26">
        <v>2274</v>
      </c>
      <c r="B2275" s="1">
        <v>9</v>
      </c>
      <c r="C2275" s="1">
        <f t="shared" si="283"/>
        <v>9</v>
      </c>
      <c r="D2275" s="21">
        <f t="shared" ca="1" si="282"/>
        <v>44746</v>
      </c>
      <c r="E2275" s="1" t="s">
        <v>26</v>
      </c>
      <c r="F2275" s="1" t="s">
        <v>2303</v>
      </c>
      <c r="G2275" s="1" t="s">
        <v>28</v>
      </c>
      <c r="H2275" s="1">
        <v>2373</v>
      </c>
      <c r="I2275" s="1">
        <f t="shared" si="284"/>
        <v>57</v>
      </c>
      <c r="J2275" s="1">
        <f>VLOOKUP(B2275,Cena!$A$2:$B$101,2)</f>
        <v>96</v>
      </c>
      <c r="K2275" s="1">
        <f t="shared" si="288"/>
        <v>5472</v>
      </c>
      <c r="L2275" s="1">
        <f t="shared" si="285"/>
        <v>1258.56</v>
      </c>
      <c r="M2275" s="22">
        <f t="shared" si="289"/>
        <v>6730.5599999999995</v>
      </c>
      <c r="N2275" s="1">
        <f t="shared" ca="1" si="286"/>
        <v>7</v>
      </c>
      <c r="P2275" s="1">
        <v>57.306709903787123</v>
      </c>
      <c r="Q2275" s="1">
        <f t="shared" ca="1" si="287"/>
        <v>9</v>
      </c>
      <c r="R2275" s="1">
        <v>9.3066467141034082</v>
      </c>
    </row>
    <row r="2276" spans="1:18" x14ac:dyDescent="0.3">
      <c r="A2276" s="26">
        <v>2275</v>
      </c>
      <c r="B2276" s="1">
        <v>6</v>
      </c>
      <c r="C2276" s="1">
        <f t="shared" si="283"/>
        <v>13</v>
      </c>
      <c r="D2276" s="21">
        <f t="shared" ca="1" si="282"/>
        <v>44748</v>
      </c>
      <c r="E2276" s="1" t="s">
        <v>26</v>
      </c>
      <c r="F2276" s="1" t="s">
        <v>2304</v>
      </c>
      <c r="G2276" s="1" t="s">
        <v>28</v>
      </c>
      <c r="H2276" s="1">
        <v>2374</v>
      </c>
      <c r="I2276" s="1">
        <f t="shared" si="284"/>
        <v>50</v>
      </c>
      <c r="J2276" s="1">
        <f>VLOOKUP(B2276,Cena!$A$2:$B$101,2)</f>
        <v>86</v>
      </c>
      <c r="K2276" s="1">
        <f t="shared" si="288"/>
        <v>4300</v>
      </c>
      <c r="L2276" s="1">
        <f t="shared" si="285"/>
        <v>989</v>
      </c>
      <c r="M2276" s="22">
        <f t="shared" si="289"/>
        <v>5289</v>
      </c>
      <c r="N2276" s="1">
        <f t="shared" ca="1" si="286"/>
        <v>7</v>
      </c>
      <c r="P2276" s="1">
        <v>50.923500920180231</v>
      </c>
      <c r="Q2276" s="1">
        <f t="shared" ca="1" si="287"/>
        <v>30</v>
      </c>
      <c r="R2276" s="1">
        <v>13.287254912720527</v>
      </c>
    </row>
    <row r="2277" spans="1:18" x14ac:dyDescent="0.3">
      <c r="A2277" s="26">
        <v>2276</v>
      </c>
      <c r="B2277" s="1">
        <v>17</v>
      </c>
      <c r="C2277" s="1">
        <f t="shared" si="283"/>
        <v>9</v>
      </c>
      <c r="D2277" s="21">
        <f t="shared" ca="1" si="282"/>
        <v>44744</v>
      </c>
      <c r="E2277" s="1" t="s">
        <v>26</v>
      </c>
      <c r="F2277" s="1" t="s">
        <v>2305</v>
      </c>
      <c r="G2277" s="1" t="s">
        <v>28</v>
      </c>
      <c r="H2277" s="1">
        <v>2375</v>
      </c>
      <c r="I2277" s="1">
        <f t="shared" si="284"/>
        <v>42</v>
      </c>
      <c r="J2277" s="1">
        <f>VLOOKUP(B2277,Cena!$A$2:$B$101,2)</f>
        <v>84</v>
      </c>
      <c r="K2277" s="1">
        <f t="shared" si="288"/>
        <v>3528</v>
      </c>
      <c r="L2277" s="1">
        <f t="shared" si="285"/>
        <v>811.44</v>
      </c>
      <c r="M2277" s="22">
        <f t="shared" si="289"/>
        <v>4339.4400000000005</v>
      </c>
      <c r="N2277" s="1">
        <f t="shared" ca="1" si="286"/>
        <v>7</v>
      </c>
      <c r="P2277" s="1">
        <v>42.981986451923149</v>
      </c>
      <c r="Q2277" s="1">
        <f t="shared" ca="1" si="287"/>
        <v>7</v>
      </c>
      <c r="R2277" s="1">
        <v>9.5470545854914235</v>
      </c>
    </row>
    <row r="2278" spans="1:18" x14ac:dyDescent="0.3">
      <c r="A2278" s="26">
        <v>2277</v>
      </c>
      <c r="B2278" s="1">
        <v>29</v>
      </c>
      <c r="C2278" s="1">
        <f t="shared" si="283"/>
        <v>13</v>
      </c>
      <c r="D2278" s="21">
        <f t="shared" ca="1" si="282"/>
        <v>44706</v>
      </c>
      <c r="E2278" s="1" t="s">
        <v>26</v>
      </c>
      <c r="F2278" s="1" t="s">
        <v>2306</v>
      </c>
      <c r="G2278" s="1" t="s">
        <v>28</v>
      </c>
      <c r="H2278" s="1">
        <v>2376</v>
      </c>
      <c r="I2278" s="1">
        <f t="shared" si="284"/>
        <v>47</v>
      </c>
      <c r="J2278" s="1">
        <f>VLOOKUP(B2278,Cena!$A$2:$B$101,2)</f>
        <v>105</v>
      </c>
      <c r="K2278" s="1">
        <f t="shared" si="288"/>
        <v>4935</v>
      </c>
      <c r="L2278" s="1">
        <f t="shared" si="285"/>
        <v>1135.05</v>
      </c>
      <c r="M2278" s="22">
        <f t="shared" si="289"/>
        <v>6070.05</v>
      </c>
      <c r="N2278" s="1">
        <f t="shared" ca="1" si="286"/>
        <v>5</v>
      </c>
      <c r="P2278" s="1">
        <v>47.772044935118174</v>
      </c>
      <c r="Q2278" s="1">
        <f t="shared" ca="1" si="287"/>
        <v>13</v>
      </c>
      <c r="R2278" s="1">
        <v>13.929130798496772</v>
      </c>
    </row>
    <row r="2279" spans="1:18" x14ac:dyDescent="0.3">
      <c r="A2279" s="26">
        <v>2278</v>
      </c>
      <c r="B2279" s="1">
        <v>8</v>
      </c>
      <c r="C2279" s="1">
        <f t="shared" si="283"/>
        <v>12</v>
      </c>
      <c r="D2279" s="21">
        <f t="shared" ca="1" si="282"/>
        <v>44589</v>
      </c>
      <c r="E2279" s="1" t="s">
        <v>26</v>
      </c>
      <c r="F2279" s="1" t="s">
        <v>2307</v>
      </c>
      <c r="G2279" s="1" t="s">
        <v>28</v>
      </c>
      <c r="H2279" s="1">
        <v>2377</v>
      </c>
      <c r="I2279" s="1">
        <f t="shared" si="284"/>
        <v>52</v>
      </c>
      <c r="J2279" s="1">
        <f>VLOOKUP(B2279,Cena!$A$2:$B$101,2)</f>
        <v>88</v>
      </c>
      <c r="K2279" s="1">
        <f t="shared" si="288"/>
        <v>4576</v>
      </c>
      <c r="L2279" s="1">
        <f t="shared" si="285"/>
        <v>1052.48</v>
      </c>
      <c r="M2279" s="22">
        <f t="shared" si="289"/>
        <v>5628.48</v>
      </c>
      <c r="N2279" s="1">
        <f t="shared" ca="1" si="286"/>
        <v>1</v>
      </c>
      <c r="P2279" s="1">
        <v>52.072169991151895</v>
      </c>
      <c r="Q2279" s="1">
        <f t="shared" ca="1" si="287"/>
        <v>22</v>
      </c>
      <c r="R2279" s="1">
        <v>12.188204462072463</v>
      </c>
    </row>
    <row r="2280" spans="1:18" x14ac:dyDescent="0.3">
      <c r="A2280" s="26">
        <v>2279</v>
      </c>
      <c r="B2280" s="1">
        <v>25</v>
      </c>
      <c r="C2280" s="1">
        <f t="shared" si="283"/>
        <v>10</v>
      </c>
      <c r="D2280" s="21">
        <f t="shared" ca="1" si="282"/>
        <v>44690</v>
      </c>
      <c r="E2280" s="1" t="s">
        <v>26</v>
      </c>
      <c r="F2280" s="1" t="s">
        <v>2308</v>
      </c>
      <c r="G2280" s="1" t="s">
        <v>28</v>
      </c>
      <c r="H2280" s="1">
        <v>2378</v>
      </c>
      <c r="I2280" s="1">
        <f t="shared" si="284"/>
        <v>64</v>
      </c>
      <c r="J2280" s="1">
        <f>VLOOKUP(B2280,Cena!$A$2:$B$101,2)</f>
        <v>108</v>
      </c>
      <c r="K2280" s="1">
        <f t="shared" si="288"/>
        <v>6912</v>
      </c>
      <c r="L2280" s="1">
        <f t="shared" si="285"/>
        <v>1589.76</v>
      </c>
      <c r="M2280" s="22">
        <f t="shared" si="289"/>
        <v>8501.76</v>
      </c>
      <c r="N2280" s="1">
        <f t="shared" ca="1" si="286"/>
        <v>5</v>
      </c>
      <c r="P2280" s="1">
        <v>64.238685253076255</v>
      </c>
      <c r="Q2280" s="1">
        <f t="shared" ca="1" si="287"/>
        <v>20</v>
      </c>
      <c r="R2280" s="1">
        <v>10.157785962073831</v>
      </c>
    </row>
    <row r="2281" spans="1:18" x14ac:dyDescent="0.3">
      <c r="A2281" s="26">
        <v>2280</v>
      </c>
      <c r="B2281" s="1">
        <v>29</v>
      </c>
      <c r="C2281" s="1">
        <f t="shared" si="283"/>
        <v>8</v>
      </c>
      <c r="D2281" s="21">
        <f t="shared" ca="1" si="282"/>
        <v>44687</v>
      </c>
      <c r="E2281" s="1" t="s">
        <v>26</v>
      </c>
      <c r="F2281" s="1" t="s">
        <v>2309</v>
      </c>
      <c r="G2281" s="1" t="s">
        <v>28</v>
      </c>
      <c r="H2281" s="1">
        <v>2379</v>
      </c>
      <c r="I2281" s="1">
        <f t="shared" si="284"/>
        <v>40</v>
      </c>
      <c r="J2281" s="1">
        <f>VLOOKUP(B2281,Cena!$A$2:$B$101,2)</f>
        <v>105</v>
      </c>
      <c r="K2281" s="1">
        <f t="shared" si="288"/>
        <v>4200</v>
      </c>
      <c r="L2281" s="1">
        <f t="shared" si="285"/>
        <v>966</v>
      </c>
      <c r="M2281" s="22">
        <f t="shared" si="289"/>
        <v>5166</v>
      </c>
      <c r="N2281" s="1">
        <f t="shared" ca="1" si="286"/>
        <v>5</v>
      </c>
      <c r="P2281" s="1">
        <v>40.001697369734757</v>
      </c>
      <c r="Q2281" s="1">
        <f t="shared" ca="1" si="287"/>
        <v>2</v>
      </c>
      <c r="R2281" s="1">
        <v>8.6211207669839496</v>
      </c>
    </row>
    <row r="2282" spans="1:18" x14ac:dyDescent="0.3">
      <c r="A2282" s="26">
        <v>2281</v>
      </c>
      <c r="B2282" s="1">
        <v>26</v>
      </c>
      <c r="C2282" s="1">
        <f t="shared" si="283"/>
        <v>7</v>
      </c>
      <c r="D2282" s="21">
        <f t="shared" ca="1" si="282"/>
        <v>44614</v>
      </c>
      <c r="E2282" s="1" t="s">
        <v>26</v>
      </c>
      <c r="F2282" s="1" t="s">
        <v>2310</v>
      </c>
      <c r="G2282" s="1" t="s">
        <v>28</v>
      </c>
      <c r="H2282" s="1">
        <v>2380</v>
      </c>
      <c r="I2282" s="1">
        <f t="shared" si="284"/>
        <v>56</v>
      </c>
      <c r="J2282" s="1">
        <f>VLOOKUP(B2282,Cena!$A$2:$B$101,2)</f>
        <v>99</v>
      </c>
      <c r="K2282" s="1">
        <f t="shared" si="288"/>
        <v>5544</v>
      </c>
      <c r="L2282" s="1">
        <f t="shared" si="285"/>
        <v>1275.1200000000001</v>
      </c>
      <c r="M2282" s="22">
        <f t="shared" si="289"/>
        <v>6819.12</v>
      </c>
      <c r="N2282" s="1">
        <f t="shared" ca="1" si="286"/>
        <v>2</v>
      </c>
      <c r="P2282" s="1">
        <v>56.464927082561189</v>
      </c>
      <c r="Q2282" s="1">
        <f t="shared" ca="1" si="287"/>
        <v>30</v>
      </c>
      <c r="R2282" s="1">
        <v>7.4581385231431341</v>
      </c>
    </row>
    <row r="2283" spans="1:18" x14ac:dyDescent="0.3">
      <c r="A2283" s="26">
        <v>2282</v>
      </c>
      <c r="B2283" s="1">
        <v>2</v>
      </c>
      <c r="C2283" s="1">
        <f t="shared" si="283"/>
        <v>12</v>
      </c>
      <c r="D2283" s="21">
        <f t="shared" ca="1" si="282"/>
        <v>44874</v>
      </c>
      <c r="E2283" s="1" t="s">
        <v>26</v>
      </c>
      <c r="F2283" s="1" t="s">
        <v>2311</v>
      </c>
      <c r="G2283" s="1" t="s">
        <v>28</v>
      </c>
      <c r="H2283" s="1">
        <v>2381</v>
      </c>
      <c r="I2283" s="1">
        <f t="shared" si="284"/>
        <v>48</v>
      </c>
      <c r="J2283" s="1">
        <f>VLOOKUP(B2283,Cena!$A$2:$B$101,2)</f>
        <v>121</v>
      </c>
      <c r="K2283" s="1">
        <f t="shared" si="288"/>
        <v>5808</v>
      </c>
      <c r="L2283" s="1">
        <f t="shared" si="285"/>
        <v>1335.8400000000001</v>
      </c>
      <c r="M2283" s="22">
        <f t="shared" si="289"/>
        <v>7143.84</v>
      </c>
      <c r="N2283" s="1">
        <f t="shared" ca="1" si="286"/>
        <v>11</v>
      </c>
      <c r="P2283" s="1">
        <v>48.281452917581191</v>
      </c>
      <c r="Q2283" s="1">
        <f t="shared" ca="1" si="287"/>
        <v>3</v>
      </c>
      <c r="R2283" s="1">
        <v>12.960490519399173</v>
      </c>
    </row>
    <row r="2284" spans="1:18" x14ac:dyDescent="0.3">
      <c r="A2284" s="26">
        <v>2283</v>
      </c>
      <c r="B2284" s="1">
        <v>7</v>
      </c>
      <c r="C2284" s="1">
        <f t="shared" si="283"/>
        <v>12</v>
      </c>
      <c r="D2284" s="21">
        <f t="shared" ca="1" si="282"/>
        <v>44663</v>
      </c>
      <c r="E2284" s="1" t="s">
        <v>26</v>
      </c>
      <c r="F2284" s="1" t="s">
        <v>2312</v>
      </c>
      <c r="G2284" s="1" t="s">
        <v>28</v>
      </c>
      <c r="H2284" s="1">
        <v>2382</v>
      </c>
      <c r="I2284" s="1">
        <f t="shared" si="284"/>
        <v>53</v>
      </c>
      <c r="J2284" s="1">
        <f>VLOOKUP(B2284,Cena!$A$2:$B$101,2)</f>
        <v>104</v>
      </c>
      <c r="K2284" s="1">
        <f t="shared" si="288"/>
        <v>5512</v>
      </c>
      <c r="L2284" s="1">
        <f t="shared" si="285"/>
        <v>1267.76</v>
      </c>
      <c r="M2284" s="22">
        <f t="shared" si="289"/>
        <v>6779.76</v>
      </c>
      <c r="N2284" s="1">
        <f t="shared" ca="1" si="286"/>
        <v>4</v>
      </c>
      <c r="P2284" s="1">
        <v>53.108129931206349</v>
      </c>
      <c r="Q2284" s="1">
        <f t="shared" ca="1" si="287"/>
        <v>5</v>
      </c>
      <c r="R2284" s="1">
        <v>12.504941676306771</v>
      </c>
    </row>
    <row r="2285" spans="1:18" x14ac:dyDescent="0.3">
      <c r="A2285" s="26">
        <v>2284</v>
      </c>
      <c r="B2285" s="1">
        <v>2</v>
      </c>
      <c r="C2285" s="1">
        <f t="shared" si="283"/>
        <v>11</v>
      </c>
      <c r="D2285" s="21">
        <f t="shared" ca="1" si="282"/>
        <v>44600</v>
      </c>
      <c r="E2285" s="1" t="s">
        <v>26</v>
      </c>
      <c r="F2285" s="1" t="s">
        <v>2313</v>
      </c>
      <c r="G2285" s="1" t="s">
        <v>28</v>
      </c>
      <c r="H2285" s="1">
        <v>2383</v>
      </c>
      <c r="I2285" s="1">
        <f t="shared" si="284"/>
        <v>32</v>
      </c>
      <c r="J2285" s="1">
        <f>VLOOKUP(B2285,Cena!$A$2:$B$101,2)</f>
        <v>121</v>
      </c>
      <c r="K2285" s="1">
        <f t="shared" si="288"/>
        <v>3872</v>
      </c>
      <c r="L2285" s="1">
        <f t="shared" si="285"/>
        <v>890.56000000000006</v>
      </c>
      <c r="M2285" s="22">
        <f t="shared" si="289"/>
        <v>4762.5600000000004</v>
      </c>
      <c r="N2285" s="1">
        <f t="shared" ca="1" si="286"/>
        <v>2</v>
      </c>
      <c r="P2285" s="1">
        <v>32.075496518518776</v>
      </c>
      <c r="Q2285" s="1">
        <f t="shared" ca="1" si="287"/>
        <v>15</v>
      </c>
      <c r="R2285" s="1">
        <v>11.607048716323334</v>
      </c>
    </row>
    <row r="2286" spans="1:18" x14ac:dyDescent="0.3">
      <c r="A2286" s="26">
        <v>2285</v>
      </c>
      <c r="B2286" s="1">
        <v>22</v>
      </c>
      <c r="C2286" s="1">
        <f t="shared" si="283"/>
        <v>10</v>
      </c>
      <c r="D2286" s="21">
        <f t="shared" ca="1" si="282"/>
        <v>44907</v>
      </c>
      <c r="E2286" s="1" t="s">
        <v>26</v>
      </c>
      <c r="F2286" s="1" t="s">
        <v>2314</v>
      </c>
      <c r="G2286" s="1" t="s">
        <v>28</v>
      </c>
      <c r="H2286" s="1">
        <v>2384</v>
      </c>
      <c r="I2286" s="1">
        <f t="shared" si="284"/>
        <v>29</v>
      </c>
      <c r="J2286" s="1">
        <f>VLOOKUP(B2286,Cena!$A$2:$B$101,2)</f>
        <v>103</v>
      </c>
      <c r="K2286" s="1">
        <f t="shared" si="288"/>
        <v>2987</v>
      </c>
      <c r="L2286" s="1">
        <f t="shared" si="285"/>
        <v>687.01</v>
      </c>
      <c r="M2286" s="22">
        <f t="shared" si="289"/>
        <v>3674.01</v>
      </c>
      <c r="N2286" s="1">
        <f t="shared" ca="1" si="286"/>
        <v>12</v>
      </c>
      <c r="P2286" s="1">
        <v>29.13437255192548</v>
      </c>
      <c r="Q2286" s="1">
        <f t="shared" ca="1" si="287"/>
        <v>15</v>
      </c>
      <c r="R2286" s="1">
        <v>10.657649934510118</v>
      </c>
    </row>
    <row r="2287" spans="1:18" x14ac:dyDescent="0.3">
      <c r="A2287" s="26">
        <v>2286</v>
      </c>
      <c r="B2287" s="1">
        <v>10</v>
      </c>
      <c r="C2287" s="1">
        <f t="shared" si="283"/>
        <v>7</v>
      </c>
      <c r="D2287" s="21">
        <f t="shared" ca="1" si="282"/>
        <v>44750</v>
      </c>
      <c r="E2287" s="1" t="s">
        <v>26</v>
      </c>
      <c r="F2287" s="1" t="s">
        <v>2315</v>
      </c>
      <c r="G2287" s="1" t="s">
        <v>28</v>
      </c>
      <c r="H2287" s="1">
        <v>2385</v>
      </c>
      <c r="I2287" s="1">
        <f t="shared" si="284"/>
        <v>46</v>
      </c>
      <c r="J2287" s="1">
        <f>VLOOKUP(B2287,Cena!$A$2:$B$101,2)</f>
        <v>109</v>
      </c>
      <c r="K2287" s="1">
        <f t="shared" si="288"/>
        <v>5014</v>
      </c>
      <c r="L2287" s="1">
        <f t="shared" si="285"/>
        <v>1153.22</v>
      </c>
      <c r="M2287" s="22">
        <f t="shared" si="289"/>
        <v>6167.22</v>
      </c>
      <c r="N2287" s="1">
        <f t="shared" ca="1" si="286"/>
        <v>7</v>
      </c>
      <c r="P2287" s="1">
        <v>46.222118170408066</v>
      </c>
      <c r="Q2287" s="1">
        <f t="shared" ca="1" si="287"/>
        <v>4</v>
      </c>
      <c r="R2287" s="1">
        <v>7.5323760281753493</v>
      </c>
    </row>
    <row r="2288" spans="1:18" x14ac:dyDescent="0.3">
      <c r="A2288" s="26">
        <v>2287</v>
      </c>
      <c r="B2288" s="1">
        <v>26</v>
      </c>
      <c r="C2288" s="1">
        <f t="shared" si="283"/>
        <v>6</v>
      </c>
      <c r="D2288" s="21">
        <f t="shared" ca="1" si="282"/>
        <v>44702</v>
      </c>
      <c r="E2288" s="1" t="s">
        <v>26</v>
      </c>
      <c r="F2288" s="1" t="s">
        <v>2316</v>
      </c>
      <c r="G2288" s="1" t="s">
        <v>28</v>
      </c>
      <c r="H2288" s="1">
        <v>2386</v>
      </c>
      <c r="I2288" s="1">
        <f t="shared" si="284"/>
        <v>39</v>
      </c>
      <c r="J2288" s="1">
        <f>VLOOKUP(B2288,Cena!$A$2:$B$101,2)</f>
        <v>99</v>
      </c>
      <c r="K2288" s="1">
        <f t="shared" si="288"/>
        <v>3861</v>
      </c>
      <c r="L2288" s="1">
        <f t="shared" si="285"/>
        <v>888.03000000000009</v>
      </c>
      <c r="M2288" s="22">
        <f t="shared" si="289"/>
        <v>4749.03</v>
      </c>
      <c r="N2288" s="1">
        <f t="shared" ca="1" si="286"/>
        <v>5</v>
      </c>
      <c r="P2288" s="1">
        <v>39.183925208635628</v>
      </c>
      <c r="Q2288" s="1">
        <f t="shared" ca="1" si="287"/>
        <v>8</v>
      </c>
      <c r="R2288" s="1">
        <v>6.2523133945069276</v>
      </c>
    </row>
    <row r="2289" spans="1:18" x14ac:dyDescent="0.3">
      <c r="A2289" s="26">
        <v>2288</v>
      </c>
      <c r="B2289" s="1">
        <v>13</v>
      </c>
      <c r="C2289" s="1">
        <f t="shared" si="283"/>
        <v>5</v>
      </c>
      <c r="D2289" s="21">
        <f t="shared" ca="1" si="282"/>
        <v>44670</v>
      </c>
      <c r="E2289" s="1" t="s">
        <v>26</v>
      </c>
      <c r="F2289" s="1" t="s">
        <v>2317</v>
      </c>
      <c r="G2289" s="1" t="s">
        <v>28</v>
      </c>
      <c r="H2289" s="1">
        <v>2387</v>
      </c>
      <c r="I2289" s="1">
        <f t="shared" si="284"/>
        <v>29</v>
      </c>
      <c r="J2289" s="1">
        <f>VLOOKUP(B2289,Cena!$A$2:$B$101,2)</f>
        <v>94</v>
      </c>
      <c r="K2289" s="1">
        <f t="shared" si="288"/>
        <v>2726</v>
      </c>
      <c r="L2289" s="1">
        <f t="shared" si="285"/>
        <v>626.98</v>
      </c>
      <c r="M2289" s="22">
        <f t="shared" si="289"/>
        <v>3352.98</v>
      </c>
      <c r="N2289" s="1">
        <f t="shared" ca="1" si="286"/>
        <v>4</v>
      </c>
      <c r="P2289" s="1">
        <v>29.059612087439746</v>
      </c>
      <c r="Q2289" s="1">
        <f t="shared" ca="1" si="287"/>
        <v>28</v>
      </c>
      <c r="R2289" s="1">
        <v>5.1844984025228769</v>
      </c>
    </row>
    <row r="2290" spans="1:18" x14ac:dyDescent="0.3">
      <c r="A2290" s="26">
        <v>2289</v>
      </c>
      <c r="B2290" s="1">
        <v>22</v>
      </c>
      <c r="C2290" s="1">
        <f t="shared" si="283"/>
        <v>9</v>
      </c>
      <c r="D2290" s="21">
        <f t="shared" ca="1" si="282"/>
        <v>44808</v>
      </c>
      <c r="E2290" s="1" t="s">
        <v>26</v>
      </c>
      <c r="F2290" s="1" t="s">
        <v>2318</v>
      </c>
      <c r="G2290" s="1" t="s">
        <v>28</v>
      </c>
      <c r="H2290" s="1">
        <v>2388</v>
      </c>
      <c r="I2290" s="1">
        <f t="shared" si="284"/>
        <v>45</v>
      </c>
      <c r="J2290" s="1">
        <f>VLOOKUP(B2290,Cena!$A$2:$B$101,2)</f>
        <v>103</v>
      </c>
      <c r="K2290" s="1">
        <f t="shared" si="288"/>
        <v>4635</v>
      </c>
      <c r="L2290" s="1">
        <f t="shared" si="285"/>
        <v>1066.05</v>
      </c>
      <c r="M2290" s="22">
        <f t="shared" si="289"/>
        <v>5701.05</v>
      </c>
      <c r="N2290" s="1">
        <f t="shared" ca="1" si="286"/>
        <v>9</v>
      </c>
      <c r="P2290" s="1">
        <v>45.834707533504115</v>
      </c>
      <c r="Q2290" s="1">
        <f t="shared" ca="1" si="287"/>
        <v>27</v>
      </c>
      <c r="R2290" s="1">
        <v>9.2331993325933581</v>
      </c>
    </row>
    <row r="2291" spans="1:18" x14ac:dyDescent="0.3">
      <c r="A2291" s="26">
        <v>2290</v>
      </c>
      <c r="B2291" s="1">
        <v>30</v>
      </c>
      <c r="C2291" s="1">
        <f t="shared" si="283"/>
        <v>9</v>
      </c>
      <c r="D2291" s="21">
        <f t="shared" ca="1" si="282"/>
        <v>44639</v>
      </c>
      <c r="E2291" s="1" t="s">
        <v>26</v>
      </c>
      <c r="F2291" s="1" t="s">
        <v>2319</v>
      </c>
      <c r="G2291" s="1" t="s">
        <v>28</v>
      </c>
      <c r="H2291" s="1">
        <v>2389</v>
      </c>
      <c r="I2291" s="1">
        <f t="shared" si="284"/>
        <v>73</v>
      </c>
      <c r="J2291" s="1">
        <f>VLOOKUP(B2291,Cena!$A$2:$B$101,2)</f>
        <v>87</v>
      </c>
      <c r="K2291" s="1">
        <f t="shared" si="288"/>
        <v>6351</v>
      </c>
      <c r="L2291" s="1">
        <f t="shared" si="285"/>
        <v>1460.73</v>
      </c>
      <c r="M2291" s="22">
        <f t="shared" si="289"/>
        <v>7811.73</v>
      </c>
      <c r="N2291" s="1">
        <f t="shared" ca="1" si="286"/>
        <v>3</v>
      </c>
      <c r="P2291" s="1">
        <v>73.531174520030618</v>
      </c>
      <c r="Q2291" s="1">
        <f t="shared" ca="1" si="287"/>
        <v>17</v>
      </c>
      <c r="R2291" s="1">
        <v>9.0089435186746414</v>
      </c>
    </row>
    <row r="2292" spans="1:18" x14ac:dyDescent="0.3">
      <c r="A2292" s="26">
        <v>2291</v>
      </c>
      <c r="B2292" s="1">
        <v>8</v>
      </c>
      <c r="C2292" s="1">
        <f t="shared" si="283"/>
        <v>11</v>
      </c>
      <c r="D2292" s="21">
        <f t="shared" ca="1" si="282"/>
        <v>44791</v>
      </c>
      <c r="E2292" s="1" t="s">
        <v>26</v>
      </c>
      <c r="F2292" s="1" t="s">
        <v>2320</v>
      </c>
      <c r="G2292" s="1" t="s">
        <v>28</v>
      </c>
      <c r="H2292" s="1">
        <v>2390</v>
      </c>
      <c r="I2292" s="1">
        <f t="shared" si="284"/>
        <v>43</v>
      </c>
      <c r="J2292" s="1">
        <f>VLOOKUP(B2292,Cena!$A$2:$B$101,2)</f>
        <v>88</v>
      </c>
      <c r="K2292" s="1">
        <f t="shared" si="288"/>
        <v>3784</v>
      </c>
      <c r="L2292" s="1">
        <f t="shared" si="285"/>
        <v>870.32</v>
      </c>
      <c r="M2292" s="22">
        <f t="shared" si="289"/>
        <v>4654.32</v>
      </c>
      <c r="N2292" s="1">
        <f t="shared" ca="1" si="286"/>
        <v>8</v>
      </c>
      <c r="P2292" s="1">
        <v>43.397750586154871</v>
      </c>
      <c r="Q2292" s="1">
        <f t="shared" ca="1" si="287"/>
        <v>16</v>
      </c>
      <c r="R2292" s="1">
        <v>11.375985902996035</v>
      </c>
    </row>
    <row r="2293" spans="1:18" x14ac:dyDescent="0.3">
      <c r="A2293" s="26">
        <v>2292</v>
      </c>
      <c r="B2293" s="1">
        <v>10</v>
      </c>
      <c r="C2293" s="1">
        <f t="shared" si="283"/>
        <v>8</v>
      </c>
      <c r="D2293" s="21">
        <f t="shared" ca="1" si="282"/>
        <v>44765</v>
      </c>
      <c r="E2293" s="1" t="s">
        <v>26</v>
      </c>
      <c r="F2293" s="1" t="s">
        <v>2321</v>
      </c>
      <c r="G2293" s="1" t="s">
        <v>28</v>
      </c>
      <c r="H2293" s="1">
        <v>2391</v>
      </c>
      <c r="I2293" s="1">
        <f t="shared" si="284"/>
        <v>38</v>
      </c>
      <c r="J2293" s="1">
        <f>VLOOKUP(B2293,Cena!$A$2:$B$101,2)</f>
        <v>109</v>
      </c>
      <c r="K2293" s="1">
        <f t="shared" si="288"/>
        <v>4142</v>
      </c>
      <c r="L2293" s="1">
        <f t="shared" si="285"/>
        <v>952.66000000000008</v>
      </c>
      <c r="M2293" s="22">
        <f t="shared" si="289"/>
        <v>5094.66</v>
      </c>
      <c r="N2293" s="1">
        <f t="shared" ca="1" si="286"/>
        <v>7</v>
      </c>
      <c r="P2293" s="1">
        <v>38.329045663704164</v>
      </c>
      <c r="Q2293" s="1">
        <f t="shared" ca="1" si="287"/>
        <v>23</v>
      </c>
      <c r="R2293" s="1">
        <v>8.9193327110115206</v>
      </c>
    </row>
    <row r="2294" spans="1:18" x14ac:dyDescent="0.3">
      <c r="A2294" s="26">
        <v>2293</v>
      </c>
      <c r="B2294" s="1">
        <v>26</v>
      </c>
      <c r="C2294" s="1">
        <f t="shared" si="283"/>
        <v>8</v>
      </c>
      <c r="D2294" s="21">
        <f t="shared" ca="1" si="282"/>
        <v>44846</v>
      </c>
      <c r="E2294" s="1" t="s">
        <v>26</v>
      </c>
      <c r="F2294" s="1" t="s">
        <v>2322</v>
      </c>
      <c r="G2294" s="1" t="s">
        <v>28</v>
      </c>
      <c r="H2294" s="1">
        <v>2392</v>
      </c>
      <c r="I2294" s="1">
        <f t="shared" si="284"/>
        <v>36</v>
      </c>
      <c r="J2294" s="1">
        <f>VLOOKUP(B2294,Cena!$A$2:$B$101,2)</f>
        <v>99</v>
      </c>
      <c r="K2294" s="1">
        <f t="shared" si="288"/>
        <v>3564</v>
      </c>
      <c r="L2294" s="1">
        <f t="shared" si="285"/>
        <v>819.72</v>
      </c>
      <c r="M2294" s="22">
        <f t="shared" si="289"/>
        <v>4383.72</v>
      </c>
      <c r="N2294" s="1">
        <f t="shared" ca="1" si="286"/>
        <v>10</v>
      </c>
      <c r="P2294" s="1">
        <v>36.275611263408791</v>
      </c>
      <c r="Q2294" s="1">
        <f t="shared" ca="1" si="287"/>
        <v>11</v>
      </c>
      <c r="R2294" s="1">
        <v>8.8581123488984304</v>
      </c>
    </row>
    <row r="2295" spans="1:18" x14ac:dyDescent="0.3">
      <c r="A2295" s="26">
        <v>2294</v>
      </c>
      <c r="B2295" s="1">
        <v>5</v>
      </c>
      <c r="C2295" s="1">
        <f t="shared" si="283"/>
        <v>8</v>
      </c>
      <c r="D2295" s="21">
        <f t="shared" ca="1" si="282"/>
        <v>44574</v>
      </c>
      <c r="E2295" s="1" t="s">
        <v>26</v>
      </c>
      <c r="F2295" s="1" t="s">
        <v>2323</v>
      </c>
      <c r="G2295" s="1" t="s">
        <v>28</v>
      </c>
      <c r="H2295" s="1">
        <v>2393</v>
      </c>
      <c r="I2295" s="1">
        <f t="shared" si="284"/>
        <v>46</v>
      </c>
      <c r="J2295" s="1">
        <f>VLOOKUP(B2295,Cena!$A$2:$B$101,2)</f>
        <v>91</v>
      </c>
      <c r="K2295" s="1">
        <f t="shared" si="288"/>
        <v>4186</v>
      </c>
      <c r="L2295" s="1">
        <f t="shared" si="285"/>
        <v>962.78000000000009</v>
      </c>
      <c r="M2295" s="22">
        <f t="shared" si="289"/>
        <v>5148.78</v>
      </c>
      <c r="N2295" s="1">
        <f t="shared" ca="1" si="286"/>
        <v>1</v>
      </c>
      <c r="P2295" s="1">
        <v>46.93841346015688</v>
      </c>
      <c r="Q2295" s="1">
        <f t="shared" ca="1" si="287"/>
        <v>24</v>
      </c>
      <c r="R2295" s="1">
        <v>8.3785812673886539</v>
      </c>
    </row>
    <row r="2296" spans="1:18" x14ac:dyDescent="0.3">
      <c r="A2296" s="26">
        <v>2295</v>
      </c>
      <c r="B2296" s="1">
        <v>3</v>
      </c>
      <c r="C2296" s="1">
        <f t="shared" si="283"/>
        <v>11</v>
      </c>
      <c r="D2296" s="21">
        <f t="shared" ca="1" si="282"/>
        <v>44845</v>
      </c>
      <c r="E2296" s="1" t="s">
        <v>26</v>
      </c>
      <c r="F2296" s="1" t="s">
        <v>2324</v>
      </c>
      <c r="G2296" s="1" t="s">
        <v>28</v>
      </c>
      <c r="H2296" s="1">
        <v>2394</v>
      </c>
      <c r="I2296" s="1">
        <f t="shared" si="284"/>
        <v>58</v>
      </c>
      <c r="J2296" s="1">
        <f>VLOOKUP(B2296,Cena!$A$2:$B$101,2)</f>
        <v>89</v>
      </c>
      <c r="K2296" s="1">
        <f t="shared" si="288"/>
        <v>5162</v>
      </c>
      <c r="L2296" s="1">
        <f t="shared" si="285"/>
        <v>1187.26</v>
      </c>
      <c r="M2296" s="22">
        <f t="shared" si="289"/>
        <v>6349.26</v>
      </c>
      <c r="N2296" s="1">
        <f t="shared" ca="1" si="286"/>
        <v>10</v>
      </c>
      <c r="P2296" s="1">
        <v>58.610095392214134</v>
      </c>
      <c r="Q2296" s="1">
        <f t="shared" ca="1" si="287"/>
        <v>14</v>
      </c>
      <c r="R2296" s="1">
        <v>11.645332758926088</v>
      </c>
    </row>
    <row r="2297" spans="1:18" x14ac:dyDescent="0.3">
      <c r="A2297" s="26">
        <v>2296</v>
      </c>
      <c r="B2297" s="1">
        <v>18</v>
      </c>
      <c r="C2297" s="1">
        <f t="shared" si="283"/>
        <v>12</v>
      </c>
      <c r="D2297" s="21">
        <f t="shared" ca="1" si="282"/>
        <v>44800</v>
      </c>
      <c r="E2297" s="1" t="s">
        <v>26</v>
      </c>
      <c r="F2297" s="1" t="s">
        <v>2325</v>
      </c>
      <c r="G2297" s="1" t="s">
        <v>28</v>
      </c>
      <c r="H2297" s="1">
        <v>2395</v>
      </c>
      <c r="I2297" s="1">
        <f t="shared" si="284"/>
        <v>50</v>
      </c>
      <c r="J2297" s="1">
        <f>VLOOKUP(B2297,Cena!$A$2:$B$101,2)</f>
        <v>90</v>
      </c>
      <c r="K2297" s="1">
        <f t="shared" si="288"/>
        <v>4500</v>
      </c>
      <c r="L2297" s="1">
        <f t="shared" si="285"/>
        <v>1035</v>
      </c>
      <c r="M2297" s="22">
        <f t="shared" si="289"/>
        <v>5535</v>
      </c>
      <c r="N2297" s="1">
        <f t="shared" ca="1" si="286"/>
        <v>8</v>
      </c>
      <c r="P2297" s="1">
        <v>50.111310782813234</v>
      </c>
      <c r="Q2297" s="1">
        <f t="shared" ca="1" si="287"/>
        <v>11</v>
      </c>
      <c r="R2297" s="1">
        <v>12.900054596466362</v>
      </c>
    </row>
    <row r="2298" spans="1:18" x14ac:dyDescent="0.3">
      <c r="A2298" s="26">
        <v>2297</v>
      </c>
      <c r="B2298" s="1">
        <v>7</v>
      </c>
      <c r="C2298" s="1">
        <f t="shared" si="283"/>
        <v>12</v>
      </c>
      <c r="D2298" s="21">
        <f t="shared" ca="1" si="282"/>
        <v>44631</v>
      </c>
      <c r="E2298" s="1" t="s">
        <v>26</v>
      </c>
      <c r="F2298" s="1" t="s">
        <v>2326</v>
      </c>
      <c r="G2298" s="1" t="s">
        <v>28</v>
      </c>
      <c r="H2298" s="1">
        <v>2396</v>
      </c>
      <c r="I2298" s="1">
        <f t="shared" si="284"/>
        <v>43</v>
      </c>
      <c r="J2298" s="1">
        <f>VLOOKUP(B2298,Cena!$A$2:$B$101,2)</f>
        <v>104</v>
      </c>
      <c r="K2298" s="1">
        <f t="shared" si="288"/>
        <v>4472</v>
      </c>
      <c r="L2298" s="1">
        <f t="shared" si="285"/>
        <v>1028.56</v>
      </c>
      <c r="M2298" s="22">
        <f t="shared" si="289"/>
        <v>5500.5599999999995</v>
      </c>
      <c r="N2298" s="1">
        <f t="shared" ca="1" si="286"/>
        <v>3</v>
      </c>
      <c r="P2298" s="1">
        <v>43.632809491828084</v>
      </c>
      <c r="Q2298" s="1">
        <f t="shared" ca="1" si="287"/>
        <v>7</v>
      </c>
      <c r="R2298" s="1">
        <v>12.32856223192357</v>
      </c>
    </row>
    <row r="2299" spans="1:18" x14ac:dyDescent="0.3">
      <c r="A2299" s="26">
        <v>2298</v>
      </c>
      <c r="B2299" s="1">
        <v>19</v>
      </c>
      <c r="C2299" s="1">
        <f t="shared" si="283"/>
        <v>6</v>
      </c>
      <c r="D2299" s="21">
        <f t="shared" ca="1" si="282"/>
        <v>44840</v>
      </c>
      <c r="E2299" s="1" t="s">
        <v>26</v>
      </c>
      <c r="F2299" s="1" t="s">
        <v>2327</v>
      </c>
      <c r="G2299" s="1" t="s">
        <v>28</v>
      </c>
      <c r="H2299" s="1">
        <v>2397</v>
      </c>
      <c r="I2299" s="1">
        <f t="shared" si="284"/>
        <v>51</v>
      </c>
      <c r="J2299" s="1">
        <f>VLOOKUP(B2299,Cena!$A$2:$B$101,2)</f>
        <v>84</v>
      </c>
      <c r="K2299" s="1">
        <f t="shared" si="288"/>
        <v>4284</v>
      </c>
      <c r="L2299" s="1">
        <f t="shared" si="285"/>
        <v>985.32</v>
      </c>
      <c r="M2299" s="22">
        <f t="shared" si="289"/>
        <v>5269.32</v>
      </c>
      <c r="N2299" s="1">
        <f t="shared" ca="1" si="286"/>
        <v>10</v>
      </c>
      <c r="P2299" s="1">
        <v>51.918431280500954</v>
      </c>
      <c r="Q2299" s="1">
        <f t="shared" ca="1" si="287"/>
        <v>8</v>
      </c>
      <c r="R2299" s="1">
        <v>6.7263192957034335</v>
      </c>
    </row>
    <row r="2300" spans="1:18" x14ac:dyDescent="0.3">
      <c r="A2300" s="26">
        <v>2299</v>
      </c>
      <c r="B2300" s="1">
        <v>10</v>
      </c>
      <c r="C2300" s="1">
        <f t="shared" si="283"/>
        <v>4</v>
      </c>
      <c r="D2300" s="21">
        <f t="shared" ca="1" si="282"/>
        <v>44850</v>
      </c>
      <c r="E2300" s="1" t="s">
        <v>26</v>
      </c>
      <c r="F2300" s="1" t="s">
        <v>2328</v>
      </c>
      <c r="G2300" s="1" t="s">
        <v>28</v>
      </c>
      <c r="H2300" s="1">
        <v>2398</v>
      </c>
      <c r="I2300" s="1">
        <f t="shared" si="284"/>
        <v>63</v>
      </c>
      <c r="J2300" s="1">
        <f>VLOOKUP(B2300,Cena!$A$2:$B$101,2)</f>
        <v>109</v>
      </c>
      <c r="K2300" s="1">
        <f t="shared" si="288"/>
        <v>6867</v>
      </c>
      <c r="L2300" s="1">
        <f t="shared" si="285"/>
        <v>1579.41</v>
      </c>
      <c r="M2300" s="22">
        <f t="shared" si="289"/>
        <v>8446.41</v>
      </c>
      <c r="N2300" s="1">
        <f t="shared" ca="1" si="286"/>
        <v>10</v>
      </c>
      <c r="P2300" s="1">
        <v>63.889075489714742</v>
      </c>
      <c r="Q2300" s="1">
        <f t="shared" ca="1" si="287"/>
        <v>1</v>
      </c>
      <c r="R2300" s="1">
        <v>4.3664079182781279</v>
      </c>
    </row>
    <row r="2301" spans="1:18" x14ac:dyDescent="0.3">
      <c r="A2301" s="26">
        <v>2300</v>
      </c>
      <c r="B2301" s="1">
        <v>13</v>
      </c>
      <c r="C2301" s="1">
        <f t="shared" si="283"/>
        <v>9</v>
      </c>
      <c r="D2301" s="21">
        <f t="shared" ca="1" si="282"/>
        <v>44841</v>
      </c>
      <c r="E2301" s="1" t="s">
        <v>26</v>
      </c>
      <c r="F2301" s="1" t="s">
        <v>2329</v>
      </c>
      <c r="G2301" s="1" t="s">
        <v>28</v>
      </c>
      <c r="H2301" s="1">
        <v>2399</v>
      </c>
      <c r="I2301" s="1">
        <f t="shared" si="284"/>
        <v>47</v>
      </c>
      <c r="J2301" s="1">
        <f>VLOOKUP(B2301,Cena!$A$2:$B$101,2)</f>
        <v>94</v>
      </c>
      <c r="K2301" s="1">
        <f t="shared" si="288"/>
        <v>4418</v>
      </c>
      <c r="L2301" s="1">
        <f t="shared" si="285"/>
        <v>1016.1400000000001</v>
      </c>
      <c r="M2301" s="22">
        <f t="shared" si="289"/>
        <v>5434.14</v>
      </c>
      <c r="N2301" s="1">
        <f t="shared" ca="1" si="286"/>
        <v>10</v>
      </c>
      <c r="P2301" s="1">
        <v>47.731242729059886</v>
      </c>
      <c r="Q2301" s="1">
        <f t="shared" ca="1" si="287"/>
        <v>22</v>
      </c>
      <c r="R2301" s="1">
        <v>9.155033947317861</v>
      </c>
    </row>
    <row r="2302" spans="1:18" x14ac:dyDescent="0.3">
      <c r="A2302" s="26">
        <v>2301</v>
      </c>
      <c r="B2302" s="1">
        <v>3</v>
      </c>
      <c r="C2302" s="1">
        <f t="shared" si="283"/>
        <v>10</v>
      </c>
      <c r="D2302" s="21">
        <f t="shared" ca="1" si="282"/>
        <v>44872</v>
      </c>
      <c r="E2302" s="1" t="s">
        <v>26</v>
      </c>
      <c r="F2302" s="1" t="s">
        <v>2330</v>
      </c>
      <c r="G2302" s="1" t="s">
        <v>28</v>
      </c>
      <c r="H2302" s="1">
        <v>2400</v>
      </c>
      <c r="I2302" s="1">
        <f t="shared" si="284"/>
        <v>57</v>
      </c>
      <c r="J2302" s="1">
        <f>VLOOKUP(B2302,Cena!$A$2:$B$101,2)</f>
        <v>89</v>
      </c>
      <c r="K2302" s="1">
        <f t="shared" si="288"/>
        <v>5073</v>
      </c>
      <c r="L2302" s="1">
        <f t="shared" si="285"/>
        <v>1166.79</v>
      </c>
      <c r="M2302" s="22">
        <f t="shared" si="289"/>
        <v>6239.79</v>
      </c>
      <c r="N2302" s="1">
        <f t="shared" ca="1" si="286"/>
        <v>11</v>
      </c>
      <c r="P2302" s="1">
        <v>57.738162821624428</v>
      </c>
      <c r="Q2302" s="1">
        <f t="shared" ca="1" si="287"/>
        <v>15</v>
      </c>
      <c r="R2302" s="1">
        <v>10.586436499361298</v>
      </c>
    </row>
    <row r="2303" spans="1:18" x14ac:dyDescent="0.3">
      <c r="A2303" s="26">
        <v>2302</v>
      </c>
      <c r="B2303" s="1">
        <v>12</v>
      </c>
      <c r="C2303" s="1">
        <f t="shared" si="283"/>
        <v>11</v>
      </c>
      <c r="D2303" s="21">
        <f t="shared" ca="1" si="282"/>
        <v>44728</v>
      </c>
      <c r="E2303" s="1" t="s">
        <v>26</v>
      </c>
      <c r="F2303" s="1" t="s">
        <v>2331</v>
      </c>
      <c r="G2303" s="1" t="s">
        <v>28</v>
      </c>
      <c r="H2303" s="1">
        <v>2401</v>
      </c>
      <c r="I2303" s="1">
        <f t="shared" si="284"/>
        <v>48</v>
      </c>
      <c r="J2303" s="1">
        <f>VLOOKUP(B2303,Cena!$A$2:$B$101,2)</f>
        <v>88</v>
      </c>
      <c r="K2303" s="1">
        <f t="shared" si="288"/>
        <v>4224</v>
      </c>
      <c r="L2303" s="1">
        <f t="shared" si="285"/>
        <v>971.5200000000001</v>
      </c>
      <c r="M2303" s="22">
        <f t="shared" si="289"/>
        <v>5195.5200000000004</v>
      </c>
      <c r="N2303" s="1">
        <f t="shared" ca="1" si="286"/>
        <v>6</v>
      </c>
      <c r="P2303" s="1">
        <v>48.109615262364969</v>
      </c>
      <c r="Q2303" s="1">
        <f t="shared" ca="1" si="287"/>
        <v>8</v>
      </c>
      <c r="R2303" s="1">
        <v>11.383335757054738</v>
      </c>
    </row>
    <row r="2304" spans="1:18" x14ac:dyDescent="0.3">
      <c r="A2304" s="26">
        <v>2303</v>
      </c>
      <c r="B2304" s="1">
        <v>16</v>
      </c>
      <c r="C2304" s="1">
        <f t="shared" si="283"/>
        <v>9</v>
      </c>
      <c r="D2304" s="21">
        <f t="shared" ca="1" si="282"/>
        <v>44798</v>
      </c>
      <c r="E2304" s="1" t="s">
        <v>26</v>
      </c>
      <c r="F2304" s="1" t="s">
        <v>2332</v>
      </c>
      <c r="G2304" s="1" t="s">
        <v>28</v>
      </c>
      <c r="H2304" s="1">
        <v>2402</v>
      </c>
      <c r="I2304" s="1">
        <f t="shared" si="284"/>
        <v>59</v>
      </c>
      <c r="J2304" s="1">
        <f>VLOOKUP(B2304,Cena!$A$2:$B$101,2)</f>
        <v>93</v>
      </c>
      <c r="K2304" s="1">
        <f t="shared" si="288"/>
        <v>5487</v>
      </c>
      <c r="L2304" s="1">
        <f t="shared" si="285"/>
        <v>1262.01</v>
      </c>
      <c r="M2304" s="22">
        <f t="shared" si="289"/>
        <v>6749.01</v>
      </c>
      <c r="N2304" s="1">
        <f t="shared" ca="1" si="286"/>
        <v>8</v>
      </c>
      <c r="P2304" s="1">
        <v>59.337873052572832</v>
      </c>
      <c r="Q2304" s="1">
        <f t="shared" ca="1" si="287"/>
        <v>26</v>
      </c>
      <c r="R2304" s="1">
        <v>9.8667334466517786</v>
      </c>
    </row>
    <row r="2305" spans="1:18" x14ac:dyDescent="0.3">
      <c r="A2305" s="26">
        <v>2304</v>
      </c>
      <c r="B2305" s="1">
        <v>14</v>
      </c>
      <c r="C2305" s="1">
        <f t="shared" si="283"/>
        <v>12</v>
      </c>
      <c r="D2305" s="21">
        <f t="shared" ca="1" si="282"/>
        <v>44578</v>
      </c>
      <c r="E2305" s="1" t="s">
        <v>26</v>
      </c>
      <c r="F2305" s="1" t="s">
        <v>2333</v>
      </c>
      <c r="G2305" s="1" t="s">
        <v>28</v>
      </c>
      <c r="H2305" s="1">
        <v>2403</v>
      </c>
      <c r="I2305" s="1">
        <f t="shared" si="284"/>
        <v>45</v>
      </c>
      <c r="J2305" s="1">
        <f>VLOOKUP(B2305,Cena!$A$2:$B$101,2)</f>
        <v>129</v>
      </c>
      <c r="K2305" s="1">
        <f t="shared" si="288"/>
        <v>5805</v>
      </c>
      <c r="L2305" s="1">
        <f t="shared" si="285"/>
        <v>1335.15</v>
      </c>
      <c r="M2305" s="22">
        <f t="shared" si="289"/>
        <v>7140.15</v>
      </c>
      <c r="N2305" s="1">
        <f t="shared" ca="1" si="286"/>
        <v>1</v>
      </c>
      <c r="P2305" s="1">
        <v>45.542555097927107</v>
      </c>
      <c r="Q2305" s="1">
        <f t="shared" ca="1" si="287"/>
        <v>28</v>
      </c>
      <c r="R2305" s="1">
        <v>12.273060317747877</v>
      </c>
    </row>
    <row r="2306" spans="1:18" x14ac:dyDescent="0.3">
      <c r="A2306" s="26">
        <v>2305</v>
      </c>
      <c r="B2306" s="1">
        <v>19</v>
      </c>
      <c r="C2306" s="1">
        <f t="shared" si="283"/>
        <v>8</v>
      </c>
      <c r="D2306" s="21">
        <f t="shared" ref="D2306:D2369" ca="1" si="290">DATE(2022,RANDBETWEEN(1,12),RANDBETWEEN(1,28))</f>
        <v>44627</v>
      </c>
      <c r="E2306" s="1" t="s">
        <v>26</v>
      </c>
      <c r="F2306" s="1" t="s">
        <v>2334</v>
      </c>
      <c r="G2306" s="1" t="s">
        <v>28</v>
      </c>
      <c r="H2306" s="1">
        <v>2404</v>
      </c>
      <c r="I2306" s="1">
        <f t="shared" si="284"/>
        <v>37</v>
      </c>
      <c r="J2306" s="1">
        <f>VLOOKUP(B2306,Cena!$A$2:$B$101,2)</f>
        <v>84</v>
      </c>
      <c r="K2306" s="1">
        <f t="shared" si="288"/>
        <v>3108</v>
      </c>
      <c r="L2306" s="1">
        <f t="shared" si="285"/>
        <v>714.84</v>
      </c>
      <c r="M2306" s="22">
        <f t="shared" si="289"/>
        <v>3822.84</v>
      </c>
      <c r="N2306" s="1">
        <f t="shared" ca="1" si="286"/>
        <v>3</v>
      </c>
      <c r="P2306" s="1">
        <v>37.384171618032269</v>
      </c>
      <c r="Q2306" s="1">
        <f t="shared" ca="1" si="287"/>
        <v>14</v>
      </c>
      <c r="R2306" s="1">
        <v>8.9670129707519663</v>
      </c>
    </row>
    <row r="2307" spans="1:18" x14ac:dyDescent="0.3">
      <c r="A2307" s="26">
        <v>2306</v>
      </c>
      <c r="B2307" s="1">
        <v>14</v>
      </c>
      <c r="C2307" s="1">
        <f t="shared" ref="C2307:C2370" si="291">INT(R2307)</f>
        <v>8</v>
      </c>
      <c r="D2307" s="21">
        <f t="shared" ca="1" si="290"/>
        <v>44596</v>
      </c>
      <c r="E2307" s="1" t="s">
        <v>26</v>
      </c>
      <c r="F2307" s="1" t="s">
        <v>2335</v>
      </c>
      <c r="G2307" s="1" t="s">
        <v>28</v>
      </c>
      <c r="H2307" s="1">
        <v>2405</v>
      </c>
      <c r="I2307" s="1">
        <f t="shared" ref="I2307:I2370" si="292">INT(P2307)</f>
        <v>43</v>
      </c>
      <c r="J2307" s="1">
        <f>VLOOKUP(B2307,Cena!$A$2:$B$101,2)</f>
        <v>129</v>
      </c>
      <c r="K2307" s="1">
        <f t="shared" si="288"/>
        <v>5547</v>
      </c>
      <c r="L2307" s="1">
        <f t="shared" ref="L2307:L2370" si="293">K2307*23%</f>
        <v>1275.81</v>
      </c>
      <c r="M2307" s="22">
        <f t="shared" si="289"/>
        <v>6822.8099999999995</v>
      </c>
      <c r="N2307" s="1">
        <f t="shared" ref="N2307:N2370" ca="1" si="294">MONTH(D2307)</f>
        <v>2</v>
      </c>
      <c r="P2307" s="1">
        <v>43.104756867978722</v>
      </c>
      <c r="Q2307" s="1">
        <f t="shared" ref="Q2307:Q2370" ca="1" si="295">RANDBETWEEN(1,30)</f>
        <v>3</v>
      </c>
      <c r="R2307" s="1">
        <v>8.0757650064333575</v>
      </c>
    </row>
    <row r="2308" spans="1:18" x14ac:dyDescent="0.3">
      <c r="A2308" s="26">
        <v>2307</v>
      </c>
      <c r="B2308" s="1">
        <v>7</v>
      </c>
      <c r="C2308" s="1">
        <f t="shared" si="291"/>
        <v>10</v>
      </c>
      <c r="D2308" s="21">
        <f t="shared" ca="1" si="290"/>
        <v>44656</v>
      </c>
      <c r="E2308" s="1" t="s">
        <v>26</v>
      </c>
      <c r="F2308" s="1" t="s">
        <v>2336</v>
      </c>
      <c r="G2308" s="1" t="s">
        <v>28</v>
      </c>
      <c r="H2308" s="1">
        <v>2406</v>
      </c>
      <c r="I2308" s="1">
        <f t="shared" si="292"/>
        <v>65</v>
      </c>
      <c r="J2308" s="1">
        <f>VLOOKUP(B2308,Cena!$A$2:$B$101,2)</f>
        <v>104</v>
      </c>
      <c r="K2308" s="1">
        <f t="shared" si="288"/>
        <v>6760</v>
      </c>
      <c r="L2308" s="1">
        <f t="shared" si="293"/>
        <v>1554.8</v>
      </c>
      <c r="M2308" s="22">
        <f t="shared" si="289"/>
        <v>8314.7999999999993</v>
      </c>
      <c r="N2308" s="1">
        <f t="shared" ca="1" si="294"/>
        <v>4</v>
      </c>
      <c r="P2308" s="1">
        <v>65.803925634827465</v>
      </c>
      <c r="Q2308" s="1">
        <f t="shared" ca="1" si="295"/>
        <v>16</v>
      </c>
      <c r="R2308" s="1">
        <v>10.279896994470619</v>
      </c>
    </row>
    <row r="2309" spans="1:18" x14ac:dyDescent="0.3">
      <c r="A2309" s="26">
        <v>2308</v>
      </c>
      <c r="B2309" s="1">
        <v>9</v>
      </c>
      <c r="C2309" s="1">
        <f t="shared" si="291"/>
        <v>8</v>
      </c>
      <c r="D2309" s="21">
        <f t="shared" ca="1" si="290"/>
        <v>44692</v>
      </c>
      <c r="E2309" s="1" t="s">
        <v>26</v>
      </c>
      <c r="F2309" s="1" t="s">
        <v>2337</v>
      </c>
      <c r="G2309" s="1" t="s">
        <v>28</v>
      </c>
      <c r="H2309" s="1">
        <v>2407</v>
      </c>
      <c r="I2309" s="1">
        <f t="shared" si="292"/>
        <v>47</v>
      </c>
      <c r="J2309" s="1">
        <f>VLOOKUP(B2309,Cena!$A$2:$B$101,2)</f>
        <v>96</v>
      </c>
      <c r="K2309" s="1">
        <f t="shared" si="288"/>
        <v>4512</v>
      </c>
      <c r="L2309" s="1">
        <f t="shared" si="293"/>
        <v>1037.76</v>
      </c>
      <c r="M2309" s="22">
        <f t="shared" si="289"/>
        <v>5549.76</v>
      </c>
      <c r="N2309" s="1">
        <f t="shared" ca="1" si="294"/>
        <v>5</v>
      </c>
      <c r="P2309" s="1">
        <v>47.335339685378131</v>
      </c>
      <c r="Q2309" s="1">
        <f t="shared" ca="1" si="295"/>
        <v>8</v>
      </c>
      <c r="R2309" s="1">
        <v>8.4359760674124118</v>
      </c>
    </row>
    <row r="2310" spans="1:18" x14ac:dyDescent="0.3">
      <c r="A2310" s="26">
        <v>2309</v>
      </c>
      <c r="B2310" s="1">
        <v>28</v>
      </c>
      <c r="C2310" s="1">
        <f t="shared" si="291"/>
        <v>11</v>
      </c>
      <c r="D2310" s="21">
        <f t="shared" ca="1" si="290"/>
        <v>44745</v>
      </c>
      <c r="E2310" s="1" t="s">
        <v>26</v>
      </c>
      <c r="F2310" s="1" t="s">
        <v>2338</v>
      </c>
      <c r="G2310" s="1" t="s">
        <v>28</v>
      </c>
      <c r="H2310" s="1">
        <v>2408</v>
      </c>
      <c r="I2310" s="1">
        <f t="shared" si="292"/>
        <v>40</v>
      </c>
      <c r="J2310" s="1">
        <f>VLOOKUP(B2310,Cena!$A$2:$B$101,2)</f>
        <v>59</v>
      </c>
      <c r="K2310" s="1">
        <f t="shared" si="288"/>
        <v>2360</v>
      </c>
      <c r="L2310" s="1">
        <f t="shared" si="293"/>
        <v>542.80000000000007</v>
      </c>
      <c r="M2310" s="22">
        <f t="shared" si="289"/>
        <v>2902.8</v>
      </c>
      <c r="N2310" s="1">
        <f t="shared" ca="1" si="294"/>
        <v>7</v>
      </c>
      <c r="P2310" s="1">
        <v>40.175456332508475</v>
      </c>
      <c r="Q2310" s="1">
        <f t="shared" ca="1" si="295"/>
        <v>26</v>
      </c>
      <c r="R2310" s="1">
        <v>11.641771518734458</v>
      </c>
    </row>
    <row r="2311" spans="1:18" x14ac:dyDescent="0.3">
      <c r="A2311" s="26">
        <v>2310</v>
      </c>
      <c r="B2311" s="1">
        <v>9</v>
      </c>
      <c r="C2311" s="1">
        <f t="shared" si="291"/>
        <v>11</v>
      </c>
      <c r="D2311" s="21">
        <f t="shared" ca="1" si="290"/>
        <v>44617</v>
      </c>
      <c r="E2311" s="1" t="s">
        <v>26</v>
      </c>
      <c r="F2311" s="1" t="s">
        <v>2339</v>
      </c>
      <c r="G2311" s="1" t="s">
        <v>28</v>
      </c>
      <c r="H2311" s="1">
        <v>2409</v>
      </c>
      <c r="I2311" s="1">
        <f t="shared" si="292"/>
        <v>55</v>
      </c>
      <c r="J2311" s="1">
        <f>VLOOKUP(B2311,Cena!$A$2:$B$101,2)</f>
        <v>96</v>
      </c>
      <c r="K2311" s="1">
        <f t="shared" si="288"/>
        <v>5280</v>
      </c>
      <c r="L2311" s="1">
        <f t="shared" si="293"/>
        <v>1214.4000000000001</v>
      </c>
      <c r="M2311" s="22">
        <f t="shared" si="289"/>
        <v>6494.4</v>
      </c>
      <c r="N2311" s="1">
        <f t="shared" ca="1" si="294"/>
        <v>2</v>
      </c>
      <c r="P2311" s="1">
        <v>55.51640368939843</v>
      </c>
      <c r="Q2311" s="1">
        <f t="shared" ca="1" si="295"/>
        <v>5</v>
      </c>
      <c r="R2311" s="1">
        <v>11.468168875362608</v>
      </c>
    </row>
    <row r="2312" spans="1:18" x14ac:dyDescent="0.3">
      <c r="A2312" s="26">
        <v>2311</v>
      </c>
      <c r="B2312" s="1">
        <v>13</v>
      </c>
      <c r="C2312" s="1">
        <f t="shared" si="291"/>
        <v>5</v>
      </c>
      <c r="D2312" s="21">
        <f t="shared" ca="1" si="290"/>
        <v>44820</v>
      </c>
      <c r="E2312" s="1" t="s">
        <v>26</v>
      </c>
      <c r="F2312" s="1" t="s">
        <v>2340</v>
      </c>
      <c r="G2312" s="1" t="s">
        <v>28</v>
      </c>
      <c r="H2312" s="1">
        <v>2410</v>
      </c>
      <c r="I2312" s="1">
        <f t="shared" si="292"/>
        <v>46</v>
      </c>
      <c r="J2312" s="1">
        <f>VLOOKUP(B2312,Cena!$A$2:$B$101,2)</f>
        <v>94</v>
      </c>
      <c r="K2312" s="1">
        <f t="shared" si="288"/>
        <v>4324</v>
      </c>
      <c r="L2312" s="1">
        <f t="shared" si="293"/>
        <v>994.5200000000001</v>
      </c>
      <c r="M2312" s="22">
        <f t="shared" si="289"/>
        <v>5318.52</v>
      </c>
      <c r="N2312" s="1">
        <f t="shared" ca="1" si="294"/>
        <v>9</v>
      </c>
      <c r="P2312" s="1">
        <v>46.20814605805208</v>
      </c>
      <c r="Q2312" s="1">
        <f t="shared" ca="1" si="295"/>
        <v>7</v>
      </c>
      <c r="R2312" s="1">
        <v>5.4292889015050605</v>
      </c>
    </row>
    <row r="2313" spans="1:18" x14ac:dyDescent="0.3">
      <c r="A2313" s="26">
        <v>2312</v>
      </c>
      <c r="B2313" s="1">
        <v>17</v>
      </c>
      <c r="C2313" s="1">
        <f t="shared" si="291"/>
        <v>9</v>
      </c>
      <c r="D2313" s="21">
        <f t="shared" ca="1" si="290"/>
        <v>44563</v>
      </c>
      <c r="E2313" s="1" t="s">
        <v>26</v>
      </c>
      <c r="F2313" s="1" t="s">
        <v>2341</v>
      </c>
      <c r="G2313" s="1" t="s">
        <v>28</v>
      </c>
      <c r="H2313" s="1">
        <v>2411</v>
      </c>
      <c r="I2313" s="1">
        <f t="shared" si="292"/>
        <v>51</v>
      </c>
      <c r="J2313" s="1">
        <f>VLOOKUP(B2313,Cena!$A$2:$B$101,2)</f>
        <v>84</v>
      </c>
      <c r="K2313" s="1">
        <f t="shared" si="288"/>
        <v>4284</v>
      </c>
      <c r="L2313" s="1">
        <f t="shared" si="293"/>
        <v>985.32</v>
      </c>
      <c r="M2313" s="22">
        <f t="shared" si="289"/>
        <v>5269.32</v>
      </c>
      <c r="N2313" s="1">
        <f t="shared" ca="1" si="294"/>
        <v>1</v>
      </c>
      <c r="P2313" s="1">
        <v>51.929333848238457</v>
      </c>
      <c r="Q2313" s="1">
        <f t="shared" ca="1" si="295"/>
        <v>7</v>
      </c>
      <c r="R2313" s="1">
        <v>9.4932863955909852</v>
      </c>
    </row>
    <row r="2314" spans="1:18" x14ac:dyDescent="0.3">
      <c r="A2314" s="26">
        <v>2313</v>
      </c>
      <c r="B2314" s="1">
        <v>27</v>
      </c>
      <c r="C2314" s="1">
        <f t="shared" si="291"/>
        <v>10</v>
      </c>
      <c r="D2314" s="21">
        <f t="shared" ca="1" si="290"/>
        <v>44862</v>
      </c>
      <c r="E2314" s="1" t="s">
        <v>26</v>
      </c>
      <c r="F2314" s="1" t="s">
        <v>2342</v>
      </c>
      <c r="G2314" s="1" t="s">
        <v>28</v>
      </c>
      <c r="H2314" s="1">
        <v>2412</v>
      </c>
      <c r="I2314" s="1">
        <f t="shared" si="292"/>
        <v>66</v>
      </c>
      <c r="J2314" s="1">
        <f>VLOOKUP(B2314,Cena!$A$2:$B$101,2)</f>
        <v>87</v>
      </c>
      <c r="K2314" s="1">
        <f t="shared" si="288"/>
        <v>5742</v>
      </c>
      <c r="L2314" s="1">
        <f t="shared" si="293"/>
        <v>1320.66</v>
      </c>
      <c r="M2314" s="22">
        <f t="shared" si="289"/>
        <v>7062.66</v>
      </c>
      <c r="N2314" s="1">
        <f t="shared" ca="1" si="294"/>
        <v>10</v>
      </c>
      <c r="P2314" s="1">
        <v>66.126750779221766</v>
      </c>
      <c r="Q2314" s="1">
        <f t="shared" ca="1" si="295"/>
        <v>13</v>
      </c>
      <c r="R2314" s="1">
        <v>10.836263325254549</v>
      </c>
    </row>
    <row r="2315" spans="1:18" x14ac:dyDescent="0.3">
      <c r="A2315" s="26">
        <v>2314</v>
      </c>
      <c r="B2315" s="1">
        <v>4</v>
      </c>
      <c r="C2315" s="1">
        <f t="shared" si="291"/>
        <v>9</v>
      </c>
      <c r="D2315" s="21">
        <f t="shared" ca="1" si="290"/>
        <v>44682</v>
      </c>
      <c r="E2315" s="1" t="s">
        <v>26</v>
      </c>
      <c r="F2315" s="1" t="s">
        <v>2343</v>
      </c>
      <c r="G2315" s="1" t="s">
        <v>28</v>
      </c>
      <c r="H2315" s="1">
        <v>2413</v>
      </c>
      <c r="I2315" s="1">
        <f t="shared" si="292"/>
        <v>55</v>
      </c>
      <c r="J2315" s="1">
        <f>VLOOKUP(B2315,Cena!$A$2:$B$101,2)</f>
        <v>99</v>
      </c>
      <c r="K2315" s="1">
        <f t="shared" si="288"/>
        <v>5445</v>
      </c>
      <c r="L2315" s="1">
        <f t="shared" si="293"/>
        <v>1252.3500000000001</v>
      </c>
      <c r="M2315" s="22">
        <f t="shared" si="289"/>
        <v>6697.35</v>
      </c>
      <c r="N2315" s="1">
        <f t="shared" ca="1" si="294"/>
        <v>5</v>
      </c>
      <c r="P2315" s="1">
        <v>55.350602805265225</v>
      </c>
      <c r="Q2315" s="1">
        <f t="shared" ca="1" si="295"/>
        <v>11</v>
      </c>
      <c r="R2315" s="1">
        <v>9.2213645327865379</v>
      </c>
    </row>
    <row r="2316" spans="1:18" x14ac:dyDescent="0.3">
      <c r="A2316" s="26">
        <v>2315</v>
      </c>
      <c r="B2316" s="1">
        <v>26</v>
      </c>
      <c r="C2316" s="1">
        <f t="shared" si="291"/>
        <v>5</v>
      </c>
      <c r="D2316" s="21">
        <f t="shared" ca="1" si="290"/>
        <v>44633</v>
      </c>
      <c r="E2316" s="1" t="s">
        <v>26</v>
      </c>
      <c r="F2316" s="1" t="s">
        <v>2344</v>
      </c>
      <c r="G2316" s="1" t="s">
        <v>28</v>
      </c>
      <c r="H2316" s="1">
        <v>2414</v>
      </c>
      <c r="I2316" s="1">
        <f t="shared" si="292"/>
        <v>45</v>
      </c>
      <c r="J2316" s="1">
        <f>VLOOKUP(B2316,Cena!$A$2:$B$101,2)</f>
        <v>99</v>
      </c>
      <c r="K2316" s="1">
        <f t="shared" si="288"/>
        <v>4455</v>
      </c>
      <c r="L2316" s="1">
        <f t="shared" si="293"/>
        <v>1024.6500000000001</v>
      </c>
      <c r="M2316" s="22">
        <f t="shared" si="289"/>
        <v>5479.65</v>
      </c>
      <c r="N2316" s="1">
        <f t="shared" ca="1" si="294"/>
        <v>3</v>
      </c>
      <c r="P2316" s="1">
        <v>45.972802935284562</v>
      </c>
      <c r="Q2316" s="1">
        <f t="shared" ca="1" si="295"/>
        <v>17</v>
      </c>
      <c r="R2316" s="1">
        <v>5.3753331283223815</v>
      </c>
    </row>
    <row r="2317" spans="1:18" x14ac:dyDescent="0.3">
      <c r="A2317" s="26">
        <v>2316</v>
      </c>
      <c r="B2317" s="1">
        <v>17</v>
      </c>
      <c r="C2317" s="1">
        <f t="shared" si="291"/>
        <v>11</v>
      </c>
      <c r="D2317" s="21">
        <f t="shared" ca="1" si="290"/>
        <v>44671</v>
      </c>
      <c r="E2317" s="1" t="s">
        <v>26</v>
      </c>
      <c r="F2317" s="1" t="s">
        <v>2345</v>
      </c>
      <c r="G2317" s="1" t="s">
        <v>28</v>
      </c>
      <c r="H2317" s="1">
        <v>2415</v>
      </c>
      <c r="I2317" s="1">
        <f t="shared" si="292"/>
        <v>53</v>
      </c>
      <c r="J2317" s="1">
        <f>VLOOKUP(B2317,Cena!$A$2:$B$101,2)</f>
        <v>84</v>
      </c>
      <c r="K2317" s="1">
        <f t="shared" si="288"/>
        <v>4452</v>
      </c>
      <c r="L2317" s="1">
        <f t="shared" si="293"/>
        <v>1023.96</v>
      </c>
      <c r="M2317" s="22">
        <f t="shared" si="289"/>
        <v>5475.96</v>
      </c>
      <c r="N2317" s="1">
        <f t="shared" ca="1" si="294"/>
        <v>4</v>
      </c>
      <c r="P2317" s="1">
        <v>53.872537490678951</v>
      </c>
      <c r="Q2317" s="1">
        <f t="shared" ca="1" si="295"/>
        <v>28</v>
      </c>
      <c r="R2317" s="1">
        <v>11.888935230454081</v>
      </c>
    </row>
    <row r="2318" spans="1:18" x14ac:dyDescent="0.3">
      <c r="A2318" s="26">
        <v>2317</v>
      </c>
      <c r="B2318" s="1">
        <v>19</v>
      </c>
      <c r="C2318" s="1">
        <f t="shared" si="291"/>
        <v>11</v>
      </c>
      <c r="D2318" s="21">
        <f t="shared" ca="1" si="290"/>
        <v>44784</v>
      </c>
      <c r="E2318" s="1" t="s">
        <v>26</v>
      </c>
      <c r="F2318" s="1" t="s">
        <v>2346</v>
      </c>
      <c r="G2318" s="1" t="s">
        <v>28</v>
      </c>
      <c r="H2318" s="1">
        <v>2416</v>
      </c>
      <c r="I2318" s="1">
        <f t="shared" si="292"/>
        <v>54</v>
      </c>
      <c r="J2318" s="1">
        <f>VLOOKUP(B2318,Cena!$A$2:$B$101,2)</f>
        <v>84</v>
      </c>
      <c r="K2318" s="1">
        <f t="shared" si="288"/>
        <v>4536</v>
      </c>
      <c r="L2318" s="1">
        <f t="shared" si="293"/>
        <v>1043.28</v>
      </c>
      <c r="M2318" s="22">
        <f t="shared" si="289"/>
        <v>5579.28</v>
      </c>
      <c r="N2318" s="1">
        <f t="shared" ca="1" si="294"/>
        <v>8</v>
      </c>
      <c r="P2318" s="1">
        <v>54.327705482864985</v>
      </c>
      <c r="Q2318" s="1">
        <f t="shared" ca="1" si="295"/>
        <v>29</v>
      </c>
      <c r="R2318" s="1">
        <v>11.7452180145483</v>
      </c>
    </row>
    <row r="2319" spans="1:18" x14ac:dyDescent="0.3">
      <c r="A2319" s="26">
        <v>2318</v>
      </c>
      <c r="B2319" s="1">
        <v>14</v>
      </c>
      <c r="C2319" s="1">
        <f t="shared" si="291"/>
        <v>11</v>
      </c>
      <c r="D2319" s="21">
        <f t="shared" ca="1" si="290"/>
        <v>44830</v>
      </c>
      <c r="E2319" s="1" t="s">
        <v>26</v>
      </c>
      <c r="F2319" s="1" t="s">
        <v>2347</v>
      </c>
      <c r="G2319" s="1" t="s">
        <v>28</v>
      </c>
      <c r="H2319" s="1">
        <v>2417</v>
      </c>
      <c r="I2319" s="1">
        <f t="shared" si="292"/>
        <v>48</v>
      </c>
      <c r="J2319" s="1">
        <f>VLOOKUP(B2319,Cena!$A$2:$B$101,2)</f>
        <v>129</v>
      </c>
      <c r="K2319" s="1">
        <f t="shared" si="288"/>
        <v>6192</v>
      </c>
      <c r="L2319" s="1">
        <f t="shared" si="293"/>
        <v>1424.16</v>
      </c>
      <c r="M2319" s="22">
        <f t="shared" si="289"/>
        <v>7616.16</v>
      </c>
      <c r="N2319" s="1">
        <f t="shared" ca="1" si="294"/>
        <v>9</v>
      </c>
      <c r="P2319" s="1">
        <v>48.673843037977349</v>
      </c>
      <c r="Q2319" s="1">
        <f t="shared" ca="1" si="295"/>
        <v>12</v>
      </c>
      <c r="R2319" s="1">
        <v>11.229204826813657</v>
      </c>
    </row>
    <row r="2320" spans="1:18" x14ac:dyDescent="0.3">
      <c r="A2320" s="26">
        <v>2319</v>
      </c>
      <c r="B2320" s="1">
        <v>27</v>
      </c>
      <c r="C2320" s="1">
        <f t="shared" si="291"/>
        <v>8</v>
      </c>
      <c r="D2320" s="21">
        <f t="shared" ca="1" si="290"/>
        <v>44831</v>
      </c>
      <c r="E2320" s="1" t="s">
        <v>26</v>
      </c>
      <c r="F2320" s="1" t="s">
        <v>2348</v>
      </c>
      <c r="G2320" s="1" t="s">
        <v>28</v>
      </c>
      <c r="H2320" s="1">
        <v>2418</v>
      </c>
      <c r="I2320" s="1">
        <f t="shared" si="292"/>
        <v>41</v>
      </c>
      <c r="J2320" s="1">
        <f>VLOOKUP(B2320,Cena!$A$2:$B$101,2)</f>
        <v>87</v>
      </c>
      <c r="K2320" s="1">
        <f t="shared" si="288"/>
        <v>3567</v>
      </c>
      <c r="L2320" s="1">
        <f t="shared" si="293"/>
        <v>820.41000000000008</v>
      </c>
      <c r="M2320" s="22">
        <f t="shared" si="289"/>
        <v>4387.41</v>
      </c>
      <c r="N2320" s="1">
        <f t="shared" ca="1" si="294"/>
        <v>9</v>
      </c>
      <c r="P2320" s="1">
        <v>41.065078575047664</v>
      </c>
      <c r="Q2320" s="1">
        <f t="shared" ca="1" si="295"/>
        <v>18</v>
      </c>
      <c r="R2320" s="1">
        <v>8.1257872150308685</v>
      </c>
    </row>
    <row r="2321" spans="1:18" x14ac:dyDescent="0.3">
      <c r="A2321" s="26">
        <v>2320</v>
      </c>
      <c r="B2321" s="1">
        <v>28</v>
      </c>
      <c r="C2321" s="1">
        <f t="shared" si="291"/>
        <v>8</v>
      </c>
      <c r="D2321" s="21">
        <f t="shared" ca="1" si="290"/>
        <v>44756</v>
      </c>
      <c r="E2321" s="1" t="s">
        <v>26</v>
      </c>
      <c r="F2321" s="1" t="s">
        <v>2349</v>
      </c>
      <c r="G2321" s="1" t="s">
        <v>28</v>
      </c>
      <c r="H2321" s="1">
        <v>2419</v>
      </c>
      <c r="I2321" s="1">
        <f t="shared" si="292"/>
        <v>50</v>
      </c>
      <c r="J2321" s="1">
        <f>VLOOKUP(B2321,Cena!$A$2:$B$101,2)</f>
        <v>59</v>
      </c>
      <c r="K2321" s="1">
        <f t="shared" si="288"/>
        <v>2950</v>
      </c>
      <c r="L2321" s="1">
        <f t="shared" si="293"/>
        <v>678.5</v>
      </c>
      <c r="M2321" s="22">
        <f t="shared" si="289"/>
        <v>3628.5</v>
      </c>
      <c r="N2321" s="1">
        <f t="shared" ca="1" si="294"/>
        <v>7</v>
      </c>
      <c r="P2321" s="1">
        <v>50.806016942078713</v>
      </c>
      <c r="Q2321" s="1">
        <f t="shared" ca="1" si="295"/>
        <v>16</v>
      </c>
      <c r="R2321" s="1">
        <v>8.0590018822113052</v>
      </c>
    </row>
    <row r="2322" spans="1:18" x14ac:dyDescent="0.3">
      <c r="A2322" s="26">
        <v>2321</v>
      </c>
      <c r="B2322" s="1">
        <v>9</v>
      </c>
      <c r="C2322" s="1">
        <f t="shared" si="291"/>
        <v>7</v>
      </c>
      <c r="D2322" s="21">
        <f t="shared" ca="1" si="290"/>
        <v>44595</v>
      </c>
      <c r="E2322" s="1" t="s">
        <v>26</v>
      </c>
      <c r="F2322" s="1" t="s">
        <v>2350</v>
      </c>
      <c r="G2322" s="1" t="s">
        <v>28</v>
      </c>
      <c r="H2322" s="1">
        <v>2420</v>
      </c>
      <c r="I2322" s="1">
        <f t="shared" si="292"/>
        <v>63</v>
      </c>
      <c r="J2322" s="1">
        <f>VLOOKUP(B2322,Cena!$A$2:$B$101,2)</f>
        <v>96</v>
      </c>
      <c r="K2322" s="1">
        <f t="shared" si="288"/>
        <v>6048</v>
      </c>
      <c r="L2322" s="1">
        <f t="shared" si="293"/>
        <v>1391.04</v>
      </c>
      <c r="M2322" s="22">
        <f t="shared" si="289"/>
        <v>7439.04</v>
      </c>
      <c r="N2322" s="1">
        <f t="shared" ca="1" si="294"/>
        <v>2</v>
      </c>
      <c r="P2322" s="1">
        <v>63.931344255979639</v>
      </c>
      <c r="Q2322" s="1">
        <f t="shared" ca="1" si="295"/>
        <v>7</v>
      </c>
      <c r="R2322" s="1">
        <v>7.0583189679018687</v>
      </c>
    </row>
    <row r="2323" spans="1:18" x14ac:dyDescent="0.3">
      <c r="A2323" s="26">
        <v>2322</v>
      </c>
      <c r="B2323" s="1">
        <v>9</v>
      </c>
      <c r="C2323" s="1">
        <f t="shared" si="291"/>
        <v>7</v>
      </c>
      <c r="D2323" s="21">
        <f t="shared" ca="1" si="290"/>
        <v>44799</v>
      </c>
      <c r="E2323" s="1" t="s">
        <v>26</v>
      </c>
      <c r="F2323" s="1" t="s">
        <v>2351</v>
      </c>
      <c r="G2323" s="1" t="s">
        <v>28</v>
      </c>
      <c r="H2323" s="1">
        <v>2421</v>
      </c>
      <c r="I2323" s="1">
        <f t="shared" si="292"/>
        <v>53</v>
      </c>
      <c r="J2323" s="1">
        <f>VLOOKUP(B2323,Cena!$A$2:$B$101,2)</f>
        <v>96</v>
      </c>
      <c r="K2323" s="1">
        <f t="shared" si="288"/>
        <v>5088</v>
      </c>
      <c r="L2323" s="1">
        <f t="shared" si="293"/>
        <v>1170.24</v>
      </c>
      <c r="M2323" s="22">
        <f t="shared" si="289"/>
        <v>6258.24</v>
      </c>
      <c r="N2323" s="1">
        <f t="shared" ca="1" si="294"/>
        <v>8</v>
      </c>
      <c r="P2323" s="1">
        <v>53.918751190212788</v>
      </c>
      <c r="Q2323" s="1">
        <f t="shared" ca="1" si="295"/>
        <v>26</v>
      </c>
      <c r="R2323" s="1">
        <v>7.8555024426896125</v>
      </c>
    </row>
    <row r="2324" spans="1:18" x14ac:dyDescent="0.3">
      <c r="A2324" s="26">
        <v>2323</v>
      </c>
      <c r="B2324" s="1">
        <v>27</v>
      </c>
      <c r="C2324" s="1">
        <f t="shared" si="291"/>
        <v>13</v>
      </c>
      <c r="D2324" s="21">
        <f t="shared" ca="1" si="290"/>
        <v>44825</v>
      </c>
      <c r="E2324" s="1" t="s">
        <v>26</v>
      </c>
      <c r="F2324" s="1" t="s">
        <v>2352</v>
      </c>
      <c r="G2324" s="1" t="s">
        <v>28</v>
      </c>
      <c r="H2324" s="1">
        <v>2422</v>
      </c>
      <c r="I2324" s="1">
        <f t="shared" si="292"/>
        <v>57</v>
      </c>
      <c r="J2324" s="1">
        <f>VLOOKUP(B2324,Cena!$A$2:$B$101,2)</f>
        <v>87</v>
      </c>
      <c r="K2324" s="1">
        <f t="shared" si="288"/>
        <v>4959</v>
      </c>
      <c r="L2324" s="1">
        <f t="shared" si="293"/>
        <v>1140.57</v>
      </c>
      <c r="M2324" s="22">
        <f t="shared" si="289"/>
        <v>6099.57</v>
      </c>
      <c r="N2324" s="1">
        <f t="shared" ca="1" si="294"/>
        <v>9</v>
      </c>
      <c r="P2324" s="1">
        <v>57.386870493064635</v>
      </c>
      <c r="Q2324" s="1">
        <f t="shared" ca="1" si="295"/>
        <v>8</v>
      </c>
      <c r="R2324" s="1">
        <v>13.249942892580293</v>
      </c>
    </row>
    <row r="2325" spans="1:18" x14ac:dyDescent="0.3">
      <c r="A2325" s="26">
        <v>2324</v>
      </c>
      <c r="B2325" s="1">
        <v>22</v>
      </c>
      <c r="C2325" s="1">
        <f t="shared" si="291"/>
        <v>11</v>
      </c>
      <c r="D2325" s="21">
        <f t="shared" ca="1" si="290"/>
        <v>44807</v>
      </c>
      <c r="E2325" s="1" t="s">
        <v>26</v>
      </c>
      <c r="F2325" s="1" t="s">
        <v>2353</v>
      </c>
      <c r="G2325" s="1" t="s">
        <v>28</v>
      </c>
      <c r="H2325" s="1">
        <v>2423</v>
      </c>
      <c r="I2325" s="1">
        <f t="shared" si="292"/>
        <v>68</v>
      </c>
      <c r="J2325" s="1">
        <f>VLOOKUP(B2325,Cena!$A$2:$B$101,2)</f>
        <v>103</v>
      </c>
      <c r="K2325" s="1">
        <f t="shared" si="288"/>
        <v>7004</v>
      </c>
      <c r="L2325" s="1">
        <f t="shared" si="293"/>
        <v>1610.92</v>
      </c>
      <c r="M2325" s="22">
        <f t="shared" si="289"/>
        <v>8614.92</v>
      </c>
      <c r="N2325" s="1">
        <f t="shared" ca="1" si="294"/>
        <v>9</v>
      </c>
      <c r="P2325" s="1">
        <v>68.008995539275929</v>
      </c>
      <c r="Q2325" s="1">
        <f t="shared" ca="1" si="295"/>
        <v>20</v>
      </c>
      <c r="R2325" s="1">
        <v>11.041951236402383</v>
      </c>
    </row>
    <row r="2326" spans="1:18" x14ac:dyDescent="0.3">
      <c r="A2326" s="26">
        <v>2325</v>
      </c>
      <c r="B2326" s="1">
        <v>29</v>
      </c>
      <c r="C2326" s="1">
        <f t="shared" si="291"/>
        <v>7</v>
      </c>
      <c r="D2326" s="21">
        <f t="shared" ca="1" si="290"/>
        <v>44818</v>
      </c>
      <c r="E2326" s="1" t="s">
        <v>26</v>
      </c>
      <c r="F2326" s="1" t="s">
        <v>2354</v>
      </c>
      <c r="G2326" s="1" t="s">
        <v>28</v>
      </c>
      <c r="H2326" s="1">
        <v>2424</v>
      </c>
      <c r="I2326" s="1">
        <f t="shared" si="292"/>
        <v>55</v>
      </c>
      <c r="J2326" s="1">
        <f>VLOOKUP(B2326,Cena!$A$2:$B$101,2)</f>
        <v>105</v>
      </c>
      <c r="K2326" s="1">
        <f t="shared" si="288"/>
        <v>5775</v>
      </c>
      <c r="L2326" s="1">
        <f t="shared" si="293"/>
        <v>1328.25</v>
      </c>
      <c r="M2326" s="22">
        <f t="shared" si="289"/>
        <v>7103.25</v>
      </c>
      <c r="N2326" s="1">
        <f t="shared" ca="1" si="294"/>
        <v>9</v>
      </c>
      <c r="P2326" s="1">
        <v>55.804645297757816</v>
      </c>
      <c r="Q2326" s="1">
        <f t="shared" ca="1" si="295"/>
        <v>6</v>
      </c>
      <c r="R2326" s="1">
        <v>7.7237564507959178</v>
      </c>
    </row>
    <row r="2327" spans="1:18" x14ac:dyDescent="0.3">
      <c r="A2327" s="26">
        <v>2326</v>
      </c>
      <c r="B2327" s="1">
        <v>18</v>
      </c>
      <c r="C2327" s="1">
        <f t="shared" si="291"/>
        <v>9</v>
      </c>
      <c r="D2327" s="21">
        <f t="shared" ca="1" si="290"/>
        <v>44566</v>
      </c>
      <c r="E2327" s="1" t="s">
        <v>26</v>
      </c>
      <c r="F2327" s="1" t="s">
        <v>2355</v>
      </c>
      <c r="G2327" s="1" t="s">
        <v>28</v>
      </c>
      <c r="H2327" s="1">
        <v>2425</v>
      </c>
      <c r="I2327" s="1">
        <f t="shared" si="292"/>
        <v>25</v>
      </c>
      <c r="J2327" s="1">
        <f>VLOOKUP(B2327,Cena!$A$2:$B$101,2)</f>
        <v>90</v>
      </c>
      <c r="K2327" s="1">
        <f t="shared" si="288"/>
        <v>2250</v>
      </c>
      <c r="L2327" s="1">
        <f t="shared" si="293"/>
        <v>517.5</v>
      </c>
      <c r="M2327" s="22">
        <f t="shared" si="289"/>
        <v>2767.5</v>
      </c>
      <c r="N2327" s="1">
        <f t="shared" ca="1" si="294"/>
        <v>1</v>
      </c>
      <c r="P2327" s="1">
        <v>25.468381308019161</v>
      </c>
      <c r="Q2327" s="1">
        <f t="shared" ca="1" si="295"/>
        <v>3</v>
      </c>
      <c r="R2327" s="1">
        <v>9.4985557805193821</v>
      </c>
    </row>
    <row r="2328" spans="1:18" x14ac:dyDescent="0.3">
      <c r="A2328" s="26">
        <v>2327</v>
      </c>
      <c r="B2328" s="1">
        <v>14</v>
      </c>
      <c r="C2328" s="1">
        <f t="shared" si="291"/>
        <v>8</v>
      </c>
      <c r="D2328" s="21">
        <f t="shared" ca="1" si="290"/>
        <v>44760</v>
      </c>
      <c r="E2328" s="1" t="s">
        <v>26</v>
      </c>
      <c r="F2328" s="1" t="s">
        <v>2356</v>
      </c>
      <c r="G2328" s="1" t="s">
        <v>28</v>
      </c>
      <c r="H2328" s="1">
        <v>2426</v>
      </c>
      <c r="I2328" s="1">
        <f t="shared" si="292"/>
        <v>44</v>
      </c>
      <c r="J2328" s="1">
        <f>VLOOKUP(B2328,Cena!$A$2:$B$101,2)</f>
        <v>129</v>
      </c>
      <c r="K2328" s="1">
        <f t="shared" si="288"/>
        <v>5676</v>
      </c>
      <c r="L2328" s="1">
        <f t="shared" si="293"/>
        <v>1305.48</v>
      </c>
      <c r="M2328" s="22">
        <f t="shared" si="289"/>
        <v>6981.48</v>
      </c>
      <c r="N2328" s="1">
        <f t="shared" ca="1" si="294"/>
        <v>7</v>
      </c>
      <c r="P2328" s="1">
        <v>44.36473672176362</v>
      </c>
      <c r="Q2328" s="1">
        <f t="shared" ca="1" si="295"/>
        <v>26</v>
      </c>
      <c r="R2328" s="1">
        <v>8.3783425250294385</v>
      </c>
    </row>
    <row r="2329" spans="1:18" x14ac:dyDescent="0.3">
      <c r="A2329" s="26">
        <v>2328</v>
      </c>
      <c r="B2329" s="1">
        <v>9</v>
      </c>
      <c r="C2329" s="1">
        <f t="shared" si="291"/>
        <v>11</v>
      </c>
      <c r="D2329" s="21">
        <f t="shared" ca="1" si="290"/>
        <v>44898</v>
      </c>
      <c r="E2329" s="1" t="s">
        <v>26</v>
      </c>
      <c r="F2329" s="1" t="s">
        <v>2357</v>
      </c>
      <c r="G2329" s="1" t="s">
        <v>28</v>
      </c>
      <c r="H2329" s="1">
        <v>2427</v>
      </c>
      <c r="I2329" s="1">
        <f t="shared" si="292"/>
        <v>37</v>
      </c>
      <c r="J2329" s="1">
        <f>VLOOKUP(B2329,Cena!$A$2:$B$101,2)</f>
        <v>96</v>
      </c>
      <c r="K2329" s="1">
        <f t="shared" si="288"/>
        <v>3552</v>
      </c>
      <c r="L2329" s="1">
        <f t="shared" si="293"/>
        <v>816.96</v>
      </c>
      <c r="M2329" s="22">
        <f t="shared" si="289"/>
        <v>4368.96</v>
      </c>
      <c r="N2329" s="1">
        <f t="shared" ca="1" si="294"/>
        <v>12</v>
      </c>
      <c r="P2329" s="1">
        <v>37.840556059381925</v>
      </c>
      <c r="Q2329" s="1">
        <f t="shared" ca="1" si="295"/>
        <v>10</v>
      </c>
      <c r="R2329" s="1">
        <v>11.506748503743438</v>
      </c>
    </row>
    <row r="2330" spans="1:18" x14ac:dyDescent="0.3">
      <c r="A2330" s="26">
        <v>2329</v>
      </c>
      <c r="B2330" s="1">
        <v>28</v>
      </c>
      <c r="C2330" s="1">
        <f t="shared" si="291"/>
        <v>13</v>
      </c>
      <c r="D2330" s="21">
        <f t="shared" ca="1" si="290"/>
        <v>44769</v>
      </c>
      <c r="E2330" s="1" t="s">
        <v>26</v>
      </c>
      <c r="F2330" s="1" t="s">
        <v>2358</v>
      </c>
      <c r="G2330" s="1" t="s">
        <v>28</v>
      </c>
      <c r="H2330" s="1">
        <v>2428</v>
      </c>
      <c r="I2330" s="1">
        <f t="shared" si="292"/>
        <v>60</v>
      </c>
      <c r="J2330" s="1">
        <f>VLOOKUP(B2330,Cena!$A$2:$B$101,2)</f>
        <v>59</v>
      </c>
      <c r="K2330" s="1">
        <f t="shared" si="288"/>
        <v>3540</v>
      </c>
      <c r="L2330" s="1">
        <f t="shared" si="293"/>
        <v>814.2</v>
      </c>
      <c r="M2330" s="22">
        <f t="shared" si="289"/>
        <v>4354.2</v>
      </c>
      <c r="N2330" s="1">
        <f t="shared" ca="1" si="294"/>
        <v>7</v>
      </c>
      <c r="P2330" s="1">
        <v>60.996313903888222</v>
      </c>
      <c r="Q2330" s="1">
        <f t="shared" ca="1" si="295"/>
        <v>15</v>
      </c>
      <c r="R2330" s="1">
        <v>13.740058218681952</v>
      </c>
    </row>
    <row r="2331" spans="1:18" x14ac:dyDescent="0.3">
      <c r="A2331" s="26">
        <v>2330</v>
      </c>
      <c r="B2331" s="1">
        <v>3</v>
      </c>
      <c r="C2331" s="1">
        <f t="shared" si="291"/>
        <v>8</v>
      </c>
      <c r="D2331" s="21">
        <f t="shared" ca="1" si="290"/>
        <v>44739</v>
      </c>
      <c r="E2331" s="1" t="s">
        <v>26</v>
      </c>
      <c r="F2331" s="1" t="s">
        <v>2359</v>
      </c>
      <c r="G2331" s="1" t="s">
        <v>28</v>
      </c>
      <c r="H2331" s="1">
        <v>2429</v>
      </c>
      <c r="I2331" s="1">
        <f t="shared" si="292"/>
        <v>57</v>
      </c>
      <c r="J2331" s="1">
        <f>VLOOKUP(B2331,Cena!$A$2:$B$101,2)</f>
        <v>89</v>
      </c>
      <c r="K2331" s="1">
        <f t="shared" si="288"/>
        <v>5073</v>
      </c>
      <c r="L2331" s="1">
        <f t="shared" si="293"/>
        <v>1166.79</v>
      </c>
      <c r="M2331" s="22">
        <f t="shared" si="289"/>
        <v>6239.79</v>
      </c>
      <c r="N2331" s="1">
        <f t="shared" ca="1" si="294"/>
        <v>6</v>
      </c>
      <c r="P2331" s="1">
        <v>57.094558895914815</v>
      </c>
      <c r="Q2331" s="1">
        <f t="shared" ca="1" si="295"/>
        <v>30</v>
      </c>
      <c r="R2331" s="1">
        <v>8.7809275125982822</v>
      </c>
    </row>
    <row r="2332" spans="1:18" x14ac:dyDescent="0.3">
      <c r="A2332" s="26">
        <v>2331</v>
      </c>
      <c r="B2332" s="1">
        <v>6</v>
      </c>
      <c r="C2332" s="1">
        <f t="shared" si="291"/>
        <v>7</v>
      </c>
      <c r="D2332" s="21">
        <f t="shared" ca="1" si="290"/>
        <v>44867</v>
      </c>
      <c r="E2332" s="1" t="s">
        <v>26</v>
      </c>
      <c r="F2332" s="1" t="s">
        <v>2360</v>
      </c>
      <c r="G2332" s="1" t="s">
        <v>28</v>
      </c>
      <c r="H2332" s="1">
        <v>2430</v>
      </c>
      <c r="I2332" s="1">
        <f t="shared" si="292"/>
        <v>52</v>
      </c>
      <c r="J2332" s="1">
        <f>VLOOKUP(B2332,Cena!$A$2:$B$101,2)</f>
        <v>86</v>
      </c>
      <c r="K2332" s="1">
        <f t="shared" si="288"/>
        <v>4472</v>
      </c>
      <c r="L2332" s="1">
        <f t="shared" si="293"/>
        <v>1028.56</v>
      </c>
      <c r="M2332" s="22">
        <f t="shared" si="289"/>
        <v>5500.5599999999995</v>
      </c>
      <c r="N2332" s="1">
        <f t="shared" ca="1" si="294"/>
        <v>11</v>
      </c>
      <c r="P2332" s="1">
        <v>52.338674676138908</v>
      </c>
      <c r="Q2332" s="1">
        <f t="shared" ca="1" si="295"/>
        <v>18</v>
      </c>
      <c r="R2332" s="1">
        <v>7.7361767378170043</v>
      </c>
    </row>
    <row r="2333" spans="1:18" x14ac:dyDescent="0.3">
      <c r="A2333" s="26">
        <v>2332</v>
      </c>
      <c r="B2333" s="1">
        <v>19</v>
      </c>
      <c r="C2333" s="1">
        <f t="shared" si="291"/>
        <v>5</v>
      </c>
      <c r="D2333" s="21">
        <f t="shared" ca="1" si="290"/>
        <v>44907</v>
      </c>
      <c r="E2333" s="1" t="s">
        <v>26</v>
      </c>
      <c r="F2333" s="1" t="s">
        <v>2361</v>
      </c>
      <c r="G2333" s="1" t="s">
        <v>28</v>
      </c>
      <c r="H2333" s="1">
        <v>2431</v>
      </c>
      <c r="I2333" s="1">
        <f t="shared" si="292"/>
        <v>36</v>
      </c>
      <c r="J2333" s="1">
        <f>VLOOKUP(B2333,Cena!$A$2:$B$101,2)</f>
        <v>84</v>
      </c>
      <c r="K2333" s="1">
        <f t="shared" si="288"/>
        <v>3024</v>
      </c>
      <c r="L2333" s="1">
        <f t="shared" si="293"/>
        <v>695.52</v>
      </c>
      <c r="M2333" s="22">
        <f t="shared" si="289"/>
        <v>3719.52</v>
      </c>
      <c r="N2333" s="1">
        <f t="shared" ca="1" si="294"/>
        <v>12</v>
      </c>
      <c r="P2333" s="1">
        <v>36.42128957726527</v>
      </c>
      <c r="Q2333" s="1">
        <f t="shared" ca="1" si="295"/>
        <v>7</v>
      </c>
      <c r="R2333" s="1">
        <v>5.146026776637882</v>
      </c>
    </row>
    <row r="2334" spans="1:18" x14ac:dyDescent="0.3">
      <c r="A2334" s="26">
        <v>2333</v>
      </c>
      <c r="B2334" s="1">
        <v>16</v>
      </c>
      <c r="C2334" s="1">
        <f t="shared" si="291"/>
        <v>7</v>
      </c>
      <c r="D2334" s="21">
        <f t="shared" ca="1" si="290"/>
        <v>44792</v>
      </c>
      <c r="E2334" s="1" t="s">
        <v>26</v>
      </c>
      <c r="F2334" s="1" t="s">
        <v>2362</v>
      </c>
      <c r="G2334" s="1" t="s">
        <v>28</v>
      </c>
      <c r="H2334" s="1">
        <v>2432</v>
      </c>
      <c r="I2334" s="1">
        <f t="shared" si="292"/>
        <v>49</v>
      </c>
      <c r="J2334" s="1">
        <f>VLOOKUP(B2334,Cena!$A$2:$B$101,2)</f>
        <v>93</v>
      </c>
      <c r="K2334" s="1">
        <f t="shared" si="288"/>
        <v>4557</v>
      </c>
      <c r="L2334" s="1">
        <f t="shared" si="293"/>
        <v>1048.1100000000001</v>
      </c>
      <c r="M2334" s="22">
        <f t="shared" si="289"/>
        <v>5605.1100000000006</v>
      </c>
      <c r="N2334" s="1">
        <f t="shared" ca="1" si="294"/>
        <v>8</v>
      </c>
      <c r="P2334" s="1">
        <v>49.305987330444623</v>
      </c>
      <c r="Q2334" s="1">
        <f t="shared" ca="1" si="295"/>
        <v>20</v>
      </c>
      <c r="R2334" s="1">
        <v>7.771396920143161</v>
      </c>
    </row>
    <row r="2335" spans="1:18" x14ac:dyDescent="0.3">
      <c r="A2335" s="26">
        <v>2334</v>
      </c>
      <c r="B2335" s="1">
        <v>27</v>
      </c>
      <c r="C2335" s="1">
        <f t="shared" si="291"/>
        <v>15</v>
      </c>
      <c r="D2335" s="21">
        <f t="shared" ca="1" si="290"/>
        <v>44919</v>
      </c>
      <c r="E2335" s="1" t="s">
        <v>26</v>
      </c>
      <c r="F2335" s="1" t="s">
        <v>2363</v>
      </c>
      <c r="G2335" s="1" t="s">
        <v>28</v>
      </c>
      <c r="H2335" s="1">
        <v>2433</v>
      </c>
      <c r="I2335" s="1">
        <f t="shared" si="292"/>
        <v>55</v>
      </c>
      <c r="J2335" s="1">
        <f>VLOOKUP(B2335,Cena!$A$2:$B$101,2)</f>
        <v>87</v>
      </c>
      <c r="K2335" s="1">
        <f t="shared" ref="K2335:K2398" si="296">I2335*J2335</f>
        <v>4785</v>
      </c>
      <c r="L2335" s="1">
        <f t="shared" si="293"/>
        <v>1100.55</v>
      </c>
      <c r="M2335" s="22">
        <f t="shared" ref="M2335:M2398" si="297">K2335+L2335</f>
        <v>5885.55</v>
      </c>
      <c r="N2335" s="1">
        <f t="shared" ca="1" si="294"/>
        <v>12</v>
      </c>
      <c r="P2335" s="1">
        <v>55.139054337632842</v>
      </c>
      <c r="Q2335" s="1">
        <f t="shared" ca="1" si="295"/>
        <v>25</v>
      </c>
      <c r="R2335" s="1">
        <v>15.658057489199564</v>
      </c>
    </row>
    <row r="2336" spans="1:18" x14ac:dyDescent="0.3">
      <c r="A2336" s="26">
        <v>2335</v>
      </c>
      <c r="B2336" s="1">
        <v>5</v>
      </c>
      <c r="C2336" s="1">
        <f t="shared" si="291"/>
        <v>7</v>
      </c>
      <c r="D2336" s="21">
        <f t="shared" ca="1" si="290"/>
        <v>44568</v>
      </c>
      <c r="E2336" s="1" t="s">
        <v>26</v>
      </c>
      <c r="F2336" s="1" t="s">
        <v>2364</v>
      </c>
      <c r="G2336" s="1" t="s">
        <v>28</v>
      </c>
      <c r="H2336" s="1">
        <v>2434</v>
      </c>
      <c r="I2336" s="1">
        <f t="shared" si="292"/>
        <v>48</v>
      </c>
      <c r="J2336" s="1">
        <f>VLOOKUP(B2336,Cena!$A$2:$B$101,2)</f>
        <v>91</v>
      </c>
      <c r="K2336" s="1">
        <f t="shared" si="296"/>
        <v>4368</v>
      </c>
      <c r="L2336" s="1">
        <f t="shared" si="293"/>
        <v>1004.6400000000001</v>
      </c>
      <c r="M2336" s="22">
        <f t="shared" si="297"/>
        <v>5372.64</v>
      </c>
      <c r="N2336" s="1">
        <f t="shared" ca="1" si="294"/>
        <v>1</v>
      </c>
      <c r="P2336" s="1">
        <v>48.067539763724199</v>
      </c>
      <c r="Q2336" s="1">
        <f t="shared" ca="1" si="295"/>
        <v>16</v>
      </c>
      <c r="R2336" s="1">
        <v>7.616276914413902</v>
      </c>
    </row>
    <row r="2337" spans="1:18" x14ac:dyDescent="0.3">
      <c r="A2337" s="26">
        <v>2336</v>
      </c>
      <c r="B2337" s="1">
        <v>1</v>
      </c>
      <c r="C2337" s="1">
        <f t="shared" si="291"/>
        <v>6</v>
      </c>
      <c r="D2337" s="21">
        <f t="shared" ca="1" si="290"/>
        <v>44885</v>
      </c>
      <c r="E2337" s="1" t="s">
        <v>26</v>
      </c>
      <c r="F2337" s="1" t="s">
        <v>2365</v>
      </c>
      <c r="G2337" s="1" t="s">
        <v>28</v>
      </c>
      <c r="H2337" s="1">
        <v>2435</v>
      </c>
      <c r="I2337" s="1">
        <f t="shared" si="292"/>
        <v>65</v>
      </c>
      <c r="J2337" s="1">
        <f>VLOOKUP(B2337,Cena!$A$2:$B$101,2)</f>
        <v>84</v>
      </c>
      <c r="K2337" s="1">
        <f t="shared" si="296"/>
        <v>5460</v>
      </c>
      <c r="L2337" s="1">
        <f t="shared" si="293"/>
        <v>1255.8</v>
      </c>
      <c r="M2337" s="22">
        <f t="shared" si="297"/>
        <v>6715.8</v>
      </c>
      <c r="N2337" s="1">
        <f t="shared" ca="1" si="294"/>
        <v>11</v>
      </c>
      <c r="P2337" s="1">
        <v>65.162368072196841</v>
      </c>
      <c r="Q2337" s="1">
        <f t="shared" ca="1" si="295"/>
        <v>20</v>
      </c>
      <c r="R2337" s="1">
        <v>6.0403329168912023</v>
      </c>
    </row>
    <row r="2338" spans="1:18" x14ac:dyDescent="0.3">
      <c r="A2338" s="26">
        <v>2337</v>
      </c>
      <c r="B2338" s="1">
        <v>26</v>
      </c>
      <c r="C2338" s="1">
        <f t="shared" si="291"/>
        <v>4</v>
      </c>
      <c r="D2338" s="21">
        <f t="shared" ca="1" si="290"/>
        <v>44858</v>
      </c>
      <c r="E2338" s="1" t="s">
        <v>26</v>
      </c>
      <c r="F2338" s="1" t="s">
        <v>2366</v>
      </c>
      <c r="G2338" s="1" t="s">
        <v>28</v>
      </c>
      <c r="H2338" s="1">
        <v>2436</v>
      </c>
      <c r="I2338" s="1">
        <f t="shared" si="292"/>
        <v>39</v>
      </c>
      <c r="J2338" s="1">
        <f>VLOOKUP(B2338,Cena!$A$2:$B$101,2)</f>
        <v>99</v>
      </c>
      <c r="K2338" s="1">
        <f t="shared" si="296"/>
        <v>3861</v>
      </c>
      <c r="L2338" s="1">
        <f t="shared" si="293"/>
        <v>888.03000000000009</v>
      </c>
      <c r="M2338" s="22">
        <f t="shared" si="297"/>
        <v>4749.03</v>
      </c>
      <c r="N2338" s="1">
        <f t="shared" ca="1" si="294"/>
        <v>10</v>
      </c>
      <c r="P2338" s="1">
        <v>39.644766174023971</v>
      </c>
      <c r="Q2338" s="1">
        <f t="shared" ca="1" si="295"/>
        <v>26</v>
      </c>
      <c r="R2338" s="1">
        <v>4.5976924209389836</v>
      </c>
    </row>
    <row r="2339" spans="1:18" x14ac:dyDescent="0.3">
      <c r="A2339" s="26">
        <v>2338</v>
      </c>
      <c r="B2339" s="1">
        <v>27</v>
      </c>
      <c r="C2339" s="1">
        <f t="shared" si="291"/>
        <v>5</v>
      </c>
      <c r="D2339" s="21">
        <f t="shared" ca="1" si="290"/>
        <v>44618</v>
      </c>
      <c r="E2339" s="1" t="s">
        <v>26</v>
      </c>
      <c r="F2339" s="1" t="s">
        <v>2367</v>
      </c>
      <c r="G2339" s="1" t="s">
        <v>28</v>
      </c>
      <c r="H2339" s="1">
        <v>2437</v>
      </c>
      <c r="I2339" s="1">
        <f t="shared" si="292"/>
        <v>43</v>
      </c>
      <c r="J2339" s="1">
        <f>VLOOKUP(B2339,Cena!$A$2:$B$101,2)</f>
        <v>87</v>
      </c>
      <c r="K2339" s="1">
        <f t="shared" si="296"/>
        <v>3741</v>
      </c>
      <c r="L2339" s="1">
        <f t="shared" si="293"/>
        <v>860.43000000000006</v>
      </c>
      <c r="M2339" s="22">
        <f t="shared" si="297"/>
        <v>4601.43</v>
      </c>
      <c r="N2339" s="1">
        <f t="shared" ca="1" si="294"/>
        <v>2</v>
      </c>
      <c r="P2339" s="1">
        <v>43.715982782305218</v>
      </c>
      <c r="Q2339" s="1">
        <f t="shared" ca="1" si="295"/>
        <v>5</v>
      </c>
      <c r="R2339" s="1">
        <v>5.5721932565211318</v>
      </c>
    </row>
    <row r="2340" spans="1:18" x14ac:dyDescent="0.3">
      <c r="A2340" s="26">
        <v>2339</v>
      </c>
      <c r="B2340" s="1">
        <v>9</v>
      </c>
      <c r="C2340" s="1">
        <f t="shared" si="291"/>
        <v>10</v>
      </c>
      <c r="D2340" s="21">
        <f t="shared" ca="1" si="290"/>
        <v>44912</v>
      </c>
      <c r="E2340" s="1" t="s">
        <v>26</v>
      </c>
      <c r="F2340" s="1" t="s">
        <v>2368</v>
      </c>
      <c r="G2340" s="1" t="s">
        <v>28</v>
      </c>
      <c r="H2340" s="1">
        <v>2438</v>
      </c>
      <c r="I2340" s="1">
        <f t="shared" si="292"/>
        <v>37</v>
      </c>
      <c r="J2340" s="1">
        <f>VLOOKUP(B2340,Cena!$A$2:$B$101,2)</f>
        <v>96</v>
      </c>
      <c r="K2340" s="1">
        <f t="shared" si="296"/>
        <v>3552</v>
      </c>
      <c r="L2340" s="1">
        <f t="shared" si="293"/>
        <v>816.96</v>
      </c>
      <c r="M2340" s="22">
        <f t="shared" si="297"/>
        <v>4368.96</v>
      </c>
      <c r="N2340" s="1">
        <f t="shared" ca="1" si="294"/>
        <v>12</v>
      </c>
      <c r="P2340" s="1">
        <v>37.649266586231533</v>
      </c>
      <c r="Q2340" s="1">
        <f t="shared" ca="1" si="295"/>
        <v>1</v>
      </c>
      <c r="R2340" s="1">
        <v>10.07373728294624</v>
      </c>
    </row>
    <row r="2341" spans="1:18" x14ac:dyDescent="0.3">
      <c r="A2341" s="26">
        <v>2340</v>
      </c>
      <c r="B2341" s="1">
        <v>24</v>
      </c>
      <c r="C2341" s="1">
        <f t="shared" si="291"/>
        <v>8</v>
      </c>
      <c r="D2341" s="21">
        <f t="shared" ca="1" si="290"/>
        <v>44782</v>
      </c>
      <c r="E2341" s="1" t="s">
        <v>26</v>
      </c>
      <c r="F2341" s="1" t="s">
        <v>2369</v>
      </c>
      <c r="G2341" s="1" t="s">
        <v>28</v>
      </c>
      <c r="H2341" s="1">
        <v>2439</v>
      </c>
      <c r="I2341" s="1">
        <f t="shared" si="292"/>
        <v>38</v>
      </c>
      <c r="J2341" s="1">
        <f>VLOOKUP(B2341,Cena!$A$2:$B$101,2)</f>
        <v>125</v>
      </c>
      <c r="K2341" s="1">
        <f t="shared" si="296"/>
        <v>4750</v>
      </c>
      <c r="L2341" s="1">
        <f t="shared" si="293"/>
        <v>1092.5</v>
      </c>
      <c r="M2341" s="22">
        <f t="shared" si="297"/>
        <v>5842.5</v>
      </c>
      <c r="N2341" s="1">
        <f t="shared" ca="1" si="294"/>
        <v>8</v>
      </c>
      <c r="P2341" s="1">
        <v>38.074341672472656</v>
      </c>
      <c r="Q2341" s="1">
        <f t="shared" ca="1" si="295"/>
        <v>25</v>
      </c>
      <c r="R2341" s="1">
        <v>8.2776444085175171</v>
      </c>
    </row>
    <row r="2342" spans="1:18" x14ac:dyDescent="0.3">
      <c r="A2342" s="26">
        <v>2341</v>
      </c>
      <c r="B2342" s="1">
        <v>14</v>
      </c>
      <c r="C2342" s="1">
        <f t="shared" si="291"/>
        <v>11</v>
      </c>
      <c r="D2342" s="21">
        <f t="shared" ca="1" si="290"/>
        <v>44884</v>
      </c>
      <c r="E2342" s="1" t="s">
        <v>26</v>
      </c>
      <c r="F2342" s="1" t="s">
        <v>2370</v>
      </c>
      <c r="G2342" s="1" t="s">
        <v>28</v>
      </c>
      <c r="H2342" s="1">
        <v>2440</v>
      </c>
      <c r="I2342" s="1">
        <f t="shared" si="292"/>
        <v>54</v>
      </c>
      <c r="J2342" s="1">
        <f>VLOOKUP(B2342,Cena!$A$2:$B$101,2)</f>
        <v>129</v>
      </c>
      <c r="K2342" s="1">
        <f t="shared" si="296"/>
        <v>6966</v>
      </c>
      <c r="L2342" s="1">
        <f t="shared" si="293"/>
        <v>1602.18</v>
      </c>
      <c r="M2342" s="22">
        <f t="shared" si="297"/>
        <v>8568.18</v>
      </c>
      <c r="N2342" s="1">
        <f t="shared" ca="1" si="294"/>
        <v>11</v>
      </c>
      <c r="P2342" s="1">
        <v>54.47604406872415</v>
      </c>
      <c r="Q2342" s="1">
        <f t="shared" ca="1" si="295"/>
        <v>12</v>
      </c>
      <c r="R2342" s="1">
        <v>11.608461275282025</v>
      </c>
    </row>
    <row r="2343" spans="1:18" x14ac:dyDescent="0.3">
      <c r="A2343" s="26">
        <v>2342</v>
      </c>
      <c r="B2343" s="1">
        <v>21</v>
      </c>
      <c r="C2343" s="1">
        <f t="shared" si="291"/>
        <v>7</v>
      </c>
      <c r="D2343" s="21">
        <f t="shared" ca="1" si="290"/>
        <v>44665</v>
      </c>
      <c r="E2343" s="1" t="s">
        <v>26</v>
      </c>
      <c r="F2343" s="1" t="s">
        <v>2371</v>
      </c>
      <c r="G2343" s="1" t="s">
        <v>28</v>
      </c>
      <c r="H2343" s="1">
        <v>2441</v>
      </c>
      <c r="I2343" s="1">
        <f t="shared" si="292"/>
        <v>40</v>
      </c>
      <c r="J2343" s="1">
        <f>VLOOKUP(B2343,Cena!$A$2:$B$101,2)</f>
        <v>105</v>
      </c>
      <c r="K2343" s="1">
        <f t="shared" si="296"/>
        <v>4200</v>
      </c>
      <c r="L2343" s="1">
        <f t="shared" si="293"/>
        <v>966</v>
      </c>
      <c r="M2343" s="22">
        <f t="shared" si="297"/>
        <v>5166</v>
      </c>
      <c r="N2343" s="1">
        <f t="shared" ca="1" si="294"/>
        <v>4</v>
      </c>
      <c r="P2343" s="1">
        <v>40.527589943667408</v>
      </c>
      <c r="Q2343" s="1">
        <f t="shared" ca="1" si="295"/>
        <v>4</v>
      </c>
      <c r="R2343" s="1">
        <v>7.8621247009868966</v>
      </c>
    </row>
    <row r="2344" spans="1:18" x14ac:dyDescent="0.3">
      <c r="A2344" s="26">
        <v>2343</v>
      </c>
      <c r="B2344" s="1">
        <v>28</v>
      </c>
      <c r="C2344" s="1">
        <f t="shared" si="291"/>
        <v>9</v>
      </c>
      <c r="D2344" s="21">
        <f t="shared" ca="1" si="290"/>
        <v>44859</v>
      </c>
      <c r="E2344" s="1" t="s">
        <v>26</v>
      </c>
      <c r="F2344" s="1" t="s">
        <v>2372</v>
      </c>
      <c r="G2344" s="1" t="s">
        <v>28</v>
      </c>
      <c r="H2344" s="1">
        <v>2442</v>
      </c>
      <c r="I2344" s="1">
        <f t="shared" si="292"/>
        <v>65</v>
      </c>
      <c r="J2344" s="1">
        <f>VLOOKUP(B2344,Cena!$A$2:$B$101,2)</f>
        <v>59</v>
      </c>
      <c r="K2344" s="1">
        <f t="shared" si="296"/>
        <v>3835</v>
      </c>
      <c r="L2344" s="1">
        <f t="shared" si="293"/>
        <v>882.05000000000007</v>
      </c>
      <c r="M2344" s="22">
        <f t="shared" si="297"/>
        <v>4717.05</v>
      </c>
      <c r="N2344" s="1">
        <f t="shared" ca="1" si="294"/>
        <v>10</v>
      </c>
      <c r="P2344" s="1">
        <v>65.766681826789863</v>
      </c>
      <c r="Q2344" s="1">
        <f t="shared" ca="1" si="295"/>
        <v>8</v>
      </c>
      <c r="R2344" s="1">
        <v>9.5400514762877719</v>
      </c>
    </row>
    <row r="2345" spans="1:18" x14ac:dyDescent="0.3">
      <c r="A2345" s="26">
        <v>2344</v>
      </c>
      <c r="B2345" s="1">
        <v>14</v>
      </c>
      <c r="C2345" s="1">
        <f t="shared" si="291"/>
        <v>7</v>
      </c>
      <c r="D2345" s="21">
        <f t="shared" ca="1" si="290"/>
        <v>44878</v>
      </c>
      <c r="E2345" s="1" t="s">
        <v>26</v>
      </c>
      <c r="F2345" s="1" t="s">
        <v>2373</v>
      </c>
      <c r="G2345" s="1" t="s">
        <v>28</v>
      </c>
      <c r="H2345" s="1">
        <v>2443</v>
      </c>
      <c r="I2345" s="1">
        <f t="shared" si="292"/>
        <v>28</v>
      </c>
      <c r="J2345" s="1">
        <f>VLOOKUP(B2345,Cena!$A$2:$B$101,2)</f>
        <v>129</v>
      </c>
      <c r="K2345" s="1">
        <f t="shared" si="296"/>
        <v>3612</v>
      </c>
      <c r="L2345" s="1">
        <f t="shared" si="293"/>
        <v>830.76</v>
      </c>
      <c r="M2345" s="22">
        <f t="shared" si="297"/>
        <v>4442.76</v>
      </c>
      <c r="N2345" s="1">
        <f t="shared" ca="1" si="294"/>
        <v>11</v>
      </c>
      <c r="P2345" s="1">
        <v>28.037885739468038</v>
      </c>
      <c r="Q2345" s="1">
        <f t="shared" ca="1" si="295"/>
        <v>7</v>
      </c>
      <c r="R2345" s="1">
        <v>7.692606257260195</v>
      </c>
    </row>
    <row r="2346" spans="1:18" x14ac:dyDescent="0.3">
      <c r="A2346" s="26">
        <v>2345</v>
      </c>
      <c r="B2346" s="1">
        <v>24</v>
      </c>
      <c r="C2346" s="1">
        <f t="shared" si="291"/>
        <v>9</v>
      </c>
      <c r="D2346" s="21">
        <f t="shared" ca="1" si="290"/>
        <v>44823</v>
      </c>
      <c r="E2346" s="1" t="s">
        <v>26</v>
      </c>
      <c r="F2346" s="1" t="s">
        <v>2374</v>
      </c>
      <c r="G2346" s="1" t="s">
        <v>28</v>
      </c>
      <c r="H2346" s="1">
        <v>2444</v>
      </c>
      <c r="I2346" s="1">
        <f t="shared" si="292"/>
        <v>52</v>
      </c>
      <c r="J2346" s="1">
        <f>VLOOKUP(B2346,Cena!$A$2:$B$101,2)</f>
        <v>125</v>
      </c>
      <c r="K2346" s="1">
        <f t="shared" si="296"/>
        <v>6500</v>
      </c>
      <c r="L2346" s="1">
        <f t="shared" si="293"/>
        <v>1495</v>
      </c>
      <c r="M2346" s="22">
        <f t="shared" si="297"/>
        <v>7995</v>
      </c>
      <c r="N2346" s="1">
        <f t="shared" ca="1" si="294"/>
        <v>9</v>
      </c>
      <c r="P2346" s="1">
        <v>52.2005224309396</v>
      </c>
      <c r="Q2346" s="1">
        <f t="shared" ca="1" si="295"/>
        <v>18</v>
      </c>
      <c r="R2346" s="1">
        <v>9.1700036616748548</v>
      </c>
    </row>
    <row r="2347" spans="1:18" x14ac:dyDescent="0.3">
      <c r="A2347" s="26">
        <v>2346</v>
      </c>
      <c r="B2347" s="1">
        <v>25</v>
      </c>
      <c r="C2347" s="1">
        <f t="shared" si="291"/>
        <v>10</v>
      </c>
      <c r="D2347" s="21">
        <f t="shared" ca="1" si="290"/>
        <v>44795</v>
      </c>
      <c r="E2347" s="1" t="s">
        <v>26</v>
      </c>
      <c r="F2347" s="1" t="s">
        <v>2375</v>
      </c>
      <c r="G2347" s="1" t="s">
        <v>28</v>
      </c>
      <c r="H2347" s="1">
        <v>2445</v>
      </c>
      <c r="I2347" s="1">
        <f t="shared" si="292"/>
        <v>41</v>
      </c>
      <c r="J2347" s="1">
        <f>VLOOKUP(B2347,Cena!$A$2:$B$101,2)</f>
        <v>108</v>
      </c>
      <c r="K2347" s="1">
        <f t="shared" si="296"/>
        <v>4428</v>
      </c>
      <c r="L2347" s="1">
        <f t="shared" si="293"/>
        <v>1018.44</v>
      </c>
      <c r="M2347" s="22">
        <f t="shared" si="297"/>
        <v>5446.4400000000005</v>
      </c>
      <c r="N2347" s="1">
        <f t="shared" ca="1" si="294"/>
        <v>8</v>
      </c>
      <c r="P2347" s="1">
        <v>41.1604618318961</v>
      </c>
      <c r="Q2347" s="1">
        <f t="shared" ca="1" si="295"/>
        <v>12</v>
      </c>
      <c r="R2347" s="1">
        <v>10.860978843775229</v>
      </c>
    </row>
    <row r="2348" spans="1:18" x14ac:dyDescent="0.3">
      <c r="A2348" s="26">
        <v>2347</v>
      </c>
      <c r="B2348" s="1">
        <v>1</v>
      </c>
      <c r="C2348" s="1">
        <f t="shared" si="291"/>
        <v>8</v>
      </c>
      <c r="D2348" s="21">
        <f t="shared" ca="1" si="290"/>
        <v>44791</v>
      </c>
      <c r="E2348" s="1" t="s">
        <v>26</v>
      </c>
      <c r="F2348" s="1" t="s">
        <v>2376</v>
      </c>
      <c r="G2348" s="1" t="s">
        <v>28</v>
      </c>
      <c r="H2348" s="1">
        <v>2446</v>
      </c>
      <c r="I2348" s="1">
        <f t="shared" si="292"/>
        <v>61</v>
      </c>
      <c r="J2348" s="1">
        <f>VLOOKUP(B2348,Cena!$A$2:$B$101,2)</f>
        <v>84</v>
      </c>
      <c r="K2348" s="1">
        <f t="shared" si="296"/>
        <v>5124</v>
      </c>
      <c r="L2348" s="1">
        <f t="shared" si="293"/>
        <v>1178.52</v>
      </c>
      <c r="M2348" s="22">
        <f t="shared" si="297"/>
        <v>6302.52</v>
      </c>
      <c r="N2348" s="1">
        <f t="shared" ca="1" si="294"/>
        <v>8</v>
      </c>
      <c r="P2348" s="1">
        <v>61.455995263531804</v>
      </c>
      <c r="Q2348" s="1">
        <f t="shared" ca="1" si="295"/>
        <v>24</v>
      </c>
      <c r="R2348" s="1">
        <v>8.6375684102313244</v>
      </c>
    </row>
    <row r="2349" spans="1:18" x14ac:dyDescent="0.3">
      <c r="A2349" s="26">
        <v>2348</v>
      </c>
      <c r="B2349" s="1">
        <v>17</v>
      </c>
      <c r="C2349" s="1">
        <f t="shared" si="291"/>
        <v>10</v>
      </c>
      <c r="D2349" s="21">
        <f t="shared" ca="1" si="290"/>
        <v>44707</v>
      </c>
      <c r="E2349" s="1" t="s">
        <v>26</v>
      </c>
      <c r="F2349" s="1" t="s">
        <v>2377</v>
      </c>
      <c r="G2349" s="1" t="s">
        <v>28</v>
      </c>
      <c r="H2349" s="1">
        <v>2447</v>
      </c>
      <c r="I2349" s="1">
        <f t="shared" si="292"/>
        <v>49</v>
      </c>
      <c r="J2349" s="1">
        <f>VLOOKUP(B2349,Cena!$A$2:$B$101,2)</f>
        <v>84</v>
      </c>
      <c r="K2349" s="1">
        <f t="shared" si="296"/>
        <v>4116</v>
      </c>
      <c r="L2349" s="1">
        <f t="shared" si="293"/>
        <v>946.68000000000006</v>
      </c>
      <c r="M2349" s="22">
        <f t="shared" si="297"/>
        <v>5062.68</v>
      </c>
      <c r="N2349" s="1">
        <f t="shared" ca="1" si="294"/>
        <v>5</v>
      </c>
      <c r="P2349" s="1">
        <v>49.914700765657471</v>
      </c>
      <c r="Q2349" s="1">
        <f t="shared" ca="1" si="295"/>
        <v>28</v>
      </c>
      <c r="R2349" s="1">
        <v>10.242593500843213</v>
      </c>
    </row>
    <row r="2350" spans="1:18" x14ac:dyDescent="0.3">
      <c r="A2350" s="26">
        <v>2349</v>
      </c>
      <c r="B2350" s="1">
        <v>12</v>
      </c>
      <c r="C2350" s="1">
        <f t="shared" si="291"/>
        <v>13</v>
      </c>
      <c r="D2350" s="21">
        <f t="shared" ca="1" si="290"/>
        <v>44653</v>
      </c>
      <c r="E2350" s="1" t="s">
        <v>26</v>
      </c>
      <c r="F2350" s="1" t="s">
        <v>2378</v>
      </c>
      <c r="G2350" s="1" t="s">
        <v>28</v>
      </c>
      <c r="H2350" s="1">
        <v>2448</v>
      </c>
      <c r="I2350" s="1">
        <f t="shared" si="292"/>
        <v>53</v>
      </c>
      <c r="J2350" s="1">
        <f>VLOOKUP(B2350,Cena!$A$2:$B$101,2)</f>
        <v>88</v>
      </c>
      <c r="K2350" s="1">
        <f t="shared" si="296"/>
        <v>4664</v>
      </c>
      <c r="L2350" s="1">
        <f t="shared" si="293"/>
        <v>1072.72</v>
      </c>
      <c r="M2350" s="22">
        <f t="shared" si="297"/>
        <v>5736.72</v>
      </c>
      <c r="N2350" s="1">
        <f t="shared" ca="1" si="294"/>
        <v>4</v>
      </c>
      <c r="P2350" s="1">
        <v>53.763102540688124</v>
      </c>
      <c r="Q2350" s="1">
        <f t="shared" ca="1" si="295"/>
        <v>12</v>
      </c>
      <c r="R2350" s="1">
        <v>13.313766683277208</v>
      </c>
    </row>
    <row r="2351" spans="1:18" x14ac:dyDescent="0.3">
      <c r="A2351" s="26">
        <v>2350</v>
      </c>
      <c r="B2351" s="1">
        <v>12</v>
      </c>
      <c r="C2351" s="1">
        <f t="shared" si="291"/>
        <v>11</v>
      </c>
      <c r="D2351" s="21">
        <f t="shared" ca="1" si="290"/>
        <v>44628</v>
      </c>
      <c r="E2351" s="1" t="s">
        <v>26</v>
      </c>
      <c r="F2351" s="1" t="s">
        <v>2379</v>
      </c>
      <c r="G2351" s="1" t="s">
        <v>28</v>
      </c>
      <c r="H2351" s="1">
        <v>2449</v>
      </c>
      <c r="I2351" s="1">
        <f t="shared" si="292"/>
        <v>49</v>
      </c>
      <c r="J2351" s="1">
        <f>VLOOKUP(B2351,Cena!$A$2:$B$101,2)</f>
        <v>88</v>
      </c>
      <c r="K2351" s="1">
        <f t="shared" si="296"/>
        <v>4312</v>
      </c>
      <c r="L2351" s="1">
        <f t="shared" si="293"/>
        <v>991.76</v>
      </c>
      <c r="M2351" s="22">
        <f t="shared" si="297"/>
        <v>5303.76</v>
      </c>
      <c r="N2351" s="1">
        <f t="shared" ca="1" si="294"/>
        <v>3</v>
      </c>
      <c r="P2351" s="1">
        <v>49.36119365884224</v>
      </c>
      <c r="Q2351" s="1">
        <f t="shared" ca="1" si="295"/>
        <v>14</v>
      </c>
      <c r="R2351" s="1">
        <v>11.177454578282777</v>
      </c>
    </row>
    <row r="2352" spans="1:18" x14ac:dyDescent="0.3">
      <c r="A2352" s="26">
        <v>2351</v>
      </c>
      <c r="B2352" s="1">
        <v>17</v>
      </c>
      <c r="C2352" s="1">
        <f t="shared" si="291"/>
        <v>10</v>
      </c>
      <c r="D2352" s="21">
        <f t="shared" ca="1" si="290"/>
        <v>44829</v>
      </c>
      <c r="E2352" s="1" t="s">
        <v>26</v>
      </c>
      <c r="F2352" s="1" t="s">
        <v>2380</v>
      </c>
      <c r="G2352" s="1" t="s">
        <v>28</v>
      </c>
      <c r="H2352" s="1">
        <v>2450</v>
      </c>
      <c r="I2352" s="1">
        <f t="shared" si="292"/>
        <v>54</v>
      </c>
      <c r="J2352" s="1">
        <f>VLOOKUP(B2352,Cena!$A$2:$B$101,2)</f>
        <v>84</v>
      </c>
      <c r="K2352" s="1">
        <f t="shared" si="296"/>
        <v>4536</v>
      </c>
      <c r="L2352" s="1">
        <f t="shared" si="293"/>
        <v>1043.28</v>
      </c>
      <c r="M2352" s="22">
        <f t="shared" si="297"/>
        <v>5579.28</v>
      </c>
      <c r="N2352" s="1">
        <f t="shared" ca="1" si="294"/>
        <v>9</v>
      </c>
      <c r="P2352" s="1">
        <v>54.178650669928174</v>
      </c>
      <c r="Q2352" s="1">
        <f t="shared" ca="1" si="295"/>
        <v>8</v>
      </c>
      <c r="R2352" s="1">
        <v>10.786670284469437</v>
      </c>
    </row>
    <row r="2353" spans="1:18" x14ac:dyDescent="0.3">
      <c r="A2353" s="26">
        <v>2352</v>
      </c>
      <c r="B2353" s="1">
        <v>29</v>
      </c>
      <c r="C2353" s="1">
        <f t="shared" si="291"/>
        <v>12</v>
      </c>
      <c r="D2353" s="21">
        <f t="shared" ca="1" si="290"/>
        <v>44758</v>
      </c>
      <c r="E2353" s="1" t="s">
        <v>26</v>
      </c>
      <c r="F2353" s="1" t="s">
        <v>2381</v>
      </c>
      <c r="G2353" s="1" t="s">
        <v>28</v>
      </c>
      <c r="H2353" s="1">
        <v>2451</v>
      </c>
      <c r="I2353" s="1">
        <f t="shared" si="292"/>
        <v>35</v>
      </c>
      <c r="J2353" s="1">
        <f>VLOOKUP(B2353,Cena!$A$2:$B$101,2)</f>
        <v>105</v>
      </c>
      <c r="K2353" s="1">
        <f t="shared" si="296"/>
        <v>3675</v>
      </c>
      <c r="L2353" s="1">
        <f t="shared" si="293"/>
        <v>845.25</v>
      </c>
      <c r="M2353" s="22">
        <f t="shared" si="297"/>
        <v>4520.25</v>
      </c>
      <c r="N2353" s="1">
        <f t="shared" ca="1" si="294"/>
        <v>7</v>
      </c>
      <c r="P2353" s="1">
        <v>35.260956236743368</v>
      </c>
      <c r="Q2353" s="1">
        <f t="shared" ca="1" si="295"/>
        <v>11</v>
      </c>
      <c r="R2353" s="1">
        <v>12.061139525721956</v>
      </c>
    </row>
    <row r="2354" spans="1:18" x14ac:dyDescent="0.3">
      <c r="A2354" s="26">
        <v>2353</v>
      </c>
      <c r="B2354" s="1">
        <v>25</v>
      </c>
      <c r="C2354" s="1">
        <f t="shared" si="291"/>
        <v>9</v>
      </c>
      <c r="D2354" s="21">
        <f t="shared" ca="1" si="290"/>
        <v>44818</v>
      </c>
      <c r="E2354" s="1" t="s">
        <v>26</v>
      </c>
      <c r="F2354" s="1" t="s">
        <v>2382</v>
      </c>
      <c r="G2354" s="1" t="s">
        <v>28</v>
      </c>
      <c r="H2354" s="1">
        <v>2452</v>
      </c>
      <c r="I2354" s="1">
        <f t="shared" si="292"/>
        <v>49</v>
      </c>
      <c r="J2354" s="1">
        <f>VLOOKUP(B2354,Cena!$A$2:$B$101,2)</f>
        <v>108</v>
      </c>
      <c r="K2354" s="1">
        <f t="shared" si="296"/>
        <v>5292</v>
      </c>
      <c r="L2354" s="1">
        <f t="shared" si="293"/>
        <v>1217.1600000000001</v>
      </c>
      <c r="M2354" s="22">
        <f t="shared" si="297"/>
        <v>6509.16</v>
      </c>
      <c r="N2354" s="1">
        <f t="shared" ca="1" si="294"/>
        <v>9</v>
      </c>
      <c r="P2354" s="1">
        <v>49.547355855611386</v>
      </c>
      <c r="Q2354" s="1">
        <f t="shared" ca="1" si="295"/>
        <v>19</v>
      </c>
      <c r="R2354" s="1">
        <v>9.4862577068488463</v>
      </c>
    </row>
    <row r="2355" spans="1:18" x14ac:dyDescent="0.3">
      <c r="A2355" s="26">
        <v>2354</v>
      </c>
      <c r="B2355" s="1">
        <v>17</v>
      </c>
      <c r="C2355" s="1">
        <f t="shared" si="291"/>
        <v>8</v>
      </c>
      <c r="D2355" s="21">
        <f t="shared" ca="1" si="290"/>
        <v>44656</v>
      </c>
      <c r="E2355" s="1" t="s">
        <v>26</v>
      </c>
      <c r="F2355" s="1" t="s">
        <v>2383</v>
      </c>
      <c r="G2355" s="1" t="s">
        <v>28</v>
      </c>
      <c r="H2355" s="1">
        <v>2453</v>
      </c>
      <c r="I2355" s="1">
        <f t="shared" si="292"/>
        <v>41</v>
      </c>
      <c r="J2355" s="1">
        <f>VLOOKUP(B2355,Cena!$A$2:$B$101,2)</f>
        <v>84</v>
      </c>
      <c r="K2355" s="1">
        <f t="shared" si="296"/>
        <v>3444</v>
      </c>
      <c r="L2355" s="1">
        <f t="shared" si="293"/>
        <v>792.12</v>
      </c>
      <c r="M2355" s="22">
        <f t="shared" si="297"/>
        <v>4236.12</v>
      </c>
      <c r="N2355" s="1">
        <f t="shared" ca="1" si="294"/>
        <v>4</v>
      </c>
      <c r="P2355" s="1">
        <v>41.296442658494925</v>
      </c>
      <c r="Q2355" s="1">
        <f t="shared" ca="1" si="295"/>
        <v>4</v>
      </c>
      <c r="R2355" s="1">
        <v>8.1535324877768289</v>
      </c>
    </row>
    <row r="2356" spans="1:18" x14ac:dyDescent="0.3">
      <c r="A2356" s="26">
        <v>2355</v>
      </c>
      <c r="B2356" s="1">
        <v>25</v>
      </c>
      <c r="C2356" s="1">
        <f t="shared" si="291"/>
        <v>14</v>
      </c>
      <c r="D2356" s="21">
        <f t="shared" ca="1" si="290"/>
        <v>44685</v>
      </c>
      <c r="E2356" s="1" t="s">
        <v>26</v>
      </c>
      <c r="F2356" s="1" t="s">
        <v>2384</v>
      </c>
      <c r="G2356" s="1" t="s">
        <v>28</v>
      </c>
      <c r="H2356" s="1">
        <v>2454</v>
      </c>
      <c r="I2356" s="1">
        <f t="shared" si="292"/>
        <v>40</v>
      </c>
      <c r="J2356" s="1">
        <f>VLOOKUP(B2356,Cena!$A$2:$B$101,2)</f>
        <v>108</v>
      </c>
      <c r="K2356" s="1">
        <f t="shared" si="296"/>
        <v>4320</v>
      </c>
      <c r="L2356" s="1">
        <f t="shared" si="293"/>
        <v>993.6</v>
      </c>
      <c r="M2356" s="22">
        <f t="shared" si="297"/>
        <v>5313.6</v>
      </c>
      <c r="N2356" s="1">
        <f t="shared" ca="1" si="294"/>
        <v>5</v>
      </c>
      <c r="P2356" s="1">
        <v>40.112064551794901</v>
      </c>
      <c r="Q2356" s="1">
        <f t="shared" ca="1" si="295"/>
        <v>25</v>
      </c>
      <c r="R2356" s="1">
        <v>14.336277470429195</v>
      </c>
    </row>
    <row r="2357" spans="1:18" x14ac:dyDescent="0.3">
      <c r="A2357" s="26">
        <v>2356</v>
      </c>
      <c r="B2357" s="1">
        <v>21</v>
      </c>
      <c r="C2357" s="1">
        <f t="shared" si="291"/>
        <v>7</v>
      </c>
      <c r="D2357" s="21">
        <f t="shared" ca="1" si="290"/>
        <v>44792</v>
      </c>
      <c r="E2357" s="1" t="s">
        <v>26</v>
      </c>
      <c r="F2357" s="1" t="s">
        <v>2385</v>
      </c>
      <c r="G2357" s="1" t="s">
        <v>28</v>
      </c>
      <c r="H2357" s="1">
        <v>2455</v>
      </c>
      <c r="I2357" s="1">
        <f t="shared" si="292"/>
        <v>53</v>
      </c>
      <c r="J2357" s="1">
        <f>VLOOKUP(B2357,Cena!$A$2:$B$101,2)</f>
        <v>105</v>
      </c>
      <c r="K2357" s="1">
        <f t="shared" si="296"/>
        <v>5565</v>
      </c>
      <c r="L2357" s="1">
        <f t="shared" si="293"/>
        <v>1279.95</v>
      </c>
      <c r="M2357" s="22">
        <f t="shared" si="297"/>
        <v>6844.95</v>
      </c>
      <c r="N2357" s="1">
        <f t="shared" ca="1" si="294"/>
        <v>8</v>
      </c>
      <c r="P2357" s="1">
        <v>53.833815753750969</v>
      </c>
      <c r="Q2357" s="1">
        <f t="shared" ca="1" si="295"/>
        <v>22</v>
      </c>
      <c r="R2357" s="1">
        <v>7.5010553043830441</v>
      </c>
    </row>
    <row r="2358" spans="1:18" x14ac:dyDescent="0.3">
      <c r="A2358" s="26">
        <v>2357</v>
      </c>
      <c r="B2358" s="1">
        <v>26</v>
      </c>
      <c r="C2358" s="1">
        <f t="shared" si="291"/>
        <v>8</v>
      </c>
      <c r="D2358" s="21">
        <f t="shared" ca="1" si="290"/>
        <v>44582</v>
      </c>
      <c r="E2358" s="1" t="s">
        <v>26</v>
      </c>
      <c r="F2358" s="1" t="s">
        <v>2386</v>
      </c>
      <c r="G2358" s="1" t="s">
        <v>28</v>
      </c>
      <c r="H2358" s="1">
        <v>2456</v>
      </c>
      <c r="I2358" s="1">
        <f t="shared" si="292"/>
        <v>47</v>
      </c>
      <c r="J2358" s="1">
        <f>VLOOKUP(B2358,Cena!$A$2:$B$101,2)</f>
        <v>99</v>
      </c>
      <c r="K2358" s="1">
        <f t="shared" si="296"/>
        <v>4653</v>
      </c>
      <c r="L2358" s="1">
        <f t="shared" si="293"/>
        <v>1070.19</v>
      </c>
      <c r="M2358" s="22">
        <f t="shared" si="297"/>
        <v>5723.1900000000005</v>
      </c>
      <c r="N2358" s="1">
        <f t="shared" ca="1" si="294"/>
        <v>1</v>
      </c>
      <c r="P2358" s="1">
        <v>47.815154983982211</v>
      </c>
      <c r="Q2358" s="1">
        <f t="shared" ca="1" si="295"/>
        <v>1</v>
      </c>
      <c r="R2358" s="1">
        <v>8.5245523248522659</v>
      </c>
    </row>
    <row r="2359" spans="1:18" x14ac:dyDescent="0.3">
      <c r="A2359" s="26">
        <v>2358</v>
      </c>
      <c r="B2359" s="1">
        <v>30</v>
      </c>
      <c r="C2359" s="1">
        <f t="shared" si="291"/>
        <v>10</v>
      </c>
      <c r="D2359" s="21">
        <f t="shared" ca="1" si="290"/>
        <v>44855</v>
      </c>
      <c r="E2359" s="1" t="s">
        <v>26</v>
      </c>
      <c r="F2359" s="1" t="s">
        <v>2387</v>
      </c>
      <c r="G2359" s="1" t="s">
        <v>28</v>
      </c>
      <c r="H2359" s="1">
        <v>2457</v>
      </c>
      <c r="I2359" s="1">
        <f t="shared" si="292"/>
        <v>54</v>
      </c>
      <c r="J2359" s="1">
        <f>VLOOKUP(B2359,Cena!$A$2:$B$101,2)</f>
        <v>87</v>
      </c>
      <c r="K2359" s="1">
        <f t="shared" si="296"/>
        <v>4698</v>
      </c>
      <c r="L2359" s="1">
        <f t="shared" si="293"/>
        <v>1080.54</v>
      </c>
      <c r="M2359" s="22">
        <f t="shared" si="297"/>
        <v>5778.54</v>
      </c>
      <c r="N2359" s="1">
        <f t="shared" ca="1" si="294"/>
        <v>10</v>
      </c>
      <c r="P2359" s="1">
        <v>54.967819222656544</v>
      </c>
      <c r="Q2359" s="1">
        <f t="shared" ca="1" si="295"/>
        <v>17</v>
      </c>
      <c r="R2359" s="1">
        <v>10.853879100759514</v>
      </c>
    </row>
    <row r="2360" spans="1:18" x14ac:dyDescent="0.3">
      <c r="A2360" s="26">
        <v>2359</v>
      </c>
      <c r="B2360" s="1">
        <v>22</v>
      </c>
      <c r="C2360" s="1">
        <f t="shared" si="291"/>
        <v>8</v>
      </c>
      <c r="D2360" s="21">
        <f t="shared" ca="1" si="290"/>
        <v>44685</v>
      </c>
      <c r="E2360" s="1" t="s">
        <v>26</v>
      </c>
      <c r="F2360" s="1" t="s">
        <v>2388</v>
      </c>
      <c r="G2360" s="1" t="s">
        <v>28</v>
      </c>
      <c r="H2360" s="1">
        <v>2458</v>
      </c>
      <c r="I2360" s="1">
        <f t="shared" si="292"/>
        <v>62</v>
      </c>
      <c r="J2360" s="1">
        <f>VLOOKUP(B2360,Cena!$A$2:$B$101,2)</f>
        <v>103</v>
      </c>
      <c r="K2360" s="1">
        <f t="shared" si="296"/>
        <v>6386</v>
      </c>
      <c r="L2360" s="1">
        <f t="shared" si="293"/>
        <v>1468.78</v>
      </c>
      <c r="M2360" s="22">
        <f t="shared" si="297"/>
        <v>7854.78</v>
      </c>
      <c r="N2360" s="1">
        <f t="shared" ca="1" si="294"/>
        <v>5</v>
      </c>
      <c r="P2360" s="1">
        <v>62.317991604504641</v>
      </c>
      <c r="Q2360" s="1">
        <f t="shared" ca="1" si="295"/>
        <v>28</v>
      </c>
      <c r="R2360" s="1">
        <v>8.8043498433398781</v>
      </c>
    </row>
    <row r="2361" spans="1:18" x14ac:dyDescent="0.3">
      <c r="A2361" s="26">
        <v>2360</v>
      </c>
      <c r="B2361" s="1">
        <v>17</v>
      </c>
      <c r="C2361" s="1">
        <f t="shared" si="291"/>
        <v>12</v>
      </c>
      <c r="D2361" s="21">
        <f t="shared" ca="1" si="290"/>
        <v>44708</v>
      </c>
      <c r="E2361" s="1" t="s">
        <v>26</v>
      </c>
      <c r="F2361" s="1" t="s">
        <v>2389</v>
      </c>
      <c r="G2361" s="1" t="s">
        <v>28</v>
      </c>
      <c r="H2361" s="1">
        <v>2459</v>
      </c>
      <c r="I2361" s="1">
        <f t="shared" si="292"/>
        <v>49</v>
      </c>
      <c r="J2361" s="1">
        <f>VLOOKUP(B2361,Cena!$A$2:$B$101,2)</f>
        <v>84</v>
      </c>
      <c r="K2361" s="1">
        <f t="shared" si="296"/>
        <v>4116</v>
      </c>
      <c r="L2361" s="1">
        <f t="shared" si="293"/>
        <v>946.68000000000006</v>
      </c>
      <c r="M2361" s="22">
        <f t="shared" si="297"/>
        <v>5062.68</v>
      </c>
      <c r="N2361" s="1">
        <f t="shared" ca="1" si="294"/>
        <v>5</v>
      </c>
      <c r="P2361" s="1">
        <v>49.417138951685047</v>
      </c>
      <c r="Q2361" s="1">
        <f t="shared" ca="1" si="295"/>
        <v>18</v>
      </c>
      <c r="R2361" s="1">
        <v>12.604224391689058</v>
      </c>
    </row>
    <row r="2362" spans="1:18" x14ac:dyDescent="0.3">
      <c r="A2362" s="26">
        <v>2361</v>
      </c>
      <c r="B2362" s="1">
        <v>21</v>
      </c>
      <c r="C2362" s="1">
        <f t="shared" si="291"/>
        <v>9</v>
      </c>
      <c r="D2362" s="21">
        <f t="shared" ca="1" si="290"/>
        <v>44893</v>
      </c>
      <c r="E2362" s="1" t="s">
        <v>26</v>
      </c>
      <c r="F2362" s="1" t="s">
        <v>2390</v>
      </c>
      <c r="G2362" s="1" t="s">
        <v>28</v>
      </c>
      <c r="H2362" s="1">
        <v>2460</v>
      </c>
      <c r="I2362" s="1">
        <f t="shared" si="292"/>
        <v>58</v>
      </c>
      <c r="J2362" s="1">
        <f>VLOOKUP(B2362,Cena!$A$2:$B$101,2)</f>
        <v>105</v>
      </c>
      <c r="K2362" s="1">
        <f t="shared" si="296"/>
        <v>6090</v>
      </c>
      <c r="L2362" s="1">
        <f t="shared" si="293"/>
        <v>1400.7</v>
      </c>
      <c r="M2362" s="22">
        <f t="shared" si="297"/>
        <v>7490.7</v>
      </c>
      <c r="N2362" s="1">
        <f t="shared" ca="1" si="294"/>
        <v>11</v>
      </c>
      <c r="P2362" s="1">
        <v>58.926940608944278</v>
      </c>
      <c r="Q2362" s="1">
        <f t="shared" ca="1" si="295"/>
        <v>11</v>
      </c>
      <c r="R2362" s="1">
        <v>9.9488380808543297</v>
      </c>
    </row>
    <row r="2363" spans="1:18" x14ac:dyDescent="0.3">
      <c r="A2363" s="26">
        <v>2362</v>
      </c>
      <c r="B2363" s="1">
        <v>21</v>
      </c>
      <c r="C2363" s="1">
        <f t="shared" si="291"/>
        <v>9</v>
      </c>
      <c r="D2363" s="21">
        <f t="shared" ca="1" si="290"/>
        <v>44640</v>
      </c>
      <c r="E2363" s="1" t="s">
        <v>26</v>
      </c>
      <c r="F2363" s="1" t="s">
        <v>2391</v>
      </c>
      <c r="G2363" s="1" t="s">
        <v>28</v>
      </c>
      <c r="H2363" s="1">
        <v>2461</v>
      </c>
      <c r="I2363" s="1">
        <f t="shared" si="292"/>
        <v>33</v>
      </c>
      <c r="J2363" s="1">
        <f>VLOOKUP(B2363,Cena!$A$2:$B$101,2)</f>
        <v>105</v>
      </c>
      <c r="K2363" s="1">
        <f t="shared" si="296"/>
        <v>3465</v>
      </c>
      <c r="L2363" s="1">
        <f t="shared" si="293"/>
        <v>796.95</v>
      </c>
      <c r="M2363" s="22">
        <f t="shared" si="297"/>
        <v>4261.95</v>
      </c>
      <c r="N2363" s="1">
        <f t="shared" ca="1" si="294"/>
        <v>3</v>
      </c>
      <c r="P2363" s="1">
        <v>33.098859956953675</v>
      </c>
      <c r="Q2363" s="1">
        <f t="shared" ca="1" si="295"/>
        <v>2</v>
      </c>
      <c r="R2363" s="1">
        <v>9.0526532656076597</v>
      </c>
    </row>
    <row r="2364" spans="1:18" x14ac:dyDescent="0.3">
      <c r="A2364" s="26">
        <v>2363</v>
      </c>
      <c r="B2364" s="1">
        <v>10</v>
      </c>
      <c r="C2364" s="1">
        <f t="shared" si="291"/>
        <v>9</v>
      </c>
      <c r="D2364" s="21">
        <f t="shared" ca="1" si="290"/>
        <v>44766</v>
      </c>
      <c r="E2364" s="1" t="s">
        <v>26</v>
      </c>
      <c r="F2364" s="1" t="s">
        <v>2392</v>
      </c>
      <c r="G2364" s="1" t="s">
        <v>28</v>
      </c>
      <c r="H2364" s="1">
        <v>2462</v>
      </c>
      <c r="I2364" s="1">
        <f t="shared" si="292"/>
        <v>51</v>
      </c>
      <c r="J2364" s="1">
        <f>VLOOKUP(B2364,Cena!$A$2:$B$101,2)</f>
        <v>109</v>
      </c>
      <c r="K2364" s="1">
        <f t="shared" si="296"/>
        <v>5559</v>
      </c>
      <c r="L2364" s="1">
        <f t="shared" si="293"/>
        <v>1278.5700000000002</v>
      </c>
      <c r="M2364" s="22">
        <f t="shared" si="297"/>
        <v>6837.57</v>
      </c>
      <c r="N2364" s="1">
        <f t="shared" ca="1" si="294"/>
        <v>7</v>
      </c>
      <c r="P2364" s="1">
        <v>51.021112439048011</v>
      </c>
      <c r="Q2364" s="1">
        <f t="shared" ca="1" si="295"/>
        <v>30</v>
      </c>
      <c r="R2364" s="1">
        <v>9.1463226933774422</v>
      </c>
    </row>
    <row r="2365" spans="1:18" x14ac:dyDescent="0.3">
      <c r="A2365" s="26">
        <v>2364</v>
      </c>
      <c r="B2365" s="1">
        <v>14</v>
      </c>
      <c r="C2365" s="1">
        <f t="shared" si="291"/>
        <v>7</v>
      </c>
      <c r="D2365" s="21">
        <f t="shared" ca="1" si="290"/>
        <v>44835</v>
      </c>
      <c r="E2365" s="1" t="s">
        <v>26</v>
      </c>
      <c r="F2365" s="1" t="s">
        <v>2393</v>
      </c>
      <c r="G2365" s="1" t="s">
        <v>28</v>
      </c>
      <c r="H2365" s="1">
        <v>2463</v>
      </c>
      <c r="I2365" s="1">
        <f t="shared" si="292"/>
        <v>42</v>
      </c>
      <c r="J2365" s="1">
        <f>VLOOKUP(B2365,Cena!$A$2:$B$101,2)</f>
        <v>129</v>
      </c>
      <c r="K2365" s="1">
        <f t="shared" si="296"/>
        <v>5418</v>
      </c>
      <c r="L2365" s="1">
        <f t="shared" si="293"/>
        <v>1246.1400000000001</v>
      </c>
      <c r="M2365" s="22">
        <f t="shared" si="297"/>
        <v>6664.14</v>
      </c>
      <c r="N2365" s="1">
        <f t="shared" ca="1" si="294"/>
        <v>10</v>
      </c>
      <c r="P2365" s="1">
        <v>42.530479175911751</v>
      </c>
      <c r="Q2365" s="1">
        <f t="shared" ca="1" si="295"/>
        <v>11</v>
      </c>
      <c r="R2365" s="1">
        <v>7.9749134126905119</v>
      </c>
    </row>
    <row r="2366" spans="1:18" x14ac:dyDescent="0.3">
      <c r="A2366" s="26">
        <v>2365</v>
      </c>
      <c r="B2366" s="1">
        <v>8</v>
      </c>
      <c r="C2366" s="1">
        <f t="shared" si="291"/>
        <v>10</v>
      </c>
      <c r="D2366" s="21">
        <f t="shared" ca="1" si="290"/>
        <v>44674</v>
      </c>
      <c r="E2366" s="1" t="s">
        <v>26</v>
      </c>
      <c r="F2366" s="1" t="s">
        <v>2394</v>
      </c>
      <c r="G2366" s="1" t="s">
        <v>28</v>
      </c>
      <c r="H2366" s="1">
        <v>2464</v>
      </c>
      <c r="I2366" s="1">
        <f t="shared" si="292"/>
        <v>64</v>
      </c>
      <c r="J2366" s="1">
        <f>VLOOKUP(B2366,Cena!$A$2:$B$101,2)</f>
        <v>88</v>
      </c>
      <c r="K2366" s="1">
        <f t="shared" si="296"/>
        <v>5632</v>
      </c>
      <c r="L2366" s="1">
        <f t="shared" si="293"/>
        <v>1295.3600000000001</v>
      </c>
      <c r="M2366" s="22">
        <f t="shared" si="297"/>
        <v>6927.3600000000006</v>
      </c>
      <c r="N2366" s="1">
        <f t="shared" ca="1" si="294"/>
        <v>4</v>
      </c>
      <c r="P2366" s="1">
        <v>64.385659596882761</v>
      </c>
      <c r="Q2366" s="1">
        <f t="shared" ca="1" si="295"/>
        <v>3</v>
      </c>
      <c r="R2366" s="1">
        <v>10.083304030340514</v>
      </c>
    </row>
    <row r="2367" spans="1:18" x14ac:dyDescent="0.3">
      <c r="A2367" s="26">
        <v>2366</v>
      </c>
      <c r="B2367" s="1">
        <v>1</v>
      </c>
      <c r="C2367" s="1">
        <f t="shared" si="291"/>
        <v>7</v>
      </c>
      <c r="D2367" s="21">
        <f t="shared" ca="1" si="290"/>
        <v>44794</v>
      </c>
      <c r="E2367" s="1" t="s">
        <v>26</v>
      </c>
      <c r="F2367" s="1" t="s">
        <v>2395</v>
      </c>
      <c r="G2367" s="1" t="s">
        <v>28</v>
      </c>
      <c r="H2367" s="1">
        <v>2465</v>
      </c>
      <c r="I2367" s="1">
        <f t="shared" si="292"/>
        <v>42</v>
      </c>
      <c r="J2367" s="1">
        <f>VLOOKUP(B2367,Cena!$A$2:$B$101,2)</f>
        <v>84</v>
      </c>
      <c r="K2367" s="1">
        <f t="shared" si="296"/>
        <v>3528</v>
      </c>
      <c r="L2367" s="1">
        <f t="shared" si="293"/>
        <v>811.44</v>
      </c>
      <c r="M2367" s="22">
        <f t="shared" si="297"/>
        <v>4339.4400000000005</v>
      </c>
      <c r="N2367" s="1">
        <f t="shared" ca="1" si="294"/>
        <v>8</v>
      </c>
      <c r="P2367" s="1">
        <v>42.760058376006782</v>
      </c>
      <c r="Q2367" s="1">
        <f t="shared" ca="1" si="295"/>
        <v>17</v>
      </c>
      <c r="R2367" s="1">
        <v>7.3706394484906923</v>
      </c>
    </row>
    <row r="2368" spans="1:18" x14ac:dyDescent="0.3">
      <c r="A2368" s="26">
        <v>2367</v>
      </c>
      <c r="B2368" s="1">
        <v>29</v>
      </c>
      <c r="C2368" s="1">
        <f t="shared" si="291"/>
        <v>15</v>
      </c>
      <c r="D2368" s="21">
        <f t="shared" ca="1" si="290"/>
        <v>44827</v>
      </c>
      <c r="E2368" s="1" t="s">
        <v>26</v>
      </c>
      <c r="F2368" s="1" t="s">
        <v>2396</v>
      </c>
      <c r="G2368" s="1" t="s">
        <v>28</v>
      </c>
      <c r="H2368" s="1">
        <v>2466</v>
      </c>
      <c r="I2368" s="1">
        <f t="shared" si="292"/>
        <v>51</v>
      </c>
      <c r="J2368" s="1">
        <f>VLOOKUP(B2368,Cena!$A$2:$B$101,2)</f>
        <v>105</v>
      </c>
      <c r="K2368" s="1">
        <f t="shared" si="296"/>
        <v>5355</v>
      </c>
      <c r="L2368" s="1">
        <f t="shared" si="293"/>
        <v>1231.6500000000001</v>
      </c>
      <c r="M2368" s="22">
        <f t="shared" si="297"/>
        <v>6586.65</v>
      </c>
      <c r="N2368" s="1">
        <f t="shared" ca="1" si="294"/>
        <v>9</v>
      </c>
      <c r="P2368" s="1">
        <v>51.884927769424394</v>
      </c>
      <c r="Q2368" s="1">
        <f t="shared" ca="1" si="295"/>
        <v>29</v>
      </c>
      <c r="R2368" s="1">
        <v>15.19137302035233</v>
      </c>
    </row>
    <row r="2369" spans="1:18" x14ac:dyDescent="0.3">
      <c r="A2369" s="26">
        <v>2368</v>
      </c>
      <c r="B2369" s="1">
        <v>1</v>
      </c>
      <c r="C2369" s="1">
        <f t="shared" si="291"/>
        <v>11</v>
      </c>
      <c r="D2369" s="21">
        <f t="shared" ca="1" si="290"/>
        <v>44700</v>
      </c>
      <c r="E2369" s="1" t="s">
        <v>26</v>
      </c>
      <c r="F2369" s="1" t="s">
        <v>2397</v>
      </c>
      <c r="G2369" s="1" t="s">
        <v>28</v>
      </c>
      <c r="H2369" s="1">
        <v>2467</v>
      </c>
      <c r="I2369" s="1">
        <f t="shared" si="292"/>
        <v>59</v>
      </c>
      <c r="J2369" s="1">
        <f>VLOOKUP(B2369,Cena!$A$2:$B$101,2)</f>
        <v>84</v>
      </c>
      <c r="K2369" s="1">
        <f t="shared" si="296"/>
        <v>4956</v>
      </c>
      <c r="L2369" s="1">
        <f t="shared" si="293"/>
        <v>1139.8800000000001</v>
      </c>
      <c r="M2369" s="22">
        <f t="shared" si="297"/>
        <v>6095.88</v>
      </c>
      <c r="N2369" s="1">
        <f t="shared" ca="1" si="294"/>
        <v>5</v>
      </c>
      <c r="P2369" s="1">
        <v>59.296536518377252</v>
      </c>
      <c r="Q2369" s="1">
        <f t="shared" ca="1" si="295"/>
        <v>20</v>
      </c>
      <c r="R2369" s="1">
        <v>11.012401185107592</v>
      </c>
    </row>
    <row r="2370" spans="1:18" x14ac:dyDescent="0.3">
      <c r="A2370" s="26">
        <v>2369</v>
      </c>
      <c r="B2370" s="1">
        <v>25</v>
      </c>
      <c r="C2370" s="1">
        <f t="shared" si="291"/>
        <v>9</v>
      </c>
      <c r="D2370" s="21">
        <f t="shared" ref="D2370:D2433" ca="1" si="298">DATE(2022,RANDBETWEEN(1,12),RANDBETWEEN(1,28))</f>
        <v>44886</v>
      </c>
      <c r="E2370" s="1" t="s">
        <v>26</v>
      </c>
      <c r="F2370" s="1" t="s">
        <v>2398</v>
      </c>
      <c r="G2370" s="1" t="s">
        <v>28</v>
      </c>
      <c r="H2370" s="1">
        <v>2468</v>
      </c>
      <c r="I2370" s="1">
        <f t="shared" si="292"/>
        <v>50</v>
      </c>
      <c r="J2370" s="1">
        <f>VLOOKUP(B2370,Cena!$A$2:$B$101,2)</f>
        <v>108</v>
      </c>
      <c r="K2370" s="1">
        <f t="shared" si="296"/>
        <v>5400</v>
      </c>
      <c r="L2370" s="1">
        <f t="shared" si="293"/>
        <v>1242</v>
      </c>
      <c r="M2370" s="22">
        <f t="shared" si="297"/>
        <v>6642</v>
      </c>
      <c r="N2370" s="1">
        <f t="shared" ca="1" si="294"/>
        <v>11</v>
      </c>
      <c r="P2370" s="1">
        <v>50.880481820786372</v>
      </c>
      <c r="Q2370" s="1">
        <f t="shared" ca="1" si="295"/>
        <v>26</v>
      </c>
      <c r="R2370" s="1">
        <v>9.6340875441092066</v>
      </c>
    </row>
    <row r="2371" spans="1:18" x14ac:dyDescent="0.3">
      <c r="A2371" s="26">
        <v>2370</v>
      </c>
      <c r="B2371" s="1">
        <v>4</v>
      </c>
      <c r="C2371" s="1">
        <f t="shared" ref="C2371:C2434" si="299">INT(R2371)</f>
        <v>6</v>
      </c>
      <c r="D2371" s="21">
        <f t="shared" ca="1" si="298"/>
        <v>44869</v>
      </c>
      <c r="E2371" s="1" t="s">
        <v>26</v>
      </c>
      <c r="F2371" s="1" t="s">
        <v>2399</v>
      </c>
      <c r="G2371" s="1" t="s">
        <v>28</v>
      </c>
      <c r="H2371" s="1">
        <v>2469</v>
      </c>
      <c r="I2371" s="1">
        <f t="shared" ref="I2371:I2434" si="300">INT(P2371)</f>
        <v>55</v>
      </c>
      <c r="J2371" s="1">
        <f>VLOOKUP(B2371,Cena!$A$2:$B$101,2)</f>
        <v>99</v>
      </c>
      <c r="K2371" s="1">
        <f t="shared" si="296"/>
        <v>5445</v>
      </c>
      <c r="L2371" s="1">
        <f t="shared" ref="L2371:L2434" si="301">K2371*23%</f>
        <v>1252.3500000000001</v>
      </c>
      <c r="M2371" s="22">
        <f t="shared" si="297"/>
        <v>6697.35</v>
      </c>
      <c r="N2371" s="1">
        <f t="shared" ref="N2371:N2434" ca="1" si="302">MONTH(D2371)</f>
        <v>11</v>
      </c>
      <c r="P2371" s="1">
        <v>55.978449735266622</v>
      </c>
      <c r="Q2371" s="1">
        <f t="shared" ref="Q2371:Q2434" ca="1" si="303">RANDBETWEEN(1,30)</f>
        <v>17</v>
      </c>
      <c r="R2371" s="1">
        <v>6.6438622323039453</v>
      </c>
    </row>
    <row r="2372" spans="1:18" x14ac:dyDescent="0.3">
      <c r="A2372" s="26">
        <v>2371</v>
      </c>
      <c r="B2372" s="1">
        <v>11</v>
      </c>
      <c r="C2372" s="1">
        <f t="shared" si="299"/>
        <v>8</v>
      </c>
      <c r="D2372" s="21">
        <f t="shared" ca="1" si="298"/>
        <v>44872</v>
      </c>
      <c r="E2372" s="1" t="s">
        <v>26</v>
      </c>
      <c r="F2372" s="1" t="s">
        <v>2400</v>
      </c>
      <c r="G2372" s="1" t="s">
        <v>28</v>
      </c>
      <c r="H2372" s="1">
        <v>2470</v>
      </c>
      <c r="I2372" s="1">
        <f t="shared" si="300"/>
        <v>52</v>
      </c>
      <c r="J2372" s="1">
        <f>VLOOKUP(B2372,Cena!$A$2:$B$101,2)</f>
        <v>83</v>
      </c>
      <c r="K2372" s="1">
        <f t="shared" si="296"/>
        <v>4316</v>
      </c>
      <c r="L2372" s="1">
        <f t="shared" si="301"/>
        <v>992.68000000000006</v>
      </c>
      <c r="M2372" s="22">
        <f t="shared" si="297"/>
        <v>5308.68</v>
      </c>
      <c r="N2372" s="1">
        <f t="shared" ca="1" si="302"/>
        <v>11</v>
      </c>
      <c r="P2372" s="1">
        <v>52.198169113398762</v>
      </c>
      <c r="Q2372" s="1">
        <f t="shared" ca="1" si="303"/>
        <v>8</v>
      </c>
      <c r="R2372" s="1">
        <v>8.818483959439618</v>
      </c>
    </row>
    <row r="2373" spans="1:18" x14ac:dyDescent="0.3">
      <c r="A2373" s="26">
        <v>2372</v>
      </c>
      <c r="B2373" s="1">
        <v>25</v>
      </c>
      <c r="C2373" s="1">
        <f t="shared" si="299"/>
        <v>6</v>
      </c>
      <c r="D2373" s="21">
        <f t="shared" ca="1" si="298"/>
        <v>44577</v>
      </c>
      <c r="E2373" s="1" t="s">
        <v>26</v>
      </c>
      <c r="F2373" s="1" t="s">
        <v>2401</v>
      </c>
      <c r="G2373" s="1" t="s">
        <v>28</v>
      </c>
      <c r="H2373" s="1">
        <v>2471</v>
      </c>
      <c r="I2373" s="1">
        <f t="shared" si="300"/>
        <v>75</v>
      </c>
      <c r="J2373" s="1">
        <f>VLOOKUP(B2373,Cena!$A$2:$B$101,2)</f>
        <v>108</v>
      </c>
      <c r="K2373" s="1">
        <f t="shared" si="296"/>
        <v>8100</v>
      </c>
      <c r="L2373" s="1">
        <f t="shared" si="301"/>
        <v>1863</v>
      </c>
      <c r="M2373" s="22">
        <f t="shared" si="297"/>
        <v>9963</v>
      </c>
      <c r="N2373" s="1">
        <f t="shared" ca="1" si="302"/>
        <v>1</v>
      </c>
      <c r="P2373" s="1">
        <v>75.316330720670521</v>
      </c>
      <c r="Q2373" s="1">
        <f t="shared" ca="1" si="303"/>
        <v>15</v>
      </c>
      <c r="R2373" s="1">
        <v>6.5536346735461848</v>
      </c>
    </row>
    <row r="2374" spans="1:18" x14ac:dyDescent="0.3">
      <c r="A2374" s="26">
        <v>2373</v>
      </c>
      <c r="B2374" s="1">
        <v>21</v>
      </c>
      <c r="C2374" s="1">
        <f t="shared" si="299"/>
        <v>5</v>
      </c>
      <c r="D2374" s="21">
        <f t="shared" ca="1" si="298"/>
        <v>44791</v>
      </c>
      <c r="E2374" s="1" t="s">
        <v>26</v>
      </c>
      <c r="F2374" s="1" t="s">
        <v>2402</v>
      </c>
      <c r="G2374" s="1" t="s">
        <v>28</v>
      </c>
      <c r="H2374" s="1">
        <v>2472</v>
      </c>
      <c r="I2374" s="1">
        <f t="shared" si="300"/>
        <v>48</v>
      </c>
      <c r="J2374" s="1">
        <f>VLOOKUP(B2374,Cena!$A$2:$B$101,2)</f>
        <v>105</v>
      </c>
      <c r="K2374" s="1">
        <f t="shared" si="296"/>
        <v>5040</v>
      </c>
      <c r="L2374" s="1">
        <f t="shared" si="301"/>
        <v>1159.2</v>
      </c>
      <c r="M2374" s="22">
        <f t="shared" si="297"/>
        <v>6199.2</v>
      </c>
      <c r="N2374" s="1">
        <f t="shared" ca="1" si="302"/>
        <v>8</v>
      </c>
      <c r="P2374" s="1">
        <v>48.158659764158074</v>
      </c>
      <c r="Q2374" s="1">
        <f t="shared" ca="1" si="303"/>
        <v>29</v>
      </c>
      <c r="R2374" s="1">
        <v>5.2194684738060459</v>
      </c>
    </row>
    <row r="2375" spans="1:18" x14ac:dyDescent="0.3">
      <c r="A2375" s="26">
        <v>2374</v>
      </c>
      <c r="B2375" s="1">
        <v>25</v>
      </c>
      <c r="C2375" s="1">
        <f t="shared" si="299"/>
        <v>7</v>
      </c>
      <c r="D2375" s="21">
        <f t="shared" ca="1" si="298"/>
        <v>44642</v>
      </c>
      <c r="E2375" s="1" t="s">
        <v>26</v>
      </c>
      <c r="F2375" s="1" t="s">
        <v>2403</v>
      </c>
      <c r="G2375" s="1" t="s">
        <v>28</v>
      </c>
      <c r="H2375" s="1">
        <v>2473</v>
      </c>
      <c r="I2375" s="1">
        <f t="shared" si="300"/>
        <v>57</v>
      </c>
      <c r="J2375" s="1">
        <f>VLOOKUP(B2375,Cena!$A$2:$B$101,2)</f>
        <v>108</v>
      </c>
      <c r="K2375" s="1">
        <f t="shared" si="296"/>
        <v>6156</v>
      </c>
      <c r="L2375" s="1">
        <f t="shared" si="301"/>
        <v>1415.88</v>
      </c>
      <c r="M2375" s="22">
        <f t="shared" si="297"/>
        <v>7571.88</v>
      </c>
      <c r="N2375" s="1">
        <f t="shared" ca="1" si="302"/>
        <v>3</v>
      </c>
      <c r="P2375" s="1">
        <v>57.142853064578958</v>
      </c>
      <c r="Q2375" s="1">
        <f t="shared" ca="1" si="303"/>
        <v>29</v>
      </c>
      <c r="R2375" s="1">
        <v>7.7765128278406337</v>
      </c>
    </row>
    <row r="2376" spans="1:18" x14ac:dyDescent="0.3">
      <c r="A2376" s="26">
        <v>2375</v>
      </c>
      <c r="B2376" s="1">
        <v>2</v>
      </c>
      <c r="C2376" s="1">
        <f t="shared" si="299"/>
        <v>6</v>
      </c>
      <c r="D2376" s="21">
        <f t="shared" ca="1" si="298"/>
        <v>44577</v>
      </c>
      <c r="E2376" s="1" t="s">
        <v>26</v>
      </c>
      <c r="F2376" s="1" t="s">
        <v>2404</v>
      </c>
      <c r="G2376" s="1" t="s">
        <v>28</v>
      </c>
      <c r="H2376" s="1">
        <v>2474</v>
      </c>
      <c r="I2376" s="1">
        <f t="shared" si="300"/>
        <v>51</v>
      </c>
      <c r="J2376" s="1">
        <f>VLOOKUP(B2376,Cena!$A$2:$B$101,2)</f>
        <v>121</v>
      </c>
      <c r="K2376" s="1">
        <f t="shared" si="296"/>
        <v>6171</v>
      </c>
      <c r="L2376" s="1">
        <f t="shared" si="301"/>
        <v>1419.3300000000002</v>
      </c>
      <c r="M2376" s="22">
        <f t="shared" si="297"/>
        <v>7590.33</v>
      </c>
      <c r="N2376" s="1">
        <f t="shared" ca="1" si="302"/>
        <v>1</v>
      </c>
      <c r="P2376" s="1">
        <v>51.608407274034107</v>
      </c>
      <c r="Q2376" s="1">
        <f t="shared" ca="1" si="303"/>
        <v>24</v>
      </c>
      <c r="R2376" s="1">
        <v>6.7204530548769981</v>
      </c>
    </row>
    <row r="2377" spans="1:18" x14ac:dyDescent="0.3">
      <c r="A2377" s="26">
        <v>2376</v>
      </c>
      <c r="B2377" s="1">
        <v>7</v>
      </c>
      <c r="C2377" s="1">
        <f t="shared" si="299"/>
        <v>10</v>
      </c>
      <c r="D2377" s="21">
        <f t="shared" ca="1" si="298"/>
        <v>44665</v>
      </c>
      <c r="E2377" s="1" t="s">
        <v>26</v>
      </c>
      <c r="F2377" s="1" t="s">
        <v>2405</v>
      </c>
      <c r="G2377" s="1" t="s">
        <v>28</v>
      </c>
      <c r="H2377" s="1">
        <v>2475</v>
      </c>
      <c r="I2377" s="1">
        <f t="shared" si="300"/>
        <v>37</v>
      </c>
      <c r="J2377" s="1">
        <f>VLOOKUP(B2377,Cena!$A$2:$B$101,2)</f>
        <v>104</v>
      </c>
      <c r="K2377" s="1">
        <f t="shared" si="296"/>
        <v>3848</v>
      </c>
      <c r="L2377" s="1">
        <f t="shared" si="301"/>
        <v>885.04000000000008</v>
      </c>
      <c r="M2377" s="22">
        <f t="shared" si="297"/>
        <v>4733.04</v>
      </c>
      <c r="N2377" s="1">
        <f t="shared" ca="1" si="302"/>
        <v>4</v>
      </c>
      <c r="P2377" s="1">
        <v>37.747105478774756</v>
      </c>
      <c r="Q2377" s="1">
        <f t="shared" ca="1" si="303"/>
        <v>6</v>
      </c>
      <c r="R2377" s="1">
        <v>10.935850152927742</v>
      </c>
    </row>
    <row r="2378" spans="1:18" x14ac:dyDescent="0.3">
      <c r="A2378" s="26">
        <v>2377</v>
      </c>
      <c r="B2378" s="1">
        <v>22</v>
      </c>
      <c r="C2378" s="1">
        <f t="shared" si="299"/>
        <v>9</v>
      </c>
      <c r="D2378" s="21">
        <f t="shared" ca="1" si="298"/>
        <v>44659</v>
      </c>
      <c r="E2378" s="1" t="s">
        <v>26</v>
      </c>
      <c r="F2378" s="1" t="s">
        <v>2406</v>
      </c>
      <c r="G2378" s="1" t="s">
        <v>28</v>
      </c>
      <c r="H2378" s="1">
        <v>2476</v>
      </c>
      <c r="I2378" s="1">
        <f t="shared" si="300"/>
        <v>76</v>
      </c>
      <c r="J2378" s="1">
        <f>VLOOKUP(B2378,Cena!$A$2:$B$101,2)</f>
        <v>103</v>
      </c>
      <c r="K2378" s="1">
        <f t="shared" si="296"/>
        <v>7828</v>
      </c>
      <c r="L2378" s="1">
        <f t="shared" si="301"/>
        <v>1800.44</v>
      </c>
      <c r="M2378" s="22">
        <f t="shared" si="297"/>
        <v>9628.44</v>
      </c>
      <c r="N2378" s="1">
        <f t="shared" ca="1" si="302"/>
        <v>4</v>
      </c>
      <c r="P2378" s="1">
        <v>76.346242520958185</v>
      </c>
      <c r="Q2378" s="1">
        <f t="shared" ca="1" si="303"/>
        <v>7</v>
      </c>
      <c r="R2378" s="1">
        <v>9.2396112702408573</v>
      </c>
    </row>
    <row r="2379" spans="1:18" x14ac:dyDescent="0.3">
      <c r="A2379" s="26">
        <v>2378</v>
      </c>
      <c r="B2379" s="1">
        <v>25</v>
      </c>
      <c r="C2379" s="1">
        <f t="shared" si="299"/>
        <v>12</v>
      </c>
      <c r="D2379" s="21">
        <f t="shared" ca="1" si="298"/>
        <v>44699</v>
      </c>
      <c r="E2379" s="1" t="s">
        <v>26</v>
      </c>
      <c r="F2379" s="1" t="s">
        <v>2407</v>
      </c>
      <c r="G2379" s="1" t="s">
        <v>28</v>
      </c>
      <c r="H2379" s="1">
        <v>2477</v>
      </c>
      <c r="I2379" s="1">
        <f t="shared" si="300"/>
        <v>39</v>
      </c>
      <c r="J2379" s="1">
        <f>VLOOKUP(B2379,Cena!$A$2:$B$101,2)</f>
        <v>108</v>
      </c>
      <c r="K2379" s="1">
        <f t="shared" si="296"/>
        <v>4212</v>
      </c>
      <c r="L2379" s="1">
        <f t="shared" si="301"/>
        <v>968.76</v>
      </c>
      <c r="M2379" s="22">
        <f t="shared" si="297"/>
        <v>5180.76</v>
      </c>
      <c r="N2379" s="1">
        <f t="shared" ca="1" si="302"/>
        <v>5</v>
      </c>
      <c r="P2379" s="1">
        <v>39.020466273359489</v>
      </c>
      <c r="Q2379" s="1">
        <f t="shared" ca="1" si="303"/>
        <v>10</v>
      </c>
      <c r="R2379" s="1">
        <v>12.883626848415588</v>
      </c>
    </row>
    <row r="2380" spans="1:18" x14ac:dyDescent="0.3">
      <c r="A2380" s="26">
        <v>2379</v>
      </c>
      <c r="B2380" s="1">
        <v>18</v>
      </c>
      <c r="C2380" s="1">
        <f t="shared" si="299"/>
        <v>7</v>
      </c>
      <c r="D2380" s="21">
        <f t="shared" ca="1" si="298"/>
        <v>44873</v>
      </c>
      <c r="E2380" s="1" t="s">
        <v>26</v>
      </c>
      <c r="F2380" s="1" t="s">
        <v>2408</v>
      </c>
      <c r="G2380" s="1" t="s">
        <v>28</v>
      </c>
      <c r="H2380" s="1">
        <v>2478</v>
      </c>
      <c r="I2380" s="1">
        <f t="shared" si="300"/>
        <v>55</v>
      </c>
      <c r="J2380" s="1">
        <f>VLOOKUP(B2380,Cena!$A$2:$B$101,2)</f>
        <v>90</v>
      </c>
      <c r="K2380" s="1">
        <f t="shared" si="296"/>
        <v>4950</v>
      </c>
      <c r="L2380" s="1">
        <f t="shared" si="301"/>
        <v>1138.5</v>
      </c>
      <c r="M2380" s="22">
        <f t="shared" si="297"/>
        <v>6088.5</v>
      </c>
      <c r="N2380" s="1">
        <f t="shared" ca="1" si="302"/>
        <v>11</v>
      </c>
      <c r="P2380" s="1">
        <v>55.607489583780989</v>
      </c>
      <c r="Q2380" s="1">
        <f t="shared" ca="1" si="303"/>
        <v>5</v>
      </c>
      <c r="R2380" s="1">
        <v>7.9420806539565092</v>
      </c>
    </row>
    <row r="2381" spans="1:18" x14ac:dyDescent="0.3">
      <c r="A2381" s="26">
        <v>2380</v>
      </c>
      <c r="B2381" s="1">
        <v>8</v>
      </c>
      <c r="C2381" s="1">
        <f t="shared" si="299"/>
        <v>10</v>
      </c>
      <c r="D2381" s="21">
        <f t="shared" ca="1" si="298"/>
        <v>44755</v>
      </c>
      <c r="E2381" s="1" t="s">
        <v>26</v>
      </c>
      <c r="F2381" s="1" t="s">
        <v>2409</v>
      </c>
      <c r="G2381" s="1" t="s">
        <v>28</v>
      </c>
      <c r="H2381" s="1">
        <v>2479</v>
      </c>
      <c r="I2381" s="1">
        <f t="shared" si="300"/>
        <v>45</v>
      </c>
      <c r="J2381" s="1">
        <f>VLOOKUP(B2381,Cena!$A$2:$B$101,2)</f>
        <v>88</v>
      </c>
      <c r="K2381" s="1">
        <f t="shared" si="296"/>
        <v>3960</v>
      </c>
      <c r="L2381" s="1">
        <f t="shared" si="301"/>
        <v>910.80000000000007</v>
      </c>
      <c r="M2381" s="22">
        <f t="shared" si="297"/>
        <v>4870.8</v>
      </c>
      <c r="N2381" s="1">
        <f t="shared" ca="1" si="302"/>
        <v>7</v>
      </c>
      <c r="P2381" s="1">
        <v>45.499422311695525</v>
      </c>
      <c r="Q2381" s="1">
        <f t="shared" ca="1" si="303"/>
        <v>13</v>
      </c>
      <c r="R2381" s="1">
        <v>10.231068497669185</v>
      </c>
    </row>
    <row r="2382" spans="1:18" x14ac:dyDescent="0.3">
      <c r="A2382" s="26">
        <v>2381</v>
      </c>
      <c r="B2382" s="1">
        <v>5</v>
      </c>
      <c r="C2382" s="1">
        <f t="shared" si="299"/>
        <v>11</v>
      </c>
      <c r="D2382" s="21">
        <f t="shared" ca="1" si="298"/>
        <v>44689</v>
      </c>
      <c r="E2382" s="1" t="s">
        <v>26</v>
      </c>
      <c r="F2382" s="1" t="s">
        <v>2410</v>
      </c>
      <c r="G2382" s="1" t="s">
        <v>28</v>
      </c>
      <c r="H2382" s="1">
        <v>2480</v>
      </c>
      <c r="I2382" s="1">
        <f t="shared" si="300"/>
        <v>66</v>
      </c>
      <c r="J2382" s="1">
        <f>VLOOKUP(B2382,Cena!$A$2:$B$101,2)</f>
        <v>91</v>
      </c>
      <c r="K2382" s="1">
        <f t="shared" si="296"/>
        <v>6006</v>
      </c>
      <c r="L2382" s="1">
        <f t="shared" si="301"/>
        <v>1381.38</v>
      </c>
      <c r="M2382" s="22">
        <f t="shared" si="297"/>
        <v>7387.38</v>
      </c>
      <c r="N2382" s="1">
        <f t="shared" ca="1" si="302"/>
        <v>5</v>
      </c>
      <c r="P2382" s="1">
        <v>66.417106962762773</v>
      </c>
      <c r="Q2382" s="1">
        <f t="shared" ca="1" si="303"/>
        <v>2</v>
      </c>
      <c r="R2382" s="1">
        <v>11.978440877792309</v>
      </c>
    </row>
    <row r="2383" spans="1:18" x14ac:dyDescent="0.3">
      <c r="A2383" s="26">
        <v>2382</v>
      </c>
      <c r="B2383" s="1">
        <v>26</v>
      </c>
      <c r="C2383" s="1">
        <f t="shared" si="299"/>
        <v>7</v>
      </c>
      <c r="D2383" s="21">
        <f t="shared" ca="1" si="298"/>
        <v>44780</v>
      </c>
      <c r="E2383" s="1" t="s">
        <v>26</v>
      </c>
      <c r="F2383" s="1" t="s">
        <v>2411</v>
      </c>
      <c r="G2383" s="1" t="s">
        <v>28</v>
      </c>
      <c r="H2383" s="1">
        <v>2481</v>
      </c>
      <c r="I2383" s="1">
        <f t="shared" si="300"/>
        <v>55</v>
      </c>
      <c r="J2383" s="1">
        <f>VLOOKUP(B2383,Cena!$A$2:$B$101,2)</f>
        <v>99</v>
      </c>
      <c r="K2383" s="1">
        <f t="shared" si="296"/>
        <v>5445</v>
      </c>
      <c r="L2383" s="1">
        <f t="shared" si="301"/>
        <v>1252.3500000000001</v>
      </c>
      <c r="M2383" s="22">
        <f t="shared" si="297"/>
        <v>6697.35</v>
      </c>
      <c r="N2383" s="1">
        <f t="shared" ca="1" si="302"/>
        <v>8</v>
      </c>
      <c r="P2383" s="1">
        <v>55.371794031816535</v>
      </c>
      <c r="Q2383" s="1">
        <f t="shared" ca="1" si="303"/>
        <v>24</v>
      </c>
      <c r="R2383" s="1">
        <v>7.8477546846988844</v>
      </c>
    </row>
    <row r="2384" spans="1:18" x14ac:dyDescent="0.3">
      <c r="A2384" s="26">
        <v>2383</v>
      </c>
      <c r="B2384" s="1">
        <v>21</v>
      </c>
      <c r="C2384" s="1">
        <f t="shared" si="299"/>
        <v>8</v>
      </c>
      <c r="D2384" s="21">
        <f t="shared" ca="1" si="298"/>
        <v>44876</v>
      </c>
      <c r="E2384" s="1" t="s">
        <v>26</v>
      </c>
      <c r="F2384" s="1" t="s">
        <v>2412</v>
      </c>
      <c r="G2384" s="1" t="s">
        <v>28</v>
      </c>
      <c r="H2384" s="1">
        <v>2482</v>
      </c>
      <c r="I2384" s="1">
        <f t="shared" si="300"/>
        <v>26</v>
      </c>
      <c r="J2384" s="1">
        <f>VLOOKUP(B2384,Cena!$A$2:$B$101,2)</f>
        <v>105</v>
      </c>
      <c r="K2384" s="1">
        <f t="shared" si="296"/>
        <v>2730</v>
      </c>
      <c r="L2384" s="1">
        <f t="shared" si="301"/>
        <v>627.9</v>
      </c>
      <c r="M2384" s="22">
        <f t="shared" si="297"/>
        <v>3357.9</v>
      </c>
      <c r="N2384" s="1">
        <f t="shared" ca="1" si="302"/>
        <v>11</v>
      </c>
      <c r="P2384" s="1">
        <v>26.281833369284868</v>
      </c>
      <c r="Q2384" s="1">
        <f t="shared" ca="1" si="303"/>
        <v>24</v>
      </c>
      <c r="R2384" s="1">
        <v>8.9855211879330454</v>
      </c>
    </row>
    <row r="2385" spans="1:18" x14ac:dyDescent="0.3">
      <c r="A2385" s="26">
        <v>2384</v>
      </c>
      <c r="B2385" s="1">
        <v>21</v>
      </c>
      <c r="C2385" s="1">
        <f t="shared" si="299"/>
        <v>11</v>
      </c>
      <c r="D2385" s="21">
        <f t="shared" ca="1" si="298"/>
        <v>44697</v>
      </c>
      <c r="E2385" s="1" t="s">
        <v>26</v>
      </c>
      <c r="F2385" s="1" t="s">
        <v>2413</v>
      </c>
      <c r="G2385" s="1" t="s">
        <v>28</v>
      </c>
      <c r="H2385" s="1">
        <v>2483</v>
      </c>
      <c r="I2385" s="1">
        <f t="shared" si="300"/>
        <v>51</v>
      </c>
      <c r="J2385" s="1">
        <f>VLOOKUP(B2385,Cena!$A$2:$B$101,2)</f>
        <v>105</v>
      </c>
      <c r="K2385" s="1">
        <f t="shared" si="296"/>
        <v>5355</v>
      </c>
      <c r="L2385" s="1">
        <f t="shared" si="301"/>
        <v>1231.6500000000001</v>
      </c>
      <c r="M2385" s="22">
        <f t="shared" si="297"/>
        <v>6586.65</v>
      </c>
      <c r="N2385" s="1">
        <f t="shared" ca="1" si="302"/>
        <v>5</v>
      </c>
      <c r="P2385" s="1">
        <v>51.525540938018821</v>
      </c>
      <c r="Q2385" s="1">
        <f t="shared" ca="1" si="303"/>
        <v>15</v>
      </c>
      <c r="R2385" s="1">
        <v>11.691211082288646</v>
      </c>
    </row>
    <row r="2386" spans="1:18" x14ac:dyDescent="0.3">
      <c r="A2386" s="26">
        <v>2385</v>
      </c>
      <c r="B2386" s="1">
        <v>14</v>
      </c>
      <c r="C2386" s="1">
        <f t="shared" si="299"/>
        <v>10</v>
      </c>
      <c r="D2386" s="21">
        <f t="shared" ca="1" si="298"/>
        <v>44743</v>
      </c>
      <c r="E2386" s="1" t="s">
        <v>26</v>
      </c>
      <c r="F2386" s="1" t="s">
        <v>2414</v>
      </c>
      <c r="G2386" s="1" t="s">
        <v>28</v>
      </c>
      <c r="H2386" s="1">
        <v>2484</v>
      </c>
      <c r="I2386" s="1">
        <f t="shared" si="300"/>
        <v>49</v>
      </c>
      <c r="J2386" s="1">
        <f>VLOOKUP(B2386,Cena!$A$2:$B$101,2)</f>
        <v>129</v>
      </c>
      <c r="K2386" s="1">
        <f t="shared" si="296"/>
        <v>6321</v>
      </c>
      <c r="L2386" s="1">
        <f t="shared" si="301"/>
        <v>1453.8300000000002</v>
      </c>
      <c r="M2386" s="22">
        <f t="shared" si="297"/>
        <v>7774.83</v>
      </c>
      <c r="N2386" s="1">
        <f t="shared" ca="1" si="302"/>
        <v>7</v>
      </c>
      <c r="P2386" s="1">
        <v>49.895578639552696</v>
      </c>
      <c r="Q2386" s="1">
        <f t="shared" ca="1" si="303"/>
        <v>28</v>
      </c>
      <c r="R2386" s="1">
        <v>10.271046474153991</v>
      </c>
    </row>
    <row r="2387" spans="1:18" x14ac:dyDescent="0.3">
      <c r="A2387" s="26">
        <v>2386</v>
      </c>
      <c r="B2387" s="1">
        <v>29</v>
      </c>
      <c r="C2387" s="1">
        <f t="shared" si="299"/>
        <v>13</v>
      </c>
      <c r="D2387" s="21">
        <f t="shared" ca="1" si="298"/>
        <v>44612</v>
      </c>
      <c r="E2387" s="1" t="s">
        <v>26</v>
      </c>
      <c r="F2387" s="1" t="s">
        <v>2415</v>
      </c>
      <c r="G2387" s="1" t="s">
        <v>28</v>
      </c>
      <c r="H2387" s="1">
        <v>2485</v>
      </c>
      <c r="I2387" s="1">
        <f t="shared" si="300"/>
        <v>49</v>
      </c>
      <c r="J2387" s="1">
        <f>VLOOKUP(B2387,Cena!$A$2:$B$101,2)</f>
        <v>105</v>
      </c>
      <c r="K2387" s="1">
        <f t="shared" si="296"/>
        <v>5145</v>
      </c>
      <c r="L2387" s="1">
        <f t="shared" si="301"/>
        <v>1183.3500000000001</v>
      </c>
      <c r="M2387" s="22">
        <f t="shared" si="297"/>
        <v>6328.35</v>
      </c>
      <c r="N2387" s="1">
        <f t="shared" ca="1" si="302"/>
        <v>2</v>
      </c>
      <c r="P2387" s="1">
        <v>49.031933839432895</v>
      </c>
      <c r="Q2387" s="1">
        <f t="shared" ca="1" si="303"/>
        <v>19</v>
      </c>
      <c r="R2387" s="1">
        <v>13.190319830537192</v>
      </c>
    </row>
    <row r="2388" spans="1:18" x14ac:dyDescent="0.3">
      <c r="A2388" s="26">
        <v>2387</v>
      </c>
      <c r="B2388" s="1">
        <v>22</v>
      </c>
      <c r="C2388" s="1">
        <f t="shared" si="299"/>
        <v>11</v>
      </c>
      <c r="D2388" s="21">
        <f t="shared" ca="1" si="298"/>
        <v>44764</v>
      </c>
      <c r="E2388" s="1" t="s">
        <v>26</v>
      </c>
      <c r="F2388" s="1" t="s">
        <v>2416</v>
      </c>
      <c r="G2388" s="1" t="s">
        <v>28</v>
      </c>
      <c r="H2388" s="1">
        <v>2486</v>
      </c>
      <c r="I2388" s="1">
        <f t="shared" si="300"/>
        <v>38</v>
      </c>
      <c r="J2388" s="1">
        <f>VLOOKUP(B2388,Cena!$A$2:$B$101,2)</f>
        <v>103</v>
      </c>
      <c r="K2388" s="1">
        <f t="shared" si="296"/>
        <v>3914</v>
      </c>
      <c r="L2388" s="1">
        <f t="shared" si="301"/>
        <v>900.22</v>
      </c>
      <c r="M2388" s="22">
        <f t="shared" si="297"/>
        <v>4814.22</v>
      </c>
      <c r="N2388" s="1">
        <f t="shared" ca="1" si="302"/>
        <v>7</v>
      </c>
      <c r="P2388" s="1">
        <v>38.419267538120039</v>
      </c>
      <c r="Q2388" s="1">
        <f t="shared" ca="1" si="303"/>
        <v>23</v>
      </c>
      <c r="R2388" s="1">
        <v>11.903214297271916</v>
      </c>
    </row>
    <row r="2389" spans="1:18" x14ac:dyDescent="0.3">
      <c r="A2389" s="26">
        <v>2388</v>
      </c>
      <c r="B2389" s="1">
        <v>27</v>
      </c>
      <c r="C2389" s="1">
        <f t="shared" si="299"/>
        <v>9</v>
      </c>
      <c r="D2389" s="21">
        <f t="shared" ca="1" si="298"/>
        <v>44709</v>
      </c>
      <c r="E2389" s="1" t="s">
        <v>26</v>
      </c>
      <c r="F2389" s="1" t="s">
        <v>2417</v>
      </c>
      <c r="G2389" s="1" t="s">
        <v>28</v>
      </c>
      <c r="H2389" s="1">
        <v>2487</v>
      </c>
      <c r="I2389" s="1">
        <f t="shared" si="300"/>
        <v>45</v>
      </c>
      <c r="J2389" s="1">
        <f>VLOOKUP(B2389,Cena!$A$2:$B$101,2)</f>
        <v>87</v>
      </c>
      <c r="K2389" s="1">
        <f t="shared" si="296"/>
        <v>3915</v>
      </c>
      <c r="L2389" s="1">
        <f t="shared" si="301"/>
        <v>900.45</v>
      </c>
      <c r="M2389" s="22">
        <f t="shared" si="297"/>
        <v>4815.45</v>
      </c>
      <c r="N2389" s="1">
        <f t="shared" ca="1" si="302"/>
        <v>5</v>
      </c>
      <c r="P2389" s="1">
        <v>45.964503796130884</v>
      </c>
      <c r="Q2389" s="1">
        <f t="shared" ca="1" si="303"/>
        <v>29</v>
      </c>
      <c r="R2389" s="1">
        <v>9.1675792898604413</v>
      </c>
    </row>
    <row r="2390" spans="1:18" x14ac:dyDescent="0.3">
      <c r="A2390" s="26">
        <v>2389</v>
      </c>
      <c r="B2390" s="1">
        <v>30</v>
      </c>
      <c r="C2390" s="1">
        <f t="shared" si="299"/>
        <v>8</v>
      </c>
      <c r="D2390" s="21">
        <f t="shared" ca="1" si="298"/>
        <v>44673</v>
      </c>
      <c r="E2390" s="1" t="s">
        <v>26</v>
      </c>
      <c r="F2390" s="1" t="s">
        <v>2418</v>
      </c>
      <c r="G2390" s="1" t="s">
        <v>28</v>
      </c>
      <c r="H2390" s="1">
        <v>2488</v>
      </c>
      <c r="I2390" s="1">
        <f t="shared" si="300"/>
        <v>64</v>
      </c>
      <c r="J2390" s="1">
        <f>VLOOKUP(B2390,Cena!$A$2:$B$101,2)</f>
        <v>87</v>
      </c>
      <c r="K2390" s="1">
        <f t="shared" si="296"/>
        <v>5568</v>
      </c>
      <c r="L2390" s="1">
        <f t="shared" si="301"/>
        <v>1280.6400000000001</v>
      </c>
      <c r="M2390" s="22">
        <f t="shared" si="297"/>
        <v>6848.64</v>
      </c>
      <c r="N2390" s="1">
        <f t="shared" ca="1" si="302"/>
        <v>4</v>
      </c>
      <c r="P2390" s="1">
        <v>64.00235305482056</v>
      </c>
      <c r="Q2390" s="1">
        <f t="shared" ca="1" si="303"/>
        <v>11</v>
      </c>
      <c r="R2390" s="1">
        <v>8.1295843554107705</v>
      </c>
    </row>
    <row r="2391" spans="1:18" x14ac:dyDescent="0.3">
      <c r="A2391" s="26">
        <v>2390</v>
      </c>
      <c r="B2391" s="1">
        <v>21</v>
      </c>
      <c r="C2391" s="1">
        <f t="shared" si="299"/>
        <v>8</v>
      </c>
      <c r="D2391" s="21">
        <f t="shared" ca="1" si="298"/>
        <v>44906</v>
      </c>
      <c r="E2391" s="1" t="s">
        <v>26</v>
      </c>
      <c r="F2391" s="1" t="s">
        <v>2419</v>
      </c>
      <c r="G2391" s="1" t="s">
        <v>28</v>
      </c>
      <c r="H2391" s="1">
        <v>2489</v>
      </c>
      <c r="I2391" s="1">
        <f t="shared" si="300"/>
        <v>48</v>
      </c>
      <c r="J2391" s="1">
        <f>VLOOKUP(B2391,Cena!$A$2:$B$101,2)</f>
        <v>105</v>
      </c>
      <c r="K2391" s="1">
        <f t="shared" si="296"/>
        <v>5040</v>
      </c>
      <c r="L2391" s="1">
        <f t="shared" si="301"/>
        <v>1159.2</v>
      </c>
      <c r="M2391" s="22">
        <f t="shared" si="297"/>
        <v>6199.2</v>
      </c>
      <c r="N2391" s="1">
        <f t="shared" ca="1" si="302"/>
        <v>12</v>
      </c>
      <c r="P2391" s="1">
        <v>48.129851519479416</v>
      </c>
      <c r="Q2391" s="1">
        <f t="shared" ca="1" si="303"/>
        <v>24</v>
      </c>
      <c r="R2391" s="1">
        <v>8.7193803008267423</v>
      </c>
    </row>
    <row r="2392" spans="1:18" x14ac:dyDescent="0.3">
      <c r="A2392" s="26">
        <v>2391</v>
      </c>
      <c r="B2392" s="1">
        <v>4</v>
      </c>
      <c r="C2392" s="1">
        <f t="shared" si="299"/>
        <v>14</v>
      </c>
      <c r="D2392" s="21">
        <f t="shared" ca="1" si="298"/>
        <v>44737</v>
      </c>
      <c r="E2392" s="1" t="s">
        <v>26</v>
      </c>
      <c r="F2392" s="1" t="s">
        <v>2420</v>
      </c>
      <c r="G2392" s="1" t="s">
        <v>28</v>
      </c>
      <c r="H2392" s="1">
        <v>2490</v>
      </c>
      <c r="I2392" s="1">
        <f t="shared" si="300"/>
        <v>61</v>
      </c>
      <c r="J2392" s="1">
        <f>VLOOKUP(B2392,Cena!$A$2:$B$101,2)</f>
        <v>99</v>
      </c>
      <c r="K2392" s="1">
        <f t="shared" si="296"/>
        <v>6039</v>
      </c>
      <c r="L2392" s="1">
        <f t="shared" si="301"/>
        <v>1388.97</v>
      </c>
      <c r="M2392" s="22">
        <f t="shared" si="297"/>
        <v>7427.97</v>
      </c>
      <c r="N2392" s="1">
        <f t="shared" ca="1" si="302"/>
        <v>6</v>
      </c>
      <c r="P2392" s="1">
        <v>61.733163773897104</v>
      </c>
      <c r="Q2392" s="1">
        <f t="shared" ca="1" si="303"/>
        <v>2</v>
      </c>
      <c r="R2392" s="1">
        <v>14.091816663276404</v>
      </c>
    </row>
    <row r="2393" spans="1:18" x14ac:dyDescent="0.3">
      <c r="A2393" s="26">
        <v>2392</v>
      </c>
      <c r="B2393" s="1">
        <v>1</v>
      </c>
      <c r="C2393" s="1">
        <f t="shared" si="299"/>
        <v>9</v>
      </c>
      <c r="D2393" s="21">
        <f t="shared" ca="1" si="298"/>
        <v>44879</v>
      </c>
      <c r="E2393" s="1" t="s">
        <v>26</v>
      </c>
      <c r="F2393" s="1" t="s">
        <v>2421</v>
      </c>
      <c r="G2393" s="1" t="s">
        <v>28</v>
      </c>
      <c r="H2393" s="1">
        <v>2491</v>
      </c>
      <c r="I2393" s="1">
        <f t="shared" si="300"/>
        <v>34</v>
      </c>
      <c r="J2393" s="1">
        <f>VLOOKUP(B2393,Cena!$A$2:$B$101,2)</f>
        <v>84</v>
      </c>
      <c r="K2393" s="1">
        <f t="shared" si="296"/>
        <v>2856</v>
      </c>
      <c r="L2393" s="1">
        <f t="shared" si="301"/>
        <v>656.88</v>
      </c>
      <c r="M2393" s="22">
        <f t="shared" si="297"/>
        <v>3512.88</v>
      </c>
      <c r="N2393" s="1">
        <f t="shared" ca="1" si="302"/>
        <v>11</v>
      </c>
      <c r="P2393" s="1">
        <v>34.914438755367883</v>
      </c>
      <c r="Q2393" s="1">
        <f t="shared" ca="1" si="303"/>
        <v>3</v>
      </c>
      <c r="R2393" s="1">
        <v>9.4255489355055033</v>
      </c>
    </row>
    <row r="2394" spans="1:18" x14ac:dyDescent="0.3">
      <c r="A2394" s="26">
        <v>2393</v>
      </c>
      <c r="B2394" s="1">
        <v>21</v>
      </c>
      <c r="C2394" s="1">
        <f t="shared" si="299"/>
        <v>8</v>
      </c>
      <c r="D2394" s="21">
        <f t="shared" ca="1" si="298"/>
        <v>44688</v>
      </c>
      <c r="E2394" s="1" t="s">
        <v>26</v>
      </c>
      <c r="F2394" s="1" t="s">
        <v>2422</v>
      </c>
      <c r="G2394" s="1" t="s">
        <v>28</v>
      </c>
      <c r="H2394" s="1">
        <v>2492</v>
      </c>
      <c r="I2394" s="1">
        <f t="shared" si="300"/>
        <v>67</v>
      </c>
      <c r="J2394" s="1">
        <f>VLOOKUP(B2394,Cena!$A$2:$B$101,2)</f>
        <v>105</v>
      </c>
      <c r="K2394" s="1">
        <f t="shared" si="296"/>
        <v>7035</v>
      </c>
      <c r="L2394" s="1">
        <f t="shared" si="301"/>
        <v>1618.0500000000002</v>
      </c>
      <c r="M2394" s="22">
        <f t="shared" si="297"/>
        <v>8653.0499999999993</v>
      </c>
      <c r="N2394" s="1">
        <f t="shared" ca="1" si="302"/>
        <v>5</v>
      </c>
      <c r="P2394" s="1">
        <v>67.534148355480283</v>
      </c>
      <c r="Q2394" s="1">
        <f t="shared" ca="1" si="303"/>
        <v>24</v>
      </c>
      <c r="R2394" s="1">
        <v>8.5158922299888218</v>
      </c>
    </row>
    <row r="2395" spans="1:18" x14ac:dyDescent="0.3">
      <c r="A2395" s="26">
        <v>2394</v>
      </c>
      <c r="B2395" s="1">
        <v>5</v>
      </c>
      <c r="C2395" s="1">
        <f t="shared" si="299"/>
        <v>7</v>
      </c>
      <c r="D2395" s="21">
        <f t="shared" ca="1" si="298"/>
        <v>44921</v>
      </c>
      <c r="E2395" s="1" t="s">
        <v>26</v>
      </c>
      <c r="F2395" s="1" t="s">
        <v>2423</v>
      </c>
      <c r="G2395" s="1" t="s">
        <v>28</v>
      </c>
      <c r="H2395" s="1">
        <v>2493</v>
      </c>
      <c r="I2395" s="1">
        <f t="shared" si="300"/>
        <v>38</v>
      </c>
      <c r="J2395" s="1">
        <f>VLOOKUP(B2395,Cena!$A$2:$B$101,2)</f>
        <v>91</v>
      </c>
      <c r="K2395" s="1">
        <f t="shared" si="296"/>
        <v>3458</v>
      </c>
      <c r="L2395" s="1">
        <f t="shared" si="301"/>
        <v>795.34</v>
      </c>
      <c r="M2395" s="22">
        <f t="shared" si="297"/>
        <v>4253.34</v>
      </c>
      <c r="N2395" s="1">
        <f t="shared" ca="1" si="302"/>
        <v>12</v>
      </c>
      <c r="P2395" s="1">
        <v>38.881017998210154</v>
      </c>
      <c r="Q2395" s="1">
        <f t="shared" ca="1" si="303"/>
        <v>29</v>
      </c>
      <c r="R2395" s="1">
        <v>7.2942646309093107</v>
      </c>
    </row>
    <row r="2396" spans="1:18" x14ac:dyDescent="0.3">
      <c r="A2396" s="26">
        <v>2395</v>
      </c>
      <c r="B2396" s="1">
        <v>14</v>
      </c>
      <c r="C2396" s="1">
        <f t="shared" si="299"/>
        <v>5</v>
      </c>
      <c r="D2396" s="21">
        <f t="shared" ca="1" si="298"/>
        <v>44877</v>
      </c>
      <c r="E2396" s="1" t="s">
        <v>26</v>
      </c>
      <c r="F2396" s="1" t="s">
        <v>2424</v>
      </c>
      <c r="G2396" s="1" t="s">
        <v>28</v>
      </c>
      <c r="H2396" s="1">
        <v>2494</v>
      </c>
      <c r="I2396" s="1">
        <f t="shared" si="300"/>
        <v>62</v>
      </c>
      <c r="J2396" s="1">
        <f>VLOOKUP(B2396,Cena!$A$2:$B$101,2)</f>
        <v>129</v>
      </c>
      <c r="K2396" s="1">
        <f t="shared" si="296"/>
        <v>7998</v>
      </c>
      <c r="L2396" s="1">
        <f t="shared" si="301"/>
        <v>1839.5400000000002</v>
      </c>
      <c r="M2396" s="22">
        <f t="shared" si="297"/>
        <v>9837.5400000000009</v>
      </c>
      <c r="N2396" s="1">
        <f t="shared" ca="1" si="302"/>
        <v>11</v>
      </c>
      <c r="P2396" s="1">
        <v>62.937675819557626</v>
      </c>
      <c r="Q2396" s="1">
        <f t="shared" ca="1" si="303"/>
        <v>6</v>
      </c>
      <c r="R2396" s="1">
        <v>5.4831537252175622</v>
      </c>
    </row>
    <row r="2397" spans="1:18" x14ac:dyDescent="0.3">
      <c r="A2397" s="26">
        <v>2396</v>
      </c>
      <c r="B2397" s="1">
        <v>26</v>
      </c>
      <c r="C2397" s="1">
        <f t="shared" si="299"/>
        <v>11</v>
      </c>
      <c r="D2397" s="21">
        <f t="shared" ca="1" si="298"/>
        <v>44746</v>
      </c>
      <c r="E2397" s="1" t="s">
        <v>26</v>
      </c>
      <c r="F2397" s="1" t="s">
        <v>2425</v>
      </c>
      <c r="G2397" s="1" t="s">
        <v>28</v>
      </c>
      <c r="H2397" s="1">
        <v>2495</v>
      </c>
      <c r="I2397" s="1">
        <f t="shared" si="300"/>
        <v>54</v>
      </c>
      <c r="J2397" s="1">
        <f>VLOOKUP(B2397,Cena!$A$2:$B$101,2)</f>
        <v>99</v>
      </c>
      <c r="K2397" s="1">
        <f t="shared" si="296"/>
        <v>5346</v>
      </c>
      <c r="L2397" s="1">
        <f t="shared" si="301"/>
        <v>1229.5800000000002</v>
      </c>
      <c r="M2397" s="22">
        <f t="shared" si="297"/>
        <v>6575.58</v>
      </c>
      <c r="N2397" s="1">
        <f t="shared" ca="1" si="302"/>
        <v>7</v>
      </c>
      <c r="P2397" s="1">
        <v>54.162791356066009</v>
      </c>
      <c r="Q2397" s="1">
        <f t="shared" ca="1" si="303"/>
        <v>9</v>
      </c>
      <c r="R2397" s="1">
        <v>11.690247586338955</v>
      </c>
    </row>
    <row r="2398" spans="1:18" x14ac:dyDescent="0.3">
      <c r="A2398" s="26">
        <v>2397</v>
      </c>
      <c r="B2398" s="1">
        <v>19</v>
      </c>
      <c r="C2398" s="1">
        <f t="shared" si="299"/>
        <v>8</v>
      </c>
      <c r="D2398" s="21">
        <f t="shared" ca="1" si="298"/>
        <v>44897</v>
      </c>
      <c r="E2398" s="1" t="s">
        <v>26</v>
      </c>
      <c r="F2398" s="1" t="s">
        <v>2426</v>
      </c>
      <c r="G2398" s="1" t="s">
        <v>28</v>
      </c>
      <c r="H2398" s="1">
        <v>2496</v>
      </c>
      <c r="I2398" s="1">
        <f t="shared" si="300"/>
        <v>62</v>
      </c>
      <c r="J2398" s="1">
        <f>VLOOKUP(B2398,Cena!$A$2:$B$101,2)</f>
        <v>84</v>
      </c>
      <c r="K2398" s="1">
        <f t="shared" si="296"/>
        <v>5208</v>
      </c>
      <c r="L2398" s="1">
        <f t="shared" si="301"/>
        <v>1197.8400000000001</v>
      </c>
      <c r="M2398" s="22">
        <f t="shared" si="297"/>
        <v>6405.84</v>
      </c>
      <c r="N2398" s="1">
        <f t="shared" ca="1" si="302"/>
        <v>12</v>
      </c>
      <c r="P2398" s="1">
        <v>62.64811544388067</v>
      </c>
      <c r="Q2398" s="1">
        <f t="shared" ca="1" si="303"/>
        <v>20</v>
      </c>
      <c r="R2398" s="1">
        <v>8.836841541560716</v>
      </c>
    </row>
    <row r="2399" spans="1:18" x14ac:dyDescent="0.3">
      <c r="A2399" s="26">
        <v>2398</v>
      </c>
      <c r="B2399" s="1">
        <v>19</v>
      </c>
      <c r="C2399" s="1">
        <f t="shared" si="299"/>
        <v>7</v>
      </c>
      <c r="D2399" s="21">
        <f t="shared" ca="1" si="298"/>
        <v>44814</v>
      </c>
      <c r="E2399" s="1" t="s">
        <v>26</v>
      </c>
      <c r="F2399" s="1" t="s">
        <v>2427</v>
      </c>
      <c r="G2399" s="1" t="s">
        <v>28</v>
      </c>
      <c r="H2399" s="1">
        <v>2497</v>
      </c>
      <c r="I2399" s="1">
        <f t="shared" si="300"/>
        <v>27</v>
      </c>
      <c r="J2399" s="1">
        <f>VLOOKUP(B2399,Cena!$A$2:$B$101,2)</f>
        <v>84</v>
      </c>
      <c r="K2399" s="1">
        <f t="shared" ref="K2399:K2462" si="304">I2399*J2399</f>
        <v>2268</v>
      </c>
      <c r="L2399" s="1">
        <f t="shared" si="301"/>
        <v>521.64</v>
      </c>
      <c r="M2399" s="22">
        <f t="shared" ref="M2399:M2462" si="305">K2399+L2399</f>
        <v>2789.64</v>
      </c>
      <c r="N2399" s="1">
        <f t="shared" ca="1" si="302"/>
        <v>9</v>
      </c>
      <c r="P2399" s="1">
        <v>27.608604240231216</v>
      </c>
      <c r="Q2399" s="1">
        <f t="shared" ca="1" si="303"/>
        <v>4</v>
      </c>
      <c r="R2399" s="1">
        <v>7.8319181082042633</v>
      </c>
    </row>
    <row r="2400" spans="1:18" x14ac:dyDescent="0.3">
      <c r="A2400" s="26">
        <v>2399</v>
      </c>
      <c r="B2400" s="1">
        <v>27</v>
      </c>
      <c r="C2400" s="1">
        <f t="shared" si="299"/>
        <v>7</v>
      </c>
      <c r="D2400" s="21">
        <f t="shared" ca="1" si="298"/>
        <v>44861</v>
      </c>
      <c r="E2400" s="1" t="s">
        <v>26</v>
      </c>
      <c r="F2400" s="1" t="s">
        <v>2428</v>
      </c>
      <c r="G2400" s="1" t="s">
        <v>28</v>
      </c>
      <c r="H2400" s="1">
        <v>2498</v>
      </c>
      <c r="I2400" s="1">
        <f t="shared" si="300"/>
        <v>52</v>
      </c>
      <c r="J2400" s="1">
        <f>VLOOKUP(B2400,Cena!$A$2:$B$101,2)</f>
        <v>87</v>
      </c>
      <c r="K2400" s="1">
        <f t="shared" si="304"/>
        <v>4524</v>
      </c>
      <c r="L2400" s="1">
        <f t="shared" si="301"/>
        <v>1040.52</v>
      </c>
      <c r="M2400" s="22">
        <f t="shared" si="305"/>
        <v>5564.52</v>
      </c>
      <c r="N2400" s="1">
        <f t="shared" ca="1" si="302"/>
        <v>10</v>
      </c>
      <c r="P2400" s="1">
        <v>52.798856257868465</v>
      </c>
      <c r="Q2400" s="1">
        <f t="shared" ca="1" si="303"/>
        <v>9</v>
      </c>
      <c r="R2400" s="1">
        <v>7.2676619108824525</v>
      </c>
    </row>
    <row r="2401" spans="1:18" x14ac:dyDescent="0.3">
      <c r="A2401" s="26">
        <v>2400</v>
      </c>
      <c r="B2401" s="1">
        <v>26</v>
      </c>
      <c r="C2401" s="1">
        <f t="shared" si="299"/>
        <v>7</v>
      </c>
      <c r="D2401" s="21">
        <f t="shared" ca="1" si="298"/>
        <v>44714</v>
      </c>
      <c r="E2401" s="1" t="s">
        <v>26</v>
      </c>
      <c r="F2401" s="1" t="s">
        <v>2429</v>
      </c>
      <c r="G2401" s="1" t="s">
        <v>28</v>
      </c>
      <c r="H2401" s="1">
        <v>2499</v>
      </c>
      <c r="I2401" s="1">
        <f t="shared" si="300"/>
        <v>43</v>
      </c>
      <c r="J2401" s="1">
        <f>VLOOKUP(B2401,Cena!$A$2:$B$101,2)</f>
        <v>99</v>
      </c>
      <c r="K2401" s="1">
        <f t="shared" si="304"/>
        <v>4257</v>
      </c>
      <c r="L2401" s="1">
        <f t="shared" si="301"/>
        <v>979.11</v>
      </c>
      <c r="M2401" s="22">
        <f t="shared" si="305"/>
        <v>5236.1099999999997</v>
      </c>
      <c r="N2401" s="1">
        <f t="shared" ca="1" si="302"/>
        <v>6</v>
      </c>
      <c r="P2401" s="1">
        <v>43.238043316523544</v>
      </c>
      <c r="Q2401" s="1">
        <f t="shared" ca="1" si="303"/>
        <v>10</v>
      </c>
      <c r="R2401" s="1">
        <v>7.8302469116897555</v>
      </c>
    </row>
    <row r="2402" spans="1:18" x14ac:dyDescent="0.3">
      <c r="A2402" s="26">
        <v>2401</v>
      </c>
      <c r="B2402" s="1">
        <v>23</v>
      </c>
      <c r="C2402" s="1">
        <f t="shared" si="299"/>
        <v>7</v>
      </c>
      <c r="D2402" s="21">
        <f t="shared" ca="1" si="298"/>
        <v>44893</v>
      </c>
      <c r="E2402" s="1" t="s">
        <v>26</v>
      </c>
      <c r="F2402" s="1" t="s">
        <v>2430</v>
      </c>
      <c r="G2402" s="1" t="s">
        <v>28</v>
      </c>
      <c r="H2402" s="1">
        <v>2500</v>
      </c>
      <c r="I2402" s="1">
        <f t="shared" si="300"/>
        <v>56</v>
      </c>
      <c r="J2402" s="1">
        <f>VLOOKUP(B2402,Cena!$A$2:$B$101,2)</f>
        <v>132</v>
      </c>
      <c r="K2402" s="1">
        <f t="shared" si="304"/>
        <v>7392</v>
      </c>
      <c r="L2402" s="1">
        <f t="shared" si="301"/>
        <v>1700.16</v>
      </c>
      <c r="M2402" s="22">
        <f t="shared" si="305"/>
        <v>9092.16</v>
      </c>
      <c r="N2402" s="1">
        <f t="shared" ca="1" si="302"/>
        <v>11</v>
      </c>
      <c r="P2402" s="1">
        <v>56.428194865293335</v>
      </c>
      <c r="Q2402" s="1">
        <f t="shared" ca="1" si="303"/>
        <v>13</v>
      </c>
      <c r="R2402" s="1">
        <v>7.425209130597068</v>
      </c>
    </row>
    <row r="2403" spans="1:18" x14ac:dyDescent="0.3">
      <c r="A2403" s="26">
        <v>2402</v>
      </c>
      <c r="B2403" s="1">
        <v>6</v>
      </c>
      <c r="C2403" s="1">
        <f t="shared" si="299"/>
        <v>5</v>
      </c>
      <c r="D2403" s="21">
        <f t="shared" ca="1" si="298"/>
        <v>44799</v>
      </c>
      <c r="E2403" s="1" t="s">
        <v>26</v>
      </c>
      <c r="F2403" s="1" t="s">
        <v>2431</v>
      </c>
      <c r="G2403" s="1" t="s">
        <v>28</v>
      </c>
      <c r="H2403" s="1">
        <v>2501</v>
      </c>
      <c r="I2403" s="1">
        <f t="shared" si="300"/>
        <v>48</v>
      </c>
      <c r="J2403" s="1">
        <f>VLOOKUP(B2403,Cena!$A$2:$B$101,2)</f>
        <v>86</v>
      </c>
      <c r="K2403" s="1">
        <f t="shared" si="304"/>
        <v>4128</v>
      </c>
      <c r="L2403" s="1">
        <f t="shared" si="301"/>
        <v>949.44</v>
      </c>
      <c r="M2403" s="22">
        <f t="shared" si="305"/>
        <v>5077.4400000000005</v>
      </c>
      <c r="N2403" s="1">
        <f t="shared" ca="1" si="302"/>
        <v>8</v>
      </c>
      <c r="P2403" s="1">
        <v>48.25193981450866</v>
      </c>
      <c r="Q2403" s="1">
        <f t="shared" ca="1" si="303"/>
        <v>23</v>
      </c>
      <c r="R2403" s="1">
        <v>5.2087136989575811</v>
      </c>
    </row>
    <row r="2404" spans="1:18" x14ac:dyDescent="0.3">
      <c r="A2404" s="26">
        <v>2403</v>
      </c>
      <c r="B2404" s="1">
        <v>19</v>
      </c>
      <c r="C2404" s="1">
        <f t="shared" si="299"/>
        <v>8</v>
      </c>
      <c r="D2404" s="21">
        <f t="shared" ca="1" si="298"/>
        <v>44898</v>
      </c>
      <c r="E2404" s="1" t="s">
        <v>26</v>
      </c>
      <c r="F2404" s="1" t="s">
        <v>2432</v>
      </c>
      <c r="G2404" s="1" t="s">
        <v>28</v>
      </c>
      <c r="H2404" s="1">
        <v>2502</v>
      </c>
      <c r="I2404" s="1">
        <f t="shared" si="300"/>
        <v>42</v>
      </c>
      <c r="J2404" s="1">
        <f>VLOOKUP(B2404,Cena!$A$2:$B$101,2)</f>
        <v>84</v>
      </c>
      <c r="K2404" s="1">
        <f t="shared" si="304"/>
        <v>3528</v>
      </c>
      <c r="L2404" s="1">
        <f t="shared" si="301"/>
        <v>811.44</v>
      </c>
      <c r="M2404" s="22">
        <f t="shared" si="305"/>
        <v>4339.4400000000005</v>
      </c>
      <c r="N2404" s="1">
        <f t="shared" ca="1" si="302"/>
        <v>12</v>
      </c>
      <c r="P2404" s="1">
        <v>42.072616805671714</v>
      </c>
      <c r="Q2404" s="1">
        <f t="shared" ca="1" si="303"/>
        <v>22</v>
      </c>
      <c r="R2404" s="1">
        <v>8.3632079647577484</v>
      </c>
    </row>
    <row r="2405" spans="1:18" x14ac:dyDescent="0.3">
      <c r="A2405" s="26">
        <v>2404</v>
      </c>
      <c r="B2405" s="1">
        <v>11</v>
      </c>
      <c r="C2405" s="1">
        <f t="shared" si="299"/>
        <v>7</v>
      </c>
      <c r="D2405" s="21">
        <f t="shared" ca="1" si="298"/>
        <v>44689</v>
      </c>
      <c r="E2405" s="1" t="s">
        <v>26</v>
      </c>
      <c r="F2405" s="1" t="s">
        <v>2433</v>
      </c>
      <c r="G2405" s="1" t="s">
        <v>28</v>
      </c>
      <c r="H2405" s="1">
        <v>2503</v>
      </c>
      <c r="I2405" s="1">
        <f t="shared" si="300"/>
        <v>57</v>
      </c>
      <c r="J2405" s="1">
        <f>VLOOKUP(B2405,Cena!$A$2:$B$101,2)</f>
        <v>83</v>
      </c>
      <c r="K2405" s="1">
        <f t="shared" si="304"/>
        <v>4731</v>
      </c>
      <c r="L2405" s="1">
        <f t="shared" si="301"/>
        <v>1088.1300000000001</v>
      </c>
      <c r="M2405" s="22">
        <f t="shared" si="305"/>
        <v>5819.13</v>
      </c>
      <c r="N2405" s="1">
        <f t="shared" ca="1" si="302"/>
        <v>5</v>
      </c>
      <c r="P2405" s="1">
        <v>57.475591701222584</v>
      </c>
      <c r="Q2405" s="1">
        <f t="shared" ca="1" si="303"/>
        <v>16</v>
      </c>
      <c r="R2405" s="1">
        <v>7.4607021613337565</v>
      </c>
    </row>
    <row r="2406" spans="1:18" x14ac:dyDescent="0.3">
      <c r="A2406" s="26">
        <v>2405</v>
      </c>
      <c r="B2406" s="1">
        <v>21</v>
      </c>
      <c r="C2406" s="1">
        <f t="shared" si="299"/>
        <v>11</v>
      </c>
      <c r="D2406" s="21">
        <f t="shared" ca="1" si="298"/>
        <v>44645</v>
      </c>
      <c r="E2406" s="1" t="s">
        <v>26</v>
      </c>
      <c r="F2406" s="1" t="s">
        <v>2434</v>
      </c>
      <c r="G2406" s="1" t="s">
        <v>28</v>
      </c>
      <c r="H2406" s="1">
        <v>2504</v>
      </c>
      <c r="I2406" s="1">
        <f t="shared" si="300"/>
        <v>48</v>
      </c>
      <c r="J2406" s="1">
        <f>VLOOKUP(B2406,Cena!$A$2:$B$101,2)</f>
        <v>105</v>
      </c>
      <c r="K2406" s="1">
        <f t="shared" si="304"/>
        <v>5040</v>
      </c>
      <c r="L2406" s="1">
        <f t="shared" si="301"/>
        <v>1159.2</v>
      </c>
      <c r="M2406" s="22">
        <f t="shared" si="305"/>
        <v>6199.2</v>
      </c>
      <c r="N2406" s="1">
        <f t="shared" ca="1" si="302"/>
        <v>3</v>
      </c>
      <c r="P2406" s="1">
        <v>48.549492374877445</v>
      </c>
      <c r="Q2406" s="1">
        <f t="shared" ca="1" si="303"/>
        <v>11</v>
      </c>
      <c r="R2406" s="1">
        <v>11.594608534105646</v>
      </c>
    </row>
    <row r="2407" spans="1:18" x14ac:dyDescent="0.3">
      <c r="A2407" s="26">
        <v>2406</v>
      </c>
      <c r="B2407" s="1">
        <v>14</v>
      </c>
      <c r="C2407" s="1">
        <f t="shared" si="299"/>
        <v>10</v>
      </c>
      <c r="D2407" s="21">
        <f t="shared" ca="1" si="298"/>
        <v>44922</v>
      </c>
      <c r="E2407" s="1" t="s">
        <v>26</v>
      </c>
      <c r="F2407" s="1" t="s">
        <v>2435</v>
      </c>
      <c r="G2407" s="1" t="s">
        <v>28</v>
      </c>
      <c r="H2407" s="1">
        <v>2505</v>
      </c>
      <c r="I2407" s="1">
        <f t="shared" si="300"/>
        <v>54</v>
      </c>
      <c r="J2407" s="1">
        <f>VLOOKUP(B2407,Cena!$A$2:$B$101,2)</f>
        <v>129</v>
      </c>
      <c r="K2407" s="1">
        <f t="shared" si="304"/>
        <v>6966</v>
      </c>
      <c r="L2407" s="1">
        <f t="shared" si="301"/>
        <v>1602.18</v>
      </c>
      <c r="M2407" s="22">
        <f t="shared" si="305"/>
        <v>8568.18</v>
      </c>
      <c r="N2407" s="1">
        <f t="shared" ca="1" si="302"/>
        <v>12</v>
      </c>
      <c r="P2407" s="1">
        <v>54.703838385466952</v>
      </c>
      <c r="Q2407" s="1">
        <f t="shared" ca="1" si="303"/>
        <v>4</v>
      </c>
      <c r="R2407" s="1">
        <v>10.333852767653298</v>
      </c>
    </row>
    <row r="2408" spans="1:18" x14ac:dyDescent="0.3">
      <c r="A2408" s="26">
        <v>2407</v>
      </c>
      <c r="B2408" s="1">
        <v>21</v>
      </c>
      <c r="C2408" s="1">
        <f t="shared" si="299"/>
        <v>11</v>
      </c>
      <c r="D2408" s="21">
        <f t="shared" ca="1" si="298"/>
        <v>44657</v>
      </c>
      <c r="E2408" s="1" t="s">
        <v>26</v>
      </c>
      <c r="F2408" s="1" t="s">
        <v>2436</v>
      </c>
      <c r="G2408" s="1" t="s">
        <v>28</v>
      </c>
      <c r="H2408" s="1">
        <v>2506</v>
      </c>
      <c r="I2408" s="1">
        <f t="shared" si="300"/>
        <v>61</v>
      </c>
      <c r="J2408" s="1">
        <f>VLOOKUP(B2408,Cena!$A$2:$B$101,2)</f>
        <v>105</v>
      </c>
      <c r="K2408" s="1">
        <f t="shared" si="304"/>
        <v>6405</v>
      </c>
      <c r="L2408" s="1">
        <f t="shared" si="301"/>
        <v>1473.15</v>
      </c>
      <c r="M2408" s="22">
        <f t="shared" si="305"/>
        <v>7878.15</v>
      </c>
      <c r="N2408" s="1">
        <f t="shared" ca="1" si="302"/>
        <v>4</v>
      </c>
      <c r="P2408" s="1">
        <v>61.168776836711913</v>
      </c>
      <c r="Q2408" s="1">
        <f t="shared" ca="1" si="303"/>
        <v>13</v>
      </c>
      <c r="R2408" s="1">
        <v>11.370869995298563</v>
      </c>
    </row>
    <row r="2409" spans="1:18" x14ac:dyDescent="0.3">
      <c r="A2409" s="26">
        <v>2408</v>
      </c>
      <c r="B2409" s="1">
        <v>17</v>
      </c>
      <c r="C2409" s="1">
        <f t="shared" si="299"/>
        <v>6</v>
      </c>
      <c r="D2409" s="21">
        <f t="shared" ca="1" si="298"/>
        <v>44893</v>
      </c>
      <c r="E2409" s="1" t="s">
        <v>26</v>
      </c>
      <c r="F2409" s="1" t="s">
        <v>2437</v>
      </c>
      <c r="G2409" s="1" t="s">
        <v>28</v>
      </c>
      <c r="H2409" s="1">
        <v>2507</v>
      </c>
      <c r="I2409" s="1">
        <f t="shared" si="300"/>
        <v>40</v>
      </c>
      <c r="J2409" s="1">
        <f>VLOOKUP(B2409,Cena!$A$2:$B$101,2)</f>
        <v>84</v>
      </c>
      <c r="K2409" s="1">
        <f t="shared" si="304"/>
        <v>3360</v>
      </c>
      <c r="L2409" s="1">
        <f t="shared" si="301"/>
        <v>772.80000000000007</v>
      </c>
      <c r="M2409" s="22">
        <f t="shared" si="305"/>
        <v>4132.8</v>
      </c>
      <c r="N2409" s="1">
        <f t="shared" ca="1" si="302"/>
        <v>11</v>
      </c>
      <c r="P2409" s="1">
        <v>40.065794008842204</v>
      </c>
      <c r="Q2409" s="1">
        <f t="shared" ca="1" si="303"/>
        <v>10</v>
      </c>
      <c r="R2409" s="1">
        <v>6.1130470182979479</v>
      </c>
    </row>
    <row r="2410" spans="1:18" x14ac:dyDescent="0.3">
      <c r="A2410" s="26">
        <v>2409</v>
      </c>
      <c r="B2410" s="1">
        <v>3</v>
      </c>
      <c r="C2410" s="1">
        <f t="shared" si="299"/>
        <v>7</v>
      </c>
      <c r="D2410" s="21">
        <f t="shared" ca="1" si="298"/>
        <v>44580</v>
      </c>
      <c r="E2410" s="1" t="s">
        <v>26</v>
      </c>
      <c r="F2410" s="1" t="s">
        <v>2438</v>
      </c>
      <c r="G2410" s="1" t="s">
        <v>28</v>
      </c>
      <c r="H2410" s="1">
        <v>2508</v>
      </c>
      <c r="I2410" s="1">
        <f t="shared" si="300"/>
        <v>50</v>
      </c>
      <c r="J2410" s="1">
        <f>VLOOKUP(B2410,Cena!$A$2:$B$101,2)</f>
        <v>89</v>
      </c>
      <c r="K2410" s="1">
        <f t="shared" si="304"/>
        <v>4450</v>
      </c>
      <c r="L2410" s="1">
        <f t="shared" si="301"/>
        <v>1023.5</v>
      </c>
      <c r="M2410" s="22">
        <f t="shared" si="305"/>
        <v>5473.5</v>
      </c>
      <c r="N2410" s="1">
        <f t="shared" ca="1" si="302"/>
        <v>1</v>
      </c>
      <c r="P2410" s="1">
        <v>50.931947852222947</v>
      </c>
      <c r="Q2410" s="1">
        <f t="shared" ca="1" si="303"/>
        <v>27</v>
      </c>
      <c r="R2410" s="1">
        <v>7.9226970481249737</v>
      </c>
    </row>
    <row r="2411" spans="1:18" x14ac:dyDescent="0.3">
      <c r="A2411" s="26">
        <v>2410</v>
      </c>
      <c r="B2411" s="1">
        <v>25</v>
      </c>
      <c r="C2411" s="1">
        <f t="shared" si="299"/>
        <v>11</v>
      </c>
      <c r="D2411" s="21">
        <f t="shared" ca="1" si="298"/>
        <v>44794</v>
      </c>
      <c r="E2411" s="1" t="s">
        <v>26</v>
      </c>
      <c r="F2411" s="1" t="s">
        <v>2439</v>
      </c>
      <c r="G2411" s="1" t="s">
        <v>28</v>
      </c>
      <c r="H2411" s="1">
        <v>2509</v>
      </c>
      <c r="I2411" s="1">
        <f t="shared" si="300"/>
        <v>55</v>
      </c>
      <c r="J2411" s="1">
        <f>VLOOKUP(B2411,Cena!$A$2:$B$101,2)</f>
        <v>108</v>
      </c>
      <c r="K2411" s="1">
        <f t="shared" si="304"/>
        <v>5940</v>
      </c>
      <c r="L2411" s="1">
        <f t="shared" si="301"/>
        <v>1366.2</v>
      </c>
      <c r="M2411" s="22">
        <f t="shared" si="305"/>
        <v>7306.2</v>
      </c>
      <c r="N2411" s="1">
        <f t="shared" ca="1" si="302"/>
        <v>8</v>
      </c>
      <c r="P2411" s="1">
        <v>55.343531483958941</v>
      </c>
      <c r="Q2411" s="1">
        <f t="shared" ca="1" si="303"/>
        <v>22</v>
      </c>
      <c r="R2411" s="1">
        <v>11.529747351014521</v>
      </c>
    </row>
    <row r="2412" spans="1:18" x14ac:dyDescent="0.3">
      <c r="A2412" s="26">
        <v>2411</v>
      </c>
      <c r="B2412" s="1">
        <v>15</v>
      </c>
      <c r="C2412" s="1">
        <f t="shared" si="299"/>
        <v>7</v>
      </c>
      <c r="D2412" s="21">
        <f t="shared" ca="1" si="298"/>
        <v>44593</v>
      </c>
      <c r="E2412" s="1" t="s">
        <v>26</v>
      </c>
      <c r="F2412" s="1" t="s">
        <v>2440</v>
      </c>
      <c r="G2412" s="1" t="s">
        <v>28</v>
      </c>
      <c r="H2412" s="1">
        <v>2510</v>
      </c>
      <c r="I2412" s="1">
        <f t="shared" si="300"/>
        <v>53</v>
      </c>
      <c r="J2412" s="1">
        <f>VLOOKUP(B2412,Cena!$A$2:$B$101,2)</f>
        <v>85</v>
      </c>
      <c r="K2412" s="1">
        <f t="shared" si="304"/>
        <v>4505</v>
      </c>
      <c r="L2412" s="1">
        <f t="shared" si="301"/>
        <v>1036.1500000000001</v>
      </c>
      <c r="M2412" s="22">
        <f t="shared" si="305"/>
        <v>5541.15</v>
      </c>
      <c r="N2412" s="1">
        <f t="shared" ca="1" si="302"/>
        <v>2</v>
      </c>
      <c r="P2412" s="1">
        <v>53.575712526071584</v>
      </c>
      <c r="Q2412" s="1">
        <f t="shared" ca="1" si="303"/>
        <v>21</v>
      </c>
      <c r="R2412" s="1">
        <v>7.2045884533144999</v>
      </c>
    </row>
    <row r="2413" spans="1:18" x14ac:dyDescent="0.3">
      <c r="A2413" s="26">
        <v>2412</v>
      </c>
      <c r="B2413" s="1">
        <v>7</v>
      </c>
      <c r="C2413" s="1">
        <f t="shared" si="299"/>
        <v>13</v>
      </c>
      <c r="D2413" s="21">
        <f t="shared" ca="1" si="298"/>
        <v>44586</v>
      </c>
      <c r="E2413" s="1" t="s">
        <v>26</v>
      </c>
      <c r="F2413" s="1" t="s">
        <v>2441</v>
      </c>
      <c r="G2413" s="1" t="s">
        <v>28</v>
      </c>
      <c r="H2413" s="1">
        <v>2511</v>
      </c>
      <c r="I2413" s="1">
        <f t="shared" si="300"/>
        <v>33</v>
      </c>
      <c r="J2413" s="1">
        <f>VLOOKUP(B2413,Cena!$A$2:$B$101,2)</f>
        <v>104</v>
      </c>
      <c r="K2413" s="1">
        <f t="shared" si="304"/>
        <v>3432</v>
      </c>
      <c r="L2413" s="1">
        <f t="shared" si="301"/>
        <v>789.36</v>
      </c>
      <c r="M2413" s="22">
        <f t="shared" si="305"/>
        <v>4221.3599999999997</v>
      </c>
      <c r="N2413" s="1">
        <f t="shared" ca="1" si="302"/>
        <v>1</v>
      </c>
      <c r="P2413" s="1">
        <v>33.394536684500054</v>
      </c>
      <c r="Q2413" s="1">
        <f t="shared" ca="1" si="303"/>
        <v>2</v>
      </c>
      <c r="R2413" s="1">
        <v>13.72432396034128</v>
      </c>
    </row>
    <row r="2414" spans="1:18" x14ac:dyDescent="0.3">
      <c r="A2414" s="26">
        <v>2413</v>
      </c>
      <c r="B2414" s="1">
        <v>5</v>
      </c>
      <c r="C2414" s="1">
        <f t="shared" si="299"/>
        <v>7</v>
      </c>
      <c r="D2414" s="21">
        <f t="shared" ca="1" si="298"/>
        <v>44626</v>
      </c>
      <c r="E2414" s="1" t="s">
        <v>26</v>
      </c>
      <c r="F2414" s="1" t="s">
        <v>2442</v>
      </c>
      <c r="G2414" s="1" t="s">
        <v>28</v>
      </c>
      <c r="H2414" s="1">
        <v>2512</v>
      </c>
      <c r="I2414" s="1">
        <f t="shared" si="300"/>
        <v>37</v>
      </c>
      <c r="J2414" s="1">
        <f>VLOOKUP(B2414,Cena!$A$2:$B$101,2)</f>
        <v>91</v>
      </c>
      <c r="K2414" s="1">
        <f t="shared" si="304"/>
        <v>3367</v>
      </c>
      <c r="L2414" s="1">
        <f t="shared" si="301"/>
        <v>774.41000000000008</v>
      </c>
      <c r="M2414" s="22">
        <f t="shared" si="305"/>
        <v>4141.41</v>
      </c>
      <c r="N2414" s="1">
        <f t="shared" ca="1" si="302"/>
        <v>3</v>
      </c>
      <c r="P2414" s="1">
        <v>37.243904797651339</v>
      </c>
      <c r="Q2414" s="1">
        <f t="shared" ca="1" si="303"/>
        <v>16</v>
      </c>
      <c r="R2414" s="1">
        <v>7.4597415075550089</v>
      </c>
    </row>
    <row r="2415" spans="1:18" x14ac:dyDescent="0.3">
      <c r="A2415" s="26">
        <v>2414</v>
      </c>
      <c r="B2415" s="1">
        <v>13</v>
      </c>
      <c r="C2415" s="1">
        <f t="shared" si="299"/>
        <v>7</v>
      </c>
      <c r="D2415" s="21">
        <f t="shared" ca="1" si="298"/>
        <v>44739</v>
      </c>
      <c r="E2415" s="1" t="s">
        <v>26</v>
      </c>
      <c r="F2415" s="1" t="s">
        <v>2443</v>
      </c>
      <c r="G2415" s="1" t="s">
        <v>28</v>
      </c>
      <c r="H2415" s="1">
        <v>2513</v>
      </c>
      <c r="I2415" s="1">
        <f t="shared" si="300"/>
        <v>58</v>
      </c>
      <c r="J2415" s="1">
        <f>VLOOKUP(B2415,Cena!$A$2:$B$101,2)</f>
        <v>94</v>
      </c>
      <c r="K2415" s="1">
        <f t="shared" si="304"/>
        <v>5452</v>
      </c>
      <c r="L2415" s="1">
        <f t="shared" si="301"/>
        <v>1253.96</v>
      </c>
      <c r="M2415" s="22">
        <f t="shared" si="305"/>
        <v>6705.96</v>
      </c>
      <c r="N2415" s="1">
        <f t="shared" ca="1" si="302"/>
        <v>6</v>
      </c>
      <c r="P2415" s="1">
        <v>58.885990609996952</v>
      </c>
      <c r="Q2415" s="1">
        <f t="shared" ca="1" si="303"/>
        <v>15</v>
      </c>
      <c r="R2415" s="1">
        <v>7.8067421579908114</v>
      </c>
    </row>
    <row r="2416" spans="1:18" x14ac:dyDescent="0.3">
      <c r="A2416" s="26">
        <v>2415</v>
      </c>
      <c r="B2416" s="1">
        <v>26</v>
      </c>
      <c r="C2416" s="1">
        <f t="shared" si="299"/>
        <v>11</v>
      </c>
      <c r="D2416" s="21">
        <f t="shared" ca="1" si="298"/>
        <v>44879</v>
      </c>
      <c r="E2416" s="1" t="s">
        <v>26</v>
      </c>
      <c r="F2416" s="1" t="s">
        <v>2444</v>
      </c>
      <c r="G2416" s="1" t="s">
        <v>28</v>
      </c>
      <c r="H2416" s="1">
        <v>2514</v>
      </c>
      <c r="I2416" s="1">
        <f t="shared" si="300"/>
        <v>48</v>
      </c>
      <c r="J2416" s="1">
        <f>VLOOKUP(B2416,Cena!$A$2:$B$101,2)</f>
        <v>99</v>
      </c>
      <c r="K2416" s="1">
        <f t="shared" si="304"/>
        <v>4752</v>
      </c>
      <c r="L2416" s="1">
        <f t="shared" si="301"/>
        <v>1092.96</v>
      </c>
      <c r="M2416" s="22">
        <f t="shared" si="305"/>
        <v>5844.96</v>
      </c>
      <c r="N2416" s="1">
        <f t="shared" ca="1" si="302"/>
        <v>11</v>
      </c>
      <c r="P2416" s="1">
        <v>48.704709014418768</v>
      </c>
      <c r="Q2416" s="1">
        <f t="shared" ca="1" si="303"/>
        <v>11</v>
      </c>
      <c r="R2416" s="1">
        <v>11.686885298113339</v>
      </c>
    </row>
    <row r="2417" spans="1:18" x14ac:dyDescent="0.3">
      <c r="A2417" s="26">
        <v>2416</v>
      </c>
      <c r="B2417" s="1">
        <v>6</v>
      </c>
      <c r="C2417" s="1">
        <f t="shared" si="299"/>
        <v>8</v>
      </c>
      <c r="D2417" s="21">
        <f t="shared" ca="1" si="298"/>
        <v>44611</v>
      </c>
      <c r="E2417" s="1" t="s">
        <v>26</v>
      </c>
      <c r="F2417" s="1" t="s">
        <v>2445</v>
      </c>
      <c r="G2417" s="1" t="s">
        <v>28</v>
      </c>
      <c r="H2417" s="1">
        <v>2515</v>
      </c>
      <c r="I2417" s="1">
        <f t="shared" si="300"/>
        <v>52</v>
      </c>
      <c r="J2417" s="1">
        <f>VLOOKUP(B2417,Cena!$A$2:$B$101,2)</f>
        <v>86</v>
      </c>
      <c r="K2417" s="1">
        <f t="shared" si="304"/>
        <v>4472</v>
      </c>
      <c r="L2417" s="1">
        <f t="shared" si="301"/>
        <v>1028.56</v>
      </c>
      <c r="M2417" s="22">
        <f t="shared" si="305"/>
        <v>5500.5599999999995</v>
      </c>
      <c r="N2417" s="1">
        <f t="shared" ca="1" si="302"/>
        <v>2</v>
      </c>
      <c r="P2417" s="1">
        <v>52.20757101487834</v>
      </c>
      <c r="Q2417" s="1">
        <f t="shared" ca="1" si="303"/>
        <v>8</v>
      </c>
      <c r="R2417" s="1">
        <v>8.2001895659777801</v>
      </c>
    </row>
    <row r="2418" spans="1:18" x14ac:dyDescent="0.3">
      <c r="A2418" s="26">
        <v>2417</v>
      </c>
      <c r="B2418" s="1">
        <v>6</v>
      </c>
      <c r="C2418" s="1">
        <f t="shared" si="299"/>
        <v>8</v>
      </c>
      <c r="D2418" s="21">
        <f t="shared" ca="1" si="298"/>
        <v>44586</v>
      </c>
      <c r="E2418" s="1" t="s">
        <v>26</v>
      </c>
      <c r="F2418" s="1" t="s">
        <v>2446</v>
      </c>
      <c r="G2418" s="1" t="s">
        <v>28</v>
      </c>
      <c r="H2418" s="1">
        <v>2516</v>
      </c>
      <c r="I2418" s="1">
        <f t="shared" si="300"/>
        <v>48</v>
      </c>
      <c r="J2418" s="1">
        <f>VLOOKUP(B2418,Cena!$A$2:$B$101,2)</f>
        <v>86</v>
      </c>
      <c r="K2418" s="1">
        <f t="shared" si="304"/>
        <v>4128</v>
      </c>
      <c r="L2418" s="1">
        <f t="shared" si="301"/>
        <v>949.44</v>
      </c>
      <c r="M2418" s="22">
        <f t="shared" si="305"/>
        <v>5077.4400000000005</v>
      </c>
      <c r="N2418" s="1">
        <f t="shared" ca="1" si="302"/>
        <v>1</v>
      </c>
      <c r="P2418" s="1">
        <v>48.923499333614018</v>
      </c>
      <c r="Q2418" s="1">
        <f t="shared" ca="1" si="303"/>
        <v>8</v>
      </c>
      <c r="R2418" s="1">
        <v>8.627129116357537</v>
      </c>
    </row>
    <row r="2419" spans="1:18" x14ac:dyDescent="0.3">
      <c r="A2419" s="26">
        <v>2418</v>
      </c>
      <c r="B2419" s="1">
        <v>12</v>
      </c>
      <c r="C2419" s="1">
        <f t="shared" si="299"/>
        <v>6</v>
      </c>
      <c r="D2419" s="21">
        <f t="shared" ca="1" si="298"/>
        <v>44599</v>
      </c>
      <c r="E2419" s="1" t="s">
        <v>26</v>
      </c>
      <c r="F2419" s="1" t="s">
        <v>2447</v>
      </c>
      <c r="G2419" s="1" t="s">
        <v>28</v>
      </c>
      <c r="H2419" s="1">
        <v>2517</v>
      </c>
      <c r="I2419" s="1">
        <f t="shared" si="300"/>
        <v>42</v>
      </c>
      <c r="J2419" s="1">
        <f>VLOOKUP(B2419,Cena!$A$2:$B$101,2)</f>
        <v>88</v>
      </c>
      <c r="K2419" s="1">
        <f t="shared" si="304"/>
        <v>3696</v>
      </c>
      <c r="L2419" s="1">
        <f t="shared" si="301"/>
        <v>850.08</v>
      </c>
      <c r="M2419" s="22">
        <f t="shared" si="305"/>
        <v>4546.08</v>
      </c>
      <c r="N2419" s="1">
        <f t="shared" ca="1" si="302"/>
        <v>2</v>
      </c>
      <c r="P2419" s="1">
        <v>42.229800227505621</v>
      </c>
      <c r="Q2419" s="1">
        <f t="shared" ca="1" si="303"/>
        <v>22</v>
      </c>
      <c r="R2419" s="1">
        <v>6.0734953674545977</v>
      </c>
    </row>
    <row r="2420" spans="1:18" x14ac:dyDescent="0.3">
      <c r="A2420" s="26">
        <v>2419</v>
      </c>
      <c r="B2420" s="1">
        <v>8</v>
      </c>
      <c r="C2420" s="1">
        <f t="shared" si="299"/>
        <v>5</v>
      </c>
      <c r="D2420" s="21">
        <f t="shared" ca="1" si="298"/>
        <v>44666</v>
      </c>
      <c r="E2420" s="1" t="s">
        <v>26</v>
      </c>
      <c r="F2420" s="1" t="s">
        <v>2448</v>
      </c>
      <c r="G2420" s="1" t="s">
        <v>28</v>
      </c>
      <c r="H2420" s="1">
        <v>2518</v>
      </c>
      <c r="I2420" s="1">
        <f t="shared" si="300"/>
        <v>53</v>
      </c>
      <c r="J2420" s="1">
        <f>VLOOKUP(B2420,Cena!$A$2:$B$101,2)</f>
        <v>88</v>
      </c>
      <c r="K2420" s="1">
        <f t="shared" si="304"/>
        <v>4664</v>
      </c>
      <c r="L2420" s="1">
        <f t="shared" si="301"/>
        <v>1072.72</v>
      </c>
      <c r="M2420" s="22">
        <f t="shared" si="305"/>
        <v>5736.72</v>
      </c>
      <c r="N2420" s="1">
        <f t="shared" ca="1" si="302"/>
        <v>4</v>
      </c>
      <c r="P2420" s="1">
        <v>53.370132617419586</v>
      </c>
      <c r="Q2420" s="1">
        <f t="shared" ca="1" si="303"/>
        <v>14</v>
      </c>
      <c r="R2420" s="1">
        <v>5.6402916723163798</v>
      </c>
    </row>
    <row r="2421" spans="1:18" x14ac:dyDescent="0.3">
      <c r="A2421" s="26">
        <v>2420</v>
      </c>
      <c r="B2421" s="1">
        <v>23</v>
      </c>
      <c r="C2421" s="1">
        <f t="shared" si="299"/>
        <v>9</v>
      </c>
      <c r="D2421" s="21">
        <f t="shared" ca="1" si="298"/>
        <v>44841</v>
      </c>
      <c r="E2421" s="1" t="s">
        <v>26</v>
      </c>
      <c r="F2421" s="1" t="s">
        <v>2449</v>
      </c>
      <c r="G2421" s="1" t="s">
        <v>28</v>
      </c>
      <c r="H2421" s="1">
        <v>2519</v>
      </c>
      <c r="I2421" s="1">
        <f t="shared" si="300"/>
        <v>46</v>
      </c>
      <c r="J2421" s="1">
        <f>VLOOKUP(B2421,Cena!$A$2:$B$101,2)</f>
        <v>132</v>
      </c>
      <c r="K2421" s="1">
        <f t="shared" si="304"/>
        <v>6072</v>
      </c>
      <c r="L2421" s="1">
        <f t="shared" si="301"/>
        <v>1396.5600000000002</v>
      </c>
      <c r="M2421" s="22">
        <f t="shared" si="305"/>
        <v>7468.56</v>
      </c>
      <c r="N2421" s="1">
        <f t="shared" ca="1" si="302"/>
        <v>10</v>
      </c>
      <c r="P2421" s="1">
        <v>46.644430666492553</v>
      </c>
      <c r="Q2421" s="1">
        <f t="shared" ca="1" si="303"/>
        <v>25</v>
      </c>
      <c r="R2421" s="1">
        <v>9.9712173348598299</v>
      </c>
    </row>
    <row r="2422" spans="1:18" x14ac:dyDescent="0.3">
      <c r="A2422" s="26">
        <v>2421</v>
      </c>
      <c r="B2422" s="1">
        <v>5</v>
      </c>
      <c r="C2422" s="1">
        <f t="shared" si="299"/>
        <v>11</v>
      </c>
      <c r="D2422" s="21">
        <f t="shared" ca="1" si="298"/>
        <v>44774</v>
      </c>
      <c r="E2422" s="1" t="s">
        <v>26</v>
      </c>
      <c r="F2422" s="1" t="s">
        <v>2450</v>
      </c>
      <c r="G2422" s="1" t="s">
        <v>28</v>
      </c>
      <c r="H2422" s="1">
        <v>2520</v>
      </c>
      <c r="I2422" s="1">
        <f t="shared" si="300"/>
        <v>50</v>
      </c>
      <c r="J2422" s="1">
        <f>VLOOKUP(B2422,Cena!$A$2:$B$101,2)</f>
        <v>91</v>
      </c>
      <c r="K2422" s="1">
        <f t="shared" si="304"/>
        <v>4550</v>
      </c>
      <c r="L2422" s="1">
        <f t="shared" si="301"/>
        <v>1046.5</v>
      </c>
      <c r="M2422" s="22">
        <f t="shared" si="305"/>
        <v>5596.5</v>
      </c>
      <c r="N2422" s="1">
        <f t="shared" ca="1" si="302"/>
        <v>8</v>
      </c>
      <c r="P2422" s="1">
        <v>50.4710273060482</v>
      </c>
      <c r="Q2422" s="1">
        <f t="shared" ca="1" si="303"/>
        <v>6</v>
      </c>
      <c r="R2422" s="1">
        <v>11.141040684160544</v>
      </c>
    </row>
    <row r="2423" spans="1:18" x14ac:dyDescent="0.3">
      <c r="A2423" s="26">
        <v>2422</v>
      </c>
      <c r="B2423" s="1">
        <v>24</v>
      </c>
      <c r="C2423" s="1">
        <f t="shared" si="299"/>
        <v>11</v>
      </c>
      <c r="D2423" s="21">
        <f t="shared" ca="1" si="298"/>
        <v>44820</v>
      </c>
      <c r="E2423" s="1" t="s">
        <v>26</v>
      </c>
      <c r="F2423" s="1" t="s">
        <v>2451</v>
      </c>
      <c r="G2423" s="1" t="s">
        <v>28</v>
      </c>
      <c r="H2423" s="1">
        <v>2521</v>
      </c>
      <c r="I2423" s="1">
        <f t="shared" si="300"/>
        <v>52</v>
      </c>
      <c r="J2423" s="1">
        <f>VLOOKUP(B2423,Cena!$A$2:$B$101,2)</f>
        <v>125</v>
      </c>
      <c r="K2423" s="1">
        <f t="shared" si="304"/>
        <v>6500</v>
      </c>
      <c r="L2423" s="1">
        <f t="shared" si="301"/>
        <v>1495</v>
      </c>
      <c r="M2423" s="22">
        <f t="shared" si="305"/>
        <v>7995</v>
      </c>
      <c r="N2423" s="1">
        <f t="shared" ca="1" si="302"/>
        <v>9</v>
      </c>
      <c r="P2423" s="1">
        <v>52.955130185000598</v>
      </c>
      <c r="Q2423" s="1">
        <f t="shared" ca="1" si="303"/>
        <v>1</v>
      </c>
      <c r="R2423" s="1">
        <v>11.647231329116039</v>
      </c>
    </row>
    <row r="2424" spans="1:18" x14ac:dyDescent="0.3">
      <c r="A2424" s="26">
        <v>2423</v>
      </c>
      <c r="B2424" s="1">
        <v>11</v>
      </c>
      <c r="C2424" s="1">
        <f t="shared" si="299"/>
        <v>9</v>
      </c>
      <c r="D2424" s="21">
        <f t="shared" ca="1" si="298"/>
        <v>44886</v>
      </c>
      <c r="E2424" s="1" t="s">
        <v>26</v>
      </c>
      <c r="F2424" s="1" t="s">
        <v>2452</v>
      </c>
      <c r="G2424" s="1" t="s">
        <v>28</v>
      </c>
      <c r="H2424" s="1">
        <v>2522</v>
      </c>
      <c r="I2424" s="1">
        <f t="shared" si="300"/>
        <v>44</v>
      </c>
      <c r="J2424" s="1">
        <f>VLOOKUP(B2424,Cena!$A$2:$B$101,2)</f>
        <v>83</v>
      </c>
      <c r="K2424" s="1">
        <f t="shared" si="304"/>
        <v>3652</v>
      </c>
      <c r="L2424" s="1">
        <f t="shared" si="301"/>
        <v>839.96</v>
      </c>
      <c r="M2424" s="22">
        <f t="shared" si="305"/>
        <v>4491.96</v>
      </c>
      <c r="N2424" s="1">
        <f t="shared" ca="1" si="302"/>
        <v>11</v>
      </c>
      <c r="P2424" s="1">
        <v>44.60698063558084</v>
      </c>
      <c r="Q2424" s="1">
        <f t="shared" ca="1" si="303"/>
        <v>1</v>
      </c>
      <c r="R2424" s="1">
        <v>9.8040607351867948</v>
      </c>
    </row>
    <row r="2425" spans="1:18" x14ac:dyDescent="0.3">
      <c r="A2425" s="26">
        <v>2424</v>
      </c>
      <c r="B2425" s="1">
        <v>11</v>
      </c>
      <c r="C2425" s="1">
        <f t="shared" si="299"/>
        <v>11</v>
      </c>
      <c r="D2425" s="21">
        <f t="shared" ca="1" si="298"/>
        <v>44685</v>
      </c>
      <c r="E2425" s="1" t="s">
        <v>26</v>
      </c>
      <c r="F2425" s="1" t="s">
        <v>2453</v>
      </c>
      <c r="G2425" s="1" t="s">
        <v>28</v>
      </c>
      <c r="H2425" s="1">
        <v>2523</v>
      </c>
      <c r="I2425" s="1">
        <f t="shared" si="300"/>
        <v>21</v>
      </c>
      <c r="J2425" s="1">
        <f>VLOOKUP(B2425,Cena!$A$2:$B$101,2)</f>
        <v>83</v>
      </c>
      <c r="K2425" s="1">
        <f t="shared" si="304"/>
        <v>1743</v>
      </c>
      <c r="L2425" s="1">
        <f t="shared" si="301"/>
        <v>400.89000000000004</v>
      </c>
      <c r="M2425" s="22">
        <f t="shared" si="305"/>
        <v>2143.89</v>
      </c>
      <c r="N2425" s="1">
        <f t="shared" ca="1" si="302"/>
        <v>5</v>
      </c>
      <c r="P2425" s="1">
        <v>21.427314449101686</v>
      </c>
      <c r="Q2425" s="1">
        <f t="shared" ca="1" si="303"/>
        <v>25</v>
      </c>
      <c r="R2425" s="1">
        <v>11.420710304955719</v>
      </c>
    </row>
    <row r="2426" spans="1:18" x14ac:dyDescent="0.3">
      <c r="A2426" s="26">
        <v>2425</v>
      </c>
      <c r="B2426" s="1">
        <v>18</v>
      </c>
      <c r="C2426" s="1">
        <f t="shared" si="299"/>
        <v>10</v>
      </c>
      <c r="D2426" s="21">
        <f t="shared" ca="1" si="298"/>
        <v>44618</v>
      </c>
      <c r="E2426" s="1" t="s">
        <v>26</v>
      </c>
      <c r="F2426" s="1" t="s">
        <v>2454</v>
      </c>
      <c r="G2426" s="1" t="s">
        <v>28</v>
      </c>
      <c r="H2426" s="1">
        <v>2524</v>
      </c>
      <c r="I2426" s="1">
        <f t="shared" si="300"/>
        <v>40</v>
      </c>
      <c r="J2426" s="1">
        <f>VLOOKUP(B2426,Cena!$A$2:$B$101,2)</f>
        <v>90</v>
      </c>
      <c r="K2426" s="1">
        <f t="shared" si="304"/>
        <v>3600</v>
      </c>
      <c r="L2426" s="1">
        <f t="shared" si="301"/>
        <v>828</v>
      </c>
      <c r="M2426" s="22">
        <f t="shared" si="305"/>
        <v>4428</v>
      </c>
      <c r="N2426" s="1">
        <f t="shared" ca="1" si="302"/>
        <v>2</v>
      </c>
      <c r="P2426" s="1">
        <v>40.96428382472368</v>
      </c>
      <c r="Q2426" s="1">
        <f t="shared" ca="1" si="303"/>
        <v>16</v>
      </c>
      <c r="R2426" s="1">
        <v>10.582897996537213</v>
      </c>
    </row>
    <row r="2427" spans="1:18" x14ac:dyDescent="0.3">
      <c r="A2427" s="26">
        <v>2426</v>
      </c>
      <c r="B2427" s="1">
        <v>19</v>
      </c>
      <c r="C2427" s="1">
        <f t="shared" si="299"/>
        <v>3</v>
      </c>
      <c r="D2427" s="21">
        <f t="shared" ca="1" si="298"/>
        <v>44746</v>
      </c>
      <c r="E2427" s="1" t="s">
        <v>26</v>
      </c>
      <c r="F2427" s="1" t="s">
        <v>2455</v>
      </c>
      <c r="G2427" s="1" t="s">
        <v>28</v>
      </c>
      <c r="H2427" s="1">
        <v>2525</v>
      </c>
      <c r="I2427" s="1">
        <f t="shared" si="300"/>
        <v>53</v>
      </c>
      <c r="J2427" s="1">
        <f>VLOOKUP(B2427,Cena!$A$2:$B$101,2)</f>
        <v>84</v>
      </c>
      <c r="K2427" s="1">
        <f t="shared" si="304"/>
        <v>4452</v>
      </c>
      <c r="L2427" s="1">
        <f t="shared" si="301"/>
        <v>1023.96</v>
      </c>
      <c r="M2427" s="22">
        <f t="shared" si="305"/>
        <v>5475.96</v>
      </c>
      <c r="N2427" s="1">
        <f t="shared" ca="1" si="302"/>
        <v>7</v>
      </c>
      <c r="P2427" s="1">
        <v>53.40660335496068</v>
      </c>
      <c r="Q2427" s="1">
        <f t="shared" ca="1" si="303"/>
        <v>25</v>
      </c>
      <c r="R2427" s="1">
        <v>3.8316250336356461</v>
      </c>
    </row>
    <row r="2428" spans="1:18" x14ac:dyDescent="0.3">
      <c r="A2428" s="26">
        <v>2427</v>
      </c>
      <c r="B2428" s="1">
        <v>22</v>
      </c>
      <c r="C2428" s="1">
        <f t="shared" si="299"/>
        <v>9</v>
      </c>
      <c r="D2428" s="21">
        <f t="shared" ca="1" si="298"/>
        <v>44818</v>
      </c>
      <c r="E2428" s="1" t="s">
        <v>26</v>
      </c>
      <c r="F2428" s="1" t="s">
        <v>2456</v>
      </c>
      <c r="G2428" s="1" t="s">
        <v>28</v>
      </c>
      <c r="H2428" s="1">
        <v>2526</v>
      </c>
      <c r="I2428" s="1">
        <f t="shared" si="300"/>
        <v>37</v>
      </c>
      <c r="J2428" s="1">
        <f>VLOOKUP(B2428,Cena!$A$2:$B$101,2)</f>
        <v>103</v>
      </c>
      <c r="K2428" s="1">
        <f t="shared" si="304"/>
        <v>3811</v>
      </c>
      <c r="L2428" s="1">
        <f t="shared" si="301"/>
        <v>876.53000000000009</v>
      </c>
      <c r="M2428" s="22">
        <f t="shared" si="305"/>
        <v>4687.53</v>
      </c>
      <c r="N2428" s="1">
        <f t="shared" ca="1" si="302"/>
        <v>9</v>
      </c>
      <c r="P2428" s="1">
        <v>37.062324180442374</v>
      </c>
      <c r="Q2428" s="1">
        <f t="shared" ca="1" si="303"/>
        <v>21</v>
      </c>
      <c r="R2428" s="1">
        <v>9.6408519109536428</v>
      </c>
    </row>
    <row r="2429" spans="1:18" x14ac:dyDescent="0.3">
      <c r="A2429" s="26">
        <v>2428</v>
      </c>
      <c r="B2429" s="1">
        <v>1</v>
      </c>
      <c r="C2429" s="1">
        <f t="shared" si="299"/>
        <v>7</v>
      </c>
      <c r="D2429" s="21">
        <f t="shared" ca="1" si="298"/>
        <v>44751</v>
      </c>
      <c r="E2429" s="1" t="s">
        <v>26</v>
      </c>
      <c r="F2429" s="1" t="s">
        <v>2457</v>
      </c>
      <c r="G2429" s="1" t="s">
        <v>28</v>
      </c>
      <c r="H2429" s="1">
        <v>2527</v>
      </c>
      <c r="I2429" s="1">
        <f t="shared" si="300"/>
        <v>46</v>
      </c>
      <c r="J2429" s="1">
        <f>VLOOKUP(B2429,Cena!$A$2:$B$101,2)</f>
        <v>84</v>
      </c>
      <c r="K2429" s="1">
        <f t="shared" si="304"/>
        <v>3864</v>
      </c>
      <c r="L2429" s="1">
        <f t="shared" si="301"/>
        <v>888.72</v>
      </c>
      <c r="M2429" s="22">
        <f t="shared" si="305"/>
        <v>4752.72</v>
      </c>
      <c r="N2429" s="1">
        <f t="shared" ca="1" si="302"/>
        <v>7</v>
      </c>
      <c r="P2429" s="1">
        <v>46.823567016690504</v>
      </c>
      <c r="Q2429" s="1">
        <f t="shared" ca="1" si="303"/>
        <v>28</v>
      </c>
      <c r="R2429" s="1">
        <v>7.3120623053546296</v>
      </c>
    </row>
    <row r="2430" spans="1:18" x14ac:dyDescent="0.3">
      <c r="A2430" s="26">
        <v>2429</v>
      </c>
      <c r="B2430" s="1">
        <v>29</v>
      </c>
      <c r="C2430" s="1">
        <f t="shared" si="299"/>
        <v>9</v>
      </c>
      <c r="D2430" s="21">
        <f t="shared" ca="1" si="298"/>
        <v>44797</v>
      </c>
      <c r="E2430" s="1" t="s">
        <v>26</v>
      </c>
      <c r="F2430" s="1" t="s">
        <v>2458</v>
      </c>
      <c r="G2430" s="1" t="s">
        <v>28</v>
      </c>
      <c r="H2430" s="1">
        <v>2528</v>
      </c>
      <c r="I2430" s="1">
        <f t="shared" si="300"/>
        <v>54</v>
      </c>
      <c r="J2430" s="1">
        <f>VLOOKUP(B2430,Cena!$A$2:$B$101,2)</f>
        <v>105</v>
      </c>
      <c r="K2430" s="1">
        <f t="shared" si="304"/>
        <v>5670</v>
      </c>
      <c r="L2430" s="1">
        <f t="shared" si="301"/>
        <v>1304.1000000000001</v>
      </c>
      <c r="M2430" s="22">
        <f t="shared" si="305"/>
        <v>6974.1</v>
      </c>
      <c r="N2430" s="1">
        <f t="shared" ca="1" si="302"/>
        <v>8</v>
      </c>
      <c r="P2430" s="1">
        <v>54.652633833757136</v>
      </c>
      <c r="Q2430" s="1">
        <f t="shared" ca="1" si="303"/>
        <v>10</v>
      </c>
      <c r="R2430" s="1">
        <v>9.2863507713991567</v>
      </c>
    </row>
    <row r="2431" spans="1:18" x14ac:dyDescent="0.3">
      <c r="A2431" s="26">
        <v>2430</v>
      </c>
      <c r="B2431" s="1">
        <v>20</v>
      </c>
      <c r="C2431" s="1">
        <f t="shared" si="299"/>
        <v>5</v>
      </c>
      <c r="D2431" s="21">
        <f t="shared" ca="1" si="298"/>
        <v>44783</v>
      </c>
      <c r="E2431" s="1" t="s">
        <v>26</v>
      </c>
      <c r="F2431" s="1" t="s">
        <v>2459</v>
      </c>
      <c r="G2431" s="1" t="s">
        <v>28</v>
      </c>
      <c r="H2431" s="1">
        <v>2529</v>
      </c>
      <c r="I2431" s="1">
        <f t="shared" si="300"/>
        <v>47</v>
      </c>
      <c r="J2431" s="1">
        <f>VLOOKUP(B2431,Cena!$A$2:$B$101,2)</f>
        <v>111</v>
      </c>
      <c r="K2431" s="1">
        <f t="shared" si="304"/>
        <v>5217</v>
      </c>
      <c r="L2431" s="1">
        <f t="shared" si="301"/>
        <v>1199.9100000000001</v>
      </c>
      <c r="M2431" s="22">
        <f t="shared" si="305"/>
        <v>6416.91</v>
      </c>
      <c r="N2431" s="1">
        <f t="shared" ca="1" si="302"/>
        <v>8</v>
      </c>
      <c r="P2431" s="1">
        <v>47.713189259229694</v>
      </c>
      <c r="Q2431" s="1">
        <f t="shared" ca="1" si="303"/>
        <v>12</v>
      </c>
      <c r="R2431" s="1">
        <v>5.6757164909504354</v>
      </c>
    </row>
    <row r="2432" spans="1:18" x14ac:dyDescent="0.3">
      <c r="A2432" s="26">
        <v>2431</v>
      </c>
      <c r="B2432" s="1">
        <v>5</v>
      </c>
      <c r="C2432" s="1">
        <f t="shared" si="299"/>
        <v>7</v>
      </c>
      <c r="D2432" s="21">
        <f t="shared" ca="1" si="298"/>
        <v>44634</v>
      </c>
      <c r="E2432" s="1" t="s">
        <v>26</v>
      </c>
      <c r="F2432" s="1" t="s">
        <v>2460</v>
      </c>
      <c r="G2432" s="1" t="s">
        <v>28</v>
      </c>
      <c r="H2432" s="1">
        <v>2530</v>
      </c>
      <c r="I2432" s="1">
        <f t="shared" si="300"/>
        <v>53</v>
      </c>
      <c r="J2432" s="1">
        <f>VLOOKUP(B2432,Cena!$A$2:$B$101,2)</f>
        <v>91</v>
      </c>
      <c r="K2432" s="1">
        <f t="shared" si="304"/>
        <v>4823</v>
      </c>
      <c r="L2432" s="1">
        <f t="shared" si="301"/>
        <v>1109.29</v>
      </c>
      <c r="M2432" s="22">
        <f t="shared" si="305"/>
        <v>5932.29</v>
      </c>
      <c r="N2432" s="1">
        <f t="shared" ca="1" si="302"/>
        <v>3</v>
      </c>
      <c r="P2432" s="1">
        <v>53.64511834050063</v>
      </c>
      <c r="Q2432" s="1">
        <f t="shared" ca="1" si="303"/>
        <v>10</v>
      </c>
      <c r="R2432" s="1">
        <v>7.3629769556282554</v>
      </c>
    </row>
    <row r="2433" spans="1:18" x14ac:dyDescent="0.3">
      <c r="A2433" s="26">
        <v>2432</v>
      </c>
      <c r="B2433" s="1">
        <v>5</v>
      </c>
      <c r="C2433" s="1">
        <f t="shared" si="299"/>
        <v>9</v>
      </c>
      <c r="D2433" s="21">
        <f t="shared" ca="1" si="298"/>
        <v>44887</v>
      </c>
      <c r="E2433" s="1" t="s">
        <v>26</v>
      </c>
      <c r="F2433" s="1" t="s">
        <v>2461</v>
      </c>
      <c r="G2433" s="1" t="s">
        <v>28</v>
      </c>
      <c r="H2433" s="1">
        <v>2531</v>
      </c>
      <c r="I2433" s="1">
        <f t="shared" si="300"/>
        <v>38</v>
      </c>
      <c r="J2433" s="1">
        <f>VLOOKUP(B2433,Cena!$A$2:$B$101,2)</f>
        <v>91</v>
      </c>
      <c r="K2433" s="1">
        <f t="shared" si="304"/>
        <v>3458</v>
      </c>
      <c r="L2433" s="1">
        <f t="shared" si="301"/>
        <v>795.34</v>
      </c>
      <c r="M2433" s="22">
        <f t="shared" si="305"/>
        <v>4253.34</v>
      </c>
      <c r="N2433" s="1">
        <f t="shared" ca="1" si="302"/>
        <v>11</v>
      </c>
      <c r="P2433" s="1">
        <v>38.487797963898629</v>
      </c>
      <c r="Q2433" s="1">
        <f t="shared" ca="1" si="303"/>
        <v>6</v>
      </c>
      <c r="R2433" s="1">
        <v>9.313598664230085</v>
      </c>
    </row>
    <row r="2434" spans="1:18" x14ac:dyDescent="0.3">
      <c r="A2434" s="26">
        <v>2433</v>
      </c>
      <c r="B2434" s="1">
        <v>14</v>
      </c>
      <c r="C2434" s="1">
        <f t="shared" si="299"/>
        <v>7</v>
      </c>
      <c r="D2434" s="21">
        <f t="shared" ref="D2434:D2497" ca="1" si="306">DATE(2022,RANDBETWEEN(1,12),RANDBETWEEN(1,28))</f>
        <v>44921</v>
      </c>
      <c r="E2434" s="1" t="s">
        <v>26</v>
      </c>
      <c r="F2434" s="1" t="s">
        <v>2462</v>
      </c>
      <c r="G2434" s="1" t="s">
        <v>28</v>
      </c>
      <c r="H2434" s="1">
        <v>2532</v>
      </c>
      <c r="I2434" s="1">
        <f t="shared" si="300"/>
        <v>44</v>
      </c>
      <c r="J2434" s="1">
        <f>VLOOKUP(B2434,Cena!$A$2:$B$101,2)</f>
        <v>129</v>
      </c>
      <c r="K2434" s="1">
        <f t="shared" si="304"/>
        <v>5676</v>
      </c>
      <c r="L2434" s="1">
        <f t="shared" si="301"/>
        <v>1305.48</v>
      </c>
      <c r="M2434" s="22">
        <f t="shared" si="305"/>
        <v>6981.48</v>
      </c>
      <c r="N2434" s="1">
        <f t="shared" ca="1" si="302"/>
        <v>12</v>
      </c>
      <c r="P2434" s="1">
        <v>44.092740962514654</v>
      </c>
      <c r="Q2434" s="1">
        <f t="shared" ca="1" si="303"/>
        <v>4</v>
      </c>
      <c r="R2434" s="1">
        <v>7.968802745162975</v>
      </c>
    </row>
    <row r="2435" spans="1:18" x14ac:dyDescent="0.3">
      <c r="A2435" s="26">
        <v>2434</v>
      </c>
      <c r="B2435" s="1">
        <v>27</v>
      </c>
      <c r="C2435" s="1">
        <f t="shared" ref="C2435:C2498" si="307">INT(R2435)</f>
        <v>13</v>
      </c>
      <c r="D2435" s="21">
        <f t="shared" ca="1" si="306"/>
        <v>44762</v>
      </c>
      <c r="E2435" s="1" t="s">
        <v>26</v>
      </c>
      <c r="F2435" s="1" t="s">
        <v>2463</v>
      </c>
      <c r="G2435" s="1" t="s">
        <v>28</v>
      </c>
      <c r="H2435" s="1">
        <v>2533</v>
      </c>
      <c r="I2435" s="1">
        <f t="shared" ref="I2435:I2498" si="308">INT(P2435)</f>
        <v>36</v>
      </c>
      <c r="J2435" s="1">
        <f>VLOOKUP(B2435,Cena!$A$2:$B$101,2)</f>
        <v>87</v>
      </c>
      <c r="K2435" s="1">
        <f t="shared" si="304"/>
        <v>3132</v>
      </c>
      <c r="L2435" s="1">
        <f t="shared" ref="L2435:L2498" si="309">K2435*23%</f>
        <v>720.36</v>
      </c>
      <c r="M2435" s="22">
        <f t="shared" si="305"/>
        <v>3852.36</v>
      </c>
      <c r="N2435" s="1">
        <f t="shared" ref="N2435:N2498" ca="1" si="310">MONTH(D2435)</f>
        <v>7</v>
      </c>
      <c r="P2435" s="1">
        <v>36.76698851340916</v>
      </c>
      <c r="Q2435" s="1">
        <f t="shared" ref="Q2435:Q2498" ca="1" si="311">RANDBETWEEN(1,30)</f>
        <v>8</v>
      </c>
      <c r="R2435" s="1">
        <v>13.36605125994538</v>
      </c>
    </row>
    <row r="2436" spans="1:18" x14ac:dyDescent="0.3">
      <c r="A2436" s="26">
        <v>2435</v>
      </c>
      <c r="B2436" s="1">
        <v>12</v>
      </c>
      <c r="C2436" s="1">
        <f t="shared" si="307"/>
        <v>9</v>
      </c>
      <c r="D2436" s="21">
        <f t="shared" ca="1" si="306"/>
        <v>44835</v>
      </c>
      <c r="E2436" s="1" t="s">
        <v>26</v>
      </c>
      <c r="F2436" s="1" t="s">
        <v>2464</v>
      </c>
      <c r="G2436" s="1" t="s">
        <v>28</v>
      </c>
      <c r="H2436" s="1">
        <v>2534</v>
      </c>
      <c r="I2436" s="1">
        <f t="shared" si="308"/>
        <v>37</v>
      </c>
      <c r="J2436" s="1">
        <f>VLOOKUP(B2436,Cena!$A$2:$B$101,2)</f>
        <v>88</v>
      </c>
      <c r="K2436" s="1">
        <f t="shared" si="304"/>
        <v>3256</v>
      </c>
      <c r="L2436" s="1">
        <f t="shared" si="309"/>
        <v>748.88</v>
      </c>
      <c r="M2436" s="22">
        <f t="shared" si="305"/>
        <v>4004.88</v>
      </c>
      <c r="N2436" s="1">
        <f t="shared" ca="1" si="310"/>
        <v>10</v>
      </c>
      <c r="P2436" s="1">
        <v>37.506953402771614</v>
      </c>
      <c r="Q2436" s="1">
        <f t="shared" ca="1" si="311"/>
        <v>8</v>
      </c>
      <c r="R2436" s="1">
        <v>9.3631149663997348</v>
      </c>
    </row>
    <row r="2437" spans="1:18" x14ac:dyDescent="0.3">
      <c r="A2437" s="26">
        <v>2436</v>
      </c>
      <c r="B2437" s="1">
        <v>1</v>
      </c>
      <c r="C2437" s="1">
        <f t="shared" si="307"/>
        <v>9</v>
      </c>
      <c r="D2437" s="21">
        <f t="shared" ca="1" si="306"/>
        <v>44570</v>
      </c>
      <c r="E2437" s="1" t="s">
        <v>26</v>
      </c>
      <c r="F2437" s="1" t="s">
        <v>2465</v>
      </c>
      <c r="G2437" s="1" t="s">
        <v>28</v>
      </c>
      <c r="H2437" s="1">
        <v>2535</v>
      </c>
      <c r="I2437" s="1">
        <f t="shared" si="308"/>
        <v>46</v>
      </c>
      <c r="J2437" s="1">
        <f>VLOOKUP(B2437,Cena!$A$2:$B$101,2)</f>
        <v>84</v>
      </c>
      <c r="K2437" s="1">
        <f t="shared" si="304"/>
        <v>3864</v>
      </c>
      <c r="L2437" s="1">
        <f t="shared" si="309"/>
        <v>888.72</v>
      </c>
      <c r="M2437" s="22">
        <f t="shared" si="305"/>
        <v>4752.72</v>
      </c>
      <c r="N2437" s="1">
        <f t="shared" ca="1" si="310"/>
        <v>1</v>
      </c>
      <c r="P2437" s="1">
        <v>46.204860508441925</v>
      </c>
      <c r="Q2437" s="1">
        <f t="shared" ca="1" si="311"/>
        <v>10</v>
      </c>
      <c r="R2437" s="1">
        <v>9.9220563040580601</v>
      </c>
    </row>
    <row r="2438" spans="1:18" x14ac:dyDescent="0.3">
      <c r="A2438" s="26">
        <v>2437</v>
      </c>
      <c r="B2438" s="1">
        <v>26</v>
      </c>
      <c r="C2438" s="1">
        <f t="shared" si="307"/>
        <v>5</v>
      </c>
      <c r="D2438" s="21">
        <f t="shared" ca="1" si="306"/>
        <v>44630</v>
      </c>
      <c r="E2438" s="1" t="s">
        <v>26</v>
      </c>
      <c r="F2438" s="1" t="s">
        <v>2466</v>
      </c>
      <c r="G2438" s="1" t="s">
        <v>28</v>
      </c>
      <c r="H2438" s="1">
        <v>2536</v>
      </c>
      <c r="I2438" s="1">
        <f t="shared" si="308"/>
        <v>43</v>
      </c>
      <c r="J2438" s="1">
        <f>VLOOKUP(B2438,Cena!$A$2:$B$101,2)</f>
        <v>99</v>
      </c>
      <c r="K2438" s="1">
        <f t="shared" si="304"/>
        <v>4257</v>
      </c>
      <c r="L2438" s="1">
        <f t="shared" si="309"/>
        <v>979.11</v>
      </c>
      <c r="M2438" s="22">
        <f t="shared" si="305"/>
        <v>5236.1099999999997</v>
      </c>
      <c r="N2438" s="1">
        <f t="shared" ca="1" si="310"/>
        <v>3</v>
      </c>
      <c r="P2438" s="1">
        <v>43.780147633515298</v>
      </c>
      <c r="Q2438" s="1">
        <f t="shared" ca="1" si="311"/>
        <v>4</v>
      </c>
      <c r="R2438" s="1">
        <v>5.3764017845969647</v>
      </c>
    </row>
    <row r="2439" spans="1:18" x14ac:dyDescent="0.3">
      <c r="A2439" s="26">
        <v>2438</v>
      </c>
      <c r="B2439" s="1">
        <v>27</v>
      </c>
      <c r="C2439" s="1">
        <f t="shared" si="307"/>
        <v>6</v>
      </c>
      <c r="D2439" s="21">
        <f t="shared" ca="1" si="306"/>
        <v>44610</v>
      </c>
      <c r="E2439" s="1" t="s">
        <v>26</v>
      </c>
      <c r="F2439" s="1" t="s">
        <v>2467</v>
      </c>
      <c r="G2439" s="1" t="s">
        <v>28</v>
      </c>
      <c r="H2439" s="1">
        <v>2537</v>
      </c>
      <c r="I2439" s="1">
        <f t="shared" si="308"/>
        <v>50</v>
      </c>
      <c r="J2439" s="1">
        <f>VLOOKUP(B2439,Cena!$A$2:$B$101,2)</f>
        <v>87</v>
      </c>
      <c r="K2439" s="1">
        <f t="shared" si="304"/>
        <v>4350</v>
      </c>
      <c r="L2439" s="1">
        <f t="shared" si="309"/>
        <v>1000.5</v>
      </c>
      <c r="M2439" s="22">
        <f t="shared" si="305"/>
        <v>5350.5</v>
      </c>
      <c r="N2439" s="1">
        <f t="shared" ca="1" si="310"/>
        <v>2</v>
      </c>
      <c r="P2439" s="1">
        <v>50.825207280286122</v>
      </c>
      <c r="Q2439" s="1">
        <f t="shared" ca="1" si="311"/>
        <v>2</v>
      </c>
      <c r="R2439" s="1">
        <v>6.1270873427565675</v>
      </c>
    </row>
    <row r="2440" spans="1:18" x14ac:dyDescent="0.3">
      <c r="A2440" s="26">
        <v>2439</v>
      </c>
      <c r="B2440" s="1">
        <v>2</v>
      </c>
      <c r="C2440" s="1">
        <f t="shared" si="307"/>
        <v>8</v>
      </c>
      <c r="D2440" s="21">
        <f t="shared" ca="1" si="306"/>
        <v>44766</v>
      </c>
      <c r="E2440" s="1" t="s">
        <v>26</v>
      </c>
      <c r="F2440" s="1" t="s">
        <v>2468</v>
      </c>
      <c r="G2440" s="1" t="s">
        <v>28</v>
      </c>
      <c r="H2440" s="1">
        <v>2538</v>
      </c>
      <c r="I2440" s="1">
        <f t="shared" si="308"/>
        <v>44</v>
      </c>
      <c r="J2440" s="1">
        <f>VLOOKUP(B2440,Cena!$A$2:$B$101,2)</f>
        <v>121</v>
      </c>
      <c r="K2440" s="1">
        <f t="shared" si="304"/>
        <v>5324</v>
      </c>
      <c r="L2440" s="1">
        <f t="shared" si="309"/>
        <v>1224.52</v>
      </c>
      <c r="M2440" s="22">
        <f t="shared" si="305"/>
        <v>6548.52</v>
      </c>
      <c r="N2440" s="1">
        <f t="shared" ca="1" si="310"/>
        <v>7</v>
      </c>
      <c r="P2440" s="1">
        <v>44.396091551607242</v>
      </c>
      <c r="Q2440" s="1">
        <f t="shared" ca="1" si="311"/>
        <v>14</v>
      </c>
      <c r="R2440" s="1">
        <v>8.067778506083414</v>
      </c>
    </row>
    <row r="2441" spans="1:18" x14ac:dyDescent="0.3">
      <c r="A2441" s="26">
        <v>2440</v>
      </c>
      <c r="B2441" s="1">
        <v>17</v>
      </c>
      <c r="C2441" s="1">
        <f t="shared" si="307"/>
        <v>12</v>
      </c>
      <c r="D2441" s="21">
        <f t="shared" ca="1" si="306"/>
        <v>44667</v>
      </c>
      <c r="E2441" s="1" t="s">
        <v>26</v>
      </c>
      <c r="F2441" s="1" t="s">
        <v>2469</v>
      </c>
      <c r="G2441" s="1" t="s">
        <v>28</v>
      </c>
      <c r="H2441" s="1">
        <v>2539</v>
      </c>
      <c r="I2441" s="1">
        <f t="shared" si="308"/>
        <v>38</v>
      </c>
      <c r="J2441" s="1">
        <f>VLOOKUP(B2441,Cena!$A$2:$B$101,2)</f>
        <v>84</v>
      </c>
      <c r="K2441" s="1">
        <f t="shared" si="304"/>
        <v>3192</v>
      </c>
      <c r="L2441" s="1">
        <f t="shared" si="309"/>
        <v>734.16000000000008</v>
      </c>
      <c r="M2441" s="22">
        <f t="shared" si="305"/>
        <v>3926.16</v>
      </c>
      <c r="N2441" s="1">
        <f t="shared" ca="1" si="310"/>
        <v>4</v>
      </c>
      <c r="P2441" s="1">
        <v>38.022773322882131</v>
      </c>
      <c r="Q2441" s="1">
        <f t="shared" ca="1" si="311"/>
        <v>5</v>
      </c>
      <c r="R2441" s="1">
        <v>12.223202955065062</v>
      </c>
    </row>
    <row r="2442" spans="1:18" x14ac:dyDescent="0.3">
      <c r="A2442" s="26">
        <v>2441</v>
      </c>
      <c r="B2442" s="1">
        <v>4</v>
      </c>
      <c r="C2442" s="1">
        <f t="shared" si="307"/>
        <v>13</v>
      </c>
      <c r="D2442" s="21">
        <f t="shared" ca="1" si="306"/>
        <v>44739</v>
      </c>
      <c r="E2442" s="1" t="s">
        <v>26</v>
      </c>
      <c r="F2442" s="1" t="s">
        <v>2470</v>
      </c>
      <c r="G2442" s="1" t="s">
        <v>28</v>
      </c>
      <c r="H2442" s="1">
        <v>2540</v>
      </c>
      <c r="I2442" s="1">
        <f t="shared" si="308"/>
        <v>52</v>
      </c>
      <c r="J2442" s="1">
        <f>VLOOKUP(B2442,Cena!$A$2:$B$101,2)</f>
        <v>99</v>
      </c>
      <c r="K2442" s="1">
        <f t="shared" si="304"/>
        <v>5148</v>
      </c>
      <c r="L2442" s="1">
        <f t="shared" si="309"/>
        <v>1184.04</v>
      </c>
      <c r="M2442" s="22">
        <f t="shared" si="305"/>
        <v>6332.04</v>
      </c>
      <c r="N2442" s="1">
        <f t="shared" ca="1" si="310"/>
        <v>6</v>
      </c>
      <c r="P2442" s="1">
        <v>52.712249624892138</v>
      </c>
      <c r="Q2442" s="1">
        <f t="shared" ca="1" si="311"/>
        <v>28</v>
      </c>
      <c r="R2442" s="1">
        <v>13.335526344017126</v>
      </c>
    </row>
    <row r="2443" spans="1:18" x14ac:dyDescent="0.3">
      <c r="A2443" s="26">
        <v>2442</v>
      </c>
      <c r="B2443" s="1">
        <v>3</v>
      </c>
      <c r="C2443" s="1">
        <f t="shared" si="307"/>
        <v>8</v>
      </c>
      <c r="D2443" s="21">
        <f t="shared" ca="1" si="306"/>
        <v>44579</v>
      </c>
      <c r="E2443" s="1" t="s">
        <v>26</v>
      </c>
      <c r="F2443" s="1" t="s">
        <v>2471</v>
      </c>
      <c r="G2443" s="1" t="s">
        <v>28</v>
      </c>
      <c r="H2443" s="1">
        <v>2541</v>
      </c>
      <c r="I2443" s="1">
        <f t="shared" si="308"/>
        <v>66</v>
      </c>
      <c r="J2443" s="1">
        <f>VLOOKUP(B2443,Cena!$A$2:$B$101,2)</f>
        <v>89</v>
      </c>
      <c r="K2443" s="1">
        <f t="shared" si="304"/>
        <v>5874</v>
      </c>
      <c r="L2443" s="1">
        <f t="shared" si="309"/>
        <v>1351.02</v>
      </c>
      <c r="M2443" s="22">
        <f t="shared" si="305"/>
        <v>7225.02</v>
      </c>
      <c r="N2443" s="1">
        <f t="shared" ca="1" si="310"/>
        <v>1</v>
      </c>
      <c r="P2443" s="1">
        <v>66.749891074141487</v>
      </c>
      <c r="Q2443" s="1">
        <f t="shared" ca="1" si="311"/>
        <v>25</v>
      </c>
      <c r="R2443" s="1">
        <v>8.1710743668372743</v>
      </c>
    </row>
    <row r="2444" spans="1:18" x14ac:dyDescent="0.3">
      <c r="A2444" s="26">
        <v>2443</v>
      </c>
      <c r="B2444" s="1">
        <v>10</v>
      </c>
      <c r="C2444" s="1">
        <f t="shared" si="307"/>
        <v>8</v>
      </c>
      <c r="D2444" s="21">
        <f t="shared" ca="1" si="306"/>
        <v>44606</v>
      </c>
      <c r="E2444" s="1" t="s">
        <v>26</v>
      </c>
      <c r="F2444" s="1" t="s">
        <v>2472</v>
      </c>
      <c r="G2444" s="1" t="s">
        <v>28</v>
      </c>
      <c r="H2444" s="1">
        <v>2542</v>
      </c>
      <c r="I2444" s="1">
        <f t="shared" si="308"/>
        <v>55</v>
      </c>
      <c r="J2444" s="1">
        <f>VLOOKUP(B2444,Cena!$A$2:$B$101,2)</f>
        <v>109</v>
      </c>
      <c r="K2444" s="1">
        <f t="shared" si="304"/>
        <v>5995</v>
      </c>
      <c r="L2444" s="1">
        <f t="shared" si="309"/>
        <v>1378.8500000000001</v>
      </c>
      <c r="M2444" s="22">
        <f t="shared" si="305"/>
        <v>7373.85</v>
      </c>
      <c r="N2444" s="1">
        <f t="shared" ca="1" si="310"/>
        <v>2</v>
      </c>
      <c r="P2444" s="1">
        <v>55.744982445321511</v>
      </c>
      <c r="Q2444" s="1">
        <f t="shared" ca="1" si="311"/>
        <v>25</v>
      </c>
      <c r="R2444" s="1">
        <v>8.0379925546003506</v>
      </c>
    </row>
    <row r="2445" spans="1:18" x14ac:dyDescent="0.3">
      <c r="A2445" s="26">
        <v>2444</v>
      </c>
      <c r="B2445" s="1">
        <v>12</v>
      </c>
      <c r="C2445" s="1">
        <f t="shared" si="307"/>
        <v>10</v>
      </c>
      <c r="D2445" s="21">
        <f t="shared" ca="1" si="306"/>
        <v>44617</v>
      </c>
      <c r="E2445" s="1" t="s">
        <v>26</v>
      </c>
      <c r="F2445" s="1" t="s">
        <v>2473</v>
      </c>
      <c r="G2445" s="1" t="s">
        <v>28</v>
      </c>
      <c r="H2445" s="1">
        <v>2543</v>
      </c>
      <c r="I2445" s="1">
        <f t="shared" si="308"/>
        <v>56</v>
      </c>
      <c r="J2445" s="1">
        <f>VLOOKUP(B2445,Cena!$A$2:$B$101,2)</f>
        <v>88</v>
      </c>
      <c r="K2445" s="1">
        <f t="shared" si="304"/>
        <v>4928</v>
      </c>
      <c r="L2445" s="1">
        <f t="shared" si="309"/>
        <v>1133.44</v>
      </c>
      <c r="M2445" s="22">
        <f t="shared" si="305"/>
        <v>6061.4400000000005</v>
      </c>
      <c r="N2445" s="1">
        <f t="shared" ca="1" si="310"/>
        <v>2</v>
      </c>
      <c r="P2445" s="1">
        <v>56.053619472368155</v>
      </c>
      <c r="Q2445" s="1">
        <f t="shared" ca="1" si="311"/>
        <v>28</v>
      </c>
      <c r="R2445" s="1">
        <v>10.265663402387872</v>
      </c>
    </row>
    <row r="2446" spans="1:18" x14ac:dyDescent="0.3">
      <c r="A2446" s="26">
        <v>2445</v>
      </c>
      <c r="B2446" s="1">
        <v>4</v>
      </c>
      <c r="C2446" s="1">
        <f t="shared" si="307"/>
        <v>12</v>
      </c>
      <c r="D2446" s="21">
        <f t="shared" ca="1" si="306"/>
        <v>44706</v>
      </c>
      <c r="E2446" s="1" t="s">
        <v>26</v>
      </c>
      <c r="F2446" s="1" t="s">
        <v>2474</v>
      </c>
      <c r="G2446" s="1" t="s">
        <v>28</v>
      </c>
      <c r="H2446" s="1">
        <v>2544</v>
      </c>
      <c r="I2446" s="1">
        <f t="shared" si="308"/>
        <v>39</v>
      </c>
      <c r="J2446" s="1">
        <f>VLOOKUP(B2446,Cena!$A$2:$B$101,2)</f>
        <v>99</v>
      </c>
      <c r="K2446" s="1">
        <f t="shared" si="304"/>
        <v>3861</v>
      </c>
      <c r="L2446" s="1">
        <f t="shared" si="309"/>
        <v>888.03000000000009</v>
      </c>
      <c r="M2446" s="22">
        <f t="shared" si="305"/>
        <v>4749.03</v>
      </c>
      <c r="N2446" s="1">
        <f t="shared" ca="1" si="310"/>
        <v>5</v>
      </c>
      <c r="P2446" s="1">
        <v>39.921934684389271</v>
      </c>
      <c r="Q2446" s="1">
        <f t="shared" ca="1" si="311"/>
        <v>1</v>
      </c>
      <c r="R2446" s="1">
        <v>12.187084646720905</v>
      </c>
    </row>
    <row r="2447" spans="1:18" x14ac:dyDescent="0.3">
      <c r="A2447" s="26">
        <v>2446</v>
      </c>
      <c r="B2447" s="1">
        <v>3</v>
      </c>
      <c r="C2447" s="1">
        <f t="shared" si="307"/>
        <v>10</v>
      </c>
      <c r="D2447" s="21">
        <f t="shared" ca="1" si="306"/>
        <v>44905</v>
      </c>
      <c r="E2447" s="1" t="s">
        <v>26</v>
      </c>
      <c r="F2447" s="1" t="s">
        <v>2475</v>
      </c>
      <c r="G2447" s="1" t="s">
        <v>28</v>
      </c>
      <c r="H2447" s="1">
        <v>2545</v>
      </c>
      <c r="I2447" s="1">
        <f t="shared" si="308"/>
        <v>61</v>
      </c>
      <c r="J2447" s="1">
        <f>VLOOKUP(B2447,Cena!$A$2:$B$101,2)</f>
        <v>89</v>
      </c>
      <c r="K2447" s="1">
        <f t="shared" si="304"/>
        <v>5429</v>
      </c>
      <c r="L2447" s="1">
        <f t="shared" si="309"/>
        <v>1248.67</v>
      </c>
      <c r="M2447" s="22">
        <f t="shared" si="305"/>
        <v>6677.67</v>
      </c>
      <c r="N2447" s="1">
        <f t="shared" ca="1" si="310"/>
        <v>12</v>
      </c>
      <c r="P2447" s="1">
        <v>61.863585314131342</v>
      </c>
      <c r="Q2447" s="1">
        <f t="shared" ca="1" si="311"/>
        <v>28</v>
      </c>
      <c r="R2447" s="1">
        <v>10.220506990444846</v>
      </c>
    </row>
    <row r="2448" spans="1:18" x14ac:dyDescent="0.3">
      <c r="A2448" s="26">
        <v>2447</v>
      </c>
      <c r="B2448" s="1">
        <v>28</v>
      </c>
      <c r="C2448" s="1">
        <f t="shared" si="307"/>
        <v>9</v>
      </c>
      <c r="D2448" s="21">
        <f t="shared" ca="1" si="306"/>
        <v>44675</v>
      </c>
      <c r="E2448" s="1" t="s">
        <v>26</v>
      </c>
      <c r="F2448" s="1" t="s">
        <v>2476</v>
      </c>
      <c r="G2448" s="1" t="s">
        <v>28</v>
      </c>
      <c r="H2448" s="1">
        <v>2546</v>
      </c>
      <c r="I2448" s="1">
        <f t="shared" si="308"/>
        <v>71</v>
      </c>
      <c r="J2448" s="1">
        <f>VLOOKUP(B2448,Cena!$A$2:$B$101,2)</f>
        <v>59</v>
      </c>
      <c r="K2448" s="1">
        <f t="shared" si="304"/>
        <v>4189</v>
      </c>
      <c r="L2448" s="1">
        <f t="shared" si="309"/>
        <v>963.47</v>
      </c>
      <c r="M2448" s="22">
        <f t="shared" si="305"/>
        <v>5152.47</v>
      </c>
      <c r="N2448" s="1">
        <f t="shared" ca="1" si="310"/>
        <v>4</v>
      </c>
      <c r="P2448" s="1">
        <v>71.430969354696572</v>
      </c>
      <c r="Q2448" s="1">
        <f t="shared" ca="1" si="311"/>
        <v>11</v>
      </c>
      <c r="R2448" s="1">
        <v>9.9629920921506709</v>
      </c>
    </row>
    <row r="2449" spans="1:18" x14ac:dyDescent="0.3">
      <c r="A2449" s="26">
        <v>2448</v>
      </c>
      <c r="B2449" s="1">
        <v>10</v>
      </c>
      <c r="C2449" s="1">
        <f t="shared" si="307"/>
        <v>10</v>
      </c>
      <c r="D2449" s="21">
        <f t="shared" ca="1" si="306"/>
        <v>44753</v>
      </c>
      <c r="E2449" s="1" t="s">
        <v>26</v>
      </c>
      <c r="F2449" s="1" t="s">
        <v>2477</v>
      </c>
      <c r="G2449" s="1" t="s">
        <v>28</v>
      </c>
      <c r="H2449" s="1">
        <v>2547</v>
      </c>
      <c r="I2449" s="1">
        <f t="shared" si="308"/>
        <v>47</v>
      </c>
      <c r="J2449" s="1">
        <f>VLOOKUP(B2449,Cena!$A$2:$B$101,2)</f>
        <v>109</v>
      </c>
      <c r="K2449" s="1">
        <f t="shared" si="304"/>
        <v>5123</v>
      </c>
      <c r="L2449" s="1">
        <f t="shared" si="309"/>
        <v>1178.29</v>
      </c>
      <c r="M2449" s="22">
        <f t="shared" si="305"/>
        <v>6301.29</v>
      </c>
      <c r="N2449" s="1">
        <f t="shared" ca="1" si="310"/>
        <v>7</v>
      </c>
      <c r="P2449" s="1">
        <v>47.23214614277822</v>
      </c>
      <c r="Q2449" s="1">
        <f t="shared" ca="1" si="311"/>
        <v>10</v>
      </c>
      <c r="R2449" s="1">
        <v>10.362240371032385</v>
      </c>
    </row>
    <row r="2450" spans="1:18" x14ac:dyDescent="0.3">
      <c r="A2450" s="26">
        <v>2449</v>
      </c>
      <c r="B2450" s="1">
        <v>8</v>
      </c>
      <c r="C2450" s="1">
        <f t="shared" si="307"/>
        <v>16</v>
      </c>
      <c r="D2450" s="21">
        <f t="shared" ca="1" si="306"/>
        <v>44827</v>
      </c>
      <c r="E2450" s="1" t="s">
        <v>26</v>
      </c>
      <c r="F2450" s="1" t="s">
        <v>2478</v>
      </c>
      <c r="G2450" s="1" t="s">
        <v>28</v>
      </c>
      <c r="H2450" s="1">
        <v>2548</v>
      </c>
      <c r="I2450" s="1">
        <f t="shared" si="308"/>
        <v>62</v>
      </c>
      <c r="J2450" s="1">
        <f>VLOOKUP(B2450,Cena!$A$2:$B$101,2)</f>
        <v>88</v>
      </c>
      <c r="K2450" s="1">
        <f t="shared" si="304"/>
        <v>5456</v>
      </c>
      <c r="L2450" s="1">
        <f t="shared" si="309"/>
        <v>1254.8800000000001</v>
      </c>
      <c r="M2450" s="22">
        <f t="shared" si="305"/>
        <v>6710.88</v>
      </c>
      <c r="N2450" s="1">
        <f t="shared" ca="1" si="310"/>
        <v>9</v>
      </c>
      <c r="P2450" s="1">
        <v>62.506393431976903</v>
      </c>
      <c r="Q2450" s="1">
        <f t="shared" ca="1" si="311"/>
        <v>7</v>
      </c>
      <c r="R2450" s="1">
        <v>16.129039320512675</v>
      </c>
    </row>
    <row r="2451" spans="1:18" x14ac:dyDescent="0.3">
      <c r="A2451" s="26">
        <v>2450</v>
      </c>
      <c r="B2451" s="1">
        <v>28</v>
      </c>
      <c r="C2451" s="1">
        <f t="shared" si="307"/>
        <v>14</v>
      </c>
      <c r="D2451" s="21">
        <f t="shared" ca="1" si="306"/>
        <v>44667</v>
      </c>
      <c r="E2451" s="1" t="s">
        <v>26</v>
      </c>
      <c r="F2451" s="1" t="s">
        <v>2479</v>
      </c>
      <c r="G2451" s="1" t="s">
        <v>28</v>
      </c>
      <c r="H2451" s="1">
        <v>2549</v>
      </c>
      <c r="I2451" s="1">
        <f t="shared" si="308"/>
        <v>38</v>
      </c>
      <c r="J2451" s="1">
        <f>VLOOKUP(B2451,Cena!$A$2:$B$101,2)</f>
        <v>59</v>
      </c>
      <c r="K2451" s="1">
        <f t="shared" si="304"/>
        <v>2242</v>
      </c>
      <c r="L2451" s="1">
        <f t="shared" si="309"/>
        <v>515.66</v>
      </c>
      <c r="M2451" s="22">
        <f t="shared" si="305"/>
        <v>2757.66</v>
      </c>
      <c r="N2451" s="1">
        <f t="shared" ca="1" si="310"/>
        <v>4</v>
      </c>
      <c r="P2451" s="1">
        <v>38.630565894709434</v>
      </c>
      <c r="Q2451" s="1">
        <f t="shared" ca="1" si="311"/>
        <v>12</v>
      </c>
      <c r="R2451" s="1">
        <v>14.677553988585714</v>
      </c>
    </row>
    <row r="2452" spans="1:18" x14ac:dyDescent="0.3">
      <c r="A2452" s="26">
        <v>2451</v>
      </c>
      <c r="B2452" s="1">
        <v>24</v>
      </c>
      <c r="C2452" s="1">
        <f t="shared" si="307"/>
        <v>8</v>
      </c>
      <c r="D2452" s="21">
        <f t="shared" ca="1" si="306"/>
        <v>44739</v>
      </c>
      <c r="E2452" s="1" t="s">
        <v>26</v>
      </c>
      <c r="F2452" s="1" t="s">
        <v>2480</v>
      </c>
      <c r="G2452" s="1" t="s">
        <v>28</v>
      </c>
      <c r="H2452" s="1">
        <v>2550</v>
      </c>
      <c r="I2452" s="1">
        <f t="shared" si="308"/>
        <v>65</v>
      </c>
      <c r="J2452" s="1">
        <f>VLOOKUP(B2452,Cena!$A$2:$B$101,2)</f>
        <v>125</v>
      </c>
      <c r="K2452" s="1">
        <f t="shared" si="304"/>
        <v>8125</v>
      </c>
      <c r="L2452" s="1">
        <f t="shared" si="309"/>
        <v>1868.75</v>
      </c>
      <c r="M2452" s="22">
        <f t="shared" si="305"/>
        <v>9993.75</v>
      </c>
      <c r="N2452" s="1">
        <f t="shared" ca="1" si="310"/>
        <v>6</v>
      </c>
      <c r="P2452" s="1">
        <v>65.892555893515237</v>
      </c>
      <c r="Q2452" s="1">
        <f t="shared" ca="1" si="311"/>
        <v>7</v>
      </c>
      <c r="R2452" s="1">
        <v>8.0199902438471327</v>
      </c>
    </row>
    <row r="2453" spans="1:18" x14ac:dyDescent="0.3">
      <c r="A2453" s="26">
        <v>2452</v>
      </c>
      <c r="B2453" s="1">
        <v>5</v>
      </c>
      <c r="C2453" s="1">
        <f t="shared" si="307"/>
        <v>9</v>
      </c>
      <c r="D2453" s="21">
        <f t="shared" ca="1" si="306"/>
        <v>44758</v>
      </c>
      <c r="E2453" s="1" t="s">
        <v>26</v>
      </c>
      <c r="F2453" s="1" t="s">
        <v>2481</v>
      </c>
      <c r="G2453" s="1" t="s">
        <v>28</v>
      </c>
      <c r="H2453" s="1">
        <v>2551</v>
      </c>
      <c r="I2453" s="1">
        <f t="shared" si="308"/>
        <v>41</v>
      </c>
      <c r="J2453" s="1">
        <f>VLOOKUP(B2453,Cena!$A$2:$B$101,2)</f>
        <v>91</v>
      </c>
      <c r="K2453" s="1">
        <f t="shared" si="304"/>
        <v>3731</v>
      </c>
      <c r="L2453" s="1">
        <f t="shared" si="309"/>
        <v>858.13</v>
      </c>
      <c r="M2453" s="22">
        <f t="shared" si="305"/>
        <v>4589.13</v>
      </c>
      <c r="N2453" s="1">
        <f t="shared" ca="1" si="310"/>
        <v>7</v>
      </c>
      <c r="P2453" s="1">
        <v>41.727463566348888</v>
      </c>
      <c r="Q2453" s="1">
        <f t="shared" ca="1" si="311"/>
        <v>13</v>
      </c>
      <c r="R2453" s="1">
        <v>9.326894339901628</v>
      </c>
    </row>
    <row r="2454" spans="1:18" x14ac:dyDescent="0.3">
      <c r="A2454" s="26">
        <v>2453</v>
      </c>
      <c r="B2454" s="1">
        <v>23</v>
      </c>
      <c r="C2454" s="1">
        <f t="shared" si="307"/>
        <v>8</v>
      </c>
      <c r="D2454" s="21">
        <f t="shared" ca="1" si="306"/>
        <v>44841</v>
      </c>
      <c r="E2454" s="1" t="s">
        <v>26</v>
      </c>
      <c r="F2454" s="1" t="s">
        <v>2482</v>
      </c>
      <c r="G2454" s="1" t="s">
        <v>28</v>
      </c>
      <c r="H2454" s="1">
        <v>2552</v>
      </c>
      <c r="I2454" s="1">
        <f t="shared" si="308"/>
        <v>30</v>
      </c>
      <c r="J2454" s="1">
        <f>VLOOKUP(B2454,Cena!$A$2:$B$101,2)</f>
        <v>132</v>
      </c>
      <c r="K2454" s="1">
        <f t="shared" si="304"/>
        <v>3960</v>
      </c>
      <c r="L2454" s="1">
        <f t="shared" si="309"/>
        <v>910.80000000000007</v>
      </c>
      <c r="M2454" s="22">
        <f t="shared" si="305"/>
        <v>4870.8</v>
      </c>
      <c r="N2454" s="1">
        <f t="shared" ca="1" si="310"/>
        <v>10</v>
      </c>
      <c r="P2454" s="1">
        <v>30.548727762652561</v>
      </c>
      <c r="Q2454" s="1">
        <f t="shared" ca="1" si="311"/>
        <v>4</v>
      </c>
      <c r="R2454" s="1">
        <v>8.6951166874860064</v>
      </c>
    </row>
    <row r="2455" spans="1:18" x14ac:dyDescent="0.3">
      <c r="A2455" s="26">
        <v>2454</v>
      </c>
      <c r="B2455" s="1">
        <v>24</v>
      </c>
      <c r="C2455" s="1">
        <f t="shared" si="307"/>
        <v>7</v>
      </c>
      <c r="D2455" s="21">
        <f t="shared" ca="1" si="306"/>
        <v>44666</v>
      </c>
      <c r="E2455" s="1" t="s">
        <v>26</v>
      </c>
      <c r="F2455" s="1" t="s">
        <v>2483</v>
      </c>
      <c r="G2455" s="1" t="s">
        <v>28</v>
      </c>
      <c r="H2455" s="1">
        <v>2553</v>
      </c>
      <c r="I2455" s="1">
        <f t="shared" si="308"/>
        <v>35</v>
      </c>
      <c r="J2455" s="1">
        <f>VLOOKUP(B2455,Cena!$A$2:$B$101,2)</f>
        <v>125</v>
      </c>
      <c r="K2455" s="1">
        <f t="shared" si="304"/>
        <v>4375</v>
      </c>
      <c r="L2455" s="1">
        <f t="shared" si="309"/>
        <v>1006.25</v>
      </c>
      <c r="M2455" s="22">
        <f t="shared" si="305"/>
        <v>5381.25</v>
      </c>
      <c r="N2455" s="1">
        <f t="shared" ca="1" si="310"/>
        <v>4</v>
      </c>
      <c r="P2455" s="1">
        <v>35.256408763234504</v>
      </c>
      <c r="Q2455" s="1">
        <f t="shared" ca="1" si="311"/>
        <v>22</v>
      </c>
      <c r="R2455" s="1">
        <v>7.6631670506321825</v>
      </c>
    </row>
    <row r="2456" spans="1:18" x14ac:dyDescent="0.3">
      <c r="A2456" s="26">
        <v>2455</v>
      </c>
      <c r="B2456" s="1">
        <v>17</v>
      </c>
      <c r="C2456" s="1">
        <f t="shared" si="307"/>
        <v>9</v>
      </c>
      <c r="D2456" s="21">
        <f t="shared" ca="1" si="306"/>
        <v>44887</v>
      </c>
      <c r="E2456" s="1" t="s">
        <v>26</v>
      </c>
      <c r="F2456" s="1" t="s">
        <v>2484</v>
      </c>
      <c r="G2456" s="1" t="s">
        <v>28</v>
      </c>
      <c r="H2456" s="1">
        <v>2554</v>
      </c>
      <c r="I2456" s="1">
        <f t="shared" si="308"/>
        <v>67</v>
      </c>
      <c r="J2456" s="1">
        <f>VLOOKUP(B2456,Cena!$A$2:$B$101,2)</f>
        <v>84</v>
      </c>
      <c r="K2456" s="1">
        <f t="shared" si="304"/>
        <v>5628</v>
      </c>
      <c r="L2456" s="1">
        <f t="shared" si="309"/>
        <v>1294.44</v>
      </c>
      <c r="M2456" s="22">
        <f t="shared" si="305"/>
        <v>6922.4400000000005</v>
      </c>
      <c r="N2456" s="1">
        <f t="shared" ca="1" si="310"/>
        <v>11</v>
      </c>
      <c r="P2456" s="1">
        <v>67.505726646049879</v>
      </c>
      <c r="Q2456" s="1">
        <f t="shared" ca="1" si="311"/>
        <v>22</v>
      </c>
      <c r="R2456" s="1">
        <v>9.8000305367895635</v>
      </c>
    </row>
    <row r="2457" spans="1:18" x14ac:dyDescent="0.3">
      <c r="A2457" s="26">
        <v>2456</v>
      </c>
      <c r="B2457" s="1">
        <v>16</v>
      </c>
      <c r="C2457" s="1">
        <f t="shared" si="307"/>
        <v>8</v>
      </c>
      <c r="D2457" s="21">
        <f t="shared" ca="1" si="306"/>
        <v>44856</v>
      </c>
      <c r="E2457" s="1" t="s">
        <v>26</v>
      </c>
      <c r="F2457" s="1" t="s">
        <v>2485</v>
      </c>
      <c r="G2457" s="1" t="s">
        <v>28</v>
      </c>
      <c r="H2457" s="1">
        <v>2555</v>
      </c>
      <c r="I2457" s="1">
        <f t="shared" si="308"/>
        <v>34</v>
      </c>
      <c r="J2457" s="1">
        <f>VLOOKUP(B2457,Cena!$A$2:$B$101,2)</f>
        <v>93</v>
      </c>
      <c r="K2457" s="1">
        <f t="shared" si="304"/>
        <v>3162</v>
      </c>
      <c r="L2457" s="1">
        <f t="shared" si="309"/>
        <v>727.26</v>
      </c>
      <c r="M2457" s="22">
        <f t="shared" si="305"/>
        <v>3889.26</v>
      </c>
      <c r="N2457" s="1">
        <f t="shared" ca="1" si="310"/>
        <v>10</v>
      </c>
      <c r="P2457" s="1">
        <v>34.907299221958965</v>
      </c>
      <c r="Q2457" s="1">
        <f t="shared" ca="1" si="311"/>
        <v>18</v>
      </c>
      <c r="R2457" s="1">
        <v>8.2342245630206889</v>
      </c>
    </row>
    <row r="2458" spans="1:18" x14ac:dyDescent="0.3">
      <c r="A2458" s="26">
        <v>2457</v>
      </c>
      <c r="B2458" s="1">
        <v>15</v>
      </c>
      <c r="C2458" s="1">
        <f t="shared" si="307"/>
        <v>8</v>
      </c>
      <c r="D2458" s="21">
        <f t="shared" ca="1" si="306"/>
        <v>44654</v>
      </c>
      <c r="E2458" s="1" t="s">
        <v>26</v>
      </c>
      <c r="F2458" s="1" t="s">
        <v>2486</v>
      </c>
      <c r="G2458" s="1" t="s">
        <v>28</v>
      </c>
      <c r="H2458" s="1">
        <v>2556</v>
      </c>
      <c r="I2458" s="1">
        <f t="shared" si="308"/>
        <v>47</v>
      </c>
      <c r="J2458" s="1">
        <f>VLOOKUP(B2458,Cena!$A$2:$B$101,2)</f>
        <v>85</v>
      </c>
      <c r="K2458" s="1">
        <f t="shared" si="304"/>
        <v>3995</v>
      </c>
      <c r="L2458" s="1">
        <f t="shared" si="309"/>
        <v>918.85</v>
      </c>
      <c r="M2458" s="22">
        <f t="shared" si="305"/>
        <v>4913.8500000000004</v>
      </c>
      <c r="N2458" s="1">
        <f t="shared" ca="1" si="310"/>
        <v>4</v>
      </c>
      <c r="P2458" s="1">
        <v>47.311545030242996</v>
      </c>
      <c r="Q2458" s="1">
        <f t="shared" ca="1" si="311"/>
        <v>1</v>
      </c>
      <c r="R2458" s="1">
        <v>8.5161224458352081</v>
      </c>
    </row>
    <row r="2459" spans="1:18" x14ac:dyDescent="0.3">
      <c r="A2459" s="26">
        <v>2458</v>
      </c>
      <c r="B2459" s="1">
        <v>1</v>
      </c>
      <c r="C2459" s="1">
        <f t="shared" si="307"/>
        <v>11</v>
      </c>
      <c r="D2459" s="21">
        <f t="shared" ca="1" si="306"/>
        <v>44621</v>
      </c>
      <c r="E2459" s="1" t="s">
        <v>26</v>
      </c>
      <c r="F2459" s="1" t="s">
        <v>2487</v>
      </c>
      <c r="G2459" s="1" t="s">
        <v>28</v>
      </c>
      <c r="H2459" s="1">
        <v>2557</v>
      </c>
      <c r="I2459" s="1">
        <f t="shared" si="308"/>
        <v>34</v>
      </c>
      <c r="J2459" s="1">
        <f>VLOOKUP(B2459,Cena!$A$2:$B$101,2)</f>
        <v>84</v>
      </c>
      <c r="K2459" s="1">
        <f t="shared" si="304"/>
        <v>2856</v>
      </c>
      <c r="L2459" s="1">
        <f t="shared" si="309"/>
        <v>656.88</v>
      </c>
      <c r="M2459" s="22">
        <f t="shared" si="305"/>
        <v>3512.88</v>
      </c>
      <c r="N2459" s="1">
        <f t="shared" ca="1" si="310"/>
        <v>3</v>
      </c>
      <c r="P2459" s="1">
        <v>34.619125825702213</v>
      </c>
      <c r="Q2459" s="1">
        <f t="shared" ca="1" si="311"/>
        <v>21</v>
      </c>
      <c r="R2459" s="1">
        <v>11.25799033412477</v>
      </c>
    </row>
    <row r="2460" spans="1:18" x14ac:dyDescent="0.3">
      <c r="A2460" s="26">
        <v>2459</v>
      </c>
      <c r="B2460" s="1">
        <v>1</v>
      </c>
      <c r="C2460" s="1">
        <f t="shared" si="307"/>
        <v>10</v>
      </c>
      <c r="D2460" s="21">
        <f t="shared" ca="1" si="306"/>
        <v>44903</v>
      </c>
      <c r="E2460" s="1" t="s">
        <v>26</v>
      </c>
      <c r="F2460" s="1" t="s">
        <v>2488</v>
      </c>
      <c r="G2460" s="1" t="s">
        <v>28</v>
      </c>
      <c r="H2460" s="1">
        <v>2558</v>
      </c>
      <c r="I2460" s="1">
        <f t="shared" si="308"/>
        <v>59</v>
      </c>
      <c r="J2460" s="1">
        <f>VLOOKUP(B2460,Cena!$A$2:$B$101,2)</f>
        <v>84</v>
      </c>
      <c r="K2460" s="1">
        <f t="shared" si="304"/>
        <v>4956</v>
      </c>
      <c r="L2460" s="1">
        <f t="shared" si="309"/>
        <v>1139.8800000000001</v>
      </c>
      <c r="M2460" s="22">
        <f t="shared" si="305"/>
        <v>6095.88</v>
      </c>
      <c r="N2460" s="1">
        <f t="shared" ca="1" si="310"/>
        <v>12</v>
      </c>
      <c r="P2460" s="1">
        <v>59.559016689308919</v>
      </c>
      <c r="Q2460" s="1">
        <f t="shared" ca="1" si="311"/>
        <v>3</v>
      </c>
      <c r="R2460" s="1">
        <v>10.785064457886619</v>
      </c>
    </row>
    <row r="2461" spans="1:18" x14ac:dyDescent="0.3">
      <c r="A2461" s="26">
        <v>2460</v>
      </c>
      <c r="B2461" s="1">
        <v>21</v>
      </c>
      <c r="C2461" s="1">
        <f t="shared" si="307"/>
        <v>10</v>
      </c>
      <c r="D2461" s="21">
        <f t="shared" ca="1" si="306"/>
        <v>44678</v>
      </c>
      <c r="E2461" s="1" t="s">
        <v>26</v>
      </c>
      <c r="F2461" s="1" t="s">
        <v>2489</v>
      </c>
      <c r="G2461" s="1" t="s">
        <v>28</v>
      </c>
      <c r="H2461" s="1">
        <v>2559</v>
      </c>
      <c r="I2461" s="1">
        <f t="shared" si="308"/>
        <v>50</v>
      </c>
      <c r="J2461" s="1">
        <f>VLOOKUP(B2461,Cena!$A$2:$B$101,2)</f>
        <v>105</v>
      </c>
      <c r="K2461" s="1">
        <f t="shared" si="304"/>
        <v>5250</v>
      </c>
      <c r="L2461" s="1">
        <f t="shared" si="309"/>
        <v>1207.5</v>
      </c>
      <c r="M2461" s="22">
        <f t="shared" si="305"/>
        <v>6457.5</v>
      </c>
      <c r="N2461" s="1">
        <f t="shared" ca="1" si="310"/>
        <v>4</v>
      </c>
      <c r="P2461" s="1">
        <v>50.309478309645783</v>
      </c>
      <c r="Q2461" s="1">
        <f t="shared" ca="1" si="311"/>
        <v>27</v>
      </c>
      <c r="R2461" s="1">
        <v>10.173696435012971</v>
      </c>
    </row>
    <row r="2462" spans="1:18" x14ac:dyDescent="0.3">
      <c r="A2462" s="26">
        <v>2461</v>
      </c>
      <c r="B2462" s="1">
        <v>23</v>
      </c>
      <c r="C2462" s="1">
        <f t="shared" si="307"/>
        <v>10</v>
      </c>
      <c r="D2462" s="21">
        <f t="shared" ca="1" si="306"/>
        <v>44664</v>
      </c>
      <c r="E2462" s="1" t="s">
        <v>26</v>
      </c>
      <c r="F2462" s="1" t="s">
        <v>2490</v>
      </c>
      <c r="G2462" s="1" t="s">
        <v>28</v>
      </c>
      <c r="H2462" s="1">
        <v>2560</v>
      </c>
      <c r="I2462" s="1">
        <f t="shared" si="308"/>
        <v>36</v>
      </c>
      <c r="J2462" s="1">
        <f>VLOOKUP(B2462,Cena!$A$2:$B$101,2)</f>
        <v>132</v>
      </c>
      <c r="K2462" s="1">
        <f t="shared" si="304"/>
        <v>4752</v>
      </c>
      <c r="L2462" s="1">
        <f t="shared" si="309"/>
        <v>1092.96</v>
      </c>
      <c r="M2462" s="22">
        <f t="shared" si="305"/>
        <v>5844.96</v>
      </c>
      <c r="N2462" s="1">
        <f t="shared" ca="1" si="310"/>
        <v>4</v>
      </c>
      <c r="P2462" s="1">
        <v>36.759644343692344</v>
      </c>
      <c r="Q2462" s="1">
        <f t="shared" ca="1" si="311"/>
        <v>22</v>
      </c>
      <c r="R2462" s="1">
        <v>10.147056766763853</v>
      </c>
    </row>
    <row r="2463" spans="1:18" x14ac:dyDescent="0.3">
      <c r="A2463" s="26">
        <v>2462</v>
      </c>
      <c r="B2463" s="1">
        <v>4</v>
      </c>
      <c r="C2463" s="1">
        <f t="shared" si="307"/>
        <v>10</v>
      </c>
      <c r="D2463" s="21">
        <f t="shared" ca="1" si="306"/>
        <v>44890</v>
      </c>
      <c r="E2463" s="1" t="s">
        <v>26</v>
      </c>
      <c r="F2463" s="1" t="s">
        <v>2491</v>
      </c>
      <c r="G2463" s="1" t="s">
        <v>28</v>
      </c>
      <c r="H2463" s="1">
        <v>2561</v>
      </c>
      <c r="I2463" s="1">
        <f t="shared" si="308"/>
        <v>41</v>
      </c>
      <c r="J2463" s="1">
        <f>VLOOKUP(B2463,Cena!$A$2:$B$101,2)</f>
        <v>99</v>
      </c>
      <c r="K2463" s="1">
        <f t="shared" ref="K2463:K2526" si="312">I2463*J2463</f>
        <v>4059</v>
      </c>
      <c r="L2463" s="1">
        <f t="shared" si="309"/>
        <v>933.57</v>
      </c>
      <c r="M2463" s="22">
        <f t="shared" ref="M2463:M2526" si="313">K2463+L2463</f>
        <v>4992.57</v>
      </c>
      <c r="N2463" s="1">
        <f t="shared" ca="1" si="310"/>
        <v>11</v>
      </c>
      <c r="P2463" s="1">
        <v>41.967433743411675</v>
      </c>
      <c r="Q2463" s="1">
        <f t="shared" ca="1" si="311"/>
        <v>25</v>
      </c>
      <c r="R2463" s="1">
        <v>10.086555473899352</v>
      </c>
    </row>
    <row r="2464" spans="1:18" x14ac:dyDescent="0.3">
      <c r="A2464" s="26">
        <v>2463</v>
      </c>
      <c r="B2464" s="1">
        <v>9</v>
      </c>
      <c r="C2464" s="1">
        <f t="shared" si="307"/>
        <v>12</v>
      </c>
      <c r="D2464" s="21">
        <f t="shared" ca="1" si="306"/>
        <v>44922</v>
      </c>
      <c r="E2464" s="1" t="s">
        <v>26</v>
      </c>
      <c r="F2464" s="1" t="s">
        <v>2492</v>
      </c>
      <c r="G2464" s="1" t="s">
        <v>28</v>
      </c>
      <c r="H2464" s="1">
        <v>2562</v>
      </c>
      <c r="I2464" s="1">
        <f t="shared" si="308"/>
        <v>51</v>
      </c>
      <c r="J2464" s="1">
        <f>VLOOKUP(B2464,Cena!$A$2:$B$101,2)</f>
        <v>96</v>
      </c>
      <c r="K2464" s="1">
        <f t="shared" si="312"/>
        <v>4896</v>
      </c>
      <c r="L2464" s="1">
        <f t="shared" si="309"/>
        <v>1126.0800000000002</v>
      </c>
      <c r="M2464" s="22">
        <f t="shared" si="313"/>
        <v>6022.08</v>
      </c>
      <c r="N2464" s="1">
        <f t="shared" ca="1" si="310"/>
        <v>12</v>
      </c>
      <c r="P2464" s="1">
        <v>51.629337020858657</v>
      </c>
      <c r="Q2464" s="1">
        <f t="shared" ca="1" si="311"/>
        <v>25</v>
      </c>
      <c r="R2464" s="1">
        <v>12.059528014797252</v>
      </c>
    </row>
    <row r="2465" spans="1:18" x14ac:dyDescent="0.3">
      <c r="A2465" s="26">
        <v>2464</v>
      </c>
      <c r="B2465" s="1">
        <v>23</v>
      </c>
      <c r="C2465" s="1">
        <f t="shared" si="307"/>
        <v>7</v>
      </c>
      <c r="D2465" s="21">
        <f t="shared" ca="1" si="306"/>
        <v>44635</v>
      </c>
      <c r="E2465" s="1" t="s">
        <v>26</v>
      </c>
      <c r="F2465" s="1" t="s">
        <v>2493</v>
      </c>
      <c r="G2465" s="1" t="s">
        <v>28</v>
      </c>
      <c r="H2465" s="1">
        <v>2563</v>
      </c>
      <c r="I2465" s="1">
        <f t="shared" si="308"/>
        <v>29</v>
      </c>
      <c r="J2465" s="1">
        <f>VLOOKUP(B2465,Cena!$A$2:$B$101,2)</f>
        <v>132</v>
      </c>
      <c r="K2465" s="1">
        <f t="shared" si="312"/>
        <v>3828</v>
      </c>
      <c r="L2465" s="1">
        <f t="shared" si="309"/>
        <v>880.44</v>
      </c>
      <c r="M2465" s="22">
        <f t="shared" si="313"/>
        <v>4708.4400000000005</v>
      </c>
      <c r="N2465" s="1">
        <f t="shared" ca="1" si="310"/>
        <v>3</v>
      </c>
      <c r="P2465" s="1">
        <v>29.114090820075944</v>
      </c>
      <c r="Q2465" s="1">
        <f t="shared" ca="1" si="311"/>
        <v>30</v>
      </c>
      <c r="R2465" s="1">
        <v>7.2946113757643616</v>
      </c>
    </row>
    <row r="2466" spans="1:18" x14ac:dyDescent="0.3">
      <c r="A2466" s="26">
        <v>2465</v>
      </c>
      <c r="B2466" s="1">
        <v>9</v>
      </c>
      <c r="C2466" s="1">
        <f t="shared" si="307"/>
        <v>7</v>
      </c>
      <c r="D2466" s="21">
        <f t="shared" ca="1" si="306"/>
        <v>44599</v>
      </c>
      <c r="E2466" s="1" t="s">
        <v>26</v>
      </c>
      <c r="F2466" s="1" t="s">
        <v>2494</v>
      </c>
      <c r="G2466" s="1" t="s">
        <v>28</v>
      </c>
      <c r="H2466" s="1">
        <v>2564</v>
      </c>
      <c r="I2466" s="1">
        <f t="shared" si="308"/>
        <v>55</v>
      </c>
      <c r="J2466" s="1">
        <f>VLOOKUP(B2466,Cena!$A$2:$B$101,2)</f>
        <v>96</v>
      </c>
      <c r="K2466" s="1">
        <f t="shared" si="312"/>
        <v>5280</v>
      </c>
      <c r="L2466" s="1">
        <f t="shared" si="309"/>
        <v>1214.4000000000001</v>
      </c>
      <c r="M2466" s="22">
        <f t="shared" si="313"/>
        <v>6494.4</v>
      </c>
      <c r="N2466" s="1">
        <f t="shared" ca="1" si="310"/>
        <v>2</v>
      </c>
      <c r="P2466" s="1">
        <v>55.012009296478936</v>
      </c>
      <c r="Q2466" s="1">
        <f t="shared" ca="1" si="311"/>
        <v>22</v>
      </c>
      <c r="R2466" s="1">
        <v>7.9573431119206361</v>
      </c>
    </row>
    <row r="2467" spans="1:18" x14ac:dyDescent="0.3">
      <c r="A2467" s="26">
        <v>2466</v>
      </c>
      <c r="B2467" s="1">
        <v>14</v>
      </c>
      <c r="C2467" s="1">
        <f t="shared" si="307"/>
        <v>7</v>
      </c>
      <c r="D2467" s="21">
        <f t="shared" ca="1" si="306"/>
        <v>44719</v>
      </c>
      <c r="E2467" s="1" t="s">
        <v>26</v>
      </c>
      <c r="F2467" s="1" t="s">
        <v>2495</v>
      </c>
      <c r="G2467" s="1" t="s">
        <v>28</v>
      </c>
      <c r="H2467" s="1">
        <v>2565</v>
      </c>
      <c r="I2467" s="1">
        <f t="shared" si="308"/>
        <v>45</v>
      </c>
      <c r="J2467" s="1">
        <f>VLOOKUP(B2467,Cena!$A$2:$B$101,2)</f>
        <v>129</v>
      </c>
      <c r="K2467" s="1">
        <f t="shared" si="312"/>
        <v>5805</v>
      </c>
      <c r="L2467" s="1">
        <f t="shared" si="309"/>
        <v>1335.15</v>
      </c>
      <c r="M2467" s="22">
        <f t="shared" si="313"/>
        <v>7140.15</v>
      </c>
      <c r="N2467" s="1">
        <f t="shared" ca="1" si="310"/>
        <v>6</v>
      </c>
      <c r="P2467" s="1">
        <v>45.578855305211619</v>
      </c>
      <c r="Q2467" s="1">
        <f t="shared" ca="1" si="311"/>
        <v>10</v>
      </c>
      <c r="R2467" s="1">
        <v>7.936441786805517</v>
      </c>
    </row>
    <row r="2468" spans="1:18" x14ac:dyDescent="0.3">
      <c r="A2468" s="26">
        <v>2467</v>
      </c>
      <c r="B2468" s="1">
        <v>22</v>
      </c>
      <c r="C2468" s="1">
        <f t="shared" si="307"/>
        <v>10</v>
      </c>
      <c r="D2468" s="21">
        <f t="shared" ca="1" si="306"/>
        <v>44907</v>
      </c>
      <c r="E2468" s="1" t="s">
        <v>26</v>
      </c>
      <c r="F2468" s="1" t="s">
        <v>2496</v>
      </c>
      <c r="G2468" s="1" t="s">
        <v>28</v>
      </c>
      <c r="H2468" s="1">
        <v>2566</v>
      </c>
      <c r="I2468" s="1">
        <f t="shared" si="308"/>
        <v>54</v>
      </c>
      <c r="J2468" s="1">
        <f>VLOOKUP(B2468,Cena!$A$2:$B$101,2)</f>
        <v>103</v>
      </c>
      <c r="K2468" s="1">
        <f t="shared" si="312"/>
        <v>5562</v>
      </c>
      <c r="L2468" s="1">
        <f t="shared" si="309"/>
        <v>1279.26</v>
      </c>
      <c r="M2468" s="22">
        <f t="shared" si="313"/>
        <v>6841.26</v>
      </c>
      <c r="N2468" s="1">
        <f t="shared" ca="1" si="310"/>
        <v>12</v>
      </c>
      <c r="P2468" s="1">
        <v>54.128617092646891</v>
      </c>
      <c r="Q2468" s="1">
        <f t="shared" ca="1" si="311"/>
        <v>14</v>
      </c>
      <c r="R2468" s="1">
        <v>10.64874257077463</v>
      </c>
    </row>
    <row r="2469" spans="1:18" x14ac:dyDescent="0.3">
      <c r="A2469" s="26">
        <v>2468</v>
      </c>
      <c r="B2469" s="1">
        <v>21</v>
      </c>
      <c r="C2469" s="1">
        <f t="shared" si="307"/>
        <v>11</v>
      </c>
      <c r="D2469" s="21">
        <f t="shared" ca="1" si="306"/>
        <v>44640</v>
      </c>
      <c r="E2469" s="1" t="s">
        <v>26</v>
      </c>
      <c r="F2469" s="1" t="s">
        <v>2497</v>
      </c>
      <c r="G2469" s="1" t="s">
        <v>28</v>
      </c>
      <c r="H2469" s="1">
        <v>2567</v>
      </c>
      <c r="I2469" s="1">
        <f t="shared" si="308"/>
        <v>58</v>
      </c>
      <c r="J2469" s="1">
        <f>VLOOKUP(B2469,Cena!$A$2:$B$101,2)</f>
        <v>105</v>
      </c>
      <c r="K2469" s="1">
        <f t="shared" si="312"/>
        <v>6090</v>
      </c>
      <c r="L2469" s="1">
        <f t="shared" si="309"/>
        <v>1400.7</v>
      </c>
      <c r="M2469" s="22">
        <f t="shared" si="313"/>
        <v>7490.7</v>
      </c>
      <c r="N2469" s="1">
        <f t="shared" ca="1" si="310"/>
        <v>3</v>
      </c>
      <c r="P2469" s="1">
        <v>58.056872502493206</v>
      </c>
      <c r="Q2469" s="1">
        <f t="shared" ca="1" si="311"/>
        <v>25</v>
      </c>
      <c r="R2469" s="1">
        <v>11.829425855248701</v>
      </c>
    </row>
    <row r="2470" spans="1:18" x14ac:dyDescent="0.3">
      <c r="A2470" s="26">
        <v>2469</v>
      </c>
      <c r="B2470" s="1">
        <v>21</v>
      </c>
      <c r="C2470" s="1">
        <f t="shared" si="307"/>
        <v>6</v>
      </c>
      <c r="D2470" s="21">
        <f t="shared" ca="1" si="306"/>
        <v>44732</v>
      </c>
      <c r="E2470" s="1" t="s">
        <v>26</v>
      </c>
      <c r="F2470" s="1" t="s">
        <v>2498</v>
      </c>
      <c r="G2470" s="1" t="s">
        <v>28</v>
      </c>
      <c r="H2470" s="1">
        <v>2568</v>
      </c>
      <c r="I2470" s="1">
        <f t="shared" si="308"/>
        <v>70</v>
      </c>
      <c r="J2470" s="1">
        <f>VLOOKUP(B2470,Cena!$A$2:$B$101,2)</f>
        <v>105</v>
      </c>
      <c r="K2470" s="1">
        <f t="shared" si="312"/>
        <v>7350</v>
      </c>
      <c r="L2470" s="1">
        <f t="shared" si="309"/>
        <v>1690.5</v>
      </c>
      <c r="M2470" s="22">
        <f t="shared" si="313"/>
        <v>9040.5</v>
      </c>
      <c r="N2470" s="1">
        <f t="shared" ca="1" si="310"/>
        <v>6</v>
      </c>
      <c r="P2470" s="1">
        <v>70.590323401847854</v>
      </c>
      <c r="Q2470" s="1">
        <f t="shared" ca="1" si="311"/>
        <v>23</v>
      </c>
      <c r="R2470" s="1">
        <v>6.8324289056909038</v>
      </c>
    </row>
    <row r="2471" spans="1:18" x14ac:dyDescent="0.3">
      <c r="A2471" s="26">
        <v>2470</v>
      </c>
      <c r="B2471" s="1">
        <v>29</v>
      </c>
      <c r="C2471" s="1">
        <f t="shared" si="307"/>
        <v>9</v>
      </c>
      <c r="D2471" s="21">
        <f t="shared" ca="1" si="306"/>
        <v>44684</v>
      </c>
      <c r="E2471" s="1" t="s">
        <v>26</v>
      </c>
      <c r="F2471" s="1" t="s">
        <v>2499</v>
      </c>
      <c r="G2471" s="1" t="s">
        <v>28</v>
      </c>
      <c r="H2471" s="1">
        <v>2569</v>
      </c>
      <c r="I2471" s="1">
        <f t="shared" si="308"/>
        <v>45</v>
      </c>
      <c r="J2471" s="1">
        <f>VLOOKUP(B2471,Cena!$A$2:$B$101,2)</f>
        <v>105</v>
      </c>
      <c r="K2471" s="1">
        <f t="shared" si="312"/>
        <v>4725</v>
      </c>
      <c r="L2471" s="1">
        <f t="shared" si="309"/>
        <v>1086.75</v>
      </c>
      <c r="M2471" s="22">
        <f t="shared" si="313"/>
        <v>5811.75</v>
      </c>
      <c r="N2471" s="1">
        <f t="shared" ca="1" si="310"/>
        <v>5</v>
      </c>
      <c r="P2471" s="1">
        <v>45.608357039600378</v>
      </c>
      <c r="Q2471" s="1">
        <f t="shared" ca="1" si="311"/>
        <v>25</v>
      </c>
      <c r="R2471" s="1">
        <v>9.2482202060273266</v>
      </c>
    </row>
    <row r="2472" spans="1:18" x14ac:dyDescent="0.3">
      <c r="A2472" s="26">
        <v>2471</v>
      </c>
      <c r="B2472" s="1">
        <v>19</v>
      </c>
      <c r="C2472" s="1">
        <f t="shared" si="307"/>
        <v>12</v>
      </c>
      <c r="D2472" s="21">
        <f t="shared" ca="1" si="306"/>
        <v>44655</v>
      </c>
      <c r="E2472" s="1" t="s">
        <v>26</v>
      </c>
      <c r="F2472" s="1" t="s">
        <v>2500</v>
      </c>
      <c r="G2472" s="1" t="s">
        <v>28</v>
      </c>
      <c r="H2472" s="1">
        <v>2570</v>
      </c>
      <c r="I2472" s="1">
        <f t="shared" si="308"/>
        <v>32</v>
      </c>
      <c r="J2472" s="1">
        <f>VLOOKUP(B2472,Cena!$A$2:$B$101,2)</f>
        <v>84</v>
      </c>
      <c r="K2472" s="1">
        <f t="shared" si="312"/>
        <v>2688</v>
      </c>
      <c r="L2472" s="1">
        <f t="shared" si="309"/>
        <v>618.24</v>
      </c>
      <c r="M2472" s="22">
        <f t="shared" si="313"/>
        <v>3306.24</v>
      </c>
      <c r="N2472" s="1">
        <f t="shared" ca="1" si="310"/>
        <v>4</v>
      </c>
      <c r="P2472" s="1">
        <v>32.124882080825046</v>
      </c>
      <c r="Q2472" s="1">
        <f t="shared" ca="1" si="311"/>
        <v>20</v>
      </c>
      <c r="R2472" s="1">
        <v>12.735464477154892</v>
      </c>
    </row>
    <row r="2473" spans="1:18" x14ac:dyDescent="0.3">
      <c r="A2473" s="26">
        <v>2472</v>
      </c>
      <c r="B2473" s="1">
        <v>24</v>
      </c>
      <c r="C2473" s="1">
        <f t="shared" si="307"/>
        <v>9</v>
      </c>
      <c r="D2473" s="21">
        <f t="shared" ca="1" si="306"/>
        <v>44579</v>
      </c>
      <c r="E2473" s="1" t="s">
        <v>26</v>
      </c>
      <c r="F2473" s="1" t="s">
        <v>2501</v>
      </c>
      <c r="G2473" s="1" t="s">
        <v>28</v>
      </c>
      <c r="H2473" s="1">
        <v>2571</v>
      </c>
      <c r="I2473" s="1">
        <f t="shared" si="308"/>
        <v>52</v>
      </c>
      <c r="J2473" s="1">
        <f>VLOOKUP(B2473,Cena!$A$2:$B$101,2)</f>
        <v>125</v>
      </c>
      <c r="K2473" s="1">
        <f t="shared" si="312"/>
        <v>6500</v>
      </c>
      <c r="L2473" s="1">
        <f t="shared" si="309"/>
        <v>1495</v>
      </c>
      <c r="M2473" s="22">
        <f t="shared" si="313"/>
        <v>7995</v>
      </c>
      <c r="N2473" s="1">
        <f t="shared" ca="1" si="310"/>
        <v>1</v>
      </c>
      <c r="P2473" s="1">
        <v>52.113608843501424</v>
      </c>
      <c r="Q2473" s="1">
        <f t="shared" ca="1" si="311"/>
        <v>27</v>
      </c>
      <c r="R2473" s="1">
        <v>9.7122102968205581</v>
      </c>
    </row>
    <row r="2474" spans="1:18" x14ac:dyDescent="0.3">
      <c r="A2474" s="26">
        <v>2473</v>
      </c>
      <c r="B2474" s="1">
        <v>16</v>
      </c>
      <c r="C2474" s="1">
        <f t="shared" si="307"/>
        <v>6</v>
      </c>
      <c r="D2474" s="21">
        <f t="shared" ca="1" si="306"/>
        <v>44912</v>
      </c>
      <c r="E2474" s="1" t="s">
        <v>26</v>
      </c>
      <c r="F2474" s="1" t="s">
        <v>2502</v>
      </c>
      <c r="G2474" s="1" t="s">
        <v>28</v>
      </c>
      <c r="H2474" s="1">
        <v>2572</v>
      </c>
      <c r="I2474" s="1">
        <f t="shared" si="308"/>
        <v>53</v>
      </c>
      <c r="J2474" s="1">
        <f>VLOOKUP(B2474,Cena!$A$2:$B$101,2)</f>
        <v>93</v>
      </c>
      <c r="K2474" s="1">
        <f t="shared" si="312"/>
        <v>4929</v>
      </c>
      <c r="L2474" s="1">
        <f t="shared" si="309"/>
        <v>1133.67</v>
      </c>
      <c r="M2474" s="22">
        <f t="shared" si="313"/>
        <v>6062.67</v>
      </c>
      <c r="N2474" s="1">
        <f t="shared" ca="1" si="310"/>
        <v>12</v>
      </c>
      <c r="P2474" s="1">
        <v>53.374191237526247</v>
      </c>
      <c r="Q2474" s="1">
        <f t="shared" ca="1" si="311"/>
        <v>3</v>
      </c>
      <c r="R2474" s="1">
        <v>6.8109761994128348</v>
      </c>
    </row>
    <row r="2475" spans="1:18" x14ac:dyDescent="0.3">
      <c r="A2475" s="26">
        <v>2474</v>
      </c>
      <c r="B2475" s="1">
        <v>6</v>
      </c>
      <c r="C2475" s="1">
        <f t="shared" si="307"/>
        <v>12</v>
      </c>
      <c r="D2475" s="21">
        <f t="shared" ca="1" si="306"/>
        <v>44663</v>
      </c>
      <c r="E2475" s="1" t="s">
        <v>26</v>
      </c>
      <c r="F2475" s="1" t="s">
        <v>2503</v>
      </c>
      <c r="G2475" s="1" t="s">
        <v>28</v>
      </c>
      <c r="H2475" s="1">
        <v>2573</v>
      </c>
      <c r="I2475" s="1">
        <f t="shared" si="308"/>
        <v>60</v>
      </c>
      <c r="J2475" s="1">
        <f>VLOOKUP(B2475,Cena!$A$2:$B$101,2)</f>
        <v>86</v>
      </c>
      <c r="K2475" s="1">
        <f t="shared" si="312"/>
        <v>5160</v>
      </c>
      <c r="L2475" s="1">
        <f t="shared" si="309"/>
        <v>1186.8</v>
      </c>
      <c r="M2475" s="22">
        <f t="shared" si="313"/>
        <v>6346.8</v>
      </c>
      <c r="N2475" s="1">
        <f t="shared" ca="1" si="310"/>
        <v>4</v>
      </c>
      <c r="P2475" s="1">
        <v>60.53342657542089</v>
      </c>
      <c r="Q2475" s="1">
        <f t="shared" ca="1" si="311"/>
        <v>4</v>
      </c>
      <c r="R2475" s="1">
        <v>12.335946192033589</v>
      </c>
    </row>
    <row r="2476" spans="1:18" x14ac:dyDescent="0.3">
      <c r="A2476" s="26">
        <v>2475</v>
      </c>
      <c r="B2476" s="1">
        <v>4</v>
      </c>
      <c r="C2476" s="1">
        <f t="shared" si="307"/>
        <v>9</v>
      </c>
      <c r="D2476" s="21">
        <f t="shared" ca="1" si="306"/>
        <v>44582</v>
      </c>
      <c r="E2476" s="1" t="s">
        <v>26</v>
      </c>
      <c r="F2476" s="1" t="s">
        <v>2504</v>
      </c>
      <c r="G2476" s="1" t="s">
        <v>28</v>
      </c>
      <c r="H2476" s="1">
        <v>2574</v>
      </c>
      <c r="I2476" s="1">
        <f t="shared" si="308"/>
        <v>44</v>
      </c>
      <c r="J2476" s="1">
        <f>VLOOKUP(B2476,Cena!$A$2:$B$101,2)</f>
        <v>99</v>
      </c>
      <c r="K2476" s="1">
        <f t="shared" si="312"/>
        <v>4356</v>
      </c>
      <c r="L2476" s="1">
        <f t="shared" si="309"/>
        <v>1001.88</v>
      </c>
      <c r="M2476" s="22">
        <f t="shared" si="313"/>
        <v>5357.88</v>
      </c>
      <c r="N2476" s="1">
        <f t="shared" ca="1" si="310"/>
        <v>1</v>
      </c>
      <c r="P2476" s="1">
        <v>44.411302850494394</v>
      </c>
      <c r="Q2476" s="1">
        <f t="shared" ca="1" si="311"/>
        <v>21</v>
      </c>
      <c r="R2476" s="1">
        <v>9.261615357681876</v>
      </c>
    </row>
    <row r="2477" spans="1:18" x14ac:dyDescent="0.3">
      <c r="A2477" s="26">
        <v>2476</v>
      </c>
      <c r="B2477" s="1">
        <v>8</v>
      </c>
      <c r="C2477" s="1">
        <f t="shared" si="307"/>
        <v>12</v>
      </c>
      <c r="D2477" s="21">
        <f t="shared" ca="1" si="306"/>
        <v>44888</v>
      </c>
      <c r="E2477" s="1" t="s">
        <v>26</v>
      </c>
      <c r="F2477" s="1" t="s">
        <v>2505</v>
      </c>
      <c r="G2477" s="1" t="s">
        <v>28</v>
      </c>
      <c r="H2477" s="1">
        <v>2575</v>
      </c>
      <c r="I2477" s="1">
        <f t="shared" si="308"/>
        <v>52</v>
      </c>
      <c r="J2477" s="1">
        <f>VLOOKUP(B2477,Cena!$A$2:$B$101,2)</f>
        <v>88</v>
      </c>
      <c r="K2477" s="1">
        <f t="shared" si="312"/>
        <v>4576</v>
      </c>
      <c r="L2477" s="1">
        <f t="shared" si="309"/>
        <v>1052.48</v>
      </c>
      <c r="M2477" s="22">
        <f t="shared" si="313"/>
        <v>5628.48</v>
      </c>
      <c r="N2477" s="1">
        <f t="shared" ca="1" si="310"/>
        <v>11</v>
      </c>
      <c r="P2477" s="1">
        <v>52.136289367626887</v>
      </c>
      <c r="Q2477" s="1">
        <f t="shared" ca="1" si="311"/>
        <v>30</v>
      </c>
      <c r="R2477" s="1">
        <v>12.518879682611441</v>
      </c>
    </row>
    <row r="2478" spans="1:18" x14ac:dyDescent="0.3">
      <c r="A2478" s="26">
        <v>2477</v>
      </c>
      <c r="B2478" s="1">
        <v>12</v>
      </c>
      <c r="C2478" s="1">
        <f t="shared" si="307"/>
        <v>10</v>
      </c>
      <c r="D2478" s="21">
        <f t="shared" ca="1" si="306"/>
        <v>44867</v>
      </c>
      <c r="E2478" s="1" t="s">
        <v>26</v>
      </c>
      <c r="F2478" s="1" t="s">
        <v>2506</v>
      </c>
      <c r="G2478" s="1" t="s">
        <v>28</v>
      </c>
      <c r="H2478" s="1">
        <v>2576</v>
      </c>
      <c r="I2478" s="1">
        <f t="shared" si="308"/>
        <v>55</v>
      </c>
      <c r="J2478" s="1">
        <f>VLOOKUP(B2478,Cena!$A$2:$B$101,2)</f>
        <v>88</v>
      </c>
      <c r="K2478" s="1">
        <f t="shared" si="312"/>
        <v>4840</v>
      </c>
      <c r="L2478" s="1">
        <f t="shared" si="309"/>
        <v>1113.2</v>
      </c>
      <c r="M2478" s="22">
        <f t="shared" si="313"/>
        <v>5953.2</v>
      </c>
      <c r="N2478" s="1">
        <f t="shared" ca="1" si="310"/>
        <v>11</v>
      </c>
      <c r="P2478" s="1">
        <v>55.358538146538194</v>
      </c>
      <c r="Q2478" s="1">
        <f t="shared" ca="1" si="311"/>
        <v>10</v>
      </c>
      <c r="R2478" s="1">
        <v>10.467341010335076</v>
      </c>
    </row>
    <row r="2479" spans="1:18" x14ac:dyDescent="0.3">
      <c r="A2479" s="26">
        <v>2478</v>
      </c>
      <c r="B2479" s="1">
        <v>29</v>
      </c>
      <c r="C2479" s="1">
        <f t="shared" si="307"/>
        <v>3</v>
      </c>
      <c r="D2479" s="21">
        <f t="shared" ca="1" si="306"/>
        <v>44893</v>
      </c>
      <c r="E2479" s="1" t="s">
        <v>26</v>
      </c>
      <c r="F2479" s="1" t="s">
        <v>2507</v>
      </c>
      <c r="G2479" s="1" t="s">
        <v>28</v>
      </c>
      <c r="H2479" s="1">
        <v>2577</v>
      </c>
      <c r="I2479" s="1">
        <f t="shared" si="308"/>
        <v>47</v>
      </c>
      <c r="J2479" s="1">
        <f>VLOOKUP(B2479,Cena!$A$2:$B$101,2)</f>
        <v>105</v>
      </c>
      <c r="K2479" s="1">
        <f t="shared" si="312"/>
        <v>4935</v>
      </c>
      <c r="L2479" s="1">
        <f t="shared" si="309"/>
        <v>1135.05</v>
      </c>
      <c r="M2479" s="22">
        <f t="shared" si="313"/>
        <v>6070.05</v>
      </c>
      <c r="N2479" s="1">
        <f t="shared" ca="1" si="310"/>
        <v>11</v>
      </c>
      <c r="P2479" s="1">
        <v>47.49275048088748</v>
      </c>
      <c r="Q2479" s="1">
        <f t="shared" ca="1" si="311"/>
        <v>7</v>
      </c>
      <c r="R2479" s="1">
        <v>3.2003447611350566</v>
      </c>
    </row>
    <row r="2480" spans="1:18" x14ac:dyDescent="0.3">
      <c r="A2480" s="26">
        <v>2479</v>
      </c>
      <c r="B2480" s="1">
        <v>21</v>
      </c>
      <c r="C2480" s="1">
        <f t="shared" si="307"/>
        <v>10</v>
      </c>
      <c r="D2480" s="21">
        <f t="shared" ca="1" si="306"/>
        <v>44564</v>
      </c>
      <c r="E2480" s="1" t="s">
        <v>26</v>
      </c>
      <c r="F2480" s="1" t="s">
        <v>2508</v>
      </c>
      <c r="G2480" s="1" t="s">
        <v>28</v>
      </c>
      <c r="H2480" s="1">
        <v>2578</v>
      </c>
      <c r="I2480" s="1">
        <f t="shared" si="308"/>
        <v>47</v>
      </c>
      <c r="J2480" s="1">
        <f>VLOOKUP(B2480,Cena!$A$2:$B$101,2)</f>
        <v>105</v>
      </c>
      <c r="K2480" s="1">
        <f t="shared" si="312"/>
        <v>4935</v>
      </c>
      <c r="L2480" s="1">
        <f t="shared" si="309"/>
        <v>1135.05</v>
      </c>
      <c r="M2480" s="22">
        <f t="shared" si="313"/>
        <v>6070.05</v>
      </c>
      <c r="N2480" s="1">
        <f t="shared" ca="1" si="310"/>
        <v>1</v>
      </c>
      <c r="P2480" s="1">
        <v>47.457996414595982</v>
      </c>
      <c r="Q2480" s="1">
        <f t="shared" ca="1" si="311"/>
        <v>15</v>
      </c>
      <c r="R2480" s="1">
        <v>10.021324808585632</v>
      </c>
    </row>
    <row r="2481" spans="1:18" x14ac:dyDescent="0.3">
      <c r="A2481" s="26">
        <v>2480</v>
      </c>
      <c r="B2481" s="1">
        <v>18</v>
      </c>
      <c r="C2481" s="1">
        <f t="shared" si="307"/>
        <v>7</v>
      </c>
      <c r="D2481" s="21">
        <f t="shared" ca="1" si="306"/>
        <v>44675</v>
      </c>
      <c r="E2481" s="1" t="s">
        <v>26</v>
      </c>
      <c r="F2481" s="1" t="s">
        <v>2509</v>
      </c>
      <c r="G2481" s="1" t="s">
        <v>28</v>
      </c>
      <c r="H2481" s="1">
        <v>2579</v>
      </c>
      <c r="I2481" s="1">
        <f t="shared" si="308"/>
        <v>61</v>
      </c>
      <c r="J2481" s="1">
        <f>VLOOKUP(B2481,Cena!$A$2:$B$101,2)</f>
        <v>90</v>
      </c>
      <c r="K2481" s="1">
        <f t="shared" si="312"/>
        <v>5490</v>
      </c>
      <c r="L2481" s="1">
        <f t="shared" si="309"/>
        <v>1262.7</v>
      </c>
      <c r="M2481" s="22">
        <f t="shared" si="313"/>
        <v>6752.7</v>
      </c>
      <c r="N2481" s="1">
        <f t="shared" ca="1" si="310"/>
        <v>4</v>
      </c>
      <c r="P2481" s="1">
        <v>61.178781278431416</v>
      </c>
      <c r="Q2481" s="1">
        <f t="shared" ca="1" si="311"/>
        <v>11</v>
      </c>
      <c r="R2481" s="1">
        <v>7.7031222897494445</v>
      </c>
    </row>
    <row r="2482" spans="1:18" x14ac:dyDescent="0.3">
      <c r="A2482" s="26">
        <v>2481</v>
      </c>
      <c r="B2482" s="1">
        <v>2</v>
      </c>
      <c r="C2482" s="1">
        <f t="shared" si="307"/>
        <v>10</v>
      </c>
      <c r="D2482" s="21">
        <f t="shared" ca="1" si="306"/>
        <v>44674</v>
      </c>
      <c r="E2482" s="1" t="s">
        <v>26</v>
      </c>
      <c r="F2482" s="1" t="s">
        <v>2510</v>
      </c>
      <c r="G2482" s="1" t="s">
        <v>28</v>
      </c>
      <c r="H2482" s="1">
        <v>2580</v>
      </c>
      <c r="I2482" s="1">
        <f t="shared" si="308"/>
        <v>46</v>
      </c>
      <c r="J2482" s="1">
        <f>VLOOKUP(B2482,Cena!$A$2:$B$101,2)</f>
        <v>121</v>
      </c>
      <c r="K2482" s="1">
        <f t="shared" si="312"/>
        <v>5566</v>
      </c>
      <c r="L2482" s="1">
        <f t="shared" si="309"/>
        <v>1280.18</v>
      </c>
      <c r="M2482" s="22">
        <f t="shared" si="313"/>
        <v>6846.18</v>
      </c>
      <c r="N2482" s="1">
        <f t="shared" ca="1" si="310"/>
        <v>4</v>
      </c>
      <c r="P2482" s="1">
        <v>46.61690708308015</v>
      </c>
      <c r="Q2482" s="1">
        <f t="shared" ca="1" si="311"/>
        <v>25</v>
      </c>
      <c r="R2482" s="1">
        <v>10.049629989007371</v>
      </c>
    </row>
    <row r="2483" spans="1:18" x14ac:dyDescent="0.3">
      <c r="A2483" s="26">
        <v>2482</v>
      </c>
      <c r="B2483" s="1">
        <v>27</v>
      </c>
      <c r="C2483" s="1">
        <f t="shared" si="307"/>
        <v>8</v>
      </c>
      <c r="D2483" s="21">
        <f t="shared" ca="1" si="306"/>
        <v>44874</v>
      </c>
      <c r="E2483" s="1" t="s">
        <v>26</v>
      </c>
      <c r="F2483" s="1" t="s">
        <v>2511</v>
      </c>
      <c r="G2483" s="1" t="s">
        <v>28</v>
      </c>
      <c r="H2483" s="1">
        <v>2581</v>
      </c>
      <c r="I2483" s="1">
        <f t="shared" si="308"/>
        <v>57</v>
      </c>
      <c r="J2483" s="1">
        <f>VLOOKUP(B2483,Cena!$A$2:$B$101,2)</f>
        <v>87</v>
      </c>
      <c r="K2483" s="1">
        <f t="shared" si="312"/>
        <v>4959</v>
      </c>
      <c r="L2483" s="1">
        <f t="shared" si="309"/>
        <v>1140.57</v>
      </c>
      <c r="M2483" s="22">
        <f t="shared" si="313"/>
        <v>6099.57</v>
      </c>
      <c r="N2483" s="1">
        <f t="shared" ca="1" si="310"/>
        <v>11</v>
      </c>
      <c r="P2483" s="1">
        <v>57.051335160213057</v>
      </c>
      <c r="Q2483" s="1">
        <f t="shared" ca="1" si="311"/>
        <v>30</v>
      </c>
      <c r="R2483" s="1">
        <v>8.6946789931607782</v>
      </c>
    </row>
    <row r="2484" spans="1:18" x14ac:dyDescent="0.3">
      <c r="A2484" s="26">
        <v>2483</v>
      </c>
      <c r="B2484" s="1">
        <v>5</v>
      </c>
      <c r="C2484" s="1">
        <f t="shared" si="307"/>
        <v>10</v>
      </c>
      <c r="D2484" s="21">
        <f t="shared" ca="1" si="306"/>
        <v>44654</v>
      </c>
      <c r="E2484" s="1" t="s">
        <v>26</v>
      </c>
      <c r="F2484" s="1" t="s">
        <v>2512</v>
      </c>
      <c r="G2484" s="1" t="s">
        <v>28</v>
      </c>
      <c r="H2484" s="1">
        <v>2582</v>
      </c>
      <c r="I2484" s="1">
        <f t="shared" si="308"/>
        <v>52</v>
      </c>
      <c r="J2484" s="1">
        <f>VLOOKUP(B2484,Cena!$A$2:$B$101,2)</f>
        <v>91</v>
      </c>
      <c r="K2484" s="1">
        <f t="shared" si="312"/>
        <v>4732</v>
      </c>
      <c r="L2484" s="1">
        <f t="shared" si="309"/>
        <v>1088.3600000000001</v>
      </c>
      <c r="M2484" s="22">
        <f t="shared" si="313"/>
        <v>5820.3600000000006</v>
      </c>
      <c r="N2484" s="1">
        <f t="shared" ca="1" si="310"/>
        <v>4</v>
      </c>
      <c r="P2484" s="1">
        <v>52.47885054704966</v>
      </c>
      <c r="Q2484" s="1">
        <f t="shared" ca="1" si="311"/>
        <v>20</v>
      </c>
      <c r="R2484" s="1">
        <v>10.269508859673806</v>
      </c>
    </row>
    <row r="2485" spans="1:18" x14ac:dyDescent="0.3">
      <c r="A2485" s="26">
        <v>2484</v>
      </c>
      <c r="B2485" s="1">
        <v>22</v>
      </c>
      <c r="C2485" s="1">
        <f t="shared" si="307"/>
        <v>10</v>
      </c>
      <c r="D2485" s="21">
        <f t="shared" ca="1" si="306"/>
        <v>44813</v>
      </c>
      <c r="E2485" s="1" t="s">
        <v>26</v>
      </c>
      <c r="F2485" s="1" t="s">
        <v>2513</v>
      </c>
      <c r="G2485" s="1" t="s">
        <v>28</v>
      </c>
      <c r="H2485" s="1">
        <v>2583</v>
      </c>
      <c r="I2485" s="1">
        <f t="shared" si="308"/>
        <v>49</v>
      </c>
      <c r="J2485" s="1">
        <f>VLOOKUP(B2485,Cena!$A$2:$B$101,2)</f>
        <v>103</v>
      </c>
      <c r="K2485" s="1">
        <f t="shared" si="312"/>
        <v>5047</v>
      </c>
      <c r="L2485" s="1">
        <f t="shared" si="309"/>
        <v>1160.81</v>
      </c>
      <c r="M2485" s="22">
        <f t="shared" si="313"/>
        <v>6207.8099999999995</v>
      </c>
      <c r="N2485" s="1">
        <f t="shared" ca="1" si="310"/>
        <v>9</v>
      </c>
      <c r="P2485" s="1">
        <v>49.614738044328988</v>
      </c>
      <c r="Q2485" s="1">
        <f t="shared" ca="1" si="311"/>
        <v>7</v>
      </c>
      <c r="R2485" s="1">
        <v>10.49793129619502</v>
      </c>
    </row>
    <row r="2486" spans="1:18" x14ac:dyDescent="0.3">
      <c r="A2486" s="26">
        <v>2485</v>
      </c>
      <c r="B2486" s="1">
        <v>30</v>
      </c>
      <c r="C2486" s="1">
        <f t="shared" si="307"/>
        <v>12</v>
      </c>
      <c r="D2486" s="21">
        <f t="shared" ca="1" si="306"/>
        <v>44692</v>
      </c>
      <c r="E2486" s="1" t="s">
        <v>26</v>
      </c>
      <c r="F2486" s="1" t="s">
        <v>2514</v>
      </c>
      <c r="G2486" s="1" t="s">
        <v>28</v>
      </c>
      <c r="H2486" s="1">
        <v>2584</v>
      </c>
      <c r="I2486" s="1">
        <f t="shared" si="308"/>
        <v>57</v>
      </c>
      <c r="J2486" s="1">
        <f>VLOOKUP(B2486,Cena!$A$2:$B$101,2)</f>
        <v>87</v>
      </c>
      <c r="K2486" s="1">
        <f t="shared" si="312"/>
        <v>4959</v>
      </c>
      <c r="L2486" s="1">
        <f t="shared" si="309"/>
        <v>1140.57</v>
      </c>
      <c r="M2486" s="22">
        <f t="shared" si="313"/>
        <v>6099.57</v>
      </c>
      <c r="N2486" s="1">
        <f t="shared" ca="1" si="310"/>
        <v>5</v>
      </c>
      <c r="P2486" s="1">
        <v>57.908533916634042</v>
      </c>
      <c r="Q2486" s="1">
        <f t="shared" ca="1" si="311"/>
        <v>1</v>
      </c>
      <c r="R2486" s="1">
        <v>12.196071591242799</v>
      </c>
    </row>
    <row r="2487" spans="1:18" x14ac:dyDescent="0.3">
      <c r="A2487" s="26">
        <v>2486</v>
      </c>
      <c r="B2487" s="1">
        <v>23</v>
      </c>
      <c r="C2487" s="1">
        <f t="shared" si="307"/>
        <v>11</v>
      </c>
      <c r="D2487" s="21">
        <f t="shared" ca="1" si="306"/>
        <v>44829</v>
      </c>
      <c r="E2487" s="1" t="s">
        <v>26</v>
      </c>
      <c r="F2487" s="1" t="s">
        <v>2515</v>
      </c>
      <c r="G2487" s="1" t="s">
        <v>28</v>
      </c>
      <c r="H2487" s="1">
        <v>2585</v>
      </c>
      <c r="I2487" s="1">
        <f t="shared" si="308"/>
        <v>22</v>
      </c>
      <c r="J2487" s="1">
        <f>VLOOKUP(B2487,Cena!$A$2:$B$101,2)</f>
        <v>132</v>
      </c>
      <c r="K2487" s="1">
        <f t="shared" si="312"/>
        <v>2904</v>
      </c>
      <c r="L2487" s="1">
        <f t="shared" si="309"/>
        <v>667.92000000000007</v>
      </c>
      <c r="M2487" s="22">
        <f t="shared" si="313"/>
        <v>3571.92</v>
      </c>
      <c r="N2487" s="1">
        <f t="shared" ca="1" si="310"/>
        <v>9</v>
      </c>
      <c r="P2487" s="1">
        <v>22.512159729376435</v>
      </c>
      <c r="Q2487" s="1">
        <f t="shared" ca="1" si="311"/>
        <v>4</v>
      </c>
      <c r="R2487" s="1">
        <v>11.452292508474784</v>
      </c>
    </row>
    <row r="2488" spans="1:18" x14ac:dyDescent="0.3">
      <c r="A2488" s="26">
        <v>2487</v>
      </c>
      <c r="B2488" s="1">
        <v>2</v>
      </c>
      <c r="C2488" s="1">
        <f t="shared" si="307"/>
        <v>12</v>
      </c>
      <c r="D2488" s="21">
        <f t="shared" ca="1" si="306"/>
        <v>44633</v>
      </c>
      <c r="E2488" s="1" t="s">
        <v>26</v>
      </c>
      <c r="F2488" s="1" t="s">
        <v>2516</v>
      </c>
      <c r="G2488" s="1" t="s">
        <v>28</v>
      </c>
      <c r="H2488" s="1">
        <v>2586</v>
      </c>
      <c r="I2488" s="1">
        <f t="shared" si="308"/>
        <v>49</v>
      </c>
      <c r="J2488" s="1">
        <f>VLOOKUP(B2488,Cena!$A$2:$B$101,2)</f>
        <v>121</v>
      </c>
      <c r="K2488" s="1">
        <f t="shared" si="312"/>
        <v>5929</v>
      </c>
      <c r="L2488" s="1">
        <f t="shared" si="309"/>
        <v>1363.67</v>
      </c>
      <c r="M2488" s="22">
        <f t="shared" si="313"/>
        <v>7292.67</v>
      </c>
      <c r="N2488" s="1">
        <f t="shared" ca="1" si="310"/>
        <v>3</v>
      </c>
      <c r="P2488" s="1">
        <v>49.494514213438379</v>
      </c>
      <c r="Q2488" s="1">
        <f t="shared" ca="1" si="311"/>
        <v>15</v>
      </c>
      <c r="R2488" s="1">
        <v>12.302715529367561</v>
      </c>
    </row>
    <row r="2489" spans="1:18" x14ac:dyDescent="0.3">
      <c r="A2489" s="26">
        <v>2488</v>
      </c>
      <c r="B2489" s="1">
        <v>14</v>
      </c>
      <c r="C2489" s="1">
        <f t="shared" si="307"/>
        <v>10</v>
      </c>
      <c r="D2489" s="21">
        <f t="shared" ca="1" si="306"/>
        <v>44687</v>
      </c>
      <c r="E2489" s="1" t="s">
        <v>26</v>
      </c>
      <c r="F2489" s="1" t="s">
        <v>2517</v>
      </c>
      <c r="G2489" s="1" t="s">
        <v>28</v>
      </c>
      <c r="H2489" s="1">
        <v>2587</v>
      </c>
      <c r="I2489" s="1">
        <f t="shared" si="308"/>
        <v>55</v>
      </c>
      <c r="J2489" s="1">
        <f>VLOOKUP(B2489,Cena!$A$2:$B$101,2)</f>
        <v>129</v>
      </c>
      <c r="K2489" s="1">
        <f t="shared" si="312"/>
        <v>7095</v>
      </c>
      <c r="L2489" s="1">
        <f t="shared" si="309"/>
        <v>1631.8500000000001</v>
      </c>
      <c r="M2489" s="22">
        <f t="shared" si="313"/>
        <v>8726.85</v>
      </c>
      <c r="N2489" s="1">
        <f t="shared" ca="1" si="310"/>
        <v>5</v>
      </c>
      <c r="P2489" s="1">
        <v>55.014612725062761</v>
      </c>
      <c r="Q2489" s="1">
        <f t="shared" ca="1" si="311"/>
        <v>10</v>
      </c>
      <c r="R2489" s="1">
        <v>10.705682623447501</v>
      </c>
    </row>
    <row r="2490" spans="1:18" x14ac:dyDescent="0.3">
      <c r="A2490" s="26">
        <v>2489</v>
      </c>
      <c r="B2490" s="1">
        <v>10</v>
      </c>
      <c r="C2490" s="1">
        <f t="shared" si="307"/>
        <v>11</v>
      </c>
      <c r="D2490" s="21">
        <f t="shared" ca="1" si="306"/>
        <v>44752</v>
      </c>
      <c r="E2490" s="1" t="s">
        <v>26</v>
      </c>
      <c r="F2490" s="1" t="s">
        <v>2518</v>
      </c>
      <c r="G2490" s="1" t="s">
        <v>28</v>
      </c>
      <c r="H2490" s="1">
        <v>2588</v>
      </c>
      <c r="I2490" s="1">
        <f t="shared" si="308"/>
        <v>50</v>
      </c>
      <c r="J2490" s="1">
        <f>VLOOKUP(B2490,Cena!$A$2:$B$101,2)</f>
        <v>109</v>
      </c>
      <c r="K2490" s="1">
        <f t="shared" si="312"/>
        <v>5450</v>
      </c>
      <c r="L2490" s="1">
        <f t="shared" si="309"/>
        <v>1253.5</v>
      </c>
      <c r="M2490" s="22">
        <f t="shared" si="313"/>
        <v>6703.5</v>
      </c>
      <c r="N2490" s="1">
        <f t="shared" ca="1" si="310"/>
        <v>7</v>
      </c>
      <c r="P2490" s="1">
        <v>50.893544438440586</v>
      </c>
      <c r="Q2490" s="1">
        <f t="shared" ca="1" si="311"/>
        <v>11</v>
      </c>
      <c r="R2490" s="1">
        <v>11.293062723561889</v>
      </c>
    </row>
    <row r="2491" spans="1:18" x14ac:dyDescent="0.3">
      <c r="A2491" s="26">
        <v>2490</v>
      </c>
      <c r="B2491" s="1">
        <v>6</v>
      </c>
      <c r="C2491" s="1">
        <f t="shared" si="307"/>
        <v>8</v>
      </c>
      <c r="D2491" s="21">
        <f t="shared" ca="1" si="306"/>
        <v>44889</v>
      </c>
      <c r="E2491" s="1" t="s">
        <v>26</v>
      </c>
      <c r="F2491" s="1" t="s">
        <v>2519</v>
      </c>
      <c r="G2491" s="1" t="s">
        <v>28</v>
      </c>
      <c r="H2491" s="1">
        <v>2589</v>
      </c>
      <c r="I2491" s="1">
        <f t="shared" si="308"/>
        <v>60</v>
      </c>
      <c r="J2491" s="1">
        <f>VLOOKUP(B2491,Cena!$A$2:$B$101,2)</f>
        <v>86</v>
      </c>
      <c r="K2491" s="1">
        <f t="shared" si="312"/>
        <v>5160</v>
      </c>
      <c r="L2491" s="1">
        <f t="shared" si="309"/>
        <v>1186.8</v>
      </c>
      <c r="M2491" s="22">
        <f t="shared" si="313"/>
        <v>6346.8</v>
      </c>
      <c r="N2491" s="1">
        <f t="shared" ca="1" si="310"/>
        <v>11</v>
      </c>
      <c r="P2491" s="1">
        <v>60.002099770645145</v>
      </c>
      <c r="Q2491" s="1">
        <f t="shared" ca="1" si="311"/>
        <v>21</v>
      </c>
      <c r="R2491" s="1">
        <v>8.9803285416201106</v>
      </c>
    </row>
    <row r="2492" spans="1:18" x14ac:dyDescent="0.3">
      <c r="A2492" s="26">
        <v>2491</v>
      </c>
      <c r="B2492" s="1">
        <v>10</v>
      </c>
      <c r="C2492" s="1">
        <f t="shared" si="307"/>
        <v>9</v>
      </c>
      <c r="D2492" s="21">
        <f t="shared" ca="1" si="306"/>
        <v>44916</v>
      </c>
      <c r="E2492" s="1" t="s">
        <v>26</v>
      </c>
      <c r="F2492" s="1" t="s">
        <v>2520</v>
      </c>
      <c r="G2492" s="1" t="s">
        <v>28</v>
      </c>
      <c r="H2492" s="1">
        <v>2590</v>
      </c>
      <c r="I2492" s="1">
        <f t="shared" si="308"/>
        <v>36</v>
      </c>
      <c r="J2492" s="1">
        <f>VLOOKUP(B2492,Cena!$A$2:$B$101,2)</f>
        <v>109</v>
      </c>
      <c r="K2492" s="1">
        <f t="shared" si="312"/>
        <v>3924</v>
      </c>
      <c r="L2492" s="1">
        <f t="shared" si="309"/>
        <v>902.5200000000001</v>
      </c>
      <c r="M2492" s="22">
        <f t="shared" si="313"/>
        <v>4826.5200000000004</v>
      </c>
      <c r="N2492" s="1">
        <f t="shared" ca="1" si="310"/>
        <v>12</v>
      </c>
      <c r="P2492" s="1">
        <v>36.170882948499639</v>
      </c>
      <c r="Q2492" s="1">
        <f t="shared" ca="1" si="311"/>
        <v>2</v>
      </c>
      <c r="R2492" s="1">
        <v>9.3153863897532574</v>
      </c>
    </row>
    <row r="2493" spans="1:18" x14ac:dyDescent="0.3">
      <c r="A2493" s="26">
        <v>2492</v>
      </c>
      <c r="B2493" s="1">
        <v>12</v>
      </c>
      <c r="C2493" s="1">
        <f t="shared" si="307"/>
        <v>11</v>
      </c>
      <c r="D2493" s="21">
        <f t="shared" ca="1" si="306"/>
        <v>44586</v>
      </c>
      <c r="E2493" s="1" t="s">
        <v>26</v>
      </c>
      <c r="F2493" s="1" t="s">
        <v>2521</v>
      </c>
      <c r="G2493" s="1" t="s">
        <v>28</v>
      </c>
      <c r="H2493" s="1">
        <v>2591</v>
      </c>
      <c r="I2493" s="1">
        <f t="shared" si="308"/>
        <v>46</v>
      </c>
      <c r="J2493" s="1">
        <f>VLOOKUP(B2493,Cena!$A$2:$B$101,2)</f>
        <v>88</v>
      </c>
      <c r="K2493" s="1">
        <f t="shared" si="312"/>
        <v>4048</v>
      </c>
      <c r="L2493" s="1">
        <f t="shared" si="309"/>
        <v>931.04000000000008</v>
      </c>
      <c r="M2493" s="22">
        <f t="shared" si="313"/>
        <v>4979.04</v>
      </c>
      <c r="N2493" s="1">
        <f t="shared" ca="1" si="310"/>
        <v>1</v>
      </c>
      <c r="P2493" s="1">
        <v>46.716371697402792</v>
      </c>
      <c r="Q2493" s="1">
        <f t="shared" ca="1" si="311"/>
        <v>16</v>
      </c>
      <c r="R2493" s="1">
        <v>11.406124283676036</v>
      </c>
    </row>
    <row r="2494" spans="1:18" x14ac:dyDescent="0.3">
      <c r="A2494" s="26">
        <v>2493</v>
      </c>
      <c r="B2494" s="1">
        <v>3</v>
      </c>
      <c r="C2494" s="1">
        <f t="shared" si="307"/>
        <v>10</v>
      </c>
      <c r="D2494" s="21">
        <f t="shared" ca="1" si="306"/>
        <v>44598</v>
      </c>
      <c r="E2494" s="1" t="s">
        <v>26</v>
      </c>
      <c r="F2494" s="1" t="s">
        <v>2522</v>
      </c>
      <c r="G2494" s="1" t="s">
        <v>28</v>
      </c>
      <c r="H2494" s="1">
        <v>2592</v>
      </c>
      <c r="I2494" s="1">
        <f t="shared" si="308"/>
        <v>49</v>
      </c>
      <c r="J2494" s="1">
        <f>VLOOKUP(B2494,Cena!$A$2:$B$101,2)</f>
        <v>89</v>
      </c>
      <c r="K2494" s="1">
        <f t="shared" si="312"/>
        <v>4361</v>
      </c>
      <c r="L2494" s="1">
        <f t="shared" si="309"/>
        <v>1003.0300000000001</v>
      </c>
      <c r="M2494" s="22">
        <f t="shared" si="313"/>
        <v>5364.03</v>
      </c>
      <c r="N2494" s="1">
        <f t="shared" ca="1" si="310"/>
        <v>2</v>
      </c>
      <c r="P2494" s="1">
        <v>49.76474782670266</v>
      </c>
      <c r="Q2494" s="1">
        <f t="shared" ca="1" si="311"/>
        <v>11</v>
      </c>
      <c r="R2494" s="1">
        <v>10.436625668953639</v>
      </c>
    </row>
    <row r="2495" spans="1:18" x14ac:dyDescent="0.3">
      <c r="A2495" s="26">
        <v>2494</v>
      </c>
      <c r="B2495" s="1">
        <v>25</v>
      </c>
      <c r="C2495" s="1">
        <f t="shared" si="307"/>
        <v>8</v>
      </c>
      <c r="D2495" s="21">
        <f t="shared" ca="1" si="306"/>
        <v>44586</v>
      </c>
      <c r="E2495" s="1" t="s">
        <v>26</v>
      </c>
      <c r="F2495" s="1" t="s">
        <v>2523</v>
      </c>
      <c r="G2495" s="1" t="s">
        <v>28</v>
      </c>
      <c r="H2495" s="1">
        <v>2593</v>
      </c>
      <c r="I2495" s="1">
        <f t="shared" si="308"/>
        <v>52</v>
      </c>
      <c r="J2495" s="1">
        <f>VLOOKUP(B2495,Cena!$A$2:$B$101,2)</f>
        <v>108</v>
      </c>
      <c r="K2495" s="1">
        <f t="shared" si="312"/>
        <v>5616</v>
      </c>
      <c r="L2495" s="1">
        <f t="shared" si="309"/>
        <v>1291.68</v>
      </c>
      <c r="M2495" s="22">
        <f t="shared" si="313"/>
        <v>6907.68</v>
      </c>
      <c r="N2495" s="1">
        <f t="shared" ca="1" si="310"/>
        <v>1</v>
      </c>
      <c r="P2495" s="1">
        <v>52.749573013716144</v>
      </c>
      <c r="Q2495" s="1">
        <f t="shared" ca="1" si="311"/>
        <v>18</v>
      </c>
      <c r="R2495" s="1">
        <v>8.9386196830309927</v>
      </c>
    </row>
    <row r="2496" spans="1:18" x14ac:dyDescent="0.3">
      <c r="A2496" s="26">
        <v>2495</v>
      </c>
      <c r="B2496" s="1">
        <v>9</v>
      </c>
      <c r="C2496" s="1">
        <f t="shared" si="307"/>
        <v>7</v>
      </c>
      <c r="D2496" s="21">
        <f t="shared" ca="1" si="306"/>
        <v>44781</v>
      </c>
      <c r="E2496" s="1" t="s">
        <v>26</v>
      </c>
      <c r="F2496" s="1" t="s">
        <v>2524</v>
      </c>
      <c r="G2496" s="1" t="s">
        <v>28</v>
      </c>
      <c r="H2496" s="1">
        <v>2594</v>
      </c>
      <c r="I2496" s="1">
        <f t="shared" si="308"/>
        <v>33</v>
      </c>
      <c r="J2496" s="1">
        <f>VLOOKUP(B2496,Cena!$A$2:$B$101,2)</f>
        <v>96</v>
      </c>
      <c r="K2496" s="1">
        <f t="shared" si="312"/>
        <v>3168</v>
      </c>
      <c r="L2496" s="1">
        <f t="shared" si="309"/>
        <v>728.64</v>
      </c>
      <c r="M2496" s="22">
        <f t="shared" si="313"/>
        <v>3896.64</v>
      </c>
      <c r="N2496" s="1">
        <f t="shared" ca="1" si="310"/>
        <v>8</v>
      </c>
      <c r="P2496" s="1">
        <v>33.802626957185566</v>
      </c>
      <c r="Q2496" s="1">
        <f t="shared" ca="1" si="311"/>
        <v>17</v>
      </c>
      <c r="R2496" s="1">
        <v>7.4558932080981322</v>
      </c>
    </row>
    <row r="2497" spans="1:18" x14ac:dyDescent="0.3">
      <c r="A2497" s="26">
        <v>2496</v>
      </c>
      <c r="B2497" s="1">
        <v>18</v>
      </c>
      <c r="C2497" s="1">
        <f t="shared" si="307"/>
        <v>9</v>
      </c>
      <c r="D2497" s="21">
        <f t="shared" ca="1" si="306"/>
        <v>44923</v>
      </c>
      <c r="E2497" s="1" t="s">
        <v>26</v>
      </c>
      <c r="F2497" s="1" t="s">
        <v>2525</v>
      </c>
      <c r="G2497" s="1" t="s">
        <v>28</v>
      </c>
      <c r="H2497" s="1">
        <v>2595</v>
      </c>
      <c r="I2497" s="1">
        <f t="shared" si="308"/>
        <v>39</v>
      </c>
      <c r="J2497" s="1">
        <f>VLOOKUP(B2497,Cena!$A$2:$B$101,2)</f>
        <v>90</v>
      </c>
      <c r="K2497" s="1">
        <f t="shared" si="312"/>
        <v>3510</v>
      </c>
      <c r="L2497" s="1">
        <f t="shared" si="309"/>
        <v>807.30000000000007</v>
      </c>
      <c r="M2497" s="22">
        <f t="shared" si="313"/>
        <v>4317.3</v>
      </c>
      <c r="N2497" s="1">
        <f t="shared" ca="1" si="310"/>
        <v>12</v>
      </c>
      <c r="P2497" s="1">
        <v>39.847924553032499</v>
      </c>
      <c r="Q2497" s="1">
        <f t="shared" ca="1" si="311"/>
        <v>12</v>
      </c>
      <c r="R2497" s="1">
        <v>9.8573485981978592</v>
      </c>
    </row>
    <row r="2498" spans="1:18" x14ac:dyDescent="0.3">
      <c r="A2498" s="26">
        <v>2497</v>
      </c>
      <c r="B2498" s="1">
        <v>21</v>
      </c>
      <c r="C2498" s="1">
        <f t="shared" si="307"/>
        <v>8</v>
      </c>
      <c r="D2498" s="21">
        <f t="shared" ref="D2498:D2561" ca="1" si="314">DATE(2022,RANDBETWEEN(1,12),RANDBETWEEN(1,28))</f>
        <v>44707</v>
      </c>
      <c r="E2498" s="1" t="s">
        <v>26</v>
      </c>
      <c r="F2498" s="1" t="s">
        <v>2526</v>
      </c>
      <c r="G2498" s="1" t="s">
        <v>28</v>
      </c>
      <c r="H2498" s="1">
        <v>2596</v>
      </c>
      <c r="I2498" s="1">
        <f t="shared" si="308"/>
        <v>51</v>
      </c>
      <c r="J2498" s="1">
        <f>VLOOKUP(B2498,Cena!$A$2:$B$101,2)</f>
        <v>105</v>
      </c>
      <c r="K2498" s="1">
        <f t="shared" si="312"/>
        <v>5355</v>
      </c>
      <c r="L2498" s="1">
        <f t="shared" si="309"/>
        <v>1231.6500000000001</v>
      </c>
      <c r="M2498" s="22">
        <f t="shared" si="313"/>
        <v>6586.65</v>
      </c>
      <c r="N2498" s="1">
        <f t="shared" ca="1" si="310"/>
        <v>5</v>
      </c>
      <c r="P2498" s="1">
        <v>51.480668743170099</v>
      </c>
      <c r="Q2498" s="1">
        <f t="shared" ca="1" si="311"/>
        <v>21</v>
      </c>
      <c r="R2498" s="1">
        <v>8.4969178967730841</v>
      </c>
    </row>
    <row r="2499" spans="1:18" x14ac:dyDescent="0.3">
      <c r="A2499" s="26">
        <v>2498</v>
      </c>
      <c r="B2499" s="1">
        <v>22</v>
      </c>
      <c r="C2499" s="1">
        <f t="shared" ref="C2499:C2562" si="315">INT(R2499)</f>
        <v>11</v>
      </c>
      <c r="D2499" s="21">
        <f t="shared" ca="1" si="314"/>
        <v>44563</v>
      </c>
      <c r="E2499" s="1" t="s">
        <v>26</v>
      </c>
      <c r="F2499" s="1" t="s">
        <v>2527</v>
      </c>
      <c r="G2499" s="1" t="s">
        <v>28</v>
      </c>
      <c r="H2499" s="1">
        <v>2597</v>
      </c>
      <c r="I2499" s="1">
        <f t="shared" ref="I2499:I2562" si="316">INT(P2499)</f>
        <v>54</v>
      </c>
      <c r="J2499" s="1">
        <f>VLOOKUP(B2499,Cena!$A$2:$B$101,2)</f>
        <v>103</v>
      </c>
      <c r="K2499" s="1">
        <f t="shared" si="312"/>
        <v>5562</v>
      </c>
      <c r="L2499" s="1">
        <f t="shared" ref="L2499:L2562" si="317">K2499*23%</f>
        <v>1279.26</v>
      </c>
      <c r="M2499" s="22">
        <f t="shared" si="313"/>
        <v>6841.26</v>
      </c>
      <c r="N2499" s="1">
        <f t="shared" ref="N2499:N2562" ca="1" si="318">MONTH(D2499)</f>
        <v>1</v>
      </c>
      <c r="P2499" s="1">
        <v>54.214575710648205</v>
      </c>
      <c r="Q2499" s="1">
        <f t="shared" ref="Q2499:Q2562" ca="1" si="319">RANDBETWEEN(1,30)</f>
        <v>2</v>
      </c>
      <c r="R2499" s="1">
        <v>11.930413873196812</v>
      </c>
    </row>
    <row r="2500" spans="1:18" x14ac:dyDescent="0.3">
      <c r="A2500" s="26">
        <v>2499</v>
      </c>
      <c r="B2500" s="1">
        <v>6</v>
      </c>
      <c r="C2500" s="1">
        <f t="shared" si="315"/>
        <v>10</v>
      </c>
      <c r="D2500" s="21">
        <f t="shared" ca="1" si="314"/>
        <v>44846</v>
      </c>
      <c r="E2500" s="1" t="s">
        <v>26</v>
      </c>
      <c r="F2500" s="1" t="s">
        <v>2528</v>
      </c>
      <c r="G2500" s="1" t="s">
        <v>28</v>
      </c>
      <c r="H2500" s="1">
        <v>2598</v>
      </c>
      <c r="I2500" s="1">
        <f t="shared" si="316"/>
        <v>51</v>
      </c>
      <c r="J2500" s="1">
        <f>VLOOKUP(B2500,Cena!$A$2:$B$101,2)</f>
        <v>86</v>
      </c>
      <c r="K2500" s="1">
        <f t="shared" si="312"/>
        <v>4386</v>
      </c>
      <c r="L2500" s="1">
        <f t="shared" si="317"/>
        <v>1008.7800000000001</v>
      </c>
      <c r="M2500" s="22">
        <f t="shared" si="313"/>
        <v>5394.78</v>
      </c>
      <c r="N2500" s="1">
        <f t="shared" ca="1" si="318"/>
        <v>10</v>
      </c>
      <c r="P2500" s="1">
        <v>51.408000116498442</v>
      </c>
      <c r="Q2500" s="1">
        <f t="shared" ca="1" si="319"/>
        <v>16</v>
      </c>
      <c r="R2500" s="1">
        <v>10.00659952092974</v>
      </c>
    </row>
    <row r="2501" spans="1:18" x14ac:dyDescent="0.3">
      <c r="A2501" s="26">
        <v>2500</v>
      </c>
      <c r="B2501" s="1">
        <v>8</v>
      </c>
      <c r="C2501" s="1">
        <f t="shared" si="315"/>
        <v>8</v>
      </c>
      <c r="D2501" s="21">
        <f t="shared" ca="1" si="314"/>
        <v>44724</v>
      </c>
      <c r="E2501" s="1" t="s">
        <v>26</v>
      </c>
      <c r="F2501" s="1" t="s">
        <v>2529</v>
      </c>
      <c r="G2501" s="1" t="s">
        <v>28</v>
      </c>
      <c r="H2501" s="1">
        <v>2599</v>
      </c>
      <c r="I2501" s="1">
        <f t="shared" si="316"/>
        <v>44</v>
      </c>
      <c r="J2501" s="1">
        <f>VLOOKUP(B2501,Cena!$A$2:$B$101,2)</f>
        <v>88</v>
      </c>
      <c r="K2501" s="1">
        <f t="shared" si="312"/>
        <v>3872</v>
      </c>
      <c r="L2501" s="1">
        <f t="shared" si="317"/>
        <v>890.56000000000006</v>
      </c>
      <c r="M2501" s="22">
        <f t="shared" si="313"/>
        <v>4762.5600000000004</v>
      </c>
      <c r="N2501" s="1">
        <f t="shared" ca="1" si="318"/>
        <v>6</v>
      </c>
      <c r="P2501" s="1">
        <v>44.716370110836579</v>
      </c>
      <c r="Q2501" s="1">
        <f t="shared" ca="1" si="319"/>
        <v>21</v>
      </c>
      <c r="R2501" s="1">
        <v>8.9532511790457647</v>
      </c>
    </row>
    <row r="2502" spans="1:18" x14ac:dyDescent="0.3">
      <c r="A2502" s="26">
        <v>2501</v>
      </c>
      <c r="B2502" s="1">
        <v>5</v>
      </c>
      <c r="C2502" s="1">
        <f t="shared" si="315"/>
        <v>7</v>
      </c>
      <c r="D2502" s="21">
        <f t="shared" ca="1" si="314"/>
        <v>44829</v>
      </c>
      <c r="E2502" s="1" t="s">
        <v>26</v>
      </c>
      <c r="F2502" s="1" t="s">
        <v>2530</v>
      </c>
      <c r="G2502" s="1" t="s">
        <v>28</v>
      </c>
      <c r="H2502" s="1">
        <v>2600</v>
      </c>
      <c r="I2502" s="1">
        <f t="shared" si="316"/>
        <v>41</v>
      </c>
      <c r="J2502" s="1">
        <f>VLOOKUP(B2502,Cena!$A$2:$B$101,2)</f>
        <v>91</v>
      </c>
      <c r="K2502" s="1">
        <f t="shared" si="312"/>
        <v>3731</v>
      </c>
      <c r="L2502" s="1">
        <f t="shared" si="317"/>
        <v>858.13</v>
      </c>
      <c r="M2502" s="22">
        <f t="shared" si="313"/>
        <v>4589.13</v>
      </c>
      <c r="N2502" s="1">
        <f t="shared" ca="1" si="318"/>
        <v>9</v>
      </c>
      <c r="P2502" s="1">
        <v>41.320987646759022</v>
      </c>
      <c r="Q2502" s="1">
        <f t="shared" ca="1" si="319"/>
        <v>26</v>
      </c>
      <c r="R2502" s="1">
        <v>7.6456422245973954</v>
      </c>
    </row>
    <row r="2503" spans="1:18" x14ac:dyDescent="0.3">
      <c r="A2503" s="26">
        <v>2502</v>
      </c>
      <c r="B2503" s="1">
        <v>24</v>
      </c>
      <c r="C2503" s="1">
        <f t="shared" si="315"/>
        <v>6</v>
      </c>
      <c r="D2503" s="21">
        <f t="shared" ca="1" si="314"/>
        <v>44702</v>
      </c>
      <c r="E2503" s="1" t="s">
        <v>26</v>
      </c>
      <c r="F2503" s="1" t="s">
        <v>2531</v>
      </c>
      <c r="G2503" s="1" t="s">
        <v>28</v>
      </c>
      <c r="H2503" s="1">
        <v>2601</v>
      </c>
      <c r="I2503" s="1">
        <f t="shared" si="316"/>
        <v>49</v>
      </c>
      <c r="J2503" s="1">
        <f>VLOOKUP(B2503,Cena!$A$2:$B$101,2)</f>
        <v>125</v>
      </c>
      <c r="K2503" s="1">
        <f t="shared" si="312"/>
        <v>6125</v>
      </c>
      <c r="L2503" s="1">
        <f t="shared" si="317"/>
        <v>1408.75</v>
      </c>
      <c r="M2503" s="22">
        <f t="shared" si="313"/>
        <v>7533.75</v>
      </c>
      <c r="N2503" s="1">
        <f t="shared" ca="1" si="318"/>
        <v>5</v>
      </c>
      <c r="P2503" s="1">
        <v>49.782346549181966</v>
      </c>
      <c r="Q2503" s="1">
        <f t="shared" ca="1" si="319"/>
        <v>3</v>
      </c>
      <c r="R2503" s="1">
        <v>6.7204530548769981</v>
      </c>
    </row>
    <row r="2504" spans="1:18" x14ac:dyDescent="0.3">
      <c r="A2504" s="26">
        <v>2503</v>
      </c>
      <c r="B2504" s="1">
        <v>8</v>
      </c>
      <c r="C2504" s="1">
        <f t="shared" si="315"/>
        <v>7</v>
      </c>
      <c r="D2504" s="21">
        <f t="shared" ca="1" si="314"/>
        <v>44882</v>
      </c>
      <c r="E2504" s="1" t="s">
        <v>26</v>
      </c>
      <c r="F2504" s="1" t="s">
        <v>2532</v>
      </c>
      <c r="G2504" s="1" t="s">
        <v>28</v>
      </c>
      <c r="H2504" s="1">
        <v>2602</v>
      </c>
      <c r="I2504" s="1">
        <f t="shared" si="316"/>
        <v>37</v>
      </c>
      <c r="J2504" s="1">
        <f>VLOOKUP(B2504,Cena!$A$2:$B$101,2)</f>
        <v>88</v>
      </c>
      <c r="K2504" s="1">
        <f t="shared" si="312"/>
        <v>3256</v>
      </c>
      <c r="L2504" s="1">
        <f t="shared" si="317"/>
        <v>748.88</v>
      </c>
      <c r="M2504" s="22">
        <f t="shared" si="313"/>
        <v>4004.88</v>
      </c>
      <c r="N2504" s="1">
        <f t="shared" ca="1" si="318"/>
        <v>11</v>
      </c>
      <c r="P2504" s="1">
        <v>37.803607837122399</v>
      </c>
      <c r="Q2504" s="1">
        <f t="shared" ca="1" si="319"/>
        <v>13</v>
      </c>
      <c r="R2504" s="1">
        <v>7.4401134750223719</v>
      </c>
    </row>
    <row r="2505" spans="1:18" x14ac:dyDescent="0.3">
      <c r="A2505" s="26">
        <v>2504</v>
      </c>
      <c r="B2505" s="1">
        <v>11</v>
      </c>
      <c r="C2505" s="1">
        <f t="shared" si="315"/>
        <v>11</v>
      </c>
      <c r="D2505" s="21">
        <f t="shared" ca="1" si="314"/>
        <v>44616</v>
      </c>
      <c r="E2505" s="1" t="s">
        <v>26</v>
      </c>
      <c r="F2505" s="1" t="s">
        <v>2533</v>
      </c>
      <c r="G2505" s="1" t="s">
        <v>28</v>
      </c>
      <c r="H2505" s="1">
        <v>2603</v>
      </c>
      <c r="I2505" s="1">
        <f t="shared" si="316"/>
        <v>59</v>
      </c>
      <c r="J2505" s="1">
        <f>VLOOKUP(B2505,Cena!$A$2:$B$101,2)</f>
        <v>83</v>
      </c>
      <c r="K2505" s="1">
        <f t="shared" si="312"/>
        <v>4897</v>
      </c>
      <c r="L2505" s="1">
        <f t="shared" si="317"/>
        <v>1126.31</v>
      </c>
      <c r="M2505" s="22">
        <f t="shared" si="313"/>
        <v>6023.3099999999995</v>
      </c>
      <c r="N2505" s="1">
        <f t="shared" ca="1" si="318"/>
        <v>2</v>
      </c>
      <c r="P2505" s="1">
        <v>59.490395314060152</v>
      </c>
      <c r="Q2505" s="1">
        <f t="shared" ca="1" si="319"/>
        <v>1</v>
      </c>
      <c r="R2505" s="1">
        <v>11.230284851772012</v>
      </c>
    </row>
    <row r="2506" spans="1:18" x14ac:dyDescent="0.3">
      <c r="A2506" s="26">
        <v>2505</v>
      </c>
      <c r="B2506" s="1">
        <v>24</v>
      </c>
      <c r="C2506" s="1">
        <f t="shared" si="315"/>
        <v>13</v>
      </c>
      <c r="D2506" s="21">
        <f t="shared" ca="1" si="314"/>
        <v>44917</v>
      </c>
      <c r="E2506" s="1" t="s">
        <v>26</v>
      </c>
      <c r="F2506" s="1" t="s">
        <v>2534</v>
      </c>
      <c r="G2506" s="1" t="s">
        <v>28</v>
      </c>
      <c r="H2506" s="1">
        <v>2604</v>
      </c>
      <c r="I2506" s="1">
        <f t="shared" si="316"/>
        <v>35</v>
      </c>
      <c r="J2506" s="1">
        <f>VLOOKUP(B2506,Cena!$A$2:$B$101,2)</f>
        <v>125</v>
      </c>
      <c r="K2506" s="1">
        <f t="shared" si="312"/>
        <v>4375</v>
      </c>
      <c r="L2506" s="1">
        <f t="shared" si="317"/>
        <v>1006.25</v>
      </c>
      <c r="M2506" s="22">
        <f t="shared" si="313"/>
        <v>5381.25</v>
      </c>
      <c r="N2506" s="1">
        <f t="shared" ca="1" si="318"/>
        <v>12</v>
      </c>
      <c r="P2506" s="1">
        <v>35.315116646233946</v>
      </c>
      <c r="Q2506" s="1">
        <f t="shared" ca="1" si="319"/>
        <v>17</v>
      </c>
      <c r="R2506" s="1">
        <v>13.406250925763743</v>
      </c>
    </row>
    <row r="2507" spans="1:18" x14ac:dyDescent="0.3">
      <c r="A2507" s="26">
        <v>2506</v>
      </c>
      <c r="B2507" s="1">
        <v>10</v>
      </c>
      <c r="C2507" s="1">
        <f t="shared" si="315"/>
        <v>9</v>
      </c>
      <c r="D2507" s="21">
        <f t="shared" ca="1" si="314"/>
        <v>44588</v>
      </c>
      <c r="E2507" s="1" t="s">
        <v>26</v>
      </c>
      <c r="F2507" s="1" t="s">
        <v>2535</v>
      </c>
      <c r="G2507" s="1" t="s">
        <v>28</v>
      </c>
      <c r="H2507" s="1">
        <v>2605</v>
      </c>
      <c r="I2507" s="1">
        <f t="shared" si="316"/>
        <v>44</v>
      </c>
      <c r="J2507" s="1">
        <f>VLOOKUP(B2507,Cena!$A$2:$B$101,2)</f>
        <v>109</v>
      </c>
      <c r="K2507" s="1">
        <f t="shared" si="312"/>
        <v>4796</v>
      </c>
      <c r="L2507" s="1">
        <f t="shared" si="317"/>
        <v>1103.0800000000002</v>
      </c>
      <c r="M2507" s="22">
        <f t="shared" si="313"/>
        <v>5899.08</v>
      </c>
      <c r="N2507" s="1">
        <f t="shared" ca="1" si="318"/>
        <v>1</v>
      </c>
      <c r="P2507" s="1">
        <v>44.210747900069691</v>
      </c>
      <c r="Q2507" s="1">
        <f t="shared" ca="1" si="319"/>
        <v>17</v>
      </c>
      <c r="R2507" s="1">
        <v>9.0750126244165585</v>
      </c>
    </row>
    <row r="2508" spans="1:18" x14ac:dyDescent="0.3">
      <c r="A2508" s="26">
        <v>2507</v>
      </c>
      <c r="B2508" s="1">
        <v>24</v>
      </c>
      <c r="C2508" s="1">
        <f t="shared" si="315"/>
        <v>8</v>
      </c>
      <c r="D2508" s="21">
        <f t="shared" ca="1" si="314"/>
        <v>44791</v>
      </c>
      <c r="E2508" s="1" t="s">
        <v>26</v>
      </c>
      <c r="F2508" s="1" t="s">
        <v>2536</v>
      </c>
      <c r="G2508" s="1" t="s">
        <v>28</v>
      </c>
      <c r="H2508" s="1">
        <v>2606</v>
      </c>
      <c r="I2508" s="1">
        <f t="shared" si="316"/>
        <v>69</v>
      </c>
      <c r="J2508" s="1">
        <f>VLOOKUP(B2508,Cena!$A$2:$B$101,2)</f>
        <v>125</v>
      </c>
      <c r="K2508" s="1">
        <f t="shared" si="312"/>
        <v>8625</v>
      </c>
      <c r="L2508" s="1">
        <f t="shared" si="317"/>
        <v>1983.75</v>
      </c>
      <c r="M2508" s="22">
        <f t="shared" si="313"/>
        <v>10608.75</v>
      </c>
      <c r="N2508" s="1">
        <f t="shared" ca="1" si="318"/>
        <v>8</v>
      </c>
      <c r="P2508" s="1">
        <v>69.907292880816385</v>
      </c>
      <c r="Q2508" s="1">
        <f t="shared" ca="1" si="319"/>
        <v>17</v>
      </c>
      <c r="R2508" s="1">
        <v>8.9740899764001369</v>
      </c>
    </row>
    <row r="2509" spans="1:18" x14ac:dyDescent="0.3">
      <c r="A2509" s="26">
        <v>2508</v>
      </c>
      <c r="B2509" s="1">
        <v>15</v>
      </c>
      <c r="C2509" s="1">
        <f t="shared" si="315"/>
        <v>14</v>
      </c>
      <c r="D2509" s="21">
        <f t="shared" ca="1" si="314"/>
        <v>44569</v>
      </c>
      <c r="E2509" s="1" t="s">
        <v>26</v>
      </c>
      <c r="F2509" s="1" t="s">
        <v>2537</v>
      </c>
      <c r="G2509" s="1" t="s">
        <v>28</v>
      </c>
      <c r="H2509" s="1">
        <v>2607</v>
      </c>
      <c r="I2509" s="1">
        <f t="shared" si="316"/>
        <v>77</v>
      </c>
      <c r="J2509" s="1">
        <f>VLOOKUP(B2509,Cena!$A$2:$B$101,2)</f>
        <v>85</v>
      </c>
      <c r="K2509" s="1">
        <f t="shared" si="312"/>
        <v>6545</v>
      </c>
      <c r="L2509" s="1">
        <f t="shared" si="317"/>
        <v>1505.3500000000001</v>
      </c>
      <c r="M2509" s="22">
        <f t="shared" si="313"/>
        <v>8050.35</v>
      </c>
      <c r="N2509" s="1">
        <f t="shared" ca="1" si="318"/>
        <v>1</v>
      </c>
      <c r="P2509" s="1">
        <v>77.324131224304438</v>
      </c>
      <c r="Q2509" s="1">
        <f t="shared" ca="1" si="319"/>
        <v>5</v>
      </c>
      <c r="R2509" s="1">
        <v>14.544517651083879</v>
      </c>
    </row>
    <row r="2510" spans="1:18" x14ac:dyDescent="0.3">
      <c r="A2510" s="26">
        <v>2509</v>
      </c>
      <c r="B2510" s="1">
        <v>30</v>
      </c>
      <c r="C2510" s="1">
        <f t="shared" si="315"/>
        <v>8</v>
      </c>
      <c r="D2510" s="21">
        <f t="shared" ca="1" si="314"/>
        <v>44611</v>
      </c>
      <c r="E2510" s="1" t="s">
        <v>26</v>
      </c>
      <c r="F2510" s="1" t="s">
        <v>2538</v>
      </c>
      <c r="G2510" s="1" t="s">
        <v>28</v>
      </c>
      <c r="H2510" s="1">
        <v>2608</v>
      </c>
      <c r="I2510" s="1">
        <f t="shared" si="316"/>
        <v>60</v>
      </c>
      <c r="J2510" s="1">
        <f>VLOOKUP(B2510,Cena!$A$2:$B$101,2)</f>
        <v>87</v>
      </c>
      <c r="K2510" s="1">
        <f t="shared" si="312"/>
        <v>5220</v>
      </c>
      <c r="L2510" s="1">
        <f t="shared" si="317"/>
        <v>1200.6000000000001</v>
      </c>
      <c r="M2510" s="22">
        <f t="shared" si="313"/>
        <v>6420.6</v>
      </c>
      <c r="N2510" s="1">
        <f t="shared" ca="1" si="318"/>
        <v>2</v>
      </c>
      <c r="P2510" s="1">
        <v>60.850453691091388</v>
      </c>
      <c r="Q2510" s="1">
        <f t="shared" ca="1" si="319"/>
        <v>30</v>
      </c>
      <c r="R2510" s="1">
        <v>8.7352737207402242</v>
      </c>
    </row>
    <row r="2511" spans="1:18" x14ac:dyDescent="0.3">
      <c r="A2511" s="26">
        <v>2510</v>
      </c>
      <c r="B2511" s="1">
        <v>17</v>
      </c>
      <c r="C2511" s="1">
        <f t="shared" si="315"/>
        <v>8</v>
      </c>
      <c r="D2511" s="21">
        <f t="shared" ca="1" si="314"/>
        <v>44822</v>
      </c>
      <c r="E2511" s="1" t="s">
        <v>26</v>
      </c>
      <c r="F2511" s="1" t="s">
        <v>2539</v>
      </c>
      <c r="G2511" s="1" t="s">
        <v>28</v>
      </c>
      <c r="H2511" s="1">
        <v>2609</v>
      </c>
      <c r="I2511" s="1">
        <f t="shared" si="316"/>
        <v>43</v>
      </c>
      <c r="J2511" s="1">
        <f>VLOOKUP(B2511,Cena!$A$2:$B$101,2)</f>
        <v>84</v>
      </c>
      <c r="K2511" s="1">
        <f t="shared" si="312"/>
        <v>3612</v>
      </c>
      <c r="L2511" s="1">
        <f t="shared" si="317"/>
        <v>830.76</v>
      </c>
      <c r="M2511" s="22">
        <f t="shared" si="313"/>
        <v>4442.76</v>
      </c>
      <c r="N2511" s="1">
        <f t="shared" ca="1" si="318"/>
        <v>9</v>
      </c>
      <c r="P2511" s="1">
        <v>43.688925314927474</v>
      </c>
      <c r="Q2511" s="1">
        <f t="shared" ca="1" si="319"/>
        <v>17</v>
      </c>
      <c r="R2511" s="1">
        <v>8.5017268500087084</v>
      </c>
    </row>
    <row r="2512" spans="1:18" x14ac:dyDescent="0.3">
      <c r="A2512" s="26">
        <v>2511</v>
      </c>
      <c r="B2512" s="1">
        <v>10</v>
      </c>
      <c r="C2512" s="1">
        <f t="shared" si="315"/>
        <v>15</v>
      </c>
      <c r="D2512" s="21">
        <f t="shared" ca="1" si="314"/>
        <v>44567</v>
      </c>
      <c r="E2512" s="1" t="s">
        <v>26</v>
      </c>
      <c r="F2512" s="1" t="s">
        <v>2540</v>
      </c>
      <c r="G2512" s="1" t="s">
        <v>28</v>
      </c>
      <c r="H2512" s="1">
        <v>2610</v>
      </c>
      <c r="I2512" s="1">
        <f t="shared" si="316"/>
        <v>43</v>
      </c>
      <c r="J2512" s="1">
        <f>VLOOKUP(B2512,Cena!$A$2:$B$101,2)</f>
        <v>109</v>
      </c>
      <c r="K2512" s="1">
        <f t="shared" si="312"/>
        <v>4687</v>
      </c>
      <c r="L2512" s="1">
        <f t="shared" si="317"/>
        <v>1078.01</v>
      </c>
      <c r="M2512" s="22">
        <f t="shared" si="313"/>
        <v>5765.01</v>
      </c>
      <c r="N2512" s="1">
        <f t="shared" ca="1" si="318"/>
        <v>1</v>
      </c>
      <c r="P2512" s="1">
        <v>43.60843503382057</v>
      </c>
      <c r="Q2512" s="1">
        <f t="shared" ca="1" si="319"/>
        <v>27</v>
      </c>
      <c r="R2512" s="1">
        <v>15.663059710059315</v>
      </c>
    </row>
    <row r="2513" spans="1:18" x14ac:dyDescent="0.3">
      <c r="A2513" s="26">
        <v>2512</v>
      </c>
      <c r="B2513" s="1">
        <v>2</v>
      </c>
      <c r="C2513" s="1">
        <f t="shared" si="315"/>
        <v>11</v>
      </c>
      <c r="D2513" s="21">
        <f t="shared" ca="1" si="314"/>
        <v>44789</v>
      </c>
      <c r="E2513" s="1" t="s">
        <v>26</v>
      </c>
      <c r="F2513" s="1" t="s">
        <v>2541</v>
      </c>
      <c r="G2513" s="1" t="s">
        <v>28</v>
      </c>
      <c r="H2513" s="1">
        <v>2611</v>
      </c>
      <c r="I2513" s="1">
        <f t="shared" si="316"/>
        <v>51</v>
      </c>
      <c r="J2513" s="1">
        <f>VLOOKUP(B2513,Cena!$A$2:$B$101,2)</f>
        <v>121</v>
      </c>
      <c r="K2513" s="1">
        <f t="shared" si="312"/>
        <v>6171</v>
      </c>
      <c r="L2513" s="1">
        <f t="shared" si="317"/>
        <v>1419.3300000000002</v>
      </c>
      <c r="M2513" s="22">
        <f t="shared" si="313"/>
        <v>7590.33</v>
      </c>
      <c r="N2513" s="1">
        <f t="shared" ca="1" si="318"/>
        <v>8</v>
      </c>
      <c r="P2513" s="1">
        <v>51.814896677387878</v>
      </c>
      <c r="Q2513" s="1">
        <f t="shared" ca="1" si="319"/>
        <v>22</v>
      </c>
      <c r="R2513" s="1">
        <v>11.455464371247217</v>
      </c>
    </row>
    <row r="2514" spans="1:18" x14ac:dyDescent="0.3">
      <c r="A2514" s="26">
        <v>2513</v>
      </c>
      <c r="B2514" s="1">
        <v>12</v>
      </c>
      <c r="C2514" s="1">
        <f t="shared" si="315"/>
        <v>8</v>
      </c>
      <c r="D2514" s="21">
        <f t="shared" ca="1" si="314"/>
        <v>44778</v>
      </c>
      <c r="E2514" s="1" t="s">
        <v>26</v>
      </c>
      <c r="F2514" s="1" t="s">
        <v>2542</v>
      </c>
      <c r="G2514" s="1" t="s">
        <v>28</v>
      </c>
      <c r="H2514" s="1">
        <v>2612</v>
      </c>
      <c r="I2514" s="1">
        <f t="shared" si="316"/>
        <v>49</v>
      </c>
      <c r="J2514" s="1">
        <f>VLOOKUP(B2514,Cena!$A$2:$B$101,2)</f>
        <v>88</v>
      </c>
      <c r="K2514" s="1">
        <f t="shared" si="312"/>
        <v>4312</v>
      </c>
      <c r="L2514" s="1">
        <f t="shared" si="317"/>
        <v>991.76</v>
      </c>
      <c r="M2514" s="22">
        <f t="shared" si="313"/>
        <v>5303.76</v>
      </c>
      <c r="N2514" s="1">
        <f t="shared" ca="1" si="318"/>
        <v>8</v>
      </c>
      <c r="P2514" s="1">
        <v>49.186309196375078</v>
      </c>
      <c r="Q2514" s="1">
        <f t="shared" ca="1" si="319"/>
        <v>30</v>
      </c>
      <c r="R2514" s="1">
        <v>8.1404471327550709</v>
      </c>
    </row>
    <row r="2515" spans="1:18" x14ac:dyDescent="0.3">
      <c r="A2515" s="26">
        <v>2514</v>
      </c>
      <c r="B2515" s="1">
        <v>13</v>
      </c>
      <c r="C2515" s="1">
        <f t="shared" si="315"/>
        <v>7</v>
      </c>
      <c r="D2515" s="21">
        <f t="shared" ca="1" si="314"/>
        <v>44858</v>
      </c>
      <c r="E2515" s="1" t="s">
        <v>26</v>
      </c>
      <c r="F2515" s="1" t="s">
        <v>2543</v>
      </c>
      <c r="G2515" s="1" t="s">
        <v>28</v>
      </c>
      <c r="H2515" s="1">
        <v>2613</v>
      </c>
      <c r="I2515" s="1">
        <f t="shared" si="316"/>
        <v>52</v>
      </c>
      <c r="J2515" s="1">
        <f>VLOOKUP(B2515,Cena!$A$2:$B$101,2)</f>
        <v>94</v>
      </c>
      <c r="K2515" s="1">
        <f t="shared" si="312"/>
        <v>4888</v>
      </c>
      <c r="L2515" s="1">
        <f t="shared" si="317"/>
        <v>1124.24</v>
      </c>
      <c r="M2515" s="22">
        <f t="shared" si="313"/>
        <v>6012.24</v>
      </c>
      <c r="N2515" s="1">
        <f t="shared" ca="1" si="318"/>
        <v>10</v>
      </c>
      <c r="P2515" s="1">
        <v>52.299384505022317</v>
      </c>
      <c r="Q2515" s="1">
        <f t="shared" ca="1" si="319"/>
        <v>18</v>
      </c>
      <c r="R2515" s="1">
        <v>7.1484953675826546</v>
      </c>
    </row>
    <row r="2516" spans="1:18" x14ac:dyDescent="0.3">
      <c r="A2516" s="26">
        <v>2515</v>
      </c>
      <c r="B2516" s="1">
        <v>19</v>
      </c>
      <c r="C2516" s="1">
        <f t="shared" si="315"/>
        <v>5</v>
      </c>
      <c r="D2516" s="21">
        <f t="shared" ca="1" si="314"/>
        <v>44577</v>
      </c>
      <c r="E2516" s="1" t="s">
        <v>26</v>
      </c>
      <c r="F2516" s="1" t="s">
        <v>2544</v>
      </c>
      <c r="G2516" s="1" t="s">
        <v>28</v>
      </c>
      <c r="H2516" s="1">
        <v>2614</v>
      </c>
      <c r="I2516" s="1">
        <f t="shared" si="316"/>
        <v>47</v>
      </c>
      <c r="J2516" s="1">
        <f>VLOOKUP(B2516,Cena!$A$2:$B$101,2)</f>
        <v>84</v>
      </c>
      <c r="K2516" s="1">
        <f t="shared" si="312"/>
        <v>3948</v>
      </c>
      <c r="L2516" s="1">
        <f t="shared" si="317"/>
        <v>908.04000000000008</v>
      </c>
      <c r="M2516" s="22">
        <f t="shared" si="313"/>
        <v>4856.04</v>
      </c>
      <c r="N2516" s="1">
        <f t="shared" ca="1" si="318"/>
        <v>1</v>
      </c>
      <c r="P2516" s="1">
        <v>47.807321960863192</v>
      </c>
      <c r="Q2516" s="1">
        <f t="shared" ca="1" si="319"/>
        <v>3</v>
      </c>
      <c r="R2516" s="1">
        <v>5.9669025884068105</v>
      </c>
    </row>
    <row r="2517" spans="1:18" x14ac:dyDescent="0.3">
      <c r="A2517" s="26">
        <v>2516</v>
      </c>
      <c r="B2517" s="1">
        <v>30</v>
      </c>
      <c r="C2517" s="1">
        <f t="shared" si="315"/>
        <v>8</v>
      </c>
      <c r="D2517" s="21">
        <f t="shared" ca="1" si="314"/>
        <v>44806</v>
      </c>
      <c r="E2517" s="1" t="s">
        <v>26</v>
      </c>
      <c r="F2517" s="1" t="s">
        <v>2545</v>
      </c>
      <c r="G2517" s="1" t="s">
        <v>28</v>
      </c>
      <c r="H2517" s="1">
        <v>2615</v>
      </c>
      <c r="I2517" s="1">
        <f t="shared" si="316"/>
        <v>20</v>
      </c>
      <c r="J2517" s="1">
        <f>VLOOKUP(B2517,Cena!$A$2:$B$101,2)</f>
        <v>87</v>
      </c>
      <c r="K2517" s="1">
        <f t="shared" si="312"/>
        <v>1740</v>
      </c>
      <c r="L2517" s="1">
        <f t="shared" si="317"/>
        <v>400.20000000000005</v>
      </c>
      <c r="M2517" s="22">
        <f t="shared" si="313"/>
        <v>2140.1999999999998</v>
      </c>
      <c r="N2517" s="1">
        <f t="shared" ca="1" si="318"/>
        <v>9</v>
      </c>
      <c r="P2517" s="1">
        <v>20.495991874486208</v>
      </c>
      <c r="Q2517" s="1">
        <f t="shared" ca="1" si="319"/>
        <v>20</v>
      </c>
      <c r="R2517" s="1">
        <v>8.0757650064333575</v>
      </c>
    </row>
    <row r="2518" spans="1:18" x14ac:dyDescent="0.3">
      <c r="A2518" s="26">
        <v>2517</v>
      </c>
      <c r="B2518" s="1">
        <v>19</v>
      </c>
      <c r="C2518" s="1">
        <f t="shared" si="315"/>
        <v>13</v>
      </c>
      <c r="D2518" s="21">
        <f t="shared" ca="1" si="314"/>
        <v>44594</v>
      </c>
      <c r="E2518" s="1" t="s">
        <v>26</v>
      </c>
      <c r="F2518" s="1" t="s">
        <v>2546</v>
      </c>
      <c r="G2518" s="1" t="s">
        <v>28</v>
      </c>
      <c r="H2518" s="1">
        <v>2616</v>
      </c>
      <c r="I2518" s="1">
        <f t="shared" si="316"/>
        <v>54</v>
      </c>
      <c r="J2518" s="1">
        <f>VLOOKUP(B2518,Cena!$A$2:$B$101,2)</f>
        <v>84</v>
      </c>
      <c r="K2518" s="1">
        <f t="shared" si="312"/>
        <v>4536</v>
      </c>
      <c r="L2518" s="1">
        <f t="shared" si="317"/>
        <v>1043.28</v>
      </c>
      <c r="M2518" s="22">
        <f t="shared" si="313"/>
        <v>5579.28</v>
      </c>
      <c r="N2518" s="1">
        <f t="shared" ca="1" si="318"/>
        <v>2</v>
      </c>
      <c r="P2518" s="1">
        <v>54.505659489950631</v>
      </c>
      <c r="Q2518" s="1">
        <f t="shared" ca="1" si="319"/>
        <v>23</v>
      </c>
      <c r="R2518" s="1">
        <v>13.958325578423683</v>
      </c>
    </row>
    <row r="2519" spans="1:18" x14ac:dyDescent="0.3">
      <c r="A2519" s="26">
        <v>2518</v>
      </c>
      <c r="B2519" s="1">
        <v>4</v>
      </c>
      <c r="C2519" s="1">
        <f t="shared" si="315"/>
        <v>9</v>
      </c>
      <c r="D2519" s="21">
        <f t="shared" ca="1" si="314"/>
        <v>44627</v>
      </c>
      <c r="E2519" s="1" t="s">
        <v>26</v>
      </c>
      <c r="F2519" s="1" t="s">
        <v>2547</v>
      </c>
      <c r="G2519" s="1" t="s">
        <v>28</v>
      </c>
      <c r="H2519" s="1">
        <v>2617</v>
      </c>
      <c r="I2519" s="1">
        <f t="shared" si="316"/>
        <v>31</v>
      </c>
      <c r="J2519" s="1">
        <f>VLOOKUP(B2519,Cena!$A$2:$B$101,2)</f>
        <v>99</v>
      </c>
      <c r="K2519" s="1">
        <f t="shared" si="312"/>
        <v>3069</v>
      </c>
      <c r="L2519" s="1">
        <f t="shared" si="317"/>
        <v>705.87</v>
      </c>
      <c r="M2519" s="22">
        <f t="shared" si="313"/>
        <v>3774.87</v>
      </c>
      <c r="N2519" s="1">
        <f t="shared" ca="1" si="318"/>
        <v>3</v>
      </c>
      <c r="P2519" s="1">
        <v>31.998735165689141</v>
      </c>
      <c r="Q2519" s="1">
        <f t="shared" ca="1" si="319"/>
        <v>10</v>
      </c>
      <c r="R2519" s="1">
        <v>9.428689534397563</v>
      </c>
    </row>
    <row r="2520" spans="1:18" x14ac:dyDescent="0.3">
      <c r="A2520" s="26">
        <v>2519</v>
      </c>
      <c r="B2520" s="1">
        <v>23</v>
      </c>
      <c r="C2520" s="1">
        <f t="shared" si="315"/>
        <v>11</v>
      </c>
      <c r="D2520" s="21">
        <f t="shared" ca="1" si="314"/>
        <v>44805</v>
      </c>
      <c r="E2520" s="1" t="s">
        <v>26</v>
      </c>
      <c r="F2520" s="1" t="s">
        <v>2548</v>
      </c>
      <c r="G2520" s="1" t="s">
        <v>28</v>
      </c>
      <c r="H2520" s="1">
        <v>2618</v>
      </c>
      <c r="I2520" s="1">
        <f t="shared" si="316"/>
        <v>42</v>
      </c>
      <c r="J2520" s="1">
        <f>VLOOKUP(B2520,Cena!$A$2:$B$101,2)</f>
        <v>132</v>
      </c>
      <c r="K2520" s="1">
        <f t="shared" si="312"/>
        <v>5544</v>
      </c>
      <c r="L2520" s="1">
        <f t="shared" si="317"/>
        <v>1275.1200000000001</v>
      </c>
      <c r="M2520" s="22">
        <f t="shared" si="313"/>
        <v>6819.12</v>
      </c>
      <c r="N2520" s="1">
        <f t="shared" ca="1" si="318"/>
        <v>9</v>
      </c>
      <c r="P2520" s="1">
        <v>42.948664839786943</v>
      </c>
      <c r="Q2520" s="1">
        <f t="shared" ca="1" si="319"/>
        <v>7</v>
      </c>
      <c r="R2520" s="1">
        <v>11.200152155433898</v>
      </c>
    </row>
    <row r="2521" spans="1:18" x14ac:dyDescent="0.3">
      <c r="A2521" s="26">
        <v>2520</v>
      </c>
      <c r="B2521" s="1">
        <v>29</v>
      </c>
      <c r="C2521" s="1">
        <f t="shared" si="315"/>
        <v>10</v>
      </c>
      <c r="D2521" s="21">
        <f t="shared" ca="1" si="314"/>
        <v>44783</v>
      </c>
      <c r="E2521" s="1" t="s">
        <v>26</v>
      </c>
      <c r="F2521" s="1" t="s">
        <v>2549</v>
      </c>
      <c r="G2521" s="1" t="s">
        <v>28</v>
      </c>
      <c r="H2521" s="1">
        <v>2619</v>
      </c>
      <c r="I2521" s="1">
        <f t="shared" si="316"/>
        <v>69</v>
      </c>
      <c r="J2521" s="1">
        <f>VLOOKUP(B2521,Cena!$A$2:$B$101,2)</f>
        <v>105</v>
      </c>
      <c r="K2521" s="1">
        <f t="shared" si="312"/>
        <v>7245</v>
      </c>
      <c r="L2521" s="1">
        <f t="shared" si="317"/>
        <v>1666.3500000000001</v>
      </c>
      <c r="M2521" s="22">
        <f t="shared" si="313"/>
        <v>8911.35</v>
      </c>
      <c r="N2521" s="1">
        <f t="shared" ca="1" si="318"/>
        <v>8</v>
      </c>
      <c r="P2521" s="1">
        <v>69.296385289635509</v>
      </c>
      <c r="Q2521" s="1">
        <f t="shared" ca="1" si="319"/>
        <v>15</v>
      </c>
      <c r="R2521" s="1">
        <v>10.710662106939708</v>
      </c>
    </row>
    <row r="2522" spans="1:18" x14ac:dyDescent="0.3">
      <c r="A2522" s="26">
        <v>2521</v>
      </c>
      <c r="B2522" s="1">
        <v>18</v>
      </c>
      <c r="C2522" s="1">
        <f t="shared" si="315"/>
        <v>11</v>
      </c>
      <c r="D2522" s="21">
        <f t="shared" ca="1" si="314"/>
        <v>44743</v>
      </c>
      <c r="E2522" s="1" t="s">
        <v>26</v>
      </c>
      <c r="F2522" s="1" t="s">
        <v>2550</v>
      </c>
      <c r="G2522" s="1" t="s">
        <v>28</v>
      </c>
      <c r="H2522" s="1">
        <v>2620</v>
      </c>
      <c r="I2522" s="1">
        <f t="shared" si="316"/>
        <v>52</v>
      </c>
      <c r="J2522" s="1">
        <f>VLOOKUP(B2522,Cena!$A$2:$B$101,2)</f>
        <v>90</v>
      </c>
      <c r="K2522" s="1">
        <f t="shared" si="312"/>
        <v>4680</v>
      </c>
      <c r="L2522" s="1">
        <f t="shared" si="317"/>
        <v>1076.4000000000001</v>
      </c>
      <c r="M2522" s="22">
        <f t="shared" si="313"/>
        <v>5756.4</v>
      </c>
      <c r="N2522" s="1">
        <f t="shared" ca="1" si="318"/>
        <v>7</v>
      </c>
      <c r="P2522" s="1">
        <v>52.06277945835609</v>
      </c>
      <c r="Q2522" s="1">
        <f t="shared" ca="1" si="319"/>
        <v>21</v>
      </c>
      <c r="R2522" s="1">
        <v>11.726237996990676</v>
      </c>
    </row>
    <row r="2523" spans="1:18" x14ac:dyDescent="0.3">
      <c r="A2523" s="26">
        <v>2522</v>
      </c>
      <c r="B2523" s="1">
        <v>15</v>
      </c>
      <c r="C2523" s="1">
        <f t="shared" si="315"/>
        <v>10</v>
      </c>
      <c r="D2523" s="21">
        <f t="shared" ca="1" si="314"/>
        <v>44612</v>
      </c>
      <c r="E2523" s="1" t="s">
        <v>26</v>
      </c>
      <c r="F2523" s="1" t="s">
        <v>2551</v>
      </c>
      <c r="G2523" s="1" t="s">
        <v>28</v>
      </c>
      <c r="H2523" s="1">
        <v>2621</v>
      </c>
      <c r="I2523" s="1">
        <f t="shared" si="316"/>
        <v>44</v>
      </c>
      <c r="J2523" s="1">
        <f>VLOOKUP(B2523,Cena!$A$2:$B$101,2)</f>
        <v>85</v>
      </c>
      <c r="K2523" s="1">
        <f t="shared" si="312"/>
        <v>3740</v>
      </c>
      <c r="L2523" s="1">
        <f t="shared" si="317"/>
        <v>860.2</v>
      </c>
      <c r="M2523" s="22">
        <f t="shared" si="313"/>
        <v>4600.2</v>
      </c>
      <c r="N2523" s="1">
        <f t="shared" ca="1" si="318"/>
        <v>2</v>
      </c>
      <c r="P2523" s="1">
        <v>44.748009157774504</v>
      </c>
      <c r="Q2523" s="1">
        <f t="shared" ca="1" si="319"/>
        <v>3</v>
      </c>
      <c r="R2523" s="1">
        <v>10.032417801776319</v>
      </c>
    </row>
    <row r="2524" spans="1:18" x14ac:dyDescent="0.3">
      <c r="A2524" s="26">
        <v>2523</v>
      </c>
      <c r="B2524" s="1">
        <v>4</v>
      </c>
      <c r="C2524" s="1">
        <f t="shared" si="315"/>
        <v>9</v>
      </c>
      <c r="D2524" s="21">
        <f t="shared" ca="1" si="314"/>
        <v>44621</v>
      </c>
      <c r="E2524" s="1" t="s">
        <v>26</v>
      </c>
      <c r="F2524" s="1" t="s">
        <v>2552</v>
      </c>
      <c r="G2524" s="1" t="s">
        <v>28</v>
      </c>
      <c r="H2524" s="1">
        <v>2622</v>
      </c>
      <c r="I2524" s="1">
        <f t="shared" si="316"/>
        <v>38</v>
      </c>
      <c r="J2524" s="1">
        <f>VLOOKUP(B2524,Cena!$A$2:$B$101,2)</f>
        <v>99</v>
      </c>
      <c r="K2524" s="1">
        <f t="shared" si="312"/>
        <v>3762</v>
      </c>
      <c r="L2524" s="1">
        <f t="shared" si="317"/>
        <v>865.26</v>
      </c>
      <c r="M2524" s="22">
        <f t="shared" si="313"/>
        <v>4627.26</v>
      </c>
      <c r="N2524" s="1">
        <f t="shared" ca="1" si="318"/>
        <v>3</v>
      </c>
      <c r="P2524" s="1">
        <v>38.325998856453225</v>
      </c>
      <c r="Q2524" s="1">
        <f t="shared" ca="1" si="319"/>
        <v>6</v>
      </c>
      <c r="R2524" s="1">
        <v>9.0126667626100243</v>
      </c>
    </row>
    <row r="2525" spans="1:18" x14ac:dyDescent="0.3">
      <c r="A2525" s="26">
        <v>2524</v>
      </c>
      <c r="B2525" s="1">
        <v>13</v>
      </c>
      <c r="C2525" s="1">
        <f t="shared" si="315"/>
        <v>7</v>
      </c>
      <c r="D2525" s="21">
        <f t="shared" ca="1" si="314"/>
        <v>44603</v>
      </c>
      <c r="E2525" s="1" t="s">
        <v>26</v>
      </c>
      <c r="F2525" s="1" t="s">
        <v>2553</v>
      </c>
      <c r="G2525" s="1" t="s">
        <v>28</v>
      </c>
      <c r="H2525" s="1">
        <v>2623</v>
      </c>
      <c r="I2525" s="1">
        <f t="shared" si="316"/>
        <v>47</v>
      </c>
      <c r="J2525" s="1">
        <f>VLOOKUP(B2525,Cena!$A$2:$B$101,2)</f>
        <v>94</v>
      </c>
      <c r="K2525" s="1">
        <f t="shared" si="312"/>
        <v>4418</v>
      </c>
      <c r="L2525" s="1">
        <f t="shared" si="317"/>
        <v>1016.1400000000001</v>
      </c>
      <c r="M2525" s="22">
        <f t="shared" si="313"/>
        <v>5434.14</v>
      </c>
      <c r="N2525" s="1">
        <f t="shared" ca="1" si="318"/>
        <v>2</v>
      </c>
      <c r="P2525" s="1">
        <v>47.66525888844626</v>
      </c>
      <c r="Q2525" s="1">
        <f t="shared" ca="1" si="319"/>
        <v>2</v>
      </c>
      <c r="R2525" s="1">
        <v>7.478255409077974</v>
      </c>
    </row>
    <row r="2526" spans="1:18" x14ac:dyDescent="0.3">
      <c r="A2526" s="26">
        <v>2525</v>
      </c>
      <c r="B2526" s="1">
        <v>29</v>
      </c>
      <c r="C2526" s="1">
        <f t="shared" si="315"/>
        <v>9</v>
      </c>
      <c r="D2526" s="21">
        <f t="shared" ca="1" si="314"/>
        <v>44598</v>
      </c>
      <c r="E2526" s="1" t="s">
        <v>26</v>
      </c>
      <c r="F2526" s="1" t="s">
        <v>2554</v>
      </c>
      <c r="G2526" s="1" t="s">
        <v>28</v>
      </c>
      <c r="H2526" s="1">
        <v>2624</v>
      </c>
      <c r="I2526" s="1">
        <f t="shared" si="316"/>
        <v>56</v>
      </c>
      <c r="J2526" s="1">
        <f>VLOOKUP(B2526,Cena!$A$2:$B$101,2)</f>
        <v>105</v>
      </c>
      <c r="K2526" s="1">
        <f t="shared" si="312"/>
        <v>5880</v>
      </c>
      <c r="L2526" s="1">
        <f t="shared" si="317"/>
        <v>1352.4</v>
      </c>
      <c r="M2526" s="22">
        <f t="shared" si="313"/>
        <v>7232.4</v>
      </c>
      <c r="N2526" s="1">
        <f t="shared" ca="1" si="318"/>
        <v>2</v>
      </c>
      <c r="P2526" s="1">
        <v>56.96136339684017</v>
      </c>
      <c r="Q2526" s="1">
        <f t="shared" ca="1" si="319"/>
        <v>18</v>
      </c>
      <c r="R2526" s="1">
        <v>9.3510584772593575</v>
      </c>
    </row>
    <row r="2527" spans="1:18" x14ac:dyDescent="0.3">
      <c r="A2527" s="26">
        <v>2526</v>
      </c>
      <c r="B2527" s="1">
        <v>11</v>
      </c>
      <c r="C2527" s="1">
        <f t="shared" si="315"/>
        <v>7</v>
      </c>
      <c r="D2527" s="21">
        <f t="shared" ca="1" si="314"/>
        <v>44751</v>
      </c>
      <c r="E2527" s="1" t="s">
        <v>26</v>
      </c>
      <c r="F2527" s="1" t="s">
        <v>2555</v>
      </c>
      <c r="G2527" s="1" t="s">
        <v>28</v>
      </c>
      <c r="H2527" s="1">
        <v>2625</v>
      </c>
      <c r="I2527" s="1">
        <f t="shared" si="316"/>
        <v>41</v>
      </c>
      <c r="J2527" s="1">
        <f>VLOOKUP(B2527,Cena!$A$2:$B$101,2)</f>
        <v>83</v>
      </c>
      <c r="K2527" s="1">
        <f t="shared" ref="K2527:K2590" si="320">I2527*J2527</f>
        <v>3403</v>
      </c>
      <c r="L2527" s="1">
        <f t="shared" si="317"/>
        <v>782.69</v>
      </c>
      <c r="M2527" s="22">
        <f t="shared" ref="M2527:M2590" si="321">K2527+L2527</f>
        <v>4185.6900000000005</v>
      </c>
      <c r="N2527" s="1">
        <f t="shared" ca="1" si="318"/>
        <v>7</v>
      </c>
      <c r="P2527" s="1">
        <v>41.56916601350531</v>
      </c>
      <c r="Q2527" s="1">
        <f t="shared" ca="1" si="319"/>
        <v>21</v>
      </c>
      <c r="R2527" s="1">
        <v>7.3021544974471908</v>
      </c>
    </row>
    <row r="2528" spans="1:18" x14ac:dyDescent="0.3">
      <c r="A2528" s="26">
        <v>2527</v>
      </c>
      <c r="B2528" s="1">
        <v>10</v>
      </c>
      <c r="C2528" s="1">
        <f t="shared" si="315"/>
        <v>10</v>
      </c>
      <c r="D2528" s="21">
        <f t="shared" ca="1" si="314"/>
        <v>44702</v>
      </c>
      <c r="E2528" s="1" t="s">
        <v>26</v>
      </c>
      <c r="F2528" s="1" t="s">
        <v>2556</v>
      </c>
      <c r="G2528" s="1" t="s">
        <v>28</v>
      </c>
      <c r="H2528" s="1">
        <v>2626</v>
      </c>
      <c r="I2528" s="1">
        <f t="shared" si="316"/>
        <v>51</v>
      </c>
      <c r="J2528" s="1">
        <f>VLOOKUP(B2528,Cena!$A$2:$B$101,2)</f>
        <v>109</v>
      </c>
      <c r="K2528" s="1">
        <f t="shared" si="320"/>
        <v>5559</v>
      </c>
      <c r="L2528" s="1">
        <f t="shared" si="317"/>
        <v>1278.5700000000002</v>
      </c>
      <c r="M2528" s="22">
        <f t="shared" si="321"/>
        <v>6837.57</v>
      </c>
      <c r="N2528" s="1">
        <f t="shared" ca="1" si="318"/>
        <v>5</v>
      </c>
      <c r="P2528" s="1">
        <v>51.568901097925846</v>
      </c>
      <c r="Q2528" s="1">
        <f t="shared" ca="1" si="319"/>
        <v>4</v>
      </c>
      <c r="R2528" s="1">
        <v>10.472985561827954</v>
      </c>
    </row>
    <row r="2529" spans="1:18" x14ac:dyDescent="0.3">
      <c r="A2529" s="26">
        <v>2528</v>
      </c>
      <c r="B2529" s="1">
        <v>2</v>
      </c>
      <c r="C2529" s="1">
        <f t="shared" si="315"/>
        <v>10</v>
      </c>
      <c r="D2529" s="21">
        <f t="shared" ca="1" si="314"/>
        <v>44675</v>
      </c>
      <c r="E2529" s="1" t="s">
        <v>26</v>
      </c>
      <c r="F2529" s="1" t="s">
        <v>2557</v>
      </c>
      <c r="G2529" s="1" t="s">
        <v>28</v>
      </c>
      <c r="H2529" s="1">
        <v>2627</v>
      </c>
      <c r="I2529" s="1">
        <f t="shared" si="316"/>
        <v>47</v>
      </c>
      <c r="J2529" s="1">
        <f>VLOOKUP(B2529,Cena!$A$2:$B$101,2)</f>
        <v>121</v>
      </c>
      <c r="K2529" s="1">
        <f t="shared" si="320"/>
        <v>5687</v>
      </c>
      <c r="L2529" s="1">
        <f t="shared" si="317"/>
        <v>1308.01</v>
      </c>
      <c r="M2529" s="22">
        <f t="shared" si="321"/>
        <v>6995.01</v>
      </c>
      <c r="N2529" s="1">
        <f t="shared" ca="1" si="318"/>
        <v>4</v>
      </c>
      <c r="P2529" s="1">
        <v>47.873874235665426</v>
      </c>
      <c r="Q2529" s="1">
        <f t="shared" ca="1" si="319"/>
        <v>1</v>
      </c>
      <c r="R2529" s="1">
        <v>10.64835035118449</v>
      </c>
    </row>
    <row r="2530" spans="1:18" x14ac:dyDescent="0.3">
      <c r="A2530" s="26">
        <v>2529</v>
      </c>
      <c r="B2530" s="1">
        <v>18</v>
      </c>
      <c r="C2530" s="1">
        <f t="shared" si="315"/>
        <v>6</v>
      </c>
      <c r="D2530" s="21">
        <f t="shared" ca="1" si="314"/>
        <v>44763</v>
      </c>
      <c r="E2530" s="1" t="s">
        <v>26</v>
      </c>
      <c r="F2530" s="1" t="s">
        <v>2558</v>
      </c>
      <c r="G2530" s="1" t="s">
        <v>28</v>
      </c>
      <c r="H2530" s="1">
        <v>2628</v>
      </c>
      <c r="I2530" s="1">
        <f t="shared" si="316"/>
        <v>49</v>
      </c>
      <c r="J2530" s="1">
        <f>VLOOKUP(B2530,Cena!$A$2:$B$101,2)</f>
        <v>90</v>
      </c>
      <c r="K2530" s="1">
        <f t="shared" si="320"/>
        <v>4410</v>
      </c>
      <c r="L2530" s="1">
        <f t="shared" si="317"/>
        <v>1014.3000000000001</v>
      </c>
      <c r="M2530" s="22">
        <f t="shared" si="321"/>
        <v>5424.3</v>
      </c>
      <c r="N2530" s="1">
        <f t="shared" ca="1" si="318"/>
        <v>7</v>
      </c>
      <c r="P2530" s="1">
        <v>49.623150870320387</v>
      </c>
      <c r="Q2530" s="1">
        <f t="shared" ca="1" si="319"/>
        <v>16</v>
      </c>
      <c r="R2530" s="1">
        <v>6.2416950438637286</v>
      </c>
    </row>
    <row r="2531" spans="1:18" x14ac:dyDescent="0.3">
      <c r="A2531" s="26">
        <v>2530</v>
      </c>
      <c r="B2531" s="1">
        <v>13</v>
      </c>
      <c r="C2531" s="1">
        <f t="shared" si="315"/>
        <v>13</v>
      </c>
      <c r="D2531" s="21">
        <f t="shared" ca="1" si="314"/>
        <v>44876</v>
      </c>
      <c r="E2531" s="1" t="s">
        <v>26</v>
      </c>
      <c r="F2531" s="1" t="s">
        <v>2559</v>
      </c>
      <c r="G2531" s="1" t="s">
        <v>28</v>
      </c>
      <c r="H2531" s="1">
        <v>2629</v>
      </c>
      <c r="I2531" s="1">
        <f t="shared" si="316"/>
        <v>50</v>
      </c>
      <c r="J2531" s="1">
        <f>VLOOKUP(B2531,Cena!$A$2:$B$101,2)</f>
        <v>94</v>
      </c>
      <c r="K2531" s="1">
        <f t="shared" si="320"/>
        <v>4700</v>
      </c>
      <c r="L2531" s="1">
        <f t="shared" si="317"/>
        <v>1081</v>
      </c>
      <c r="M2531" s="22">
        <f t="shared" si="321"/>
        <v>5781</v>
      </c>
      <c r="N2531" s="1">
        <f t="shared" ca="1" si="318"/>
        <v>11</v>
      </c>
      <c r="P2531" s="1">
        <v>50.62807430367684</v>
      </c>
      <c r="Q2531" s="1">
        <f t="shared" ca="1" si="319"/>
        <v>19</v>
      </c>
      <c r="R2531" s="1">
        <v>13.426202965783887</v>
      </c>
    </row>
    <row r="2532" spans="1:18" x14ac:dyDescent="0.3">
      <c r="A2532" s="26">
        <v>2531</v>
      </c>
      <c r="B2532" s="1">
        <v>25</v>
      </c>
      <c r="C2532" s="1">
        <f t="shared" si="315"/>
        <v>10</v>
      </c>
      <c r="D2532" s="21">
        <f t="shared" ca="1" si="314"/>
        <v>44874</v>
      </c>
      <c r="E2532" s="1" t="s">
        <v>26</v>
      </c>
      <c r="F2532" s="1" t="s">
        <v>2560</v>
      </c>
      <c r="G2532" s="1" t="s">
        <v>28</v>
      </c>
      <c r="H2532" s="1">
        <v>2630</v>
      </c>
      <c r="I2532" s="1">
        <f t="shared" si="316"/>
        <v>56</v>
      </c>
      <c r="J2532" s="1">
        <f>VLOOKUP(B2532,Cena!$A$2:$B$101,2)</f>
        <v>108</v>
      </c>
      <c r="K2532" s="1">
        <f t="shared" si="320"/>
        <v>6048</v>
      </c>
      <c r="L2532" s="1">
        <f t="shared" si="317"/>
        <v>1391.04</v>
      </c>
      <c r="M2532" s="22">
        <f t="shared" si="321"/>
        <v>7439.04</v>
      </c>
      <c r="N2532" s="1">
        <f t="shared" ca="1" si="318"/>
        <v>11</v>
      </c>
      <c r="P2532" s="1">
        <v>56.856475920358207</v>
      </c>
      <c r="Q2532" s="1">
        <f t="shared" ca="1" si="319"/>
        <v>22</v>
      </c>
      <c r="R2532" s="1">
        <v>10.079859319157549</v>
      </c>
    </row>
    <row r="2533" spans="1:18" x14ac:dyDescent="0.3">
      <c r="A2533" s="26">
        <v>2532</v>
      </c>
      <c r="B2533" s="1">
        <v>30</v>
      </c>
      <c r="C2533" s="1">
        <f t="shared" si="315"/>
        <v>7</v>
      </c>
      <c r="D2533" s="21">
        <f t="shared" ca="1" si="314"/>
        <v>44685</v>
      </c>
      <c r="E2533" s="1" t="s">
        <v>26</v>
      </c>
      <c r="F2533" s="1" t="s">
        <v>2561</v>
      </c>
      <c r="G2533" s="1" t="s">
        <v>28</v>
      </c>
      <c r="H2533" s="1">
        <v>2631</v>
      </c>
      <c r="I2533" s="1">
        <f t="shared" si="316"/>
        <v>43</v>
      </c>
      <c r="J2533" s="1">
        <f>VLOOKUP(B2533,Cena!$A$2:$B$101,2)</f>
        <v>87</v>
      </c>
      <c r="K2533" s="1">
        <f t="shared" si="320"/>
        <v>3741</v>
      </c>
      <c r="L2533" s="1">
        <f t="shared" si="317"/>
        <v>860.43000000000006</v>
      </c>
      <c r="M2533" s="22">
        <f t="shared" si="321"/>
        <v>4601.43</v>
      </c>
      <c r="N2533" s="1">
        <f t="shared" ca="1" si="318"/>
        <v>5</v>
      </c>
      <c r="P2533" s="1">
        <v>43.194717262667837</v>
      </c>
      <c r="Q2533" s="1">
        <f t="shared" ca="1" si="319"/>
        <v>8</v>
      </c>
      <c r="R2533" s="1">
        <v>7.8557752911001444</v>
      </c>
    </row>
    <row r="2534" spans="1:18" x14ac:dyDescent="0.3">
      <c r="A2534" s="26">
        <v>2533</v>
      </c>
      <c r="B2534" s="1">
        <v>14</v>
      </c>
      <c r="C2534" s="1">
        <f t="shared" si="315"/>
        <v>9</v>
      </c>
      <c r="D2534" s="21">
        <f t="shared" ca="1" si="314"/>
        <v>44611</v>
      </c>
      <c r="E2534" s="1" t="s">
        <v>26</v>
      </c>
      <c r="F2534" s="1" t="s">
        <v>2562</v>
      </c>
      <c r="G2534" s="1" t="s">
        <v>28</v>
      </c>
      <c r="H2534" s="1">
        <v>2632</v>
      </c>
      <c r="I2534" s="1">
        <f t="shared" si="316"/>
        <v>33</v>
      </c>
      <c r="J2534" s="1">
        <f>VLOOKUP(B2534,Cena!$A$2:$B$101,2)</f>
        <v>129</v>
      </c>
      <c r="K2534" s="1">
        <f t="shared" si="320"/>
        <v>4257</v>
      </c>
      <c r="L2534" s="1">
        <f t="shared" si="317"/>
        <v>979.11</v>
      </c>
      <c r="M2534" s="22">
        <f t="shared" si="321"/>
        <v>5236.1099999999997</v>
      </c>
      <c r="N2534" s="1">
        <f t="shared" ca="1" si="318"/>
        <v>2</v>
      </c>
      <c r="P2534" s="1">
        <v>33.181260176934302</v>
      </c>
      <c r="Q2534" s="1">
        <f t="shared" ca="1" si="319"/>
        <v>14</v>
      </c>
      <c r="R2534" s="1">
        <v>9.9943582906780648</v>
      </c>
    </row>
    <row r="2535" spans="1:18" x14ac:dyDescent="0.3">
      <c r="A2535" s="26">
        <v>2534</v>
      </c>
      <c r="B2535" s="1">
        <v>24</v>
      </c>
      <c r="C2535" s="1">
        <f t="shared" si="315"/>
        <v>11</v>
      </c>
      <c r="D2535" s="21">
        <f t="shared" ca="1" si="314"/>
        <v>44852</v>
      </c>
      <c r="E2535" s="1" t="s">
        <v>26</v>
      </c>
      <c r="F2535" s="1" t="s">
        <v>2563</v>
      </c>
      <c r="G2535" s="1" t="s">
        <v>28</v>
      </c>
      <c r="H2535" s="1">
        <v>2633</v>
      </c>
      <c r="I2535" s="1">
        <f t="shared" si="316"/>
        <v>59</v>
      </c>
      <c r="J2535" s="1">
        <f>VLOOKUP(B2535,Cena!$A$2:$B$101,2)</f>
        <v>125</v>
      </c>
      <c r="K2535" s="1">
        <f t="shared" si="320"/>
        <v>7375</v>
      </c>
      <c r="L2535" s="1">
        <f t="shared" si="317"/>
        <v>1696.25</v>
      </c>
      <c r="M2535" s="22">
        <f t="shared" si="321"/>
        <v>9071.25</v>
      </c>
      <c r="N2535" s="1">
        <f t="shared" ca="1" si="318"/>
        <v>10</v>
      </c>
      <c r="P2535" s="1">
        <v>59.965560821001418</v>
      </c>
      <c r="Q2535" s="1">
        <f t="shared" ca="1" si="319"/>
        <v>12</v>
      </c>
      <c r="R2535" s="1">
        <v>11.199509824800771</v>
      </c>
    </row>
    <row r="2536" spans="1:18" x14ac:dyDescent="0.3">
      <c r="A2536" s="26">
        <v>2535</v>
      </c>
      <c r="B2536" s="1">
        <v>30</v>
      </c>
      <c r="C2536" s="1">
        <f t="shared" si="315"/>
        <v>13</v>
      </c>
      <c r="D2536" s="21">
        <f t="shared" ca="1" si="314"/>
        <v>44660</v>
      </c>
      <c r="E2536" s="1" t="s">
        <v>26</v>
      </c>
      <c r="F2536" s="1" t="s">
        <v>2564</v>
      </c>
      <c r="G2536" s="1" t="s">
        <v>28</v>
      </c>
      <c r="H2536" s="1">
        <v>2634</v>
      </c>
      <c r="I2536" s="1">
        <f t="shared" si="316"/>
        <v>44</v>
      </c>
      <c r="J2536" s="1">
        <f>VLOOKUP(B2536,Cena!$A$2:$B$101,2)</f>
        <v>87</v>
      </c>
      <c r="K2536" s="1">
        <f t="shared" si="320"/>
        <v>3828</v>
      </c>
      <c r="L2536" s="1">
        <f t="shared" si="317"/>
        <v>880.44</v>
      </c>
      <c r="M2536" s="22">
        <f t="shared" si="321"/>
        <v>4708.4400000000005</v>
      </c>
      <c r="N2536" s="1">
        <f t="shared" ca="1" si="318"/>
        <v>4</v>
      </c>
      <c r="P2536" s="1">
        <v>44.388031154812779</v>
      </c>
      <c r="Q2536" s="1">
        <f t="shared" ca="1" si="319"/>
        <v>29</v>
      </c>
      <c r="R2536" s="1">
        <v>13.008062776643783</v>
      </c>
    </row>
    <row r="2537" spans="1:18" x14ac:dyDescent="0.3">
      <c r="A2537" s="26">
        <v>2536</v>
      </c>
      <c r="B2537" s="1">
        <v>3</v>
      </c>
      <c r="C2537" s="1">
        <f t="shared" si="315"/>
        <v>9</v>
      </c>
      <c r="D2537" s="21">
        <f t="shared" ca="1" si="314"/>
        <v>44786</v>
      </c>
      <c r="E2537" s="1" t="s">
        <v>26</v>
      </c>
      <c r="F2537" s="1" t="s">
        <v>2565</v>
      </c>
      <c r="G2537" s="1" t="s">
        <v>28</v>
      </c>
      <c r="H2537" s="1">
        <v>2635</v>
      </c>
      <c r="I2537" s="1">
        <f t="shared" si="316"/>
        <v>57</v>
      </c>
      <c r="J2537" s="1">
        <f>VLOOKUP(B2537,Cena!$A$2:$B$101,2)</f>
        <v>89</v>
      </c>
      <c r="K2537" s="1">
        <f t="shared" si="320"/>
        <v>5073</v>
      </c>
      <c r="L2537" s="1">
        <f t="shared" si="317"/>
        <v>1166.79</v>
      </c>
      <c r="M2537" s="22">
        <f t="shared" si="321"/>
        <v>6239.79</v>
      </c>
      <c r="N2537" s="1">
        <f t="shared" ca="1" si="318"/>
        <v>8</v>
      </c>
      <c r="P2537" s="1">
        <v>57.409994395857211</v>
      </c>
      <c r="Q2537" s="1">
        <f t="shared" ca="1" si="319"/>
        <v>10</v>
      </c>
      <c r="R2537" s="1">
        <v>9.223973645712249</v>
      </c>
    </row>
    <row r="2538" spans="1:18" x14ac:dyDescent="0.3">
      <c r="A2538" s="26">
        <v>2537</v>
      </c>
      <c r="B2538" s="1">
        <v>7</v>
      </c>
      <c r="C2538" s="1">
        <f t="shared" si="315"/>
        <v>4</v>
      </c>
      <c r="D2538" s="21">
        <f t="shared" ca="1" si="314"/>
        <v>44790</v>
      </c>
      <c r="E2538" s="1" t="s">
        <v>26</v>
      </c>
      <c r="F2538" s="1" t="s">
        <v>2566</v>
      </c>
      <c r="G2538" s="1" t="s">
        <v>28</v>
      </c>
      <c r="H2538" s="1">
        <v>2636</v>
      </c>
      <c r="I2538" s="1">
        <f t="shared" si="316"/>
        <v>47</v>
      </c>
      <c r="J2538" s="1">
        <f>VLOOKUP(B2538,Cena!$A$2:$B$101,2)</f>
        <v>104</v>
      </c>
      <c r="K2538" s="1">
        <f t="shared" si="320"/>
        <v>4888</v>
      </c>
      <c r="L2538" s="1">
        <f t="shared" si="317"/>
        <v>1124.24</v>
      </c>
      <c r="M2538" s="22">
        <f t="shared" si="321"/>
        <v>6012.24</v>
      </c>
      <c r="N2538" s="1">
        <f t="shared" ca="1" si="318"/>
        <v>8</v>
      </c>
      <c r="P2538" s="1">
        <v>47.804184204142075</v>
      </c>
      <c r="Q2538" s="1">
        <f t="shared" ca="1" si="319"/>
        <v>4</v>
      </c>
      <c r="R2538" s="1">
        <v>4.3092461762716994</v>
      </c>
    </row>
    <row r="2539" spans="1:18" x14ac:dyDescent="0.3">
      <c r="A2539" s="26">
        <v>2538</v>
      </c>
      <c r="B2539" s="1">
        <v>8</v>
      </c>
      <c r="C2539" s="1">
        <f t="shared" si="315"/>
        <v>6</v>
      </c>
      <c r="D2539" s="21">
        <f t="shared" ca="1" si="314"/>
        <v>44774</v>
      </c>
      <c r="E2539" s="1" t="s">
        <v>26</v>
      </c>
      <c r="F2539" s="1" t="s">
        <v>2567</v>
      </c>
      <c r="G2539" s="1" t="s">
        <v>28</v>
      </c>
      <c r="H2539" s="1">
        <v>2637</v>
      </c>
      <c r="I2539" s="1">
        <f t="shared" si="316"/>
        <v>28</v>
      </c>
      <c r="J2539" s="1">
        <f>VLOOKUP(B2539,Cena!$A$2:$B$101,2)</f>
        <v>88</v>
      </c>
      <c r="K2539" s="1">
        <f t="shared" si="320"/>
        <v>2464</v>
      </c>
      <c r="L2539" s="1">
        <f t="shared" si="317"/>
        <v>566.72</v>
      </c>
      <c r="M2539" s="22">
        <f t="shared" si="321"/>
        <v>3030.7200000000003</v>
      </c>
      <c r="N2539" s="1">
        <f t="shared" ca="1" si="318"/>
        <v>8</v>
      </c>
      <c r="P2539" s="1">
        <v>28.733467287383974</v>
      </c>
      <c r="Q2539" s="1">
        <f t="shared" ca="1" si="319"/>
        <v>27</v>
      </c>
      <c r="R2539" s="1">
        <v>6.4649305184138939</v>
      </c>
    </row>
    <row r="2540" spans="1:18" x14ac:dyDescent="0.3">
      <c r="A2540" s="26">
        <v>2539</v>
      </c>
      <c r="B2540" s="1">
        <v>10</v>
      </c>
      <c r="C2540" s="1">
        <f t="shared" si="315"/>
        <v>10</v>
      </c>
      <c r="D2540" s="21">
        <f t="shared" ca="1" si="314"/>
        <v>44837</v>
      </c>
      <c r="E2540" s="1" t="s">
        <v>26</v>
      </c>
      <c r="F2540" s="1" t="s">
        <v>2568</v>
      </c>
      <c r="G2540" s="1" t="s">
        <v>28</v>
      </c>
      <c r="H2540" s="1">
        <v>2638</v>
      </c>
      <c r="I2540" s="1">
        <f t="shared" si="316"/>
        <v>54</v>
      </c>
      <c r="J2540" s="1">
        <f>VLOOKUP(B2540,Cena!$A$2:$B$101,2)</f>
        <v>109</v>
      </c>
      <c r="K2540" s="1">
        <f t="shared" si="320"/>
        <v>5886</v>
      </c>
      <c r="L2540" s="1">
        <f t="shared" si="317"/>
        <v>1353.78</v>
      </c>
      <c r="M2540" s="22">
        <f t="shared" si="321"/>
        <v>7239.78</v>
      </c>
      <c r="N2540" s="1">
        <f t="shared" ca="1" si="318"/>
        <v>10</v>
      </c>
      <c r="P2540" s="1">
        <v>54.917683327221312</v>
      </c>
      <c r="Q2540" s="1">
        <f t="shared" ca="1" si="319"/>
        <v>22</v>
      </c>
      <c r="R2540" s="1">
        <v>10.470066652269452</v>
      </c>
    </row>
    <row r="2541" spans="1:18" x14ac:dyDescent="0.3">
      <c r="A2541" s="26">
        <v>2540</v>
      </c>
      <c r="B2541" s="1">
        <v>13</v>
      </c>
      <c r="C2541" s="1">
        <f t="shared" si="315"/>
        <v>11</v>
      </c>
      <c r="D2541" s="21">
        <f t="shared" ca="1" si="314"/>
        <v>44810</v>
      </c>
      <c r="E2541" s="1" t="s">
        <v>26</v>
      </c>
      <c r="F2541" s="1" t="s">
        <v>2569</v>
      </c>
      <c r="G2541" s="1" t="s">
        <v>28</v>
      </c>
      <c r="H2541" s="1">
        <v>2639</v>
      </c>
      <c r="I2541" s="1">
        <f t="shared" si="316"/>
        <v>49</v>
      </c>
      <c r="J2541" s="1">
        <f>VLOOKUP(B2541,Cena!$A$2:$B$101,2)</f>
        <v>94</v>
      </c>
      <c r="K2541" s="1">
        <f t="shared" si="320"/>
        <v>4606</v>
      </c>
      <c r="L2541" s="1">
        <f t="shared" si="317"/>
        <v>1059.3800000000001</v>
      </c>
      <c r="M2541" s="22">
        <f t="shared" si="321"/>
        <v>5665.38</v>
      </c>
      <c r="N2541" s="1">
        <f t="shared" ca="1" si="318"/>
        <v>9</v>
      </c>
      <c r="P2541" s="1">
        <v>49.942247086437419</v>
      </c>
      <c r="Q2541" s="1">
        <f t="shared" ca="1" si="319"/>
        <v>18</v>
      </c>
      <c r="R2541" s="1">
        <v>11.285854978050338</v>
      </c>
    </row>
    <row r="2542" spans="1:18" x14ac:dyDescent="0.3">
      <c r="A2542" s="26">
        <v>2541</v>
      </c>
      <c r="B2542" s="1">
        <v>26</v>
      </c>
      <c r="C2542" s="1">
        <f t="shared" si="315"/>
        <v>13</v>
      </c>
      <c r="D2542" s="21">
        <f t="shared" ca="1" si="314"/>
        <v>44668</v>
      </c>
      <c r="E2542" s="1" t="s">
        <v>26</v>
      </c>
      <c r="F2542" s="1" t="s">
        <v>2570</v>
      </c>
      <c r="G2542" s="1" t="s">
        <v>28</v>
      </c>
      <c r="H2542" s="1">
        <v>2640</v>
      </c>
      <c r="I2542" s="1">
        <f t="shared" si="316"/>
        <v>44</v>
      </c>
      <c r="J2542" s="1">
        <f>VLOOKUP(B2542,Cena!$A$2:$B$101,2)</f>
        <v>99</v>
      </c>
      <c r="K2542" s="1">
        <f t="shared" si="320"/>
        <v>4356</v>
      </c>
      <c r="L2542" s="1">
        <f t="shared" si="317"/>
        <v>1001.88</v>
      </c>
      <c r="M2542" s="22">
        <f t="shared" si="321"/>
        <v>5357.88</v>
      </c>
      <c r="N2542" s="1">
        <f t="shared" ca="1" si="318"/>
        <v>4</v>
      </c>
      <c r="P2542" s="1">
        <v>44.101858646899927</v>
      </c>
      <c r="Q2542" s="1">
        <f t="shared" ca="1" si="319"/>
        <v>17</v>
      </c>
      <c r="R2542" s="1">
        <v>13.121590452792589</v>
      </c>
    </row>
    <row r="2543" spans="1:18" x14ac:dyDescent="0.3">
      <c r="A2543" s="26">
        <v>2542</v>
      </c>
      <c r="B2543" s="1">
        <v>18</v>
      </c>
      <c r="C2543" s="1">
        <f t="shared" si="315"/>
        <v>13</v>
      </c>
      <c r="D2543" s="21">
        <f t="shared" ca="1" si="314"/>
        <v>44630</v>
      </c>
      <c r="E2543" s="1" t="s">
        <v>26</v>
      </c>
      <c r="F2543" s="1" t="s">
        <v>2571</v>
      </c>
      <c r="G2543" s="1" t="s">
        <v>28</v>
      </c>
      <c r="H2543" s="1">
        <v>2641</v>
      </c>
      <c r="I2543" s="1">
        <f t="shared" si="316"/>
        <v>57</v>
      </c>
      <c r="J2543" s="1">
        <f>VLOOKUP(B2543,Cena!$A$2:$B$101,2)</f>
        <v>90</v>
      </c>
      <c r="K2543" s="1">
        <f t="shared" si="320"/>
        <v>5130</v>
      </c>
      <c r="L2543" s="1">
        <f t="shared" si="317"/>
        <v>1179.9000000000001</v>
      </c>
      <c r="M2543" s="22">
        <f t="shared" si="321"/>
        <v>6309.9</v>
      </c>
      <c r="N2543" s="1">
        <f t="shared" ca="1" si="318"/>
        <v>3</v>
      </c>
      <c r="P2543" s="1">
        <v>57.46042587707052</v>
      </c>
      <c r="Q2543" s="1">
        <f t="shared" ca="1" si="319"/>
        <v>12</v>
      </c>
      <c r="R2543" s="1">
        <v>13.784566615649965</v>
      </c>
    </row>
    <row r="2544" spans="1:18" x14ac:dyDescent="0.3">
      <c r="A2544" s="26">
        <v>2543</v>
      </c>
      <c r="B2544" s="1">
        <v>30</v>
      </c>
      <c r="C2544" s="1">
        <f t="shared" si="315"/>
        <v>9</v>
      </c>
      <c r="D2544" s="21">
        <f t="shared" ca="1" si="314"/>
        <v>44881</v>
      </c>
      <c r="E2544" s="1" t="s">
        <v>26</v>
      </c>
      <c r="F2544" s="1" t="s">
        <v>2572</v>
      </c>
      <c r="G2544" s="1" t="s">
        <v>28</v>
      </c>
      <c r="H2544" s="1">
        <v>2642</v>
      </c>
      <c r="I2544" s="1">
        <f t="shared" si="316"/>
        <v>63</v>
      </c>
      <c r="J2544" s="1">
        <f>VLOOKUP(B2544,Cena!$A$2:$B$101,2)</f>
        <v>87</v>
      </c>
      <c r="K2544" s="1">
        <f t="shared" si="320"/>
        <v>5481</v>
      </c>
      <c r="L2544" s="1">
        <f t="shared" si="317"/>
        <v>1260.6300000000001</v>
      </c>
      <c r="M2544" s="22">
        <f t="shared" si="321"/>
        <v>6741.63</v>
      </c>
      <c r="N2544" s="1">
        <f t="shared" ca="1" si="318"/>
        <v>11</v>
      </c>
      <c r="P2544" s="1">
        <v>63.783483154838905</v>
      </c>
      <c r="Q2544" s="1">
        <f t="shared" ca="1" si="319"/>
        <v>28</v>
      </c>
      <c r="R2544" s="1">
        <v>9.623065605192096</v>
      </c>
    </row>
    <row r="2545" spans="1:18" x14ac:dyDescent="0.3">
      <c r="A2545" s="26">
        <v>2544</v>
      </c>
      <c r="B2545" s="1">
        <v>11</v>
      </c>
      <c r="C2545" s="1">
        <f t="shared" si="315"/>
        <v>14</v>
      </c>
      <c r="D2545" s="21">
        <f t="shared" ca="1" si="314"/>
        <v>44562</v>
      </c>
      <c r="E2545" s="1" t="s">
        <v>26</v>
      </c>
      <c r="F2545" s="1" t="s">
        <v>2573</v>
      </c>
      <c r="G2545" s="1" t="s">
        <v>28</v>
      </c>
      <c r="H2545" s="1">
        <v>2643</v>
      </c>
      <c r="I2545" s="1">
        <f t="shared" si="316"/>
        <v>55</v>
      </c>
      <c r="J2545" s="1">
        <f>VLOOKUP(B2545,Cena!$A$2:$B$101,2)</f>
        <v>83</v>
      </c>
      <c r="K2545" s="1">
        <f t="shared" si="320"/>
        <v>4565</v>
      </c>
      <c r="L2545" s="1">
        <f t="shared" si="317"/>
        <v>1049.95</v>
      </c>
      <c r="M2545" s="22">
        <f t="shared" si="321"/>
        <v>5614.95</v>
      </c>
      <c r="N2545" s="1">
        <f t="shared" ca="1" si="318"/>
        <v>1</v>
      </c>
      <c r="P2545" s="1">
        <v>55.581546247412916</v>
      </c>
      <c r="Q2545" s="1">
        <f t="shared" ca="1" si="319"/>
        <v>25</v>
      </c>
      <c r="R2545" s="1">
        <v>14.243747753207572</v>
      </c>
    </row>
    <row r="2546" spans="1:18" x14ac:dyDescent="0.3">
      <c r="A2546" s="26">
        <v>2545</v>
      </c>
      <c r="B2546" s="1">
        <v>22</v>
      </c>
      <c r="C2546" s="1">
        <f t="shared" si="315"/>
        <v>6</v>
      </c>
      <c r="D2546" s="21">
        <f t="shared" ca="1" si="314"/>
        <v>44682</v>
      </c>
      <c r="E2546" s="1" t="s">
        <v>26</v>
      </c>
      <c r="F2546" s="1" t="s">
        <v>2574</v>
      </c>
      <c r="G2546" s="1" t="s">
        <v>28</v>
      </c>
      <c r="H2546" s="1">
        <v>2644</v>
      </c>
      <c r="I2546" s="1">
        <f t="shared" si="316"/>
        <v>59</v>
      </c>
      <c r="J2546" s="1">
        <f>VLOOKUP(B2546,Cena!$A$2:$B$101,2)</f>
        <v>103</v>
      </c>
      <c r="K2546" s="1">
        <f t="shared" si="320"/>
        <v>6077</v>
      </c>
      <c r="L2546" s="1">
        <f t="shared" si="317"/>
        <v>1397.71</v>
      </c>
      <c r="M2546" s="22">
        <f t="shared" si="321"/>
        <v>7474.71</v>
      </c>
      <c r="N2546" s="1">
        <f t="shared" ca="1" si="318"/>
        <v>5</v>
      </c>
      <c r="P2546" s="1">
        <v>59.031123227032367</v>
      </c>
      <c r="Q2546" s="1">
        <f t="shared" ca="1" si="319"/>
        <v>17</v>
      </c>
      <c r="R2546" s="1">
        <v>6.4482185532688163</v>
      </c>
    </row>
    <row r="2547" spans="1:18" x14ac:dyDescent="0.3">
      <c r="A2547" s="26">
        <v>2546</v>
      </c>
      <c r="B2547" s="1">
        <v>5</v>
      </c>
      <c r="C2547" s="1">
        <f t="shared" si="315"/>
        <v>13</v>
      </c>
      <c r="D2547" s="21">
        <f t="shared" ca="1" si="314"/>
        <v>44626</v>
      </c>
      <c r="E2547" s="1" t="s">
        <v>26</v>
      </c>
      <c r="F2547" s="1" t="s">
        <v>2575</v>
      </c>
      <c r="G2547" s="1" t="s">
        <v>28</v>
      </c>
      <c r="H2547" s="1">
        <v>2645</v>
      </c>
      <c r="I2547" s="1">
        <f t="shared" si="316"/>
        <v>24</v>
      </c>
      <c r="J2547" s="1">
        <f>VLOOKUP(B2547,Cena!$A$2:$B$101,2)</f>
        <v>91</v>
      </c>
      <c r="K2547" s="1">
        <f t="shared" si="320"/>
        <v>2184</v>
      </c>
      <c r="L2547" s="1">
        <f t="shared" si="317"/>
        <v>502.32000000000005</v>
      </c>
      <c r="M2547" s="22">
        <f t="shared" si="321"/>
        <v>2686.32</v>
      </c>
      <c r="N2547" s="1">
        <f t="shared" ca="1" si="318"/>
        <v>3</v>
      </c>
      <c r="P2547" s="1">
        <v>24.028469296172261</v>
      </c>
      <c r="Q2547" s="1">
        <f t="shared" ca="1" si="319"/>
        <v>19</v>
      </c>
      <c r="R2547" s="1">
        <v>13.666161774162902</v>
      </c>
    </row>
    <row r="2548" spans="1:18" x14ac:dyDescent="0.3">
      <c r="A2548" s="26">
        <v>2547</v>
      </c>
      <c r="B2548" s="1">
        <v>30</v>
      </c>
      <c r="C2548" s="1">
        <f t="shared" si="315"/>
        <v>10</v>
      </c>
      <c r="D2548" s="21">
        <f t="shared" ca="1" si="314"/>
        <v>44883</v>
      </c>
      <c r="E2548" s="1" t="s">
        <v>26</v>
      </c>
      <c r="F2548" s="1" t="s">
        <v>2576</v>
      </c>
      <c r="G2548" s="1" t="s">
        <v>28</v>
      </c>
      <c r="H2548" s="1">
        <v>2646</v>
      </c>
      <c r="I2548" s="1">
        <f t="shared" si="316"/>
        <v>49</v>
      </c>
      <c r="J2548" s="1">
        <f>VLOOKUP(B2548,Cena!$A$2:$B$101,2)</f>
        <v>87</v>
      </c>
      <c r="K2548" s="1">
        <f t="shared" si="320"/>
        <v>4263</v>
      </c>
      <c r="L2548" s="1">
        <f t="shared" si="317"/>
        <v>980.49</v>
      </c>
      <c r="M2548" s="22">
        <f t="shared" si="321"/>
        <v>5243.49</v>
      </c>
      <c r="N2548" s="1">
        <f t="shared" ca="1" si="318"/>
        <v>11</v>
      </c>
      <c r="P2548" s="1">
        <v>49.770102476759348</v>
      </c>
      <c r="Q2548" s="1">
        <f t="shared" ca="1" si="319"/>
        <v>11</v>
      </c>
      <c r="R2548" s="1">
        <v>10.335782601723622</v>
      </c>
    </row>
    <row r="2549" spans="1:18" x14ac:dyDescent="0.3">
      <c r="A2549" s="26">
        <v>2548</v>
      </c>
      <c r="B2549" s="1">
        <v>30</v>
      </c>
      <c r="C2549" s="1">
        <f t="shared" si="315"/>
        <v>7</v>
      </c>
      <c r="D2549" s="21">
        <f t="shared" ca="1" si="314"/>
        <v>44791</v>
      </c>
      <c r="E2549" s="1" t="s">
        <v>26</v>
      </c>
      <c r="F2549" s="1" t="s">
        <v>2577</v>
      </c>
      <c r="G2549" s="1" t="s">
        <v>28</v>
      </c>
      <c r="H2549" s="1">
        <v>2647</v>
      </c>
      <c r="I2549" s="1">
        <f t="shared" si="316"/>
        <v>55</v>
      </c>
      <c r="J2549" s="1">
        <f>VLOOKUP(B2549,Cena!$A$2:$B$101,2)</f>
        <v>87</v>
      </c>
      <c r="K2549" s="1">
        <f t="shared" si="320"/>
        <v>4785</v>
      </c>
      <c r="L2549" s="1">
        <f t="shared" si="317"/>
        <v>1100.55</v>
      </c>
      <c r="M2549" s="22">
        <f t="shared" si="321"/>
        <v>5885.55</v>
      </c>
      <c r="N2549" s="1">
        <f t="shared" ca="1" si="318"/>
        <v>8</v>
      </c>
      <c r="P2549" s="1">
        <v>55.314450390869752</v>
      </c>
      <c r="Q2549" s="1">
        <f t="shared" ca="1" si="319"/>
        <v>27</v>
      </c>
      <c r="R2549" s="1">
        <v>7.3626472637988627</v>
      </c>
    </row>
    <row r="2550" spans="1:18" x14ac:dyDescent="0.3">
      <c r="A2550" s="26">
        <v>2549</v>
      </c>
      <c r="B2550" s="1">
        <v>19</v>
      </c>
      <c r="C2550" s="1">
        <f t="shared" si="315"/>
        <v>9</v>
      </c>
      <c r="D2550" s="21">
        <f t="shared" ca="1" si="314"/>
        <v>44889</v>
      </c>
      <c r="E2550" s="1" t="s">
        <v>26</v>
      </c>
      <c r="F2550" s="1" t="s">
        <v>2578</v>
      </c>
      <c r="G2550" s="1" t="s">
        <v>28</v>
      </c>
      <c r="H2550" s="1">
        <v>2648</v>
      </c>
      <c r="I2550" s="1">
        <f t="shared" si="316"/>
        <v>37</v>
      </c>
      <c r="J2550" s="1">
        <f>VLOOKUP(B2550,Cena!$A$2:$B$101,2)</f>
        <v>84</v>
      </c>
      <c r="K2550" s="1">
        <f t="shared" si="320"/>
        <v>3108</v>
      </c>
      <c r="L2550" s="1">
        <f t="shared" si="317"/>
        <v>714.84</v>
      </c>
      <c r="M2550" s="22">
        <f t="shared" si="321"/>
        <v>3822.84</v>
      </c>
      <c r="N2550" s="1">
        <f t="shared" ca="1" si="318"/>
        <v>11</v>
      </c>
      <c r="P2550" s="1">
        <v>37.092292030865792</v>
      </c>
      <c r="Q2550" s="1">
        <f t="shared" ca="1" si="319"/>
        <v>26</v>
      </c>
      <c r="R2550" s="1">
        <v>9.8188286554068327</v>
      </c>
    </row>
    <row r="2551" spans="1:18" x14ac:dyDescent="0.3">
      <c r="A2551" s="26">
        <v>2550</v>
      </c>
      <c r="B2551" s="1">
        <v>25</v>
      </c>
      <c r="C2551" s="1">
        <f t="shared" si="315"/>
        <v>7</v>
      </c>
      <c r="D2551" s="21">
        <f t="shared" ca="1" si="314"/>
        <v>44782</v>
      </c>
      <c r="E2551" s="1" t="s">
        <v>26</v>
      </c>
      <c r="F2551" s="1" t="s">
        <v>2579</v>
      </c>
      <c r="G2551" s="1" t="s">
        <v>28</v>
      </c>
      <c r="H2551" s="1">
        <v>2649</v>
      </c>
      <c r="I2551" s="1">
        <f t="shared" si="316"/>
        <v>41</v>
      </c>
      <c r="J2551" s="1">
        <f>VLOOKUP(B2551,Cena!$A$2:$B$101,2)</f>
        <v>108</v>
      </c>
      <c r="K2551" s="1">
        <f t="shared" si="320"/>
        <v>4428</v>
      </c>
      <c r="L2551" s="1">
        <f t="shared" si="317"/>
        <v>1018.44</v>
      </c>
      <c r="M2551" s="22">
        <f t="shared" si="321"/>
        <v>5446.4400000000005</v>
      </c>
      <c r="N2551" s="1">
        <f t="shared" ca="1" si="318"/>
        <v>8</v>
      </c>
      <c r="P2551" s="1">
        <v>41.458412296196911</v>
      </c>
      <c r="Q2551" s="1">
        <f t="shared" ca="1" si="319"/>
        <v>11</v>
      </c>
      <c r="R2551" s="1">
        <v>7.7450954702362651</v>
      </c>
    </row>
    <row r="2552" spans="1:18" x14ac:dyDescent="0.3">
      <c r="A2552" s="26">
        <v>2551</v>
      </c>
      <c r="B2552" s="1">
        <v>12</v>
      </c>
      <c r="C2552" s="1">
        <f t="shared" si="315"/>
        <v>9</v>
      </c>
      <c r="D2552" s="21">
        <f t="shared" ca="1" si="314"/>
        <v>44612</v>
      </c>
      <c r="E2552" s="1" t="s">
        <v>26</v>
      </c>
      <c r="F2552" s="1" t="s">
        <v>2580</v>
      </c>
      <c r="G2552" s="1" t="s">
        <v>28</v>
      </c>
      <c r="H2552" s="1">
        <v>2650</v>
      </c>
      <c r="I2552" s="1">
        <f t="shared" si="316"/>
        <v>47</v>
      </c>
      <c r="J2552" s="1">
        <f>VLOOKUP(B2552,Cena!$A$2:$B$101,2)</f>
        <v>88</v>
      </c>
      <c r="K2552" s="1">
        <f t="shared" si="320"/>
        <v>4136</v>
      </c>
      <c r="L2552" s="1">
        <f t="shared" si="317"/>
        <v>951.28000000000009</v>
      </c>
      <c r="M2552" s="22">
        <f t="shared" si="321"/>
        <v>5087.28</v>
      </c>
      <c r="N2552" s="1">
        <f t="shared" ca="1" si="318"/>
        <v>2</v>
      </c>
      <c r="P2552" s="1">
        <v>47.695124420715729</v>
      </c>
      <c r="Q2552" s="1">
        <f t="shared" ca="1" si="319"/>
        <v>2</v>
      </c>
      <c r="R2552" s="1">
        <v>9.9597406485918327</v>
      </c>
    </row>
    <row r="2553" spans="1:18" x14ac:dyDescent="0.3">
      <c r="A2553" s="26">
        <v>2552</v>
      </c>
      <c r="B2553" s="1">
        <v>24</v>
      </c>
      <c r="C2553" s="1">
        <f t="shared" si="315"/>
        <v>7</v>
      </c>
      <c r="D2553" s="21">
        <f t="shared" ca="1" si="314"/>
        <v>44760</v>
      </c>
      <c r="E2553" s="1" t="s">
        <v>26</v>
      </c>
      <c r="F2553" s="1" t="s">
        <v>2581</v>
      </c>
      <c r="G2553" s="1" t="s">
        <v>28</v>
      </c>
      <c r="H2553" s="1">
        <v>2651</v>
      </c>
      <c r="I2553" s="1">
        <f t="shared" si="316"/>
        <v>54</v>
      </c>
      <c r="J2553" s="1">
        <f>VLOOKUP(B2553,Cena!$A$2:$B$101,2)</f>
        <v>125</v>
      </c>
      <c r="K2553" s="1">
        <f t="shared" si="320"/>
        <v>6750</v>
      </c>
      <c r="L2553" s="1">
        <f t="shared" si="317"/>
        <v>1552.5</v>
      </c>
      <c r="M2553" s="22">
        <f t="shared" si="321"/>
        <v>8302.5</v>
      </c>
      <c r="N2553" s="1">
        <f t="shared" ca="1" si="318"/>
        <v>7</v>
      </c>
      <c r="P2553" s="1">
        <v>54.05624405175331</v>
      </c>
      <c r="Q2553" s="1">
        <f t="shared" ca="1" si="319"/>
        <v>4</v>
      </c>
      <c r="R2553" s="1">
        <v>7.7304071308026323</v>
      </c>
    </row>
    <row r="2554" spans="1:18" x14ac:dyDescent="0.3">
      <c r="A2554" s="26">
        <v>2553</v>
      </c>
      <c r="B2554" s="1">
        <v>14</v>
      </c>
      <c r="C2554" s="1">
        <f t="shared" si="315"/>
        <v>12</v>
      </c>
      <c r="D2554" s="21">
        <f t="shared" ca="1" si="314"/>
        <v>44629</v>
      </c>
      <c r="E2554" s="1" t="s">
        <v>26</v>
      </c>
      <c r="F2554" s="1" t="s">
        <v>2582</v>
      </c>
      <c r="G2554" s="1" t="s">
        <v>28</v>
      </c>
      <c r="H2554" s="1">
        <v>2652</v>
      </c>
      <c r="I2554" s="1">
        <f t="shared" si="316"/>
        <v>50</v>
      </c>
      <c r="J2554" s="1">
        <f>VLOOKUP(B2554,Cena!$A$2:$B$101,2)</f>
        <v>129</v>
      </c>
      <c r="K2554" s="1">
        <f t="shared" si="320"/>
        <v>6450</v>
      </c>
      <c r="L2554" s="1">
        <f t="shared" si="317"/>
        <v>1483.5</v>
      </c>
      <c r="M2554" s="22">
        <f t="shared" si="321"/>
        <v>7933.5</v>
      </c>
      <c r="N2554" s="1">
        <f t="shared" ca="1" si="318"/>
        <v>3</v>
      </c>
      <c r="P2554" s="1">
        <v>50.940406152949436</v>
      </c>
      <c r="Q2554" s="1">
        <f t="shared" ca="1" si="319"/>
        <v>24</v>
      </c>
      <c r="R2554" s="1">
        <v>12.937485987786204</v>
      </c>
    </row>
    <row r="2555" spans="1:18" x14ac:dyDescent="0.3">
      <c r="A2555" s="26">
        <v>2554</v>
      </c>
      <c r="B2555" s="1">
        <v>14</v>
      </c>
      <c r="C2555" s="1">
        <f t="shared" si="315"/>
        <v>7</v>
      </c>
      <c r="D2555" s="21">
        <f t="shared" ca="1" si="314"/>
        <v>44607</v>
      </c>
      <c r="E2555" s="1" t="s">
        <v>26</v>
      </c>
      <c r="F2555" s="1" t="s">
        <v>2583</v>
      </c>
      <c r="G2555" s="1" t="s">
        <v>28</v>
      </c>
      <c r="H2555" s="1">
        <v>2653</v>
      </c>
      <c r="I2555" s="1">
        <f t="shared" si="316"/>
        <v>54</v>
      </c>
      <c r="J2555" s="1">
        <f>VLOOKUP(B2555,Cena!$A$2:$B$101,2)</f>
        <v>129</v>
      </c>
      <c r="K2555" s="1">
        <f t="shared" si="320"/>
        <v>6966</v>
      </c>
      <c r="L2555" s="1">
        <f t="shared" si="317"/>
        <v>1602.18</v>
      </c>
      <c r="M2555" s="22">
        <f t="shared" si="321"/>
        <v>8568.18</v>
      </c>
      <c r="N2555" s="1">
        <f t="shared" ca="1" si="318"/>
        <v>2</v>
      </c>
      <c r="P2555" s="1">
        <v>54.445621470949845</v>
      </c>
      <c r="Q2555" s="1">
        <f t="shared" ca="1" si="319"/>
        <v>13</v>
      </c>
      <c r="R2555" s="1">
        <v>7.301813436934026</v>
      </c>
    </row>
    <row r="2556" spans="1:18" x14ac:dyDescent="0.3">
      <c r="A2556" s="26">
        <v>2555</v>
      </c>
      <c r="B2556" s="1">
        <v>6</v>
      </c>
      <c r="C2556" s="1">
        <f t="shared" si="315"/>
        <v>12</v>
      </c>
      <c r="D2556" s="21">
        <f t="shared" ca="1" si="314"/>
        <v>44859</v>
      </c>
      <c r="E2556" s="1" t="s">
        <v>26</v>
      </c>
      <c r="F2556" s="1" t="s">
        <v>2584</v>
      </c>
      <c r="G2556" s="1" t="s">
        <v>28</v>
      </c>
      <c r="H2556" s="1">
        <v>2654</v>
      </c>
      <c r="I2556" s="1">
        <f t="shared" si="316"/>
        <v>49</v>
      </c>
      <c r="J2556" s="1">
        <f>VLOOKUP(B2556,Cena!$A$2:$B$101,2)</f>
        <v>86</v>
      </c>
      <c r="K2556" s="1">
        <f t="shared" si="320"/>
        <v>4214</v>
      </c>
      <c r="L2556" s="1">
        <f t="shared" si="317"/>
        <v>969.22</v>
      </c>
      <c r="M2556" s="22">
        <f t="shared" si="321"/>
        <v>5183.22</v>
      </c>
      <c r="N2556" s="1">
        <f t="shared" ca="1" si="318"/>
        <v>10</v>
      </c>
      <c r="P2556" s="1">
        <v>49.778515302750748</v>
      </c>
      <c r="Q2556" s="1">
        <f t="shared" ca="1" si="319"/>
        <v>15</v>
      </c>
      <c r="R2556" s="1">
        <v>12.750829253272968</v>
      </c>
    </row>
    <row r="2557" spans="1:18" x14ac:dyDescent="0.3">
      <c r="A2557" s="26">
        <v>2556</v>
      </c>
      <c r="B2557" s="1">
        <v>20</v>
      </c>
      <c r="C2557" s="1">
        <f t="shared" si="315"/>
        <v>14</v>
      </c>
      <c r="D2557" s="21">
        <f t="shared" ca="1" si="314"/>
        <v>44606</v>
      </c>
      <c r="E2557" s="1" t="s">
        <v>26</v>
      </c>
      <c r="F2557" s="1" t="s">
        <v>2585</v>
      </c>
      <c r="G2557" s="1" t="s">
        <v>28</v>
      </c>
      <c r="H2557" s="1">
        <v>2655</v>
      </c>
      <c r="I2557" s="1">
        <f t="shared" si="316"/>
        <v>42</v>
      </c>
      <c r="J2557" s="1">
        <f>VLOOKUP(B2557,Cena!$A$2:$B$101,2)</f>
        <v>111</v>
      </c>
      <c r="K2557" s="1">
        <f t="shared" si="320"/>
        <v>4662</v>
      </c>
      <c r="L2557" s="1">
        <f t="shared" si="317"/>
        <v>1072.26</v>
      </c>
      <c r="M2557" s="22">
        <f t="shared" si="321"/>
        <v>5734.26</v>
      </c>
      <c r="N2557" s="1">
        <f t="shared" ca="1" si="318"/>
        <v>2</v>
      </c>
      <c r="P2557" s="1">
        <v>42.709263096912764</v>
      </c>
      <c r="Q2557" s="1">
        <f t="shared" ca="1" si="319"/>
        <v>4</v>
      </c>
      <c r="R2557" s="1">
        <v>14.842695489060134</v>
      </c>
    </row>
    <row r="2558" spans="1:18" x14ac:dyDescent="0.3">
      <c r="A2558" s="26">
        <v>2557</v>
      </c>
      <c r="B2558" s="1">
        <v>2</v>
      </c>
      <c r="C2558" s="1">
        <f t="shared" si="315"/>
        <v>13</v>
      </c>
      <c r="D2558" s="21">
        <f t="shared" ca="1" si="314"/>
        <v>44586</v>
      </c>
      <c r="E2558" s="1" t="s">
        <v>26</v>
      </c>
      <c r="F2558" s="1" t="s">
        <v>2586</v>
      </c>
      <c r="G2558" s="1" t="s">
        <v>28</v>
      </c>
      <c r="H2558" s="1">
        <v>2656</v>
      </c>
      <c r="I2558" s="1">
        <f t="shared" si="316"/>
        <v>44</v>
      </c>
      <c r="J2558" s="1">
        <f>VLOOKUP(B2558,Cena!$A$2:$B$101,2)</f>
        <v>121</v>
      </c>
      <c r="K2558" s="1">
        <f t="shared" si="320"/>
        <v>5324</v>
      </c>
      <c r="L2558" s="1">
        <f t="shared" si="317"/>
        <v>1224.52</v>
      </c>
      <c r="M2558" s="22">
        <f t="shared" si="321"/>
        <v>6548.52</v>
      </c>
      <c r="N2558" s="1">
        <f t="shared" ca="1" si="318"/>
        <v>1</v>
      </c>
      <c r="P2558" s="1">
        <v>44.943709680228494</v>
      </c>
      <c r="Q2558" s="1">
        <f t="shared" ca="1" si="319"/>
        <v>7</v>
      </c>
      <c r="R2558" s="1">
        <v>13.380785074114101</v>
      </c>
    </row>
    <row r="2559" spans="1:18" x14ac:dyDescent="0.3">
      <c r="A2559" s="26">
        <v>2558</v>
      </c>
      <c r="B2559" s="1">
        <v>19</v>
      </c>
      <c r="C2559" s="1">
        <f t="shared" si="315"/>
        <v>9</v>
      </c>
      <c r="D2559" s="21">
        <f t="shared" ca="1" si="314"/>
        <v>44775</v>
      </c>
      <c r="E2559" s="1" t="s">
        <v>26</v>
      </c>
      <c r="F2559" s="1" t="s">
        <v>2587</v>
      </c>
      <c r="G2559" s="1" t="s">
        <v>28</v>
      </c>
      <c r="H2559" s="1">
        <v>2657</v>
      </c>
      <c r="I2559" s="1">
        <f t="shared" si="316"/>
        <v>72</v>
      </c>
      <c r="J2559" s="1">
        <f>VLOOKUP(B2559,Cena!$A$2:$B$101,2)</f>
        <v>84</v>
      </c>
      <c r="K2559" s="1">
        <f t="shared" si="320"/>
        <v>6048</v>
      </c>
      <c r="L2559" s="1">
        <f t="shared" si="317"/>
        <v>1391.04</v>
      </c>
      <c r="M2559" s="22">
        <f t="shared" si="321"/>
        <v>7439.04</v>
      </c>
      <c r="N2559" s="1">
        <f t="shared" ca="1" si="318"/>
        <v>8</v>
      </c>
      <c r="P2559" s="1">
        <v>72.89780240971595</v>
      </c>
      <c r="Q2559" s="1">
        <f t="shared" ca="1" si="319"/>
        <v>12</v>
      </c>
      <c r="R2559" s="1">
        <v>9.7938914475525962</v>
      </c>
    </row>
    <row r="2560" spans="1:18" x14ac:dyDescent="0.3">
      <c r="A2560" s="26">
        <v>2559</v>
      </c>
      <c r="B2560" s="1">
        <v>25</v>
      </c>
      <c r="C2560" s="1">
        <f t="shared" si="315"/>
        <v>11</v>
      </c>
      <c r="D2560" s="21">
        <f t="shared" ca="1" si="314"/>
        <v>44830</v>
      </c>
      <c r="E2560" s="1" t="s">
        <v>26</v>
      </c>
      <c r="F2560" s="1" t="s">
        <v>2588</v>
      </c>
      <c r="G2560" s="1" t="s">
        <v>28</v>
      </c>
      <c r="H2560" s="1">
        <v>2658</v>
      </c>
      <c r="I2560" s="1">
        <f t="shared" si="316"/>
        <v>45</v>
      </c>
      <c r="J2560" s="1">
        <f>VLOOKUP(B2560,Cena!$A$2:$B$101,2)</f>
        <v>108</v>
      </c>
      <c r="K2560" s="1">
        <f t="shared" si="320"/>
        <v>4860</v>
      </c>
      <c r="L2560" s="1">
        <f t="shared" si="317"/>
        <v>1117.8</v>
      </c>
      <c r="M2560" s="22">
        <f t="shared" si="321"/>
        <v>5977.8</v>
      </c>
      <c r="N2560" s="1">
        <f t="shared" ca="1" si="318"/>
        <v>9</v>
      </c>
      <c r="P2560" s="1">
        <v>45.637824667937821</v>
      </c>
      <c r="Q2560" s="1">
        <f t="shared" ca="1" si="319"/>
        <v>30</v>
      </c>
      <c r="R2560" s="1">
        <v>11.230932866747025</v>
      </c>
    </row>
    <row r="2561" spans="1:18" x14ac:dyDescent="0.3">
      <c r="A2561" s="26">
        <v>2560</v>
      </c>
      <c r="B2561" s="1">
        <v>23</v>
      </c>
      <c r="C2561" s="1">
        <f t="shared" si="315"/>
        <v>12</v>
      </c>
      <c r="D2561" s="21">
        <f t="shared" ca="1" si="314"/>
        <v>44890</v>
      </c>
      <c r="E2561" s="1" t="s">
        <v>26</v>
      </c>
      <c r="F2561" s="1" t="s">
        <v>2589</v>
      </c>
      <c r="G2561" s="1" t="s">
        <v>28</v>
      </c>
      <c r="H2561" s="1">
        <v>2659</v>
      </c>
      <c r="I2561" s="1">
        <f t="shared" si="316"/>
        <v>45</v>
      </c>
      <c r="J2561" s="1">
        <f>VLOOKUP(B2561,Cena!$A$2:$B$101,2)</f>
        <v>132</v>
      </c>
      <c r="K2561" s="1">
        <f t="shared" si="320"/>
        <v>5940</v>
      </c>
      <c r="L2561" s="1">
        <f t="shared" si="317"/>
        <v>1366.2</v>
      </c>
      <c r="M2561" s="22">
        <f t="shared" si="321"/>
        <v>7306.2</v>
      </c>
      <c r="N2561" s="1">
        <f t="shared" ca="1" si="318"/>
        <v>11</v>
      </c>
      <c r="P2561" s="1">
        <v>45.824691723100841</v>
      </c>
      <c r="Q2561" s="1">
        <f t="shared" ca="1" si="319"/>
        <v>10</v>
      </c>
      <c r="R2561" s="1">
        <v>12.798986997731845</v>
      </c>
    </row>
    <row r="2562" spans="1:18" x14ac:dyDescent="0.3">
      <c r="A2562" s="26">
        <v>2561</v>
      </c>
      <c r="B2562" s="1">
        <v>17</v>
      </c>
      <c r="C2562" s="1">
        <f t="shared" si="315"/>
        <v>11</v>
      </c>
      <c r="D2562" s="21">
        <f t="shared" ref="D2562:D2625" ca="1" si="322">DATE(2022,RANDBETWEEN(1,12),RANDBETWEEN(1,28))</f>
        <v>44819</v>
      </c>
      <c r="E2562" s="1" t="s">
        <v>26</v>
      </c>
      <c r="F2562" s="1" t="s">
        <v>2590</v>
      </c>
      <c r="G2562" s="1" t="s">
        <v>28</v>
      </c>
      <c r="H2562" s="1">
        <v>2660</v>
      </c>
      <c r="I2562" s="1">
        <f t="shared" si="316"/>
        <v>37</v>
      </c>
      <c r="J2562" s="1">
        <f>VLOOKUP(B2562,Cena!$A$2:$B$101,2)</f>
        <v>84</v>
      </c>
      <c r="K2562" s="1">
        <f t="shared" si="320"/>
        <v>3108</v>
      </c>
      <c r="L2562" s="1">
        <f t="shared" si="317"/>
        <v>714.84</v>
      </c>
      <c r="M2562" s="22">
        <f t="shared" si="321"/>
        <v>3822.84</v>
      </c>
      <c r="N2562" s="1">
        <f t="shared" ca="1" si="318"/>
        <v>9</v>
      </c>
      <c r="P2562" s="1">
        <v>37.634510034695268</v>
      </c>
      <c r="Q2562" s="1">
        <f t="shared" ca="1" si="319"/>
        <v>28</v>
      </c>
      <c r="R2562" s="1">
        <v>11.874718691396993</v>
      </c>
    </row>
    <row r="2563" spans="1:18" x14ac:dyDescent="0.3">
      <c r="A2563" s="26">
        <v>2562</v>
      </c>
      <c r="B2563" s="1">
        <v>14</v>
      </c>
      <c r="C2563" s="1">
        <f t="shared" ref="C2563:C2626" si="323">INT(R2563)</f>
        <v>8</v>
      </c>
      <c r="D2563" s="21">
        <f t="shared" ca="1" si="322"/>
        <v>44705</v>
      </c>
      <c r="E2563" s="1" t="s">
        <v>26</v>
      </c>
      <c r="F2563" s="1" t="s">
        <v>2591</v>
      </c>
      <c r="G2563" s="1" t="s">
        <v>28</v>
      </c>
      <c r="H2563" s="1">
        <v>2661</v>
      </c>
      <c r="I2563" s="1">
        <f t="shared" ref="I2563:I2626" si="324">INT(P2563)</f>
        <v>43</v>
      </c>
      <c r="J2563" s="1">
        <f>VLOOKUP(B2563,Cena!$A$2:$B$101,2)</f>
        <v>129</v>
      </c>
      <c r="K2563" s="1">
        <f t="shared" si="320"/>
        <v>5547</v>
      </c>
      <c r="L2563" s="1">
        <f t="shared" ref="L2563:L2626" si="325">K2563*23%</f>
        <v>1275.81</v>
      </c>
      <c r="M2563" s="22">
        <f t="shared" si="321"/>
        <v>6822.8099999999995</v>
      </c>
      <c r="N2563" s="1">
        <f t="shared" ref="N2563:N2626" ca="1" si="326">MONTH(D2563)</f>
        <v>5</v>
      </c>
      <c r="P2563" s="1">
        <v>43.276458098989679</v>
      </c>
      <c r="Q2563" s="1">
        <f t="shared" ref="Q2563:Q2626" ca="1" si="327">RANDBETWEEN(1,30)</f>
        <v>11</v>
      </c>
      <c r="R2563" s="1">
        <v>8.635570364058367</v>
      </c>
    </row>
    <row r="2564" spans="1:18" x14ac:dyDescent="0.3">
      <c r="A2564" s="26">
        <v>2563</v>
      </c>
      <c r="B2564" s="1">
        <v>23</v>
      </c>
      <c r="C2564" s="1">
        <f t="shared" si="323"/>
        <v>12</v>
      </c>
      <c r="D2564" s="21">
        <f t="shared" ca="1" si="322"/>
        <v>44817</v>
      </c>
      <c r="E2564" s="1" t="s">
        <v>26</v>
      </c>
      <c r="F2564" s="1" t="s">
        <v>2592</v>
      </c>
      <c r="G2564" s="1" t="s">
        <v>28</v>
      </c>
      <c r="H2564" s="1">
        <v>2662</v>
      </c>
      <c r="I2564" s="1">
        <f t="shared" si="324"/>
        <v>49</v>
      </c>
      <c r="J2564" s="1">
        <f>VLOOKUP(B2564,Cena!$A$2:$B$101,2)</f>
        <v>132</v>
      </c>
      <c r="K2564" s="1">
        <f t="shared" si="320"/>
        <v>6468</v>
      </c>
      <c r="L2564" s="1">
        <f t="shared" si="325"/>
        <v>1487.64</v>
      </c>
      <c r="M2564" s="22">
        <f t="shared" si="321"/>
        <v>7955.64</v>
      </c>
      <c r="N2564" s="1">
        <f t="shared" ca="1" si="326"/>
        <v>9</v>
      </c>
      <c r="P2564" s="1">
        <v>49.855026544537395</v>
      </c>
      <c r="Q2564" s="1">
        <f t="shared" ca="1" si="327"/>
        <v>9</v>
      </c>
      <c r="R2564" s="1">
        <v>12.444693336656201</v>
      </c>
    </row>
    <row r="2565" spans="1:18" x14ac:dyDescent="0.3">
      <c r="A2565" s="26">
        <v>2564</v>
      </c>
      <c r="B2565" s="1">
        <v>29</v>
      </c>
      <c r="C2565" s="1">
        <f t="shared" si="323"/>
        <v>16</v>
      </c>
      <c r="D2565" s="21">
        <f t="shared" ca="1" si="322"/>
        <v>44857</v>
      </c>
      <c r="E2565" s="1" t="s">
        <v>26</v>
      </c>
      <c r="F2565" s="1" t="s">
        <v>2593</v>
      </c>
      <c r="G2565" s="1" t="s">
        <v>28</v>
      </c>
      <c r="H2565" s="1">
        <v>2663</v>
      </c>
      <c r="I2565" s="1">
        <f t="shared" si="324"/>
        <v>40</v>
      </c>
      <c r="J2565" s="1">
        <f>VLOOKUP(B2565,Cena!$A$2:$B$101,2)</f>
        <v>105</v>
      </c>
      <c r="K2565" s="1">
        <f t="shared" si="320"/>
        <v>4200</v>
      </c>
      <c r="L2565" s="1">
        <f t="shared" si="325"/>
        <v>966</v>
      </c>
      <c r="M2565" s="22">
        <f t="shared" si="321"/>
        <v>5166</v>
      </c>
      <c r="N2565" s="1">
        <f t="shared" ca="1" si="326"/>
        <v>10</v>
      </c>
      <c r="P2565" s="1">
        <v>40.20888026279863</v>
      </c>
      <c r="Q2565" s="1">
        <f t="shared" ca="1" si="327"/>
        <v>9</v>
      </c>
      <c r="R2565" s="1">
        <v>16.598929758183658</v>
      </c>
    </row>
    <row r="2566" spans="1:18" x14ac:dyDescent="0.3">
      <c r="A2566" s="26">
        <v>2565</v>
      </c>
      <c r="B2566" s="1">
        <v>15</v>
      </c>
      <c r="C2566" s="1">
        <f t="shared" si="323"/>
        <v>9</v>
      </c>
      <c r="D2566" s="21">
        <f t="shared" ca="1" si="322"/>
        <v>44638</v>
      </c>
      <c r="E2566" s="1" t="s">
        <v>26</v>
      </c>
      <c r="F2566" s="1" t="s">
        <v>2594</v>
      </c>
      <c r="G2566" s="1" t="s">
        <v>28</v>
      </c>
      <c r="H2566" s="1">
        <v>2664</v>
      </c>
      <c r="I2566" s="1">
        <f t="shared" si="324"/>
        <v>42</v>
      </c>
      <c r="J2566" s="1">
        <f>VLOOKUP(B2566,Cena!$A$2:$B$101,2)</f>
        <v>85</v>
      </c>
      <c r="K2566" s="1">
        <f t="shared" si="320"/>
        <v>3570</v>
      </c>
      <c r="L2566" s="1">
        <f t="shared" si="325"/>
        <v>821.1</v>
      </c>
      <c r="M2566" s="22">
        <f t="shared" si="321"/>
        <v>4391.1000000000004</v>
      </c>
      <c r="N2566" s="1">
        <f t="shared" ca="1" si="326"/>
        <v>3</v>
      </c>
      <c r="P2566" s="1">
        <v>42.074708643485792</v>
      </c>
      <c r="Q2566" s="1">
        <f t="shared" ca="1" si="327"/>
        <v>20</v>
      </c>
      <c r="R2566" s="1">
        <v>9.1491620221495396</v>
      </c>
    </row>
    <row r="2567" spans="1:18" x14ac:dyDescent="0.3">
      <c r="A2567" s="26">
        <v>2566</v>
      </c>
      <c r="B2567" s="1">
        <v>26</v>
      </c>
      <c r="C2567" s="1">
        <f t="shared" si="323"/>
        <v>10</v>
      </c>
      <c r="D2567" s="21">
        <f t="shared" ca="1" si="322"/>
        <v>44881</v>
      </c>
      <c r="E2567" s="1" t="s">
        <v>26</v>
      </c>
      <c r="F2567" s="1" t="s">
        <v>2595</v>
      </c>
      <c r="G2567" s="1" t="s">
        <v>28</v>
      </c>
      <c r="H2567" s="1">
        <v>2665</v>
      </c>
      <c r="I2567" s="1">
        <f t="shared" si="324"/>
        <v>52</v>
      </c>
      <c r="J2567" s="1">
        <f>VLOOKUP(B2567,Cena!$A$2:$B$101,2)</f>
        <v>99</v>
      </c>
      <c r="K2567" s="1">
        <f t="shared" si="320"/>
        <v>5148</v>
      </c>
      <c r="L2567" s="1">
        <f t="shared" si="325"/>
        <v>1184.04</v>
      </c>
      <c r="M2567" s="22">
        <f t="shared" si="321"/>
        <v>6332.04</v>
      </c>
      <c r="N2567" s="1">
        <f t="shared" ca="1" si="326"/>
        <v>11</v>
      </c>
      <c r="P2567" s="1">
        <v>52.753540684352629</v>
      </c>
      <c r="Q2567" s="1">
        <f t="shared" ca="1" si="327"/>
        <v>14</v>
      </c>
      <c r="R2567" s="1">
        <v>10.258546606346499</v>
      </c>
    </row>
    <row r="2568" spans="1:18" x14ac:dyDescent="0.3">
      <c r="A2568" s="26">
        <v>2567</v>
      </c>
      <c r="B2568" s="1">
        <v>29</v>
      </c>
      <c r="C2568" s="1">
        <f t="shared" si="323"/>
        <v>7</v>
      </c>
      <c r="D2568" s="21">
        <f t="shared" ca="1" si="322"/>
        <v>44770</v>
      </c>
      <c r="E2568" s="1" t="s">
        <v>26</v>
      </c>
      <c r="F2568" s="1" t="s">
        <v>2596</v>
      </c>
      <c r="G2568" s="1" t="s">
        <v>28</v>
      </c>
      <c r="H2568" s="1">
        <v>2666</v>
      </c>
      <c r="I2568" s="1">
        <f t="shared" si="324"/>
        <v>38</v>
      </c>
      <c r="J2568" s="1">
        <f>VLOOKUP(B2568,Cena!$A$2:$B$101,2)</f>
        <v>105</v>
      </c>
      <c r="K2568" s="1">
        <f t="shared" si="320"/>
        <v>3990</v>
      </c>
      <c r="L2568" s="1">
        <f t="shared" si="325"/>
        <v>917.7</v>
      </c>
      <c r="M2568" s="22">
        <f t="shared" si="321"/>
        <v>4907.7</v>
      </c>
      <c r="N2568" s="1">
        <f t="shared" ca="1" si="326"/>
        <v>7</v>
      </c>
      <c r="P2568" s="1">
        <v>38.392301020212471</v>
      </c>
      <c r="Q2568" s="1">
        <f t="shared" ca="1" si="327"/>
        <v>28</v>
      </c>
      <c r="R2568" s="1">
        <v>7.2797922964673489</v>
      </c>
    </row>
    <row r="2569" spans="1:18" x14ac:dyDescent="0.3">
      <c r="A2569" s="26">
        <v>2568</v>
      </c>
      <c r="B2569" s="1">
        <v>26</v>
      </c>
      <c r="C2569" s="1">
        <f t="shared" si="323"/>
        <v>10</v>
      </c>
      <c r="D2569" s="21">
        <f t="shared" ca="1" si="322"/>
        <v>44783</v>
      </c>
      <c r="E2569" s="1" t="s">
        <v>26</v>
      </c>
      <c r="F2569" s="1" t="s">
        <v>2597</v>
      </c>
      <c r="G2569" s="1" t="s">
        <v>28</v>
      </c>
      <c r="H2569" s="1">
        <v>2667</v>
      </c>
      <c r="I2569" s="1">
        <f t="shared" si="324"/>
        <v>71</v>
      </c>
      <c r="J2569" s="1">
        <f>VLOOKUP(B2569,Cena!$A$2:$B$101,2)</f>
        <v>99</v>
      </c>
      <c r="K2569" s="1">
        <f t="shared" si="320"/>
        <v>7029</v>
      </c>
      <c r="L2569" s="1">
        <f t="shared" si="325"/>
        <v>1616.67</v>
      </c>
      <c r="M2569" s="22">
        <f t="shared" si="321"/>
        <v>8645.67</v>
      </c>
      <c r="N2569" s="1">
        <f t="shared" ca="1" si="326"/>
        <v>8</v>
      </c>
      <c r="P2569" s="1">
        <v>71.979212760925293</v>
      </c>
      <c r="Q2569" s="1">
        <f t="shared" ca="1" si="327"/>
        <v>27</v>
      </c>
      <c r="R2569" s="1">
        <v>10.253163534580381</v>
      </c>
    </row>
    <row r="2570" spans="1:18" x14ac:dyDescent="0.3">
      <c r="A2570" s="26">
        <v>2569</v>
      </c>
      <c r="B2570" s="1">
        <v>14</v>
      </c>
      <c r="C2570" s="1">
        <f t="shared" si="323"/>
        <v>10</v>
      </c>
      <c r="D2570" s="21">
        <f t="shared" ca="1" si="322"/>
        <v>44640</v>
      </c>
      <c r="E2570" s="1" t="s">
        <v>26</v>
      </c>
      <c r="F2570" s="1" t="s">
        <v>2598</v>
      </c>
      <c r="G2570" s="1" t="s">
        <v>28</v>
      </c>
      <c r="H2570" s="1">
        <v>2668</v>
      </c>
      <c r="I2570" s="1">
        <f t="shared" si="324"/>
        <v>40</v>
      </c>
      <c r="J2570" s="1">
        <f>VLOOKUP(B2570,Cena!$A$2:$B$101,2)</f>
        <v>129</v>
      </c>
      <c r="K2570" s="1">
        <f t="shared" si="320"/>
        <v>5160</v>
      </c>
      <c r="L2570" s="1">
        <f t="shared" si="325"/>
        <v>1186.8</v>
      </c>
      <c r="M2570" s="22">
        <f t="shared" si="321"/>
        <v>6346.8</v>
      </c>
      <c r="N2570" s="1">
        <f t="shared" ca="1" si="326"/>
        <v>3</v>
      </c>
      <c r="P2570" s="1">
        <v>40.811329553253017</v>
      </c>
      <c r="Q2570" s="1">
        <f t="shared" ca="1" si="327"/>
        <v>21</v>
      </c>
      <c r="R2570" s="1">
        <v>10.577986725147639</v>
      </c>
    </row>
    <row r="2571" spans="1:18" x14ac:dyDescent="0.3">
      <c r="A2571" s="26">
        <v>2570</v>
      </c>
      <c r="B2571" s="1">
        <v>5</v>
      </c>
      <c r="C2571" s="1">
        <f t="shared" si="323"/>
        <v>10</v>
      </c>
      <c r="D2571" s="21">
        <f t="shared" ca="1" si="322"/>
        <v>44611</v>
      </c>
      <c r="E2571" s="1" t="s">
        <v>26</v>
      </c>
      <c r="F2571" s="1" t="s">
        <v>2599</v>
      </c>
      <c r="G2571" s="1" t="s">
        <v>28</v>
      </c>
      <c r="H2571" s="1">
        <v>2669</v>
      </c>
      <c r="I2571" s="1">
        <f t="shared" si="324"/>
        <v>56</v>
      </c>
      <c r="J2571" s="1">
        <f>VLOOKUP(B2571,Cena!$A$2:$B$101,2)</f>
        <v>91</v>
      </c>
      <c r="K2571" s="1">
        <f t="shared" si="320"/>
        <v>5096</v>
      </c>
      <c r="L2571" s="1">
        <f t="shared" si="325"/>
        <v>1172.0800000000002</v>
      </c>
      <c r="M2571" s="22">
        <f t="shared" si="321"/>
        <v>6268.08</v>
      </c>
      <c r="N2571" s="1">
        <f t="shared" ca="1" si="326"/>
        <v>2</v>
      </c>
      <c r="P2571" s="1">
        <v>56.680443220830057</v>
      </c>
      <c r="Q2571" s="1">
        <f t="shared" ca="1" si="327"/>
        <v>23</v>
      </c>
      <c r="R2571" s="1">
        <v>10.992091031548625</v>
      </c>
    </row>
    <row r="2572" spans="1:18" x14ac:dyDescent="0.3">
      <c r="A2572" s="26">
        <v>2571</v>
      </c>
      <c r="B2572" s="1">
        <v>14</v>
      </c>
      <c r="C2572" s="1">
        <f t="shared" si="323"/>
        <v>9</v>
      </c>
      <c r="D2572" s="21">
        <f t="shared" ca="1" si="322"/>
        <v>44750</v>
      </c>
      <c r="E2572" s="1" t="s">
        <v>26</v>
      </c>
      <c r="F2572" s="1" t="s">
        <v>2600</v>
      </c>
      <c r="G2572" s="1" t="s">
        <v>28</v>
      </c>
      <c r="H2572" s="1">
        <v>2670</v>
      </c>
      <c r="I2572" s="1">
        <f t="shared" si="324"/>
        <v>52</v>
      </c>
      <c r="J2572" s="1">
        <f>VLOOKUP(B2572,Cena!$A$2:$B$101,2)</f>
        <v>129</v>
      </c>
      <c r="K2572" s="1">
        <f t="shared" si="320"/>
        <v>6708</v>
      </c>
      <c r="L2572" s="1">
        <f t="shared" si="325"/>
        <v>1542.8400000000001</v>
      </c>
      <c r="M2572" s="22">
        <f t="shared" si="321"/>
        <v>8250.84</v>
      </c>
      <c r="N2572" s="1">
        <f t="shared" ca="1" si="326"/>
        <v>7</v>
      </c>
      <c r="P2572" s="1">
        <v>52.80203948932467</v>
      </c>
      <c r="Q2572" s="1">
        <f t="shared" ca="1" si="327"/>
        <v>8</v>
      </c>
      <c r="R2572" s="1">
        <v>9.0639452107643592</v>
      </c>
    </row>
    <row r="2573" spans="1:18" x14ac:dyDescent="0.3">
      <c r="A2573" s="26">
        <v>2572</v>
      </c>
      <c r="B2573" s="1">
        <v>20</v>
      </c>
      <c r="C2573" s="1">
        <f t="shared" si="323"/>
        <v>9</v>
      </c>
      <c r="D2573" s="21">
        <f t="shared" ca="1" si="322"/>
        <v>44696</v>
      </c>
      <c r="E2573" s="1" t="s">
        <v>26</v>
      </c>
      <c r="F2573" s="1" t="s">
        <v>2601</v>
      </c>
      <c r="G2573" s="1" t="s">
        <v>28</v>
      </c>
      <c r="H2573" s="1">
        <v>2671</v>
      </c>
      <c r="I2573" s="1">
        <f t="shared" si="324"/>
        <v>57</v>
      </c>
      <c r="J2573" s="1">
        <f>VLOOKUP(B2573,Cena!$A$2:$B$101,2)</f>
        <v>111</v>
      </c>
      <c r="K2573" s="1">
        <f t="shared" si="320"/>
        <v>6327</v>
      </c>
      <c r="L2573" s="1">
        <f t="shared" si="325"/>
        <v>1455.21</v>
      </c>
      <c r="M2573" s="22">
        <f t="shared" si="321"/>
        <v>7782.21</v>
      </c>
      <c r="N2573" s="1">
        <f t="shared" ca="1" si="326"/>
        <v>5</v>
      </c>
      <c r="P2573" s="1">
        <v>57.616949915245641</v>
      </c>
      <c r="Q2573" s="1">
        <f t="shared" ca="1" si="327"/>
        <v>22</v>
      </c>
      <c r="R2573" s="1">
        <v>9.8742026718900888</v>
      </c>
    </row>
    <row r="2574" spans="1:18" x14ac:dyDescent="0.3">
      <c r="A2574" s="26">
        <v>2573</v>
      </c>
      <c r="B2574" s="1">
        <v>28</v>
      </c>
      <c r="C2574" s="1">
        <f t="shared" si="323"/>
        <v>8</v>
      </c>
      <c r="D2574" s="21">
        <f t="shared" ca="1" si="322"/>
        <v>44820</v>
      </c>
      <c r="E2574" s="1" t="s">
        <v>26</v>
      </c>
      <c r="F2574" s="1" t="s">
        <v>2602</v>
      </c>
      <c r="G2574" s="1" t="s">
        <v>28</v>
      </c>
      <c r="H2574" s="1">
        <v>2672</v>
      </c>
      <c r="I2574" s="1">
        <f t="shared" si="324"/>
        <v>38</v>
      </c>
      <c r="J2574" s="1">
        <f>VLOOKUP(B2574,Cena!$A$2:$B$101,2)</f>
        <v>59</v>
      </c>
      <c r="K2574" s="1">
        <f t="shared" si="320"/>
        <v>2242</v>
      </c>
      <c r="L2574" s="1">
        <f t="shared" si="325"/>
        <v>515.66</v>
      </c>
      <c r="M2574" s="22">
        <f t="shared" si="321"/>
        <v>2757.66</v>
      </c>
      <c r="N2574" s="1">
        <f t="shared" ca="1" si="326"/>
        <v>9</v>
      </c>
      <c r="P2574" s="1">
        <v>38.955937624268699</v>
      </c>
      <c r="Q2574" s="1">
        <f t="shared" ca="1" si="327"/>
        <v>5</v>
      </c>
      <c r="R2574" s="1">
        <v>8.3617840371152852</v>
      </c>
    </row>
    <row r="2575" spans="1:18" x14ac:dyDescent="0.3">
      <c r="A2575" s="26">
        <v>2574</v>
      </c>
      <c r="B2575" s="1">
        <v>8</v>
      </c>
      <c r="C2575" s="1">
        <f t="shared" si="323"/>
        <v>9</v>
      </c>
      <c r="D2575" s="21">
        <f t="shared" ca="1" si="322"/>
        <v>44574</v>
      </c>
      <c r="E2575" s="1" t="s">
        <v>26</v>
      </c>
      <c r="F2575" s="1" t="s">
        <v>2603</v>
      </c>
      <c r="G2575" s="1" t="s">
        <v>28</v>
      </c>
      <c r="H2575" s="1">
        <v>2673</v>
      </c>
      <c r="I2575" s="1">
        <f t="shared" si="324"/>
        <v>53</v>
      </c>
      <c r="J2575" s="1">
        <f>VLOOKUP(B2575,Cena!$A$2:$B$101,2)</f>
        <v>88</v>
      </c>
      <c r="K2575" s="1">
        <f t="shared" si="320"/>
        <v>4664</v>
      </c>
      <c r="L2575" s="1">
        <f t="shared" si="325"/>
        <v>1072.72</v>
      </c>
      <c r="M2575" s="22">
        <f t="shared" si="321"/>
        <v>5736.72</v>
      </c>
      <c r="N2575" s="1">
        <f t="shared" ca="1" si="326"/>
        <v>1</v>
      </c>
      <c r="P2575" s="1">
        <v>53.393631686776644</v>
      </c>
      <c r="Q2575" s="1">
        <f t="shared" ca="1" si="327"/>
        <v>27</v>
      </c>
      <c r="R2575" s="1">
        <v>9.8565840542141814</v>
      </c>
    </row>
    <row r="2576" spans="1:18" x14ac:dyDescent="0.3">
      <c r="A2576" s="26">
        <v>2575</v>
      </c>
      <c r="B2576" s="1">
        <v>15</v>
      </c>
      <c r="C2576" s="1">
        <f t="shared" si="323"/>
        <v>10</v>
      </c>
      <c r="D2576" s="21">
        <f t="shared" ca="1" si="322"/>
        <v>44644</v>
      </c>
      <c r="E2576" s="1" t="s">
        <v>26</v>
      </c>
      <c r="F2576" s="1" t="s">
        <v>2604</v>
      </c>
      <c r="G2576" s="1" t="s">
        <v>28</v>
      </c>
      <c r="H2576" s="1">
        <v>2674</v>
      </c>
      <c r="I2576" s="1">
        <f t="shared" si="324"/>
        <v>49</v>
      </c>
      <c r="J2576" s="1">
        <f>VLOOKUP(B2576,Cena!$A$2:$B$101,2)</f>
        <v>85</v>
      </c>
      <c r="K2576" s="1">
        <f t="shared" si="320"/>
        <v>4165</v>
      </c>
      <c r="L2576" s="1">
        <f t="shared" si="325"/>
        <v>957.95</v>
      </c>
      <c r="M2576" s="22">
        <f t="shared" si="321"/>
        <v>5122.95</v>
      </c>
      <c r="N2576" s="1">
        <f t="shared" ca="1" si="326"/>
        <v>3</v>
      </c>
      <c r="P2576" s="1">
        <v>49.788474269735161</v>
      </c>
      <c r="Q2576" s="1">
        <f t="shared" ca="1" si="327"/>
        <v>9</v>
      </c>
      <c r="R2576" s="1">
        <v>10.84010594036954</v>
      </c>
    </row>
    <row r="2577" spans="1:18" x14ac:dyDescent="0.3">
      <c r="A2577" s="26">
        <v>2576</v>
      </c>
      <c r="B2577" s="1">
        <v>17</v>
      </c>
      <c r="C2577" s="1">
        <f t="shared" si="323"/>
        <v>12</v>
      </c>
      <c r="D2577" s="21">
        <f t="shared" ca="1" si="322"/>
        <v>44884</v>
      </c>
      <c r="E2577" s="1" t="s">
        <v>26</v>
      </c>
      <c r="F2577" s="1" t="s">
        <v>2605</v>
      </c>
      <c r="G2577" s="1" t="s">
        <v>28</v>
      </c>
      <c r="H2577" s="1">
        <v>2675</v>
      </c>
      <c r="I2577" s="1">
        <f t="shared" si="324"/>
        <v>39</v>
      </c>
      <c r="J2577" s="1">
        <f>VLOOKUP(B2577,Cena!$A$2:$B$101,2)</f>
        <v>84</v>
      </c>
      <c r="K2577" s="1">
        <f t="shared" si="320"/>
        <v>3276</v>
      </c>
      <c r="L2577" s="1">
        <f t="shared" si="325"/>
        <v>753.48</v>
      </c>
      <c r="M2577" s="22">
        <f t="shared" si="321"/>
        <v>4029.48</v>
      </c>
      <c r="N2577" s="1">
        <f t="shared" ca="1" si="326"/>
        <v>11</v>
      </c>
      <c r="P2577" s="1">
        <v>39.743628248106688</v>
      </c>
      <c r="Q2577" s="1">
        <f t="shared" ca="1" si="327"/>
        <v>27</v>
      </c>
      <c r="R2577" s="1">
        <v>12.262385123685817</v>
      </c>
    </row>
    <row r="2578" spans="1:18" x14ac:dyDescent="0.3">
      <c r="A2578" s="26">
        <v>2577</v>
      </c>
      <c r="B2578" s="1">
        <v>18</v>
      </c>
      <c r="C2578" s="1">
        <f t="shared" si="323"/>
        <v>10</v>
      </c>
      <c r="D2578" s="21">
        <f t="shared" ca="1" si="322"/>
        <v>44861</v>
      </c>
      <c r="E2578" s="1" t="s">
        <v>26</v>
      </c>
      <c r="F2578" s="1" t="s">
        <v>2606</v>
      </c>
      <c r="G2578" s="1" t="s">
        <v>28</v>
      </c>
      <c r="H2578" s="1">
        <v>2676</v>
      </c>
      <c r="I2578" s="1">
        <f t="shared" si="324"/>
        <v>35</v>
      </c>
      <c r="J2578" s="1">
        <f>VLOOKUP(B2578,Cena!$A$2:$B$101,2)</f>
        <v>90</v>
      </c>
      <c r="K2578" s="1">
        <f t="shared" si="320"/>
        <v>3150</v>
      </c>
      <c r="L2578" s="1">
        <f t="shared" si="325"/>
        <v>724.5</v>
      </c>
      <c r="M2578" s="22">
        <f t="shared" si="321"/>
        <v>3874.5</v>
      </c>
      <c r="N2578" s="1">
        <f t="shared" ca="1" si="326"/>
        <v>10</v>
      </c>
      <c r="P2578" s="1">
        <v>35.144359015976079</v>
      </c>
      <c r="Q2578" s="1">
        <f t="shared" ca="1" si="327"/>
        <v>17</v>
      </c>
      <c r="R2578" s="1">
        <v>10.06187406142999</v>
      </c>
    </row>
    <row r="2579" spans="1:18" x14ac:dyDescent="0.3">
      <c r="A2579" s="26">
        <v>2578</v>
      </c>
      <c r="B2579" s="1">
        <v>11</v>
      </c>
      <c r="C2579" s="1">
        <f t="shared" si="323"/>
        <v>10</v>
      </c>
      <c r="D2579" s="21">
        <f t="shared" ca="1" si="322"/>
        <v>44585</v>
      </c>
      <c r="E2579" s="1" t="s">
        <v>26</v>
      </c>
      <c r="F2579" s="1" t="s">
        <v>2607</v>
      </c>
      <c r="G2579" s="1" t="s">
        <v>28</v>
      </c>
      <c r="H2579" s="1">
        <v>2677</v>
      </c>
      <c r="I2579" s="1">
        <f t="shared" si="324"/>
        <v>44</v>
      </c>
      <c r="J2579" s="1">
        <f>VLOOKUP(B2579,Cena!$A$2:$B$101,2)</f>
        <v>83</v>
      </c>
      <c r="K2579" s="1">
        <f t="shared" si="320"/>
        <v>3652</v>
      </c>
      <c r="L2579" s="1">
        <f t="shared" si="325"/>
        <v>839.96</v>
      </c>
      <c r="M2579" s="22">
        <f t="shared" si="321"/>
        <v>4491.96</v>
      </c>
      <c r="N2579" s="1">
        <f t="shared" ca="1" si="326"/>
        <v>1</v>
      </c>
      <c r="P2579" s="1">
        <v>44.475570019858424</v>
      </c>
      <c r="Q2579" s="1">
        <f t="shared" ca="1" si="327"/>
        <v>16</v>
      </c>
      <c r="R2579" s="1">
        <v>10.587220938541577</v>
      </c>
    </row>
    <row r="2580" spans="1:18" x14ac:dyDescent="0.3">
      <c r="A2580" s="26">
        <v>2579</v>
      </c>
      <c r="B2580" s="1">
        <v>14</v>
      </c>
      <c r="C2580" s="1">
        <f t="shared" si="323"/>
        <v>10</v>
      </c>
      <c r="D2580" s="21">
        <f t="shared" ca="1" si="322"/>
        <v>44573</v>
      </c>
      <c r="E2580" s="1" t="s">
        <v>26</v>
      </c>
      <c r="F2580" s="1" t="s">
        <v>2608</v>
      </c>
      <c r="G2580" s="1" t="s">
        <v>28</v>
      </c>
      <c r="H2580" s="1">
        <v>2678</v>
      </c>
      <c r="I2580" s="1">
        <f t="shared" si="324"/>
        <v>42</v>
      </c>
      <c r="J2580" s="1">
        <f>VLOOKUP(B2580,Cena!$A$2:$B$101,2)</f>
        <v>129</v>
      </c>
      <c r="K2580" s="1">
        <f t="shared" si="320"/>
        <v>5418</v>
      </c>
      <c r="L2580" s="1">
        <f t="shared" si="325"/>
        <v>1246.1400000000001</v>
      </c>
      <c r="M2580" s="22">
        <f t="shared" si="321"/>
        <v>6664.14</v>
      </c>
      <c r="N2580" s="1">
        <f t="shared" ca="1" si="326"/>
        <v>1</v>
      </c>
      <c r="P2580" s="1">
        <v>42.031712281459477</v>
      </c>
      <c r="Q2580" s="1">
        <f t="shared" ca="1" si="327"/>
        <v>10</v>
      </c>
      <c r="R2580" s="1">
        <v>10.843951397655474</v>
      </c>
    </row>
    <row r="2581" spans="1:18" x14ac:dyDescent="0.3">
      <c r="A2581" s="26">
        <v>2580</v>
      </c>
      <c r="B2581" s="1">
        <v>7</v>
      </c>
      <c r="C2581" s="1">
        <f t="shared" si="323"/>
        <v>12</v>
      </c>
      <c r="D2581" s="21">
        <f t="shared" ca="1" si="322"/>
        <v>44715</v>
      </c>
      <c r="E2581" s="1" t="s">
        <v>26</v>
      </c>
      <c r="F2581" s="1" t="s">
        <v>2609</v>
      </c>
      <c r="G2581" s="1" t="s">
        <v>28</v>
      </c>
      <c r="H2581" s="1">
        <v>2679</v>
      </c>
      <c r="I2581" s="1">
        <f t="shared" si="324"/>
        <v>54</v>
      </c>
      <c r="J2581" s="1">
        <f>VLOOKUP(B2581,Cena!$A$2:$B$101,2)</f>
        <v>104</v>
      </c>
      <c r="K2581" s="1">
        <f t="shared" si="320"/>
        <v>5616</v>
      </c>
      <c r="L2581" s="1">
        <f t="shared" si="325"/>
        <v>1291.68</v>
      </c>
      <c r="M2581" s="22">
        <f t="shared" si="321"/>
        <v>6907.68</v>
      </c>
      <c r="N2581" s="1">
        <f t="shared" ca="1" si="326"/>
        <v>6</v>
      </c>
      <c r="P2581" s="1">
        <v>54.985145096725319</v>
      </c>
      <c r="Q2581" s="1">
        <f t="shared" ca="1" si="327"/>
        <v>7</v>
      </c>
      <c r="R2581" s="1">
        <v>12.450872216286371</v>
      </c>
    </row>
    <row r="2582" spans="1:18" x14ac:dyDescent="0.3">
      <c r="A2582" s="26">
        <v>2581</v>
      </c>
      <c r="B2582" s="1">
        <v>4</v>
      </c>
      <c r="C2582" s="1">
        <f t="shared" si="323"/>
        <v>7</v>
      </c>
      <c r="D2582" s="21">
        <f t="shared" ca="1" si="322"/>
        <v>44641</v>
      </c>
      <c r="E2582" s="1" t="s">
        <v>26</v>
      </c>
      <c r="F2582" s="1" t="s">
        <v>2610</v>
      </c>
      <c r="G2582" s="1" t="s">
        <v>28</v>
      </c>
      <c r="H2582" s="1">
        <v>2680</v>
      </c>
      <c r="I2582" s="1">
        <f t="shared" si="324"/>
        <v>78</v>
      </c>
      <c r="J2582" s="1">
        <f>VLOOKUP(B2582,Cena!$A$2:$B$101,2)</f>
        <v>99</v>
      </c>
      <c r="K2582" s="1">
        <f t="shared" si="320"/>
        <v>7722</v>
      </c>
      <c r="L2582" s="1">
        <f t="shared" si="325"/>
        <v>1776.0600000000002</v>
      </c>
      <c r="M2582" s="22">
        <f t="shared" si="321"/>
        <v>9498.06</v>
      </c>
      <c r="N2582" s="1">
        <f t="shared" ca="1" si="326"/>
        <v>3</v>
      </c>
      <c r="P2582" s="1">
        <v>78.618524083867669</v>
      </c>
      <c r="Q2582" s="1">
        <f t="shared" ca="1" si="327"/>
        <v>2</v>
      </c>
      <c r="R2582" s="1">
        <v>7.8560538238525623</v>
      </c>
    </row>
    <row r="2583" spans="1:18" x14ac:dyDescent="0.3">
      <c r="A2583" s="26">
        <v>2582</v>
      </c>
      <c r="B2583" s="1">
        <v>10</v>
      </c>
      <c r="C2583" s="1">
        <f t="shared" si="323"/>
        <v>13</v>
      </c>
      <c r="D2583" s="21">
        <f t="shared" ca="1" si="322"/>
        <v>44872</v>
      </c>
      <c r="E2583" s="1" t="s">
        <v>26</v>
      </c>
      <c r="F2583" s="1" t="s">
        <v>2611</v>
      </c>
      <c r="G2583" s="1" t="s">
        <v>28</v>
      </c>
      <c r="H2583" s="1">
        <v>2681</v>
      </c>
      <c r="I2583" s="1">
        <f t="shared" si="324"/>
        <v>63</v>
      </c>
      <c r="J2583" s="1">
        <f>VLOOKUP(B2583,Cena!$A$2:$B$101,2)</f>
        <v>109</v>
      </c>
      <c r="K2583" s="1">
        <f t="shared" si="320"/>
        <v>6867</v>
      </c>
      <c r="L2583" s="1">
        <f t="shared" si="325"/>
        <v>1579.41</v>
      </c>
      <c r="M2583" s="22">
        <f t="shared" si="321"/>
        <v>8446.41</v>
      </c>
      <c r="N2583" s="1">
        <f t="shared" ca="1" si="326"/>
        <v>11</v>
      </c>
      <c r="P2583" s="1">
        <v>63.96169864165131</v>
      </c>
      <c r="Q2583" s="1">
        <f t="shared" ca="1" si="327"/>
        <v>16</v>
      </c>
      <c r="R2583" s="1">
        <v>13.00294686894631</v>
      </c>
    </row>
    <row r="2584" spans="1:18" x14ac:dyDescent="0.3">
      <c r="A2584" s="26">
        <v>2583</v>
      </c>
      <c r="B2584" s="1">
        <v>15</v>
      </c>
      <c r="C2584" s="1">
        <f t="shared" si="323"/>
        <v>14</v>
      </c>
      <c r="D2584" s="21">
        <f t="shared" ca="1" si="322"/>
        <v>44585</v>
      </c>
      <c r="E2584" s="1" t="s">
        <v>26</v>
      </c>
      <c r="F2584" s="1" t="s">
        <v>2612</v>
      </c>
      <c r="G2584" s="1" t="s">
        <v>28</v>
      </c>
      <c r="H2584" s="1">
        <v>2682</v>
      </c>
      <c r="I2584" s="1">
        <f t="shared" si="324"/>
        <v>65</v>
      </c>
      <c r="J2584" s="1">
        <f>VLOOKUP(B2584,Cena!$A$2:$B$101,2)</f>
        <v>85</v>
      </c>
      <c r="K2584" s="1">
        <f t="shared" si="320"/>
        <v>5525</v>
      </c>
      <c r="L2584" s="1">
        <f t="shared" si="325"/>
        <v>1270.75</v>
      </c>
      <c r="M2584" s="22">
        <f t="shared" si="321"/>
        <v>6795.75</v>
      </c>
      <c r="N2584" s="1">
        <f t="shared" ca="1" si="326"/>
        <v>1</v>
      </c>
      <c r="P2584" s="1">
        <v>65.042724044178613</v>
      </c>
      <c r="Q2584" s="1">
        <f t="shared" ca="1" si="327"/>
        <v>1</v>
      </c>
      <c r="R2584" s="1">
        <v>14.598450686899014</v>
      </c>
    </row>
    <row r="2585" spans="1:18" x14ac:dyDescent="0.3">
      <c r="A2585" s="26">
        <v>2584</v>
      </c>
      <c r="B2585" s="1">
        <v>4</v>
      </c>
      <c r="C2585" s="1">
        <f t="shared" si="323"/>
        <v>9</v>
      </c>
      <c r="D2585" s="21">
        <f t="shared" ca="1" si="322"/>
        <v>44795</v>
      </c>
      <c r="E2585" s="1" t="s">
        <v>26</v>
      </c>
      <c r="F2585" s="1" t="s">
        <v>2613</v>
      </c>
      <c r="G2585" s="1" t="s">
        <v>28</v>
      </c>
      <c r="H2585" s="1">
        <v>2683</v>
      </c>
      <c r="I2585" s="1">
        <f t="shared" si="324"/>
        <v>39</v>
      </c>
      <c r="J2585" s="1">
        <f>VLOOKUP(B2585,Cena!$A$2:$B$101,2)</f>
        <v>99</v>
      </c>
      <c r="K2585" s="1">
        <f t="shared" si="320"/>
        <v>3861</v>
      </c>
      <c r="L2585" s="1">
        <f t="shared" si="325"/>
        <v>888.03000000000009</v>
      </c>
      <c r="M2585" s="22">
        <f t="shared" si="321"/>
        <v>4749.03</v>
      </c>
      <c r="N2585" s="1">
        <f t="shared" ca="1" si="326"/>
        <v>8</v>
      </c>
      <c r="P2585" s="1">
        <v>39.615935191977769</v>
      </c>
      <c r="Q2585" s="1">
        <f t="shared" ca="1" si="327"/>
        <v>27</v>
      </c>
      <c r="R2585" s="1">
        <v>9.4782456269604154</v>
      </c>
    </row>
    <row r="2586" spans="1:18" x14ac:dyDescent="0.3">
      <c r="A2586" s="26">
        <v>2585</v>
      </c>
      <c r="B2586" s="1">
        <v>28</v>
      </c>
      <c r="C2586" s="1">
        <f t="shared" si="323"/>
        <v>5</v>
      </c>
      <c r="D2586" s="21">
        <f t="shared" ca="1" si="322"/>
        <v>44721</v>
      </c>
      <c r="E2586" s="1" t="s">
        <v>26</v>
      </c>
      <c r="F2586" s="1" t="s">
        <v>2614</v>
      </c>
      <c r="G2586" s="1" t="s">
        <v>28</v>
      </c>
      <c r="H2586" s="1">
        <v>2684</v>
      </c>
      <c r="I2586" s="1">
        <f t="shared" si="324"/>
        <v>48</v>
      </c>
      <c r="J2586" s="1">
        <f>VLOOKUP(B2586,Cena!$A$2:$B$101,2)</f>
        <v>59</v>
      </c>
      <c r="K2586" s="1">
        <f t="shared" si="320"/>
        <v>2832</v>
      </c>
      <c r="L2586" s="1">
        <f t="shared" si="325"/>
        <v>651.36</v>
      </c>
      <c r="M2586" s="22">
        <f t="shared" si="321"/>
        <v>3483.36</v>
      </c>
      <c r="N2586" s="1">
        <f t="shared" ca="1" si="326"/>
        <v>6</v>
      </c>
      <c r="P2586" s="1">
        <v>48.471366779995151</v>
      </c>
      <c r="Q2586" s="1">
        <f t="shared" ca="1" si="327"/>
        <v>9</v>
      </c>
      <c r="R2586" s="1">
        <v>5.4544819047441706</v>
      </c>
    </row>
    <row r="2587" spans="1:18" x14ac:dyDescent="0.3">
      <c r="A2587" s="26">
        <v>2586</v>
      </c>
      <c r="B2587" s="1">
        <v>11</v>
      </c>
      <c r="C2587" s="1">
        <f t="shared" si="323"/>
        <v>10</v>
      </c>
      <c r="D2587" s="21">
        <f t="shared" ca="1" si="322"/>
        <v>44778</v>
      </c>
      <c r="E2587" s="1" t="s">
        <v>26</v>
      </c>
      <c r="F2587" s="1" t="s">
        <v>2615</v>
      </c>
      <c r="G2587" s="1" t="s">
        <v>28</v>
      </c>
      <c r="H2587" s="1">
        <v>2685</v>
      </c>
      <c r="I2587" s="1">
        <f t="shared" si="324"/>
        <v>37</v>
      </c>
      <c r="J2587" s="1">
        <f>VLOOKUP(B2587,Cena!$A$2:$B$101,2)</f>
        <v>83</v>
      </c>
      <c r="K2587" s="1">
        <f t="shared" si="320"/>
        <v>3071</v>
      </c>
      <c r="L2587" s="1">
        <f t="shared" si="325"/>
        <v>706.33</v>
      </c>
      <c r="M2587" s="22">
        <f t="shared" si="321"/>
        <v>3777.33</v>
      </c>
      <c r="N2587" s="1">
        <f t="shared" ca="1" si="326"/>
        <v>8</v>
      </c>
      <c r="P2587" s="1">
        <v>37.076444085687399</v>
      </c>
      <c r="Q2587" s="1">
        <f t="shared" ca="1" si="327"/>
        <v>6</v>
      </c>
      <c r="R2587" s="1">
        <v>10.701504632161232</v>
      </c>
    </row>
    <row r="2588" spans="1:18" x14ac:dyDescent="0.3">
      <c r="A2588" s="26">
        <v>2587</v>
      </c>
      <c r="B2588" s="1">
        <v>30</v>
      </c>
      <c r="C2588" s="1">
        <f t="shared" si="323"/>
        <v>6</v>
      </c>
      <c r="D2588" s="21">
        <f t="shared" ca="1" si="322"/>
        <v>44921</v>
      </c>
      <c r="E2588" s="1" t="s">
        <v>26</v>
      </c>
      <c r="F2588" s="1" t="s">
        <v>2616</v>
      </c>
      <c r="G2588" s="1" t="s">
        <v>28</v>
      </c>
      <c r="H2588" s="1">
        <v>2686</v>
      </c>
      <c r="I2588" s="1">
        <f t="shared" si="324"/>
        <v>29</v>
      </c>
      <c r="J2588" s="1">
        <f>VLOOKUP(B2588,Cena!$A$2:$B$101,2)</f>
        <v>87</v>
      </c>
      <c r="K2588" s="1">
        <f t="shared" si="320"/>
        <v>2523</v>
      </c>
      <c r="L2588" s="1">
        <f t="shared" si="325"/>
        <v>580.29000000000008</v>
      </c>
      <c r="M2588" s="22">
        <f t="shared" si="321"/>
        <v>3103.29</v>
      </c>
      <c r="N2588" s="1">
        <f t="shared" ca="1" si="326"/>
        <v>12</v>
      </c>
      <c r="P2588" s="1">
        <v>29.377753334119916</v>
      </c>
      <c r="Q2588" s="1">
        <f t="shared" ca="1" si="327"/>
        <v>18</v>
      </c>
      <c r="R2588" s="1">
        <v>6.8717247611493804</v>
      </c>
    </row>
    <row r="2589" spans="1:18" x14ac:dyDescent="0.3">
      <c r="A2589" s="26">
        <v>2588</v>
      </c>
      <c r="B2589" s="1">
        <v>19</v>
      </c>
      <c r="C2589" s="1">
        <f t="shared" si="323"/>
        <v>13</v>
      </c>
      <c r="D2589" s="21">
        <f t="shared" ca="1" si="322"/>
        <v>44734</v>
      </c>
      <c r="E2589" s="1" t="s">
        <v>26</v>
      </c>
      <c r="F2589" s="1" t="s">
        <v>2617</v>
      </c>
      <c r="G2589" s="1" t="s">
        <v>28</v>
      </c>
      <c r="H2589" s="1">
        <v>2687</v>
      </c>
      <c r="I2589" s="1">
        <f t="shared" si="324"/>
        <v>52</v>
      </c>
      <c r="J2589" s="1">
        <f>VLOOKUP(B2589,Cena!$A$2:$B$101,2)</f>
        <v>84</v>
      </c>
      <c r="K2589" s="1">
        <f t="shared" si="320"/>
        <v>4368</v>
      </c>
      <c r="L2589" s="1">
        <f t="shared" si="325"/>
        <v>1004.6400000000001</v>
      </c>
      <c r="M2589" s="22">
        <f t="shared" si="321"/>
        <v>5372.64</v>
      </c>
      <c r="N2589" s="1">
        <f t="shared" ca="1" si="326"/>
        <v>6</v>
      </c>
      <c r="P2589" s="1">
        <v>52.924787168012699</v>
      </c>
      <c r="Q2589" s="1">
        <f t="shared" ca="1" si="327"/>
        <v>23</v>
      </c>
      <c r="R2589" s="1">
        <v>13.803927484113956</v>
      </c>
    </row>
    <row r="2590" spans="1:18" x14ac:dyDescent="0.3">
      <c r="A2590" s="26">
        <v>2589</v>
      </c>
      <c r="B2590" s="1">
        <v>5</v>
      </c>
      <c r="C2590" s="1">
        <f t="shared" si="323"/>
        <v>5</v>
      </c>
      <c r="D2590" s="21">
        <f t="shared" ca="1" si="322"/>
        <v>44684</v>
      </c>
      <c r="E2590" s="1" t="s">
        <v>26</v>
      </c>
      <c r="F2590" s="1" t="s">
        <v>2618</v>
      </c>
      <c r="G2590" s="1" t="s">
        <v>28</v>
      </c>
      <c r="H2590" s="1">
        <v>2688</v>
      </c>
      <c r="I2590" s="1">
        <f t="shared" si="324"/>
        <v>36</v>
      </c>
      <c r="J2590" s="1">
        <f>VLOOKUP(B2590,Cena!$A$2:$B$101,2)</f>
        <v>91</v>
      </c>
      <c r="K2590" s="1">
        <f t="shared" si="320"/>
        <v>3276</v>
      </c>
      <c r="L2590" s="1">
        <f t="shared" si="325"/>
        <v>753.48</v>
      </c>
      <c r="M2590" s="22">
        <f t="shared" si="321"/>
        <v>4029.48</v>
      </c>
      <c r="N2590" s="1">
        <f t="shared" ca="1" si="326"/>
        <v>5</v>
      </c>
      <c r="P2590" s="1">
        <v>36.371130944462493</v>
      </c>
      <c r="Q2590" s="1">
        <f t="shared" ca="1" si="327"/>
        <v>2</v>
      </c>
      <c r="R2590" s="1">
        <v>5.8094122121110559</v>
      </c>
    </row>
    <row r="2591" spans="1:18" x14ac:dyDescent="0.3">
      <c r="A2591" s="26">
        <v>2590</v>
      </c>
      <c r="B2591" s="1">
        <v>6</v>
      </c>
      <c r="C2591" s="1">
        <f t="shared" si="323"/>
        <v>11</v>
      </c>
      <c r="D2591" s="21">
        <f t="shared" ca="1" si="322"/>
        <v>44910</v>
      </c>
      <c r="E2591" s="1" t="s">
        <v>26</v>
      </c>
      <c r="F2591" s="1" t="s">
        <v>2619</v>
      </c>
      <c r="G2591" s="1" t="s">
        <v>28</v>
      </c>
      <c r="H2591" s="1">
        <v>2689</v>
      </c>
      <c r="I2591" s="1">
        <f t="shared" si="324"/>
        <v>47</v>
      </c>
      <c r="J2591" s="1">
        <f>VLOOKUP(B2591,Cena!$A$2:$B$101,2)</f>
        <v>86</v>
      </c>
      <c r="K2591" s="1">
        <f t="shared" ref="K2591:K2654" si="328">I2591*J2591</f>
        <v>4042</v>
      </c>
      <c r="L2591" s="1">
        <f t="shared" si="325"/>
        <v>929.66000000000008</v>
      </c>
      <c r="M2591" s="22">
        <f t="shared" ref="M2591:M2654" si="329">K2591+L2591</f>
        <v>4971.66</v>
      </c>
      <c r="N2591" s="1">
        <f t="shared" ca="1" si="326"/>
        <v>12</v>
      </c>
      <c r="P2591" s="1">
        <v>47.123882167215925</v>
      </c>
      <c r="Q2591" s="1">
        <f t="shared" ca="1" si="327"/>
        <v>20</v>
      </c>
      <c r="R2591" s="1">
        <v>11.780040292942431</v>
      </c>
    </row>
    <row r="2592" spans="1:18" x14ac:dyDescent="0.3">
      <c r="A2592" s="26">
        <v>2591</v>
      </c>
      <c r="B2592" s="1">
        <v>14</v>
      </c>
      <c r="C2592" s="1">
        <f t="shared" si="323"/>
        <v>9</v>
      </c>
      <c r="D2592" s="21">
        <f t="shared" ca="1" si="322"/>
        <v>44686</v>
      </c>
      <c r="E2592" s="1" t="s">
        <v>26</v>
      </c>
      <c r="F2592" s="1" t="s">
        <v>2620</v>
      </c>
      <c r="G2592" s="1" t="s">
        <v>28</v>
      </c>
      <c r="H2592" s="1">
        <v>2690</v>
      </c>
      <c r="I2592" s="1">
        <f t="shared" si="324"/>
        <v>46</v>
      </c>
      <c r="J2592" s="1">
        <f>VLOOKUP(B2592,Cena!$A$2:$B$101,2)</f>
        <v>129</v>
      </c>
      <c r="K2592" s="1">
        <f t="shared" si="328"/>
        <v>5934</v>
      </c>
      <c r="L2592" s="1">
        <f t="shared" si="325"/>
        <v>1364.8200000000002</v>
      </c>
      <c r="M2592" s="22">
        <f t="shared" si="329"/>
        <v>7298.82</v>
      </c>
      <c r="N2592" s="1">
        <f t="shared" ca="1" si="326"/>
        <v>5</v>
      </c>
      <c r="P2592" s="1">
        <v>46.904716681456193</v>
      </c>
      <c r="Q2592" s="1">
        <f t="shared" ca="1" si="327"/>
        <v>15</v>
      </c>
      <c r="R2592" s="1">
        <v>9.424960606120294</v>
      </c>
    </row>
    <row r="2593" spans="1:18" x14ac:dyDescent="0.3">
      <c r="A2593" s="26">
        <v>2592</v>
      </c>
      <c r="B2593" s="1">
        <v>4</v>
      </c>
      <c r="C2593" s="1">
        <f t="shared" si="323"/>
        <v>11</v>
      </c>
      <c r="D2593" s="21">
        <f t="shared" ca="1" si="322"/>
        <v>44677</v>
      </c>
      <c r="E2593" s="1" t="s">
        <v>26</v>
      </c>
      <c r="F2593" s="1" t="s">
        <v>2621</v>
      </c>
      <c r="G2593" s="1" t="s">
        <v>28</v>
      </c>
      <c r="H2593" s="1">
        <v>2691</v>
      </c>
      <c r="I2593" s="1">
        <f t="shared" si="324"/>
        <v>38</v>
      </c>
      <c r="J2593" s="1">
        <f>VLOOKUP(B2593,Cena!$A$2:$B$101,2)</f>
        <v>99</v>
      </c>
      <c r="K2593" s="1">
        <f t="shared" si="328"/>
        <v>3762</v>
      </c>
      <c r="L2593" s="1">
        <f t="shared" si="325"/>
        <v>865.26</v>
      </c>
      <c r="M2593" s="22">
        <f t="shared" si="329"/>
        <v>4627.26</v>
      </c>
      <c r="N2593" s="1">
        <f t="shared" ca="1" si="326"/>
        <v>4</v>
      </c>
      <c r="P2593" s="1">
        <v>38.025911079603247</v>
      </c>
      <c r="Q2593" s="1">
        <f t="shared" ca="1" si="327"/>
        <v>7</v>
      </c>
      <c r="R2593" s="1">
        <v>11.981058517230849</v>
      </c>
    </row>
    <row r="2594" spans="1:18" x14ac:dyDescent="0.3">
      <c r="A2594" s="26">
        <v>2593</v>
      </c>
      <c r="B2594" s="1">
        <v>3</v>
      </c>
      <c r="C2594" s="1">
        <f t="shared" si="323"/>
        <v>6</v>
      </c>
      <c r="D2594" s="21">
        <f t="shared" ca="1" si="322"/>
        <v>44618</v>
      </c>
      <c r="E2594" s="1" t="s">
        <v>26</v>
      </c>
      <c r="F2594" s="1" t="s">
        <v>2622</v>
      </c>
      <c r="G2594" s="1" t="s">
        <v>28</v>
      </c>
      <c r="H2594" s="1">
        <v>2692</v>
      </c>
      <c r="I2594" s="1">
        <f t="shared" si="324"/>
        <v>37</v>
      </c>
      <c r="J2594" s="1">
        <f>VLOOKUP(B2594,Cena!$A$2:$B$101,2)</f>
        <v>89</v>
      </c>
      <c r="K2594" s="1">
        <f t="shared" si="328"/>
        <v>3293</v>
      </c>
      <c r="L2594" s="1">
        <f t="shared" si="325"/>
        <v>757.39</v>
      </c>
      <c r="M2594" s="22">
        <f t="shared" si="329"/>
        <v>4050.39</v>
      </c>
      <c r="N2594" s="1">
        <f t="shared" ca="1" si="326"/>
        <v>2</v>
      </c>
      <c r="P2594" s="1">
        <v>37.044634508492891</v>
      </c>
      <c r="Q2594" s="1">
        <f t="shared" ca="1" si="327"/>
        <v>17</v>
      </c>
      <c r="R2594" s="1">
        <v>6.9943019095808268</v>
      </c>
    </row>
    <row r="2595" spans="1:18" x14ac:dyDescent="0.3">
      <c r="A2595" s="26">
        <v>2594</v>
      </c>
      <c r="B2595" s="1">
        <v>8</v>
      </c>
      <c r="C2595" s="1">
        <f t="shared" si="323"/>
        <v>3</v>
      </c>
      <c r="D2595" s="21">
        <f t="shared" ca="1" si="322"/>
        <v>44705</v>
      </c>
      <c r="E2595" s="1" t="s">
        <v>26</v>
      </c>
      <c r="F2595" s="1" t="s">
        <v>2623</v>
      </c>
      <c r="G2595" s="1" t="s">
        <v>28</v>
      </c>
      <c r="H2595" s="1">
        <v>2693</v>
      </c>
      <c r="I2595" s="1">
        <f t="shared" si="324"/>
        <v>36</v>
      </c>
      <c r="J2595" s="1">
        <f>VLOOKUP(B2595,Cena!$A$2:$B$101,2)</f>
        <v>88</v>
      </c>
      <c r="K2595" s="1">
        <f t="shared" si="328"/>
        <v>3168</v>
      </c>
      <c r="L2595" s="1">
        <f t="shared" si="325"/>
        <v>728.64</v>
      </c>
      <c r="M2595" s="22">
        <f t="shared" si="329"/>
        <v>3896.64</v>
      </c>
      <c r="N2595" s="1">
        <f t="shared" ca="1" si="326"/>
        <v>5</v>
      </c>
      <c r="P2595" s="1">
        <v>36.12297531508375</v>
      </c>
      <c r="Q2595" s="1">
        <f t="shared" ca="1" si="327"/>
        <v>10</v>
      </c>
      <c r="R2595" s="1">
        <v>3.3232174953445792</v>
      </c>
    </row>
    <row r="2596" spans="1:18" x14ac:dyDescent="0.3">
      <c r="A2596" s="26">
        <v>2595</v>
      </c>
      <c r="B2596" s="1">
        <v>30</v>
      </c>
      <c r="C2596" s="1">
        <f t="shared" si="323"/>
        <v>9</v>
      </c>
      <c r="D2596" s="21">
        <f t="shared" ca="1" si="322"/>
        <v>44856</v>
      </c>
      <c r="E2596" s="1" t="s">
        <v>26</v>
      </c>
      <c r="F2596" s="1" t="s">
        <v>2624</v>
      </c>
      <c r="G2596" s="1" t="s">
        <v>28</v>
      </c>
      <c r="H2596" s="1">
        <v>2694</v>
      </c>
      <c r="I2596" s="1">
        <f t="shared" si="324"/>
        <v>44</v>
      </c>
      <c r="J2596" s="1">
        <f>VLOOKUP(B2596,Cena!$A$2:$B$101,2)</f>
        <v>87</v>
      </c>
      <c r="K2596" s="1">
        <f t="shared" si="328"/>
        <v>3828</v>
      </c>
      <c r="L2596" s="1">
        <f t="shared" si="325"/>
        <v>880.44</v>
      </c>
      <c r="M2596" s="22">
        <f t="shared" si="329"/>
        <v>4708.4400000000005</v>
      </c>
      <c r="N2596" s="1">
        <f t="shared" ca="1" si="326"/>
        <v>10</v>
      </c>
      <c r="P2596" s="1">
        <v>44.777840583992656</v>
      </c>
      <c r="Q2596" s="1">
        <f t="shared" ca="1" si="327"/>
        <v>13</v>
      </c>
      <c r="R2596" s="1">
        <v>9.6879381569669931</v>
      </c>
    </row>
    <row r="2597" spans="1:18" x14ac:dyDescent="0.3">
      <c r="A2597" s="26">
        <v>2596</v>
      </c>
      <c r="B2597" s="1">
        <v>27</v>
      </c>
      <c r="C2597" s="1">
        <f t="shared" si="323"/>
        <v>5</v>
      </c>
      <c r="D2597" s="21">
        <f t="shared" ca="1" si="322"/>
        <v>44874</v>
      </c>
      <c r="E2597" s="1" t="s">
        <v>26</v>
      </c>
      <c r="F2597" s="1" t="s">
        <v>2625</v>
      </c>
      <c r="G2597" s="1" t="s">
        <v>28</v>
      </c>
      <c r="H2597" s="1">
        <v>2695</v>
      </c>
      <c r="I2597" s="1">
        <f t="shared" si="324"/>
        <v>56</v>
      </c>
      <c r="J2597" s="1">
        <f>VLOOKUP(B2597,Cena!$A$2:$B$101,2)</f>
        <v>87</v>
      </c>
      <c r="K2597" s="1">
        <f t="shared" si="328"/>
        <v>4872</v>
      </c>
      <c r="L2597" s="1">
        <f t="shared" si="325"/>
        <v>1120.56</v>
      </c>
      <c r="M2597" s="22">
        <f t="shared" si="329"/>
        <v>5992.5599999999995</v>
      </c>
      <c r="N2597" s="1">
        <f t="shared" ca="1" si="326"/>
        <v>11</v>
      </c>
      <c r="P2597" s="1">
        <v>56.055461199139245</v>
      </c>
      <c r="Q2597" s="1">
        <f t="shared" ca="1" si="327"/>
        <v>5</v>
      </c>
      <c r="R2597" s="1">
        <v>5.872735780721996</v>
      </c>
    </row>
    <row r="2598" spans="1:18" x14ac:dyDescent="0.3">
      <c r="A2598" s="26">
        <v>2597</v>
      </c>
      <c r="B2598" s="1">
        <v>10</v>
      </c>
      <c r="C2598" s="1">
        <f t="shared" si="323"/>
        <v>6</v>
      </c>
      <c r="D2598" s="21">
        <f t="shared" ca="1" si="322"/>
        <v>44586</v>
      </c>
      <c r="E2598" s="1" t="s">
        <v>26</v>
      </c>
      <c r="F2598" s="1" t="s">
        <v>2626</v>
      </c>
      <c r="G2598" s="1" t="s">
        <v>28</v>
      </c>
      <c r="H2598" s="1">
        <v>2696</v>
      </c>
      <c r="I2598" s="1">
        <f t="shared" si="324"/>
        <v>62</v>
      </c>
      <c r="J2598" s="1">
        <f>VLOOKUP(B2598,Cena!$A$2:$B$101,2)</f>
        <v>109</v>
      </c>
      <c r="K2598" s="1">
        <f t="shared" si="328"/>
        <v>6758</v>
      </c>
      <c r="L2598" s="1">
        <f t="shared" si="325"/>
        <v>1554.3400000000001</v>
      </c>
      <c r="M2598" s="22">
        <f t="shared" si="329"/>
        <v>8312.34</v>
      </c>
      <c r="N2598" s="1">
        <f t="shared" ca="1" si="326"/>
        <v>1</v>
      </c>
      <c r="P2598" s="1">
        <v>62.832401807827409</v>
      </c>
      <c r="Q2598" s="1">
        <f t="shared" ca="1" si="327"/>
        <v>24</v>
      </c>
      <c r="R2598" s="1">
        <v>6.7059238770161755</v>
      </c>
    </row>
    <row r="2599" spans="1:18" x14ac:dyDescent="0.3">
      <c r="A2599" s="26">
        <v>2598</v>
      </c>
      <c r="B2599" s="1">
        <v>5</v>
      </c>
      <c r="C2599" s="1">
        <f t="shared" si="323"/>
        <v>14</v>
      </c>
      <c r="D2599" s="21">
        <f t="shared" ca="1" si="322"/>
        <v>44769</v>
      </c>
      <c r="E2599" s="1" t="s">
        <v>26</v>
      </c>
      <c r="F2599" s="1" t="s">
        <v>2627</v>
      </c>
      <c r="G2599" s="1" t="s">
        <v>28</v>
      </c>
      <c r="H2599" s="1">
        <v>2697</v>
      </c>
      <c r="I2599" s="1">
        <f t="shared" si="324"/>
        <v>48</v>
      </c>
      <c r="J2599" s="1">
        <f>VLOOKUP(B2599,Cena!$A$2:$B$101,2)</f>
        <v>91</v>
      </c>
      <c r="K2599" s="1">
        <f t="shared" si="328"/>
        <v>4368</v>
      </c>
      <c r="L2599" s="1">
        <f t="shared" si="325"/>
        <v>1004.6400000000001</v>
      </c>
      <c r="M2599" s="22">
        <f t="shared" si="329"/>
        <v>5372.64</v>
      </c>
      <c r="N2599" s="1">
        <f t="shared" ca="1" si="326"/>
        <v>7</v>
      </c>
      <c r="P2599" s="1">
        <v>48.294651959440671</v>
      </c>
      <c r="Q2599" s="1">
        <f t="shared" ca="1" si="327"/>
        <v>11</v>
      </c>
      <c r="R2599" s="1">
        <v>14.452806479093852</v>
      </c>
    </row>
    <row r="2600" spans="1:18" x14ac:dyDescent="0.3">
      <c r="A2600" s="26">
        <v>2599</v>
      </c>
      <c r="B2600" s="1">
        <v>13</v>
      </c>
      <c r="C2600" s="1">
        <f t="shared" si="323"/>
        <v>8</v>
      </c>
      <c r="D2600" s="21">
        <f t="shared" ca="1" si="322"/>
        <v>44851</v>
      </c>
      <c r="E2600" s="1" t="s">
        <v>26</v>
      </c>
      <c r="F2600" s="1" t="s">
        <v>2628</v>
      </c>
      <c r="G2600" s="1" t="s">
        <v>28</v>
      </c>
      <c r="H2600" s="1">
        <v>2698</v>
      </c>
      <c r="I2600" s="1">
        <f t="shared" si="324"/>
        <v>67</v>
      </c>
      <c r="J2600" s="1">
        <f>VLOOKUP(B2600,Cena!$A$2:$B$101,2)</f>
        <v>94</v>
      </c>
      <c r="K2600" s="1">
        <f t="shared" si="328"/>
        <v>6298</v>
      </c>
      <c r="L2600" s="1">
        <f t="shared" si="325"/>
        <v>1448.54</v>
      </c>
      <c r="M2600" s="22">
        <f t="shared" si="329"/>
        <v>7746.54</v>
      </c>
      <c r="N2600" s="1">
        <f t="shared" ca="1" si="326"/>
        <v>10</v>
      </c>
      <c r="P2600" s="1">
        <v>67.175443645101041</v>
      </c>
      <c r="Q2600" s="1">
        <f t="shared" ca="1" si="327"/>
        <v>17</v>
      </c>
      <c r="R2600" s="1">
        <v>8.4665635111014126</v>
      </c>
    </row>
    <row r="2601" spans="1:18" x14ac:dyDescent="0.3">
      <c r="A2601" s="26">
        <v>2600</v>
      </c>
      <c r="B2601" s="1">
        <v>20</v>
      </c>
      <c r="C2601" s="1">
        <f t="shared" si="323"/>
        <v>9</v>
      </c>
      <c r="D2601" s="21">
        <f t="shared" ca="1" si="322"/>
        <v>44717</v>
      </c>
      <c r="E2601" s="1" t="s">
        <v>26</v>
      </c>
      <c r="F2601" s="1" t="s">
        <v>2629</v>
      </c>
      <c r="G2601" s="1" t="s">
        <v>28</v>
      </c>
      <c r="H2601" s="1">
        <v>2699</v>
      </c>
      <c r="I2601" s="1">
        <f t="shared" si="324"/>
        <v>55</v>
      </c>
      <c r="J2601" s="1">
        <f>VLOOKUP(B2601,Cena!$A$2:$B$101,2)</f>
        <v>111</v>
      </c>
      <c r="K2601" s="1">
        <f t="shared" si="328"/>
        <v>6105</v>
      </c>
      <c r="L2601" s="1">
        <f t="shared" si="325"/>
        <v>1404.15</v>
      </c>
      <c r="M2601" s="22">
        <f t="shared" si="329"/>
        <v>7509.15</v>
      </c>
      <c r="N2601" s="1">
        <f t="shared" ca="1" si="326"/>
        <v>6</v>
      </c>
      <c r="P2601" s="1">
        <v>55.459492058434989</v>
      </c>
      <c r="Q2601" s="1">
        <f t="shared" ca="1" si="327"/>
        <v>1</v>
      </c>
      <c r="R2601" s="1">
        <v>9.0326898569037439</v>
      </c>
    </row>
    <row r="2602" spans="1:18" x14ac:dyDescent="0.3">
      <c r="A2602" s="26">
        <v>2601</v>
      </c>
      <c r="B2602" s="1">
        <v>1</v>
      </c>
      <c r="C2602" s="1">
        <f t="shared" si="323"/>
        <v>9</v>
      </c>
      <c r="D2602" s="21">
        <f t="shared" ca="1" si="322"/>
        <v>44890</v>
      </c>
      <c r="E2602" s="1" t="s">
        <v>26</v>
      </c>
      <c r="F2602" s="1" t="s">
        <v>2630</v>
      </c>
      <c r="G2602" s="1" t="s">
        <v>28</v>
      </c>
      <c r="H2602" s="1">
        <v>2700</v>
      </c>
      <c r="I2602" s="1">
        <f t="shared" si="324"/>
        <v>64</v>
      </c>
      <c r="J2602" s="1">
        <f>VLOOKUP(B2602,Cena!$A$2:$B$101,2)</f>
        <v>84</v>
      </c>
      <c r="K2602" s="1">
        <f t="shared" si="328"/>
        <v>5376</v>
      </c>
      <c r="L2602" s="1">
        <f t="shared" si="325"/>
        <v>1236.48</v>
      </c>
      <c r="M2602" s="22">
        <f t="shared" si="329"/>
        <v>6612.48</v>
      </c>
      <c r="N2602" s="1">
        <f t="shared" ca="1" si="326"/>
        <v>11</v>
      </c>
      <c r="P2602" s="1">
        <v>64.123679648037069</v>
      </c>
      <c r="Q2602" s="1">
        <f t="shared" ca="1" si="327"/>
        <v>4</v>
      </c>
      <c r="R2602" s="1">
        <v>9.2448181274085073</v>
      </c>
    </row>
    <row r="2603" spans="1:18" x14ac:dyDescent="0.3">
      <c r="A2603" s="26">
        <v>2602</v>
      </c>
      <c r="B2603" s="1">
        <v>8</v>
      </c>
      <c r="C2603" s="1">
        <f t="shared" si="323"/>
        <v>7</v>
      </c>
      <c r="D2603" s="21">
        <f t="shared" ca="1" si="322"/>
        <v>44764</v>
      </c>
      <c r="E2603" s="1" t="s">
        <v>26</v>
      </c>
      <c r="F2603" s="1" t="s">
        <v>2631</v>
      </c>
      <c r="G2603" s="1" t="s">
        <v>28</v>
      </c>
      <c r="H2603" s="1">
        <v>2701</v>
      </c>
      <c r="I2603" s="1">
        <f t="shared" si="324"/>
        <v>35</v>
      </c>
      <c r="J2603" s="1">
        <f>VLOOKUP(B2603,Cena!$A$2:$B$101,2)</f>
        <v>88</v>
      </c>
      <c r="K2603" s="1">
        <f t="shared" si="328"/>
        <v>3080</v>
      </c>
      <c r="L2603" s="1">
        <f t="shared" si="325"/>
        <v>708.4</v>
      </c>
      <c r="M2603" s="22">
        <f t="shared" si="329"/>
        <v>3788.4</v>
      </c>
      <c r="N2603" s="1">
        <f t="shared" ca="1" si="326"/>
        <v>7</v>
      </c>
      <c r="P2603" s="1">
        <v>35.158183335443027</v>
      </c>
      <c r="Q2603" s="1">
        <f t="shared" ca="1" si="327"/>
        <v>27</v>
      </c>
      <c r="R2603" s="1">
        <v>7.399390849750489</v>
      </c>
    </row>
    <row r="2604" spans="1:18" x14ac:dyDescent="0.3">
      <c r="A2604" s="26">
        <v>2603</v>
      </c>
      <c r="B2604" s="1">
        <v>11</v>
      </c>
      <c r="C2604" s="1">
        <f t="shared" si="323"/>
        <v>11</v>
      </c>
      <c r="D2604" s="21">
        <f t="shared" ca="1" si="322"/>
        <v>44625</v>
      </c>
      <c r="E2604" s="1" t="s">
        <v>26</v>
      </c>
      <c r="F2604" s="1" t="s">
        <v>2632</v>
      </c>
      <c r="G2604" s="1" t="s">
        <v>28</v>
      </c>
      <c r="H2604" s="1">
        <v>2702</v>
      </c>
      <c r="I2604" s="1">
        <f t="shared" si="324"/>
        <v>41</v>
      </c>
      <c r="J2604" s="1">
        <f>VLOOKUP(B2604,Cena!$A$2:$B$101,2)</f>
        <v>83</v>
      </c>
      <c r="K2604" s="1">
        <f t="shared" si="328"/>
        <v>3403</v>
      </c>
      <c r="L2604" s="1">
        <f t="shared" si="325"/>
        <v>782.69</v>
      </c>
      <c r="M2604" s="22">
        <f t="shared" si="329"/>
        <v>4185.6900000000005</v>
      </c>
      <c r="N2604" s="1">
        <f t="shared" ca="1" si="326"/>
        <v>3</v>
      </c>
      <c r="P2604" s="1">
        <v>41.938898347143549</v>
      </c>
      <c r="Q2604" s="1">
        <f t="shared" ca="1" si="327"/>
        <v>10</v>
      </c>
      <c r="R2604" s="1">
        <v>11.526518644823227</v>
      </c>
    </row>
    <row r="2605" spans="1:18" x14ac:dyDescent="0.3">
      <c r="A2605" s="26">
        <v>2604</v>
      </c>
      <c r="B2605" s="1">
        <v>13</v>
      </c>
      <c r="C2605" s="1">
        <f t="shared" si="323"/>
        <v>9</v>
      </c>
      <c r="D2605" s="21">
        <f t="shared" ca="1" si="322"/>
        <v>44659</v>
      </c>
      <c r="E2605" s="1" t="s">
        <v>26</v>
      </c>
      <c r="F2605" s="1" t="s">
        <v>2633</v>
      </c>
      <c r="G2605" s="1" t="s">
        <v>28</v>
      </c>
      <c r="H2605" s="1">
        <v>2703</v>
      </c>
      <c r="I2605" s="1">
        <f t="shared" si="324"/>
        <v>54</v>
      </c>
      <c r="J2605" s="1">
        <f>VLOOKUP(B2605,Cena!$A$2:$B$101,2)</f>
        <v>94</v>
      </c>
      <c r="K2605" s="1">
        <f t="shared" si="328"/>
        <v>5076</v>
      </c>
      <c r="L2605" s="1">
        <f t="shared" si="325"/>
        <v>1167.48</v>
      </c>
      <c r="M2605" s="22">
        <f t="shared" si="329"/>
        <v>6243.48</v>
      </c>
      <c r="N2605" s="1">
        <f t="shared" ca="1" si="326"/>
        <v>4</v>
      </c>
      <c r="P2605" s="1">
        <v>54.685898602474481</v>
      </c>
      <c r="Q2605" s="1">
        <f t="shared" ca="1" si="327"/>
        <v>19</v>
      </c>
      <c r="R2605" s="1">
        <v>9.4672947423168807</v>
      </c>
    </row>
    <row r="2606" spans="1:18" x14ac:dyDescent="0.3">
      <c r="A2606" s="26">
        <v>2605</v>
      </c>
      <c r="B2606" s="1">
        <v>8</v>
      </c>
      <c r="C2606" s="1">
        <f t="shared" si="323"/>
        <v>8</v>
      </c>
      <c r="D2606" s="21">
        <f t="shared" ca="1" si="322"/>
        <v>44748</v>
      </c>
      <c r="E2606" s="1" t="s">
        <v>26</v>
      </c>
      <c r="F2606" s="1" t="s">
        <v>2634</v>
      </c>
      <c r="G2606" s="1" t="s">
        <v>28</v>
      </c>
      <c r="H2606" s="1">
        <v>2704</v>
      </c>
      <c r="I2606" s="1">
        <f t="shared" si="324"/>
        <v>39</v>
      </c>
      <c r="J2606" s="1">
        <f>VLOOKUP(B2606,Cena!$A$2:$B$101,2)</f>
        <v>88</v>
      </c>
      <c r="K2606" s="1">
        <f t="shared" si="328"/>
        <v>3432</v>
      </c>
      <c r="L2606" s="1">
        <f t="shared" si="325"/>
        <v>789.36</v>
      </c>
      <c r="M2606" s="22">
        <f t="shared" si="329"/>
        <v>4221.3599999999997</v>
      </c>
      <c r="N2606" s="1">
        <f t="shared" ca="1" si="326"/>
        <v>7</v>
      </c>
      <c r="P2606" s="1">
        <v>39.391676535888109</v>
      </c>
      <c r="Q2606" s="1">
        <f t="shared" ca="1" si="327"/>
        <v>30</v>
      </c>
      <c r="R2606" s="1">
        <v>8.9900913988094544</v>
      </c>
    </row>
    <row r="2607" spans="1:18" x14ac:dyDescent="0.3">
      <c r="A2607" s="26">
        <v>2606</v>
      </c>
      <c r="B2607" s="1">
        <v>16</v>
      </c>
      <c r="C2607" s="1">
        <f t="shared" si="323"/>
        <v>8</v>
      </c>
      <c r="D2607" s="21">
        <f t="shared" ca="1" si="322"/>
        <v>44879</v>
      </c>
      <c r="E2607" s="1" t="s">
        <v>26</v>
      </c>
      <c r="F2607" s="1" t="s">
        <v>2635</v>
      </c>
      <c r="G2607" s="1" t="s">
        <v>28</v>
      </c>
      <c r="H2607" s="1">
        <v>2705</v>
      </c>
      <c r="I2607" s="1">
        <f t="shared" si="324"/>
        <v>67</v>
      </c>
      <c r="J2607" s="1">
        <f>VLOOKUP(B2607,Cena!$A$2:$B$101,2)</f>
        <v>93</v>
      </c>
      <c r="K2607" s="1">
        <f t="shared" si="328"/>
        <v>6231</v>
      </c>
      <c r="L2607" s="1">
        <f t="shared" si="325"/>
        <v>1433.13</v>
      </c>
      <c r="M2607" s="22">
        <f t="shared" si="329"/>
        <v>7664.13</v>
      </c>
      <c r="N2607" s="1">
        <f t="shared" ca="1" si="326"/>
        <v>11</v>
      </c>
      <c r="P2607" s="1">
        <v>67.449337974539958</v>
      </c>
      <c r="Q2607" s="1">
        <f t="shared" ca="1" si="327"/>
        <v>13</v>
      </c>
      <c r="R2607" s="1">
        <v>8.6865645951183978</v>
      </c>
    </row>
    <row r="2608" spans="1:18" x14ac:dyDescent="0.3">
      <c r="A2608" s="26">
        <v>2607</v>
      </c>
      <c r="B2608" s="1">
        <v>25</v>
      </c>
      <c r="C2608" s="1">
        <f t="shared" si="323"/>
        <v>10</v>
      </c>
      <c r="D2608" s="21">
        <f t="shared" ca="1" si="322"/>
        <v>44612</v>
      </c>
      <c r="E2608" s="1" t="s">
        <v>26</v>
      </c>
      <c r="F2608" s="1" t="s">
        <v>2636</v>
      </c>
      <c r="G2608" s="1" t="s">
        <v>28</v>
      </c>
      <c r="H2608" s="1">
        <v>2706</v>
      </c>
      <c r="I2608" s="1">
        <f t="shared" si="324"/>
        <v>62</v>
      </c>
      <c r="J2608" s="1">
        <f>VLOOKUP(B2608,Cena!$A$2:$B$101,2)</f>
        <v>108</v>
      </c>
      <c r="K2608" s="1">
        <f t="shared" si="328"/>
        <v>6696</v>
      </c>
      <c r="L2608" s="1">
        <f t="shared" si="325"/>
        <v>1540.0800000000002</v>
      </c>
      <c r="M2608" s="22">
        <f t="shared" si="329"/>
        <v>8236.08</v>
      </c>
      <c r="N2608" s="1">
        <f t="shared" ca="1" si="326"/>
        <v>2</v>
      </c>
      <c r="P2608" s="1">
        <v>62.683949535130523</v>
      </c>
      <c r="Q2608" s="1">
        <f t="shared" ca="1" si="327"/>
        <v>10</v>
      </c>
      <c r="R2608" s="1">
        <v>10.742380734664039</v>
      </c>
    </row>
    <row r="2609" spans="1:18" x14ac:dyDescent="0.3">
      <c r="A2609" s="26">
        <v>2608</v>
      </c>
      <c r="B2609" s="1">
        <v>15</v>
      </c>
      <c r="C2609" s="1">
        <f t="shared" si="323"/>
        <v>9</v>
      </c>
      <c r="D2609" s="21">
        <f t="shared" ca="1" si="322"/>
        <v>44753</v>
      </c>
      <c r="E2609" s="1" t="s">
        <v>26</v>
      </c>
      <c r="F2609" s="1" t="s">
        <v>2637</v>
      </c>
      <c r="G2609" s="1" t="s">
        <v>28</v>
      </c>
      <c r="H2609" s="1">
        <v>2707</v>
      </c>
      <c r="I2609" s="1">
        <f t="shared" si="324"/>
        <v>47</v>
      </c>
      <c r="J2609" s="1">
        <f>VLOOKUP(B2609,Cena!$A$2:$B$101,2)</f>
        <v>85</v>
      </c>
      <c r="K2609" s="1">
        <f t="shared" si="328"/>
        <v>3995</v>
      </c>
      <c r="L2609" s="1">
        <f t="shared" si="325"/>
        <v>918.85</v>
      </c>
      <c r="M2609" s="22">
        <f t="shared" si="329"/>
        <v>4913.8500000000004</v>
      </c>
      <c r="N2609" s="1">
        <f t="shared" ca="1" si="326"/>
        <v>7</v>
      </c>
      <c r="P2609" s="1">
        <v>47.891086422896478</v>
      </c>
      <c r="Q2609" s="1">
        <f t="shared" ca="1" si="327"/>
        <v>10</v>
      </c>
      <c r="R2609" s="1">
        <v>9.3280852095267619</v>
      </c>
    </row>
    <row r="2610" spans="1:18" x14ac:dyDescent="0.3">
      <c r="A2610" s="26">
        <v>2609</v>
      </c>
      <c r="B2610" s="1">
        <v>8</v>
      </c>
      <c r="C2610" s="1">
        <f t="shared" si="323"/>
        <v>10</v>
      </c>
      <c r="D2610" s="21">
        <f t="shared" ca="1" si="322"/>
        <v>44923</v>
      </c>
      <c r="E2610" s="1" t="s">
        <v>26</v>
      </c>
      <c r="F2610" s="1" t="s">
        <v>2638</v>
      </c>
      <c r="G2610" s="1" t="s">
        <v>28</v>
      </c>
      <c r="H2610" s="1">
        <v>2708</v>
      </c>
      <c r="I2610" s="1">
        <f t="shared" si="324"/>
        <v>63</v>
      </c>
      <c r="J2610" s="1">
        <f>VLOOKUP(B2610,Cena!$A$2:$B$101,2)</f>
        <v>88</v>
      </c>
      <c r="K2610" s="1">
        <f t="shared" si="328"/>
        <v>5544</v>
      </c>
      <c r="L2610" s="1">
        <f t="shared" si="325"/>
        <v>1275.1200000000001</v>
      </c>
      <c r="M2610" s="22">
        <f t="shared" si="329"/>
        <v>6819.12</v>
      </c>
      <c r="N2610" s="1">
        <f t="shared" ca="1" si="326"/>
        <v>12</v>
      </c>
      <c r="P2610" s="1">
        <v>63.301246326591354</v>
      </c>
      <c r="Q2610" s="1">
        <f t="shared" ca="1" si="327"/>
        <v>29</v>
      </c>
      <c r="R2610" s="1">
        <v>10.066467009673943</v>
      </c>
    </row>
    <row r="2611" spans="1:18" x14ac:dyDescent="0.3">
      <c r="A2611" s="26">
        <v>2610</v>
      </c>
      <c r="B2611" s="1">
        <v>18</v>
      </c>
      <c r="C2611" s="1">
        <f t="shared" si="323"/>
        <v>9</v>
      </c>
      <c r="D2611" s="21">
        <f t="shared" ca="1" si="322"/>
        <v>44787</v>
      </c>
      <c r="E2611" s="1" t="s">
        <v>26</v>
      </c>
      <c r="F2611" s="1" t="s">
        <v>2639</v>
      </c>
      <c r="G2611" s="1" t="s">
        <v>28</v>
      </c>
      <c r="H2611" s="1">
        <v>2709</v>
      </c>
      <c r="I2611" s="1">
        <f t="shared" si="324"/>
        <v>53</v>
      </c>
      <c r="J2611" s="1">
        <f>VLOOKUP(B2611,Cena!$A$2:$B$101,2)</f>
        <v>90</v>
      </c>
      <c r="K2611" s="1">
        <f t="shared" si="328"/>
        <v>4770</v>
      </c>
      <c r="L2611" s="1">
        <f t="shared" si="325"/>
        <v>1097.1000000000001</v>
      </c>
      <c r="M2611" s="22">
        <f t="shared" si="329"/>
        <v>5867.1</v>
      </c>
      <c r="N2611" s="1">
        <f t="shared" ca="1" si="326"/>
        <v>8</v>
      </c>
      <c r="P2611" s="1">
        <v>53.672926141007338</v>
      </c>
      <c r="Q2611" s="1">
        <f t="shared" ca="1" si="327"/>
        <v>28</v>
      </c>
      <c r="R2611" s="1">
        <v>9.448107246280415</v>
      </c>
    </row>
    <row r="2612" spans="1:18" x14ac:dyDescent="0.3">
      <c r="A2612" s="26">
        <v>2611</v>
      </c>
      <c r="B2612" s="1">
        <v>30</v>
      </c>
      <c r="C2612" s="1">
        <f t="shared" si="323"/>
        <v>11</v>
      </c>
      <c r="D2612" s="21">
        <f t="shared" ca="1" si="322"/>
        <v>44589</v>
      </c>
      <c r="E2612" s="1" t="s">
        <v>26</v>
      </c>
      <c r="F2612" s="1" t="s">
        <v>2640</v>
      </c>
      <c r="G2612" s="1" t="s">
        <v>28</v>
      </c>
      <c r="H2612" s="1">
        <v>2710</v>
      </c>
      <c r="I2612" s="1">
        <f t="shared" si="324"/>
        <v>43</v>
      </c>
      <c r="J2612" s="1">
        <f>VLOOKUP(B2612,Cena!$A$2:$B$101,2)</f>
        <v>87</v>
      </c>
      <c r="K2612" s="1">
        <f t="shared" si="328"/>
        <v>3741</v>
      </c>
      <c r="L2612" s="1">
        <f t="shared" si="325"/>
        <v>860.43000000000006</v>
      </c>
      <c r="M2612" s="22">
        <f t="shared" si="329"/>
        <v>4601.43</v>
      </c>
      <c r="N2612" s="1">
        <f t="shared" ca="1" si="326"/>
        <v>1</v>
      </c>
      <c r="P2612" s="1">
        <v>43.014239407784771</v>
      </c>
      <c r="Q2612" s="1">
        <f t="shared" ca="1" si="327"/>
        <v>12</v>
      </c>
      <c r="R2612" s="1">
        <v>11.031111196425627</v>
      </c>
    </row>
    <row r="2613" spans="1:18" x14ac:dyDescent="0.3">
      <c r="A2613" s="26">
        <v>2612</v>
      </c>
      <c r="B2613" s="1">
        <v>26</v>
      </c>
      <c r="C2613" s="1">
        <f t="shared" si="323"/>
        <v>9</v>
      </c>
      <c r="D2613" s="21">
        <f t="shared" ca="1" si="322"/>
        <v>44795</v>
      </c>
      <c r="E2613" s="1" t="s">
        <v>26</v>
      </c>
      <c r="F2613" s="1" t="s">
        <v>2641</v>
      </c>
      <c r="G2613" s="1" t="s">
        <v>28</v>
      </c>
      <c r="H2613" s="1">
        <v>2711</v>
      </c>
      <c r="I2613" s="1">
        <f t="shared" si="324"/>
        <v>42</v>
      </c>
      <c r="J2613" s="1">
        <f>VLOOKUP(B2613,Cena!$A$2:$B$101,2)</f>
        <v>99</v>
      </c>
      <c r="K2613" s="1">
        <f t="shared" si="328"/>
        <v>4158</v>
      </c>
      <c r="L2613" s="1">
        <f t="shared" si="325"/>
        <v>956.34</v>
      </c>
      <c r="M2613" s="22">
        <f t="shared" si="329"/>
        <v>5114.34</v>
      </c>
      <c r="N2613" s="1">
        <f t="shared" ca="1" si="326"/>
        <v>8</v>
      </c>
      <c r="P2613" s="1">
        <v>42.515290614392143</v>
      </c>
      <c r="Q2613" s="1">
        <f t="shared" ca="1" si="327"/>
        <v>6</v>
      </c>
      <c r="R2613" s="1">
        <v>9.5723044321493944</v>
      </c>
    </row>
    <row r="2614" spans="1:18" x14ac:dyDescent="0.3">
      <c r="A2614" s="26">
        <v>2613</v>
      </c>
      <c r="B2614" s="1">
        <v>3</v>
      </c>
      <c r="C2614" s="1">
        <f t="shared" si="323"/>
        <v>14</v>
      </c>
      <c r="D2614" s="21">
        <f t="shared" ca="1" si="322"/>
        <v>44891</v>
      </c>
      <c r="E2614" s="1" t="s">
        <v>26</v>
      </c>
      <c r="F2614" s="1" t="s">
        <v>2642</v>
      </c>
      <c r="G2614" s="1" t="s">
        <v>28</v>
      </c>
      <c r="H2614" s="1">
        <v>2712</v>
      </c>
      <c r="I2614" s="1">
        <f t="shared" si="324"/>
        <v>60</v>
      </c>
      <c r="J2614" s="1">
        <f>VLOOKUP(B2614,Cena!$A$2:$B$101,2)</f>
        <v>89</v>
      </c>
      <c r="K2614" s="1">
        <f t="shared" si="328"/>
        <v>5340</v>
      </c>
      <c r="L2614" s="1">
        <f t="shared" si="325"/>
        <v>1228.2</v>
      </c>
      <c r="M2614" s="22">
        <f t="shared" si="329"/>
        <v>6568.2</v>
      </c>
      <c r="N2614" s="1">
        <f t="shared" ca="1" si="326"/>
        <v>11</v>
      </c>
      <c r="P2614" s="1">
        <v>60.03872966975905</v>
      </c>
      <c r="Q2614" s="1">
        <f t="shared" ca="1" si="327"/>
        <v>18</v>
      </c>
      <c r="R2614" s="1">
        <v>14.110177087568445</v>
      </c>
    </row>
    <row r="2615" spans="1:18" x14ac:dyDescent="0.3">
      <c r="A2615" s="26">
        <v>2614</v>
      </c>
      <c r="B2615" s="1">
        <v>3</v>
      </c>
      <c r="C2615" s="1">
        <f t="shared" si="323"/>
        <v>8</v>
      </c>
      <c r="D2615" s="21">
        <f t="shared" ca="1" si="322"/>
        <v>44902</v>
      </c>
      <c r="E2615" s="1" t="s">
        <v>26</v>
      </c>
      <c r="F2615" s="1" t="s">
        <v>2643</v>
      </c>
      <c r="G2615" s="1" t="s">
        <v>28</v>
      </c>
      <c r="H2615" s="1">
        <v>2713</v>
      </c>
      <c r="I2615" s="1">
        <f t="shared" si="324"/>
        <v>32</v>
      </c>
      <c r="J2615" s="1">
        <f>VLOOKUP(B2615,Cena!$A$2:$B$101,2)</f>
        <v>89</v>
      </c>
      <c r="K2615" s="1">
        <f t="shared" si="328"/>
        <v>2848</v>
      </c>
      <c r="L2615" s="1">
        <f t="shared" si="325"/>
        <v>655.04000000000008</v>
      </c>
      <c r="M2615" s="22">
        <f t="shared" si="329"/>
        <v>3503.04</v>
      </c>
      <c r="N2615" s="1">
        <f t="shared" ca="1" si="326"/>
        <v>12</v>
      </c>
      <c r="P2615" s="1">
        <v>32.767394612892531</v>
      </c>
      <c r="Q2615" s="1">
        <f t="shared" ca="1" si="327"/>
        <v>19</v>
      </c>
      <c r="R2615" s="1">
        <v>8.4271312314376701</v>
      </c>
    </row>
    <row r="2616" spans="1:18" x14ac:dyDescent="0.3">
      <c r="A2616" s="26">
        <v>2615</v>
      </c>
      <c r="B2616" s="1">
        <v>20</v>
      </c>
      <c r="C2616" s="1">
        <f t="shared" si="323"/>
        <v>6</v>
      </c>
      <c r="D2616" s="21">
        <f t="shared" ca="1" si="322"/>
        <v>44694</v>
      </c>
      <c r="E2616" s="1" t="s">
        <v>26</v>
      </c>
      <c r="F2616" s="1" t="s">
        <v>2644</v>
      </c>
      <c r="G2616" s="1" t="s">
        <v>28</v>
      </c>
      <c r="H2616" s="1">
        <v>2714</v>
      </c>
      <c r="I2616" s="1">
        <f t="shared" si="324"/>
        <v>51</v>
      </c>
      <c r="J2616" s="1">
        <f>VLOOKUP(B2616,Cena!$A$2:$B$101,2)</f>
        <v>111</v>
      </c>
      <c r="K2616" s="1">
        <f t="shared" si="328"/>
        <v>5661</v>
      </c>
      <c r="L2616" s="1">
        <f t="shared" si="325"/>
        <v>1302.03</v>
      </c>
      <c r="M2616" s="22">
        <f t="shared" si="329"/>
        <v>6963.03</v>
      </c>
      <c r="N2616" s="1">
        <f t="shared" ca="1" si="326"/>
        <v>5</v>
      </c>
      <c r="P2616" s="1">
        <v>51.124976733990479</v>
      </c>
      <c r="Q2616" s="1">
        <f t="shared" ca="1" si="327"/>
        <v>1</v>
      </c>
      <c r="R2616" s="1">
        <v>6.8540748795930995</v>
      </c>
    </row>
    <row r="2617" spans="1:18" x14ac:dyDescent="0.3">
      <c r="A2617" s="26">
        <v>2616</v>
      </c>
      <c r="B2617" s="1">
        <v>25</v>
      </c>
      <c r="C2617" s="1">
        <f t="shared" si="323"/>
        <v>10</v>
      </c>
      <c r="D2617" s="21">
        <f t="shared" ca="1" si="322"/>
        <v>44917</v>
      </c>
      <c r="E2617" s="1" t="s">
        <v>26</v>
      </c>
      <c r="F2617" s="1" t="s">
        <v>2645</v>
      </c>
      <c r="G2617" s="1" t="s">
        <v>28</v>
      </c>
      <c r="H2617" s="1">
        <v>2715</v>
      </c>
      <c r="I2617" s="1">
        <f t="shared" si="324"/>
        <v>50</v>
      </c>
      <c r="J2617" s="1">
        <f>VLOOKUP(B2617,Cena!$A$2:$B$101,2)</f>
        <v>108</v>
      </c>
      <c r="K2617" s="1">
        <f t="shared" si="328"/>
        <v>5400</v>
      </c>
      <c r="L2617" s="1">
        <f t="shared" si="325"/>
        <v>1242</v>
      </c>
      <c r="M2617" s="22">
        <f t="shared" si="329"/>
        <v>6642</v>
      </c>
      <c r="N2617" s="1">
        <f t="shared" ca="1" si="326"/>
        <v>12</v>
      </c>
      <c r="P2617" s="1">
        <v>50.253612597589381</v>
      </c>
      <c r="Q2617" s="1">
        <f t="shared" ca="1" si="327"/>
        <v>2</v>
      </c>
      <c r="R2617" s="1">
        <v>10.442065584138618</v>
      </c>
    </row>
    <row r="2618" spans="1:18" x14ac:dyDescent="0.3">
      <c r="A2618" s="26">
        <v>2617</v>
      </c>
      <c r="B2618" s="1">
        <v>27</v>
      </c>
      <c r="C2618" s="1">
        <f t="shared" si="323"/>
        <v>11</v>
      </c>
      <c r="D2618" s="21">
        <f t="shared" ca="1" si="322"/>
        <v>44807</v>
      </c>
      <c r="E2618" s="1" t="s">
        <v>26</v>
      </c>
      <c r="F2618" s="1" t="s">
        <v>2646</v>
      </c>
      <c r="G2618" s="1" t="s">
        <v>28</v>
      </c>
      <c r="H2618" s="1">
        <v>2716</v>
      </c>
      <c r="I2618" s="1">
        <f t="shared" si="324"/>
        <v>46</v>
      </c>
      <c r="J2618" s="1">
        <f>VLOOKUP(B2618,Cena!$A$2:$B$101,2)</f>
        <v>87</v>
      </c>
      <c r="K2618" s="1">
        <f t="shared" si="328"/>
        <v>4002</v>
      </c>
      <c r="L2618" s="1">
        <f t="shared" si="325"/>
        <v>920.46</v>
      </c>
      <c r="M2618" s="22">
        <f t="shared" si="329"/>
        <v>4922.46</v>
      </c>
      <c r="N2618" s="1">
        <f t="shared" ca="1" si="326"/>
        <v>9</v>
      </c>
      <c r="P2618" s="1">
        <v>46.273004398972262</v>
      </c>
      <c r="Q2618" s="1">
        <f t="shared" ca="1" si="327"/>
        <v>11</v>
      </c>
      <c r="R2618" s="1">
        <v>11.398069571223459</v>
      </c>
    </row>
    <row r="2619" spans="1:18" x14ac:dyDescent="0.3">
      <c r="A2619" s="26">
        <v>2618</v>
      </c>
      <c r="B2619" s="1">
        <v>14</v>
      </c>
      <c r="C2619" s="1">
        <f t="shared" si="323"/>
        <v>11</v>
      </c>
      <c r="D2619" s="21">
        <f t="shared" ca="1" si="322"/>
        <v>44810</v>
      </c>
      <c r="E2619" s="1" t="s">
        <v>26</v>
      </c>
      <c r="F2619" s="1" t="s">
        <v>2647</v>
      </c>
      <c r="G2619" s="1" t="s">
        <v>28</v>
      </c>
      <c r="H2619" s="1">
        <v>2717</v>
      </c>
      <c r="I2619" s="1">
        <f t="shared" si="324"/>
        <v>53</v>
      </c>
      <c r="J2619" s="1">
        <f>VLOOKUP(B2619,Cena!$A$2:$B$101,2)</f>
        <v>129</v>
      </c>
      <c r="K2619" s="1">
        <f t="shared" si="328"/>
        <v>6837</v>
      </c>
      <c r="L2619" s="1">
        <f t="shared" si="325"/>
        <v>1572.51</v>
      </c>
      <c r="M2619" s="22">
        <f t="shared" si="329"/>
        <v>8409.51</v>
      </c>
      <c r="N2619" s="1">
        <f t="shared" ca="1" si="326"/>
        <v>9</v>
      </c>
      <c r="P2619" s="1">
        <v>53.21668949254672</v>
      </c>
      <c r="Q2619" s="1">
        <f t="shared" ca="1" si="327"/>
        <v>29</v>
      </c>
      <c r="R2619" s="1">
        <v>11.20896004318638</v>
      </c>
    </row>
    <row r="2620" spans="1:18" x14ac:dyDescent="0.3">
      <c r="A2620" s="26">
        <v>2619</v>
      </c>
      <c r="B2620" s="1">
        <v>12</v>
      </c>
      <c r="C2620" s="1">
        <f t="shared" si="323"/>
        <v>4</v>
      </c>
      <c r="D2620" s="21">
        <f t="shared" ca="1" si="322"/>
        <v>44825</v>
      </c>
      <c r="E2620" s="1" t="s">
        <v>26</v>
      </c>
      <c r="F2620" s="1" t="s">
        <v>2648</v>
      </c>
      <c r="G2620" s="1" t="s">
        <v>28</v>
      </c>
      <c r="H2620" s="1">
        <v>2718</v>
      </c>
      <c r="I2620" s="1">
        <f t="shared" si="324"/>
        <v>58</v>
      </c>
      <c r="J2620" s="1">
        <f>VLOOKUP(B2620,Cena!$A$2:$B$101,2)</f>
        <v>88</v>
      </c>
      <c r="K2620" s="1">
        <f t="shared" si="328"/>
        <v>5104</v>
      </c>
      <c r="L2620" s="1">
        <f t="shared" si="325"/>
        <v>1173.92</v>
      </c>
      <c r="M2620" s="22">
        <f t="shared" si="329"/>
        <v>6277.92</v>
      </c>
      <c r="N2620" s="1">
        <f t="shared" ca="1" si="326"/>
        <v>9</v>
      </c>
      <c r="P2620" s="1">
        <v>58.984056876215618</v>
      </c>
      <c r="Q2620" s="1">
        <f t="shared" ca="1" si="327"/>
        <v>28</v>
      </c>
      <c r="R2620" s="1">
        <v>4.1992882668273523</v>
      </c>
    </row>
    <row r="2621" spans="1:18" x14ac:dyDescent="0.3">
      <c r="A2621" s="26">
        <v>2620</v>
      </c>
      <c r="B2621" s="1">
        <v>9</v>
      </c>
      <c r="C2621" s="1">
        <f t="shared" si="323"/>
        <v>9</v>
      </c>
      <c r="D2621" s="21">
        <f t="shared" ca="1" si="322"/>
        <v>44612</v>
      </c>
      <c r="E2621" s="1" t="s">
        <v>26</v>
      </c>
      <c r="F2621" s="1" t="s">
        <v>2649</v>
      </c>
      <c r="G2621" s="1" t="s">
        <v>28</v>
      </c>
      <c r="H2621" s="1">
        <v>2719</v>
      </c>
      <c r="I2621" s="1">
        <f t="shared" si="324"/>
        <v>49</v>
      </c>
      <c r="J2621" s="1">
        <f>VLOOKUP(B2621,Cena!$A$2:$B$101,2)</f>
        <v>96</v>
      </c>
      <c r="K2621" s="1">
        <f t="shared" si="328"/>
        <v>4704</v>
      </c>
      <c r="L2621" s="1">
        <f t="shared" si="325"/>
        <v>1081.92</v>
      </c>
      <c r="M2621" s="22">
        <f t="shared" si="329"/>
        <v>5785.92</v>
      </c>
      <c r="N2621" s="1">
        <f t="shared" ca="1" si="326"/>
        <v>2</v>
      </c>
      <c r="P2621" s="1">
        <v>49.446254150825553</v>
      </c>
      <c r="Q2621" s="1">
        <f t="shared" ca="1" si="327"/>
        <v>29</v>
      </c>
      <c r="R2621" s="1">
        <v>9.8213183971529361</v>
      </c>
    </row>
    <row r="2622" spans="1:18" x14ac:dyDescent="0.3">
      <c r="A2622" s="26">
        <v>2621</v>
      </c>
      <c r="B2622" s="1">
        <v>9</v>
      </c>
      <c r="C2622" s="1">
        <f t="shared" si="323"/>
        <v>11</v>
      </c>
      <c r="D2622" s="21">
        <f t="shared" ca="1" si="322"/>
        <v>44603</v>
      </c>
      <c r="E2622" s="1" t="s">
        <v>26</v>
      </c>
      <c r="F2622" s="1" t="s">
        <v>2650</v>
      </c>
      <c r="G2622" s="1" t="s">
        <v>28</v>
      </c>
      <c r="H2622" s="1">
        <v>2720</v>
      </c>
      <c r="I2622" s="1">
        <f t="shared" si="324"/>
        <v>51</v>
      </c>
      <c r="J2622" s="1">
        <f>VLOOKUP(B2622,Cena!$A$2:$B$101,2)</f>
        <v>96</v>
      </c>
      <c r="K2622" s="1">
        <f t="shared" si="328"/>
        <v>4896</v>
      </c>
      <c r="L2622" s="1">
        <f t="shared" si="325"/>
        <v>1126.0800000000002</v>
      </c>
      <c r="M2622" s="22">
        <f t="shared" si="329"/>
        <v>6022.08</v>
      </c>
      <c r="N2622" s="1">
        <f t="shared" ca="1" si="326"/>
        <v>2</v>
      </c>
      <c r="P2622" s="1">
        <v>51.872479060693877</v>
      </c>
      <c r="Q2622" s="1">
        <f t="shared" ca="1" si="327"/>
        <v>20</v>
      </c>
      <c r="R2622" s="1">
        <v>11.836431806623295</v>
      </c>
    </row>
    <row r="2623" spans="1:18" x14ac:dyDescent="0.3">
      <c r="A2623" s="26">
        <v>2622</v>
      </c>
      <c r="B2623" s="1">
        <v>27</v>
      </c>
      <c r="C2623" s="1">
        <f t="shared" si="323"/>
        <v>9</v>
      </c>
      <c r="D2623" s="21">
        <f t="shared" ca="1" si="322"/>
        <v>44669</v>
      </c>
      <c r="E2623" s="1" t="s">
        <v>26</v>
      </c>
      <c r="F2623" s="1" t="s">
        <v>2651</v>
      </c>
      <c r="G2623" s="1" t="s">
        <v>28</v>
      </c>
      <c r="H2623" s="1">
        <v>2721</v>
      </c>
      <c r="I2623" s="1">
        <f t="shared" si="324"/>
        <v>41</v>
      </c>
      <c r="J2623" s="1">
        <f>VLOOKUP(B2623,Cena!$A$2:$B$101,2)</f>
        <v>87</v>
      </c>
      <c r="K2623" s="1">
        <f t="shared" si="328"/>
        <v>3567</v>
      </c>
      <c r="L2623" s="1">
        <f t="shared" si="325"/>
        <v>820.41000000000008</v>
      </c>
      <c r="M2623" s="22">
        <f t="shared" si="329"/>
        <v>4387.41</v>
      </c>
      <c r="N2623" s="1">
        <f t="shared" ca="1" si="326"/>
        <v>4</v>
      </c>
      <c r="P2623" s="1">
        <v>41.927234077593312</v>
      </c>
      <c r="Q2623" s="1">
        <f t="shared" ca="1" si="327"/>
        <v>1</v>
      </c>
      <c r="R2623" s="1">
        <v>9.2097116319200723</v>
      </c>
    </row>
    <row r="2624" spans="1:18" x14ac:dyDescent="0.3">
      <c r="A2624" s="26">
        <v>2623</v>
      </c>
      <c r="B2624" s="1">
        <v>3</v>
      </c>
      <c r="C2624" s="1">
        <f t="shared" si="323"/>
        <v>13</v>
      </c>
      <c r="D2624" s="21">
        <f t="shared" ca="1" si="322"/>
        <v>44732</v>
      </c>
      <c r="E2624" s="1" t="s">
        <v>26</v>
      </c>
      <c r="F2624" s="1" t="s">
        <v>2652</v>
      </c>
      <c r="G2624" s="1" t="s">
        <v>28</v>
      </c>
      <c r="H2624" s="1">
        <v>2722</v>
      </c>
      <c r="I2624" s="1">
        <f t="shared" si="324"/>
        <v>50</v>
      </c>
      <c r="J2624" s="1">
        <f>VLOOKUP(B2624,Cena!$A$2:$B$101,2)</f>
        <v>89</v>
      </c>
      <c r="K2624" s="1">
        <f t="shared" si="328"/>
        <v>4450</v>
      </c>
      <c r="L2624" s="1">
        <f t="shared" si="325"/>
        <v>1023.5</v>
      </c>
      <c r="M2624" s="22">
        <f t="shared" si="329"/>
        <v>5473.5</v>
      </c>
      <c r="N2624" s="1">
        <f t="shared" ca="1" si="326"/>
        <v>6</v>
      </c>
      <c r="P2624" s="1">
        <v>50.092950358521193</v>
      </c>
      <c r="Q2624" s="1">
        <f t="shared" ca="1" si="327"/>
        <v>19</v>
      </c>
      <c r="R2624" s="1">
        <v>13.697277861647308</v>
      </c>
    </row>
    <row r="2625" spans="1:18" x14ac:dyDescent="0.3">
      <c r="A2625" s="26">
        <v>2624</v>
      </c>
      <c r="B2625" s="1">
        <v>12</v>
      </c>
      <c r="C2625" s="1">
        <f t="shared" si="323"/>
        <v>4</v>
      </c>
      <c r="D2625" s="21">
        <f t="shared" ca="1" si="322"/>
        <v>44637</v>
      </c>
      <c r="E2625" s="1" t="s">
        <v>26</v>
      </c>
      <c r="F2625" s="1" t="s">
        <v>2653</v>
      </c>
      <c r="G2625" s="1" t="s">
        <v>28</v>
      </c>
      <c r="H2625" s="1">
        <v>2723</v>
      </c>
      <c r="I2625" s="1">
        <f t="shared" si="324"/>
        <v>52</v>
      </c>
      <c r="J2625" s="1">
        <f>VLOOKUP(B2625,Cena!$A$2:$B$101,2)</f>
        <v>88</v>
      </c>
      <c r="K2625" s="1">
        <f t="shared" si="328"/>
        <v>4576</v>
      </c>
      <c r="L2625" s="1">
        <f t="shared" si="325"/>
        <v>1052.48</v>
      </c>
      <c r="M2625" s="22">
        <f t="shared" si="329"/>
        <v>5628.48</v>
      </c>
      <c r="N2625" s="1">
        <f t="shared" ca="1" si="326"/>
        <v>3</v>
      </c>
      <c r="P2625" s="1">
        <v>52.482784111634828</v>
      </c>
      <c r="Q2625" s="1">
        <f t="shared" ca="1" si="327"/>
        <v>22</v>
      </c>
      <c r="R2625" s="1">
        <v>4.9054199532838538</v>
      </c>
    </row>
    <row r="2626" spans="1:18" x14ac:dyDescent="0.3">
      <c r="A2626" s="26">
        <v>2625</v>
      </c>
      <c r="B2626" s="1">
        <v>8</v>
      </c>
      <c r="C2626" s="1">
        <f t="shared" si="323"/>
        <v>8</v>
      </c>
      <c r="D2626" s="21">
        <f t="shared" ref="D2626:D2689" ca="1" si="330">DATE(2022,RANDBETWEEN(1,12),RANDBETWEEN(1,28))</f>
        <v>44801</v>
      </c>
      <c r="E2626" s="1" t="s">
        <v>26</v>
      </c>
      <c r="F2626" s="1" t="s">
        <v>2654</v>
      </c>
      <c r="G2626" s="1" t="s">
        <v>28</v>
      </c>
      <c r="H2626" s="1">
        <v>2724</v>
      </c>
      <c r="I2626" s="1">
        <f t="shared" si="324"/>
        <v>39</v>
      </c>
      <c r="J2626" s="1">
        <f>VLOOKUP(B2626,Cena!$A$2:$B$101,2)</f>
        <v>88</v>
      </c>
      <c r="K2626" s="1">
        <f t="shared" si="328"/>
        <v>3432</v>
      </c>
      <c r="L2626" s="1">
        <f t="shared" si="325"/>
        <v>789.36</v>
      </c>
      <c r="M2626" s="22">
        <f t="shared" si="329"/>
        <v>4221.3599999999997</v>
      </c>
      <c r="N2626" s="1">
        <f t="shared" ca="1" si="326"/>
        <v>8</v>
      </c>
      <c r="P2626" s="1">
        <v>39.792695487267338</v>
      </c>
      <c r="Q2626" s="1">
        <f t="shared" ca="1" si="327"/>
        <v>30</v>
      </c>
      <c r="R2626" s="1">
        <v>8.9790808285761159</v>
      </c>
    </row>
    <row r="2627" spans="1:18" x14ac:dyDescent="0.3">
      <c r="A2627" s="26">
        <v>2626</v>
      </c>
      <c r="B2627" s="1">
        <v>21</v>
      </c>
      <c r="C2627" s="1">
        <f t="shared" ref="C2627:C2690" si="331">INT(R2627)</f>
        <v>10</v>
      </c>
      <c r="D2627" s="21">
        <f t="shared" ca="1" si="330"/>
        <v>44885</v>
      </c>
      <c r="E2627" s="1" t="s">
        <v>26</v>
      </c>
      <c r="F2627" s="1" t="s">
        <v>2655</v>
      </c>
      <c r="G2627" s="1" t="s">
        <v>28</v>
      </c>
      <c r="H2627" s="1">
        <v>2725</v>
      </c>
      <c r="I2627" s="1">
        <f t="shared" ref="I2627:I2690" si="332">INT(P2627)</f>
        <v>40</v>
      </c>
      <c r="J2627" s="1">
        <f>VLOOKUP(B2627,Cena!$A$2:$B$101,2)</f>
        <v>105</v>
      </c>
      <c r="K2627" s="1">
        <f t="shared" si="328"/>
        <v>4200</v>
      </c>
      <c r="L2627" s="1">
        <f t="shared" ref="L2627:L2690" si="333">K2627*23%</f>
        <v>966</v>
      </c>
      <c r="M2627" s="22">
        <f t="shared" si="329"/>
        <v>5166</v>
      </c>
      <c r="N2627" s="1">
        <f t="shared" ref="N2627:N2690" ca="1" si="334">MONTH(D2627)</f>
        <v>11</v>
      </c>
      <c r="P2627" s="1">
        <v>40.440983310691081</v>
      </c>
      <c r="Q2627" s="1">
        <f t="shared" ref="Q2627:Q2690" ca="1" si="335">RANDBETWEEN(1,30)</f>
        <v>13</v>
      </c>
      <c r="R2627" s="1">
        <v>10.279896994470619</v>
      </c>
    </row>
    <row r="2628" spans="1:18" x14ac:dyDescent="0.3">
      <c r="A2628" s="26">
        <v>2627</v>
      </c>
      <c r="B2628" s="1">
        <v>12</v>
      </c>
      <c r="C2628" s="1">
        <f t="shared" si="331"/>
        <v>7</v>
      </c>
      <c r="D2628" s="21">
        <f t="shared" ca="1" si="330"/>
        <v>44652</v>
      </c>
      <c r="E2628" s="1" t="s">
        <v>26</v>
      </c>
      <c r="F2628" s="1" t="s">
        <v>2656</v>
      </c>
      <c r="G2628" s="1" t="s">
        <v>28</v>
      </c>
      <c r="H2628" s="1">
        <v>2726</v>
      </c>
      <c r="I2628" s="1">
        <f t="shared" si="332"/>
        <v>69</v>
      </c>
      <c r="J2628" s="1">
        <f>VLOOKUP(B2628,Cena!$A$2:$B$101,2)</f>
        <v>88</v>
      </c>
      <c r="K2628" s="1">
        <f t="shared" si="328"/>
        <v>6072</v>
      </c>
      <c r="L2628" s="1">
        <f t="shared" si="333"/>
        <v>1396.5600000000002</v>
      </c>
      <c r="M2628" s="22">
        <f t="shared" si="329"/>
        <v>7468.56</v>
      </c>
      <c r="N2628" s="1">
        <f t="shared" ca="1" si="334"/>
        <v>4</v>
      </c>
      <c r="P2628" s="1">
        <v>69.979961507488042</v>
      </c>
      <c r="Q2628" s="1">
        <f t="shared" ca="1" si="335"/>
        <v>14</v>
      </c>
      <c r="R2628" s="1">
        <v>7.0244175528932828</v>
      </c>
    </row>
    <row r="2629" spans="1:18" x14ac:dyDescent="0.3">
      <c r="A2629" s="26">
        <v>2628</v>
      </c>
      <c r="B2629" s="1">
        <v>11</v>
      </c>
      <c r="C2629" s="1">
        <f t="shared" si="331"/>
        <v>8</v>
      </c>
      <c r="D2629" s="21">
        <f t="shared" ca="1" si="330"/>
        <v>44764</v>
      </c>
      <c r="E2629" s="1" t="s">
        <v>26</v>
      </c>
      <c r="F2629" s="1" t="s">
        <v>2657</v>
      </c>
      <c r="G2629" s="1" t="s">
        <v>28</v>
      </c>
      <c r="H2629" s="1">
        <v>2727</v>
      </c>
      <c r="I2629" s="1">
        <f t="shared" si="332"/>
        <v>57</v>
      </c>
      <c r="J2629" s="1">
        <f>VLOOKUP(B2629,Cena!$A$2:$B$101,2)</f>
        <v>83</v>
      </c>
      <c r="K2629" s="1">
        <f t="shared" si="328"/>
        <v>4731</v>
      </c>
      <c r="L2629" s="1">
        <f t="shared" si="333"/>
        <v>1088.1300000000001</v>
      </c>
      <c r="M2629" s="22">
        <f t="shared" si="329"/>
        <v>5819.13</v>
      </c>
      <c r="N2629" s="1">
        <f t="shared" ca="1" si="334"/>
        <v>7</v>
      </c>
      <c r="P2629" s="1">
        <v>57.643564003956271</v>
      </c>
      <c r="Q2629" s="1">
        <f t="shared" ca="1" si="335"/>
        <v>18</v>
      </c>
      <c r="R2629" s="1">
        <v>8.8534398198680719</v>
      </c>
    </row>
    <row r="2630" spans="1:18" x14ac:dyDescent="0.3">
      <c r="A2630" s="26">
        <v>2629</v>
      </c>
      <c r="B2630" s="1">
        <v>17</v>
      </c>
      <c r="C2630" s="1">
        <f t="shared" si="331"/>
        <v>5</v>
      </c>
      <c r="D2630" s="21">
        <f t="shared" ca="1" si="330"/>
        <v>44572</v>
      </c>
      <c r="E2630" s="1" t="s">
        <v>26</v>
      </c>
      <c r="F2630" s="1" t="s">
        <v>2658</v>
      </c>
      <c r="G2630" s="1" t="s">
        <v>28</v>
      </c>
      <c r="H2630" s="1">
        <v>2728</v>
      </c>
      <c r="I2630" s="1">
        <f t="shared" si="332"/>
        <v>59</v>
      </c>
      <c r="J2630" s="1">
        <f>VLOOKUP(B2630,Cena!$A$2:$B$101,2)</f>
        <v>84</v>
      </c>
      <c r="K2630" s="1">
        <f t="shared" si="328"/>
        <v>4956</v>
      </c>
      <c r="L2630" s="1">
        <f t="shared" si="333"/>
        <v>1139.8800000000001</v>
      </c>
      <c r="M2630" s="22">
        <f t="shared" si="329"/>
        <v>6095.88</v>
      </c>
      <c r="N2630" s="1">
        <f t="shared" ca="1" si="334"/>
        <v>1</v>
      </c>
      <c r="P2630" s="1">
        <v>59.970608516596258</v>
      </c>
      <c r="Q2630" s="1">
        <f t="shared" ca="1" si="335"/>
        <v>1</v>
      </c>
      <c r="R2630" s="1">
        <v>5.2650796330999583</v>
      </c>
    </row>
    <row r="2631" spans="1:18" x14ac:dyDescent="0.3">
      <c r="A2631" s="26">
        <v>2630</v>
      </c>
      <c r="B2631" s="1">
        <v>7</v>
      </c>
      <c r="C2631" s="1">
        <f t="shared" si="331"/>
        <v>7</v>
      </c>
      <c r="D2631" s="21">
        <f t="shared" ca="1" si="330"/>
        <v>44724</v>
      </c>
      <c r="E2631" s="1" t="s">
        <v>26</v>
      </c>
      <c r="F2631" s="1" t="s">
        <v>2659</v>
      </c>
      <c r="G2631" s="1" t="s">
        <v>28</v>
      </c>
      <c r="H2631" s="1">
        <v>2729</v>
      </c>
      <c r="I2631" s="1">
        <f t="shared" si="332"/>
        <v>46</v>
      </c>
      <c r="J2631" s="1">
        <f>VLOOKUP(B2631,Cena!$A$2:$B$101,2)</f>
        <v>104</v>
      </c>
      <c r="K2631" s="1">
        <f t="shared" si="328"/>
        <v>4784</v>
      </c>
      <c r="L2631" s="1">
        <f t="shared" si="333"/>
        <v>1100.32</v>
      </c>
      <c r="M2631" s="22">
        <f t="shared" si="329"/>
        <v>5884.32</v>
      </c>
      <c r="N2631" s="1">
        <f t="shared" ca="1" si="334"/>
        <v>6</v>
      </c>
      <c r="P2631" s="1">
        <v>46.283668224350549</v>
      </c>
      <c r="Q2631" s="1">
        <f t="shared" ca="1" si="335"/>
        <v>12</v>
      </c>
      <c r="R2631" s="1">
        <v>7.4278068748390069</v>
      </c>
    </row>
    <row r="2632" spans="1:18" x14ac:dyDescent="0.3">
      <c r="A2632" s="26">
        <v>2631</v>
      </c>
      <c r="B2632" s="1">
        <v>30</v>
      </c>
      <c r="C2632" s="1">
        <f t="shared" si="331"/>
        <v>13</v>
      </c>
      <c r="D2632" s="21">
        <f t="shared" ca="1" si="330"/>
        <v>44659</v>
      </c>
      <c r="E2632" s="1" t="s">
        <v>26</v>
      </c>
      <c r="F2632" s="1" t="s">
        <v>2660</v>
      </c>
      <c r="G2632" s="1" t="s">
        <v>28</v>
      </c>
      <c r="H2632" s="1">
        <v>2730</v>
      </c>
      <c r="I2632" s="1">
        <f t="shared" si="332"/>
        <v>63</v>
      </c>
      <c r="J2632" s="1">
        <f>VLOOKUP(B2632,Cena!$A$2:$B$101,2)</f>
        <v>87</v>
      </c>
      <c r="K2632" s="1">
        <f t="shared" si="328"/>
        <v>5481</v>
      </c>
      <c r="L2632" s="1">
        <f t="shared" si="333"/>
        <v>1260.6300000000001</v>
      </c>
      <c r="M2632" s="22">
        <f t="shared" si="329"/>
        <v>6741.63</v>
      </c>
      <c r="N2632" s="1">
        <f t="shared" ca="1" si="334"/>
        <v>4</v>
      </c>
      <c r="P2632" s="1">
        <v>63.420776667771861</v>
      </c>
      <c r="Q2632" s="1">
        <f t="shared" ca="1" si="335"/>
        <v>19</v>
      </c>
      <c r="R2632" s="1">
        <v>13.513889623718569</v>
      </c>
    </row>
    <row r="2633" spans="1:18" x14ac:dyDescent="0.3">
      <c r="A2633" s="26">
        <v>2632</v>
      </c>
      <c r="B2633" s="1">
        <v>20</v>
      </c>
      <c r="C2633" s="1">
        <f t="shared" si="331"/>
        <v>7</v>
      </c>
      <c r="D2633" s="21">
        <f t="shared" ca="1" si="330"/>
        <v>44855</v>
      </c>
      <c r="E2633" s="1" t="s">
        <v>26</v>
      </c>
      <c r="F2633" s="1" t="s">
        <v>2661</v>
      </c>
      <c r="G2633" s="1" t="s">
        <v>28</v>
      </c>
      <c r="H2633" s="1">
        <v>2731</v>
      </c>
      <c r="I2633" s="1">
        <f t="shared" si="332"/>
        <v>59</v>
      </c>
      <c r="J2633" s="1">
        <f>VLOOKUP(B2633,Cena!$A$2:$B$101,2)</f>
        <v>111</v>
      </c>
      <c r="K2633" s="1">
        <f t="shared" si="328"/>
        <v>6549</v>
      </c>
      <c r="L2633" s="1">
        <f t="shared" si="333"/>
        <v>1506.27</v>
      </c>
      <c r="M2633" s="22">
        <f t="shared" si="329"/>
        <v>8055.27</v>
      </c>
      <c r="N2633" s="1">
        <f t="shared" ca="1" si="334"/>
        <v>10</v>
      </c>
      <c r="P2633" s="1">
        <v>59.302448233938776</v>
      </c>
      <c r="Q2633" s="1">
        <f t="shared" ca="1" si="335"/>
        <v>15</v>
      </c>
      <c r="R2633" s="1">
        <v>7.2495174915820826</v>
      </c>
    </row>
    <row r="2634" spans="1:18" x14ac:dyDescent="0.3">
      <c r="A2634" s="26">
        <v>2633</v>
      </c>
      <c r="B2634" s="1">
        <v>3</v>
      </c>
      <c r="C2634" s="1">
        <f t="shared" si="331"/>
        <v>10</v>
      </c>
      <c r="D2634" s="21">
        <f t="shared" ca="1" si="330"/>
        <v>44589</v>
      </c>
      <c r="E2634" s="1" t="s">
        <v>26</v>
      </c>
      <c r="F2634" s="1" t="s">
        <v>2662</v>
      </c>
      <c r="G2634" s="1" t="s">
        <v>28</v>
      </c>
      <c r="H2634" s="1">
        <v>2732</v>
      </c>
      <c r="I2634" s="1">
        <f t="shared" si="332"/>
        <v>42</v>
      </c>
      <c r="J2634" s="1">
        <f>VLOOKUP(B2634,Cena!$A$2:$B$101,2)</f>
        <v>89</v>
      </c>
      <c r="K2634" s="1">
        <f t="shared" si="328"/>
        <v>3738</v>
      </c>
      <c r="L2634" s="1">
        <f t="shared" si="333"/>
        <v>859.74</v>
      </c>
      <c r="M2634" s="22">
        <f t="shared" si="329"/>
        <v>4597.74</v>
      </c>
      <c r="N2634" s="1">
        <f t="shared" ca="1" si="334"/>
        <v>1</v>
      </c>
      <c r="P2634" s="1">
        <v>42.352331901201978</v>
      </c>
      <c r="Q2634" s="1">
        <f t="shared" ca="1" si="335"/>
        <v>13</v>
      </c>
      <c r="R2634" s="1">
        <v>10.896579877007753</v>
      </c>
    </row>
    <row r="2635" spans="1:18" x14ac:dyDescent="0.3">
      <c r="A2635" s="26">
        <v>2634</v>
      </c>
      <c r="B2635" s="1">
        <v>10</v>
      </c>
      <c r="C2635" s="1">
        <f t="shared" si="331"/>
        <v>5</v>
      </c>
      <c r="D2635" s="21">
        <f t="shared" ca="1" si="330"/>
        <v>44727</v>
      </c>
      <c r="E2635" s="1" t="s">
        <v>26</v>
      </c>
      <c r="F2635" s="1" t="s">
        <v>2663</v>
      </c>
      <c r="G2635" s="1" t="s">
        <v>28</v>
      </c>
      <c r="H2635" s="1">
        <v>2733</v>
      </c>
      <c r="I2635" s="1">
        <f t="shared" si="332"/>
        <v>49</v>
      </c>
      <c r="J2635" s="1">
        <f>VLOOKUP(B2635,Cena!$A$2:$B$101,2)</f>
        <v>109</v>
      </c>
      <c r="K2635" s="1">
        <f t="shared" si="328"/>
        <v>5341</v>
      </c>
      <c r="L2635" s="1">
        <f t="shared" si="333"/>
        <v>1228.43</v>
      </c>
      <c r="M2635" s="22">
        <f t="shared" si="329"/>
        <v>6569.43</v>
      </c>
      <c r="N2635" s="1">
        <f t="shared" ca="1" si="334"/>
        <v>6</v>
      </c>
      <c r="P2635" s="1">
        <v>49.495275915251113</v>
      </c>
      <c r="Q2635" s="1">
        <f t="shared" ca="1" si="335"/>
        <v>24</v>
      </c>
      <c r="R2635" s="1">
        <v>5.5054704514623154</v>
      </c>
    </row>
    <row r="2636" spans="1:18" x14ac:dyDescent="0.3">
      <c r="A2636" s="26">
        <v>2635</v>
      </c>
      <c r="B2636" s="1">
        <v>23</v>
      </c>
      <c r="C2636" s="1">
        <f t="shared" si="331"/>
        <v>10</v>
      </c>
      <c r="D2636" s="21">
        <f t="shared" ca="1" si="330"/>
        <v>44858</v>
      </c>
      <c r="E2636" s="1" t="s">
        <v>26</v>
      </c>
      <c r="F2636" s="1" t="s">
        <v>2664</v>
      </c>
      <c r="G2636" s="1" t="s">
        <v>28</v>
      </c>
      <c r="H2636" s="1">
        <v>2734</v>
      </c>
      <c r="I2636" s="1">
        <f t="shared" si="332"/>
        <v>42</v>
      </c>
      <c r="J2636" s="1">
        <f>VLOOKUP(B2636,Cena!$A$2:$B$101,2)</f>
        <v>132</v>
      </c>
      <c r="K2636" s="1">
        <f t="shared" si="328"/>
        <v>5544</v>
      </c>
      <c r="L2636" s="1">
        <f t="shared" si="333"/>
        <v>1275.1200000000001</v>
      </c>
      <c r="M2636" s="22">
        <f t="shared" si="329"/>
        <v>6819.12</v>
      </c>
      <c r="N2636" s="1">
        <f t="shared" ca="1" si="334"/>
        <v>10</v>
      </c>
      <c r="P2636" s="1">
        <v>42.843322615954094</v>
      </c>
      <c r="Q2636" s="1">
        <f t="shared" ca="1" si="335"/>
        <v>13</v>
      </c>
      <c r="R2636" s="1">
        <v>10.197860572370701</v>
      </c>
    </row>
    <row r="2637" spans="1:18" x14ac:dyDescent="0.3">
      <c r="A2637" s="26">
        <v>2636</v>
      </c>
      <c r="B2637" s="1">
        <v>12</v>
      </c>
      <c r="C2637" s="1">
        <f t="shared" si="331"/>
        <v>8</v>
      </c>
      <c r="D2637" s="21">
        <f t="shared" ca="1" si="330"/>
        <v>44752</v>
      </c>
      <c r="E2637" s="1" t="s">
        <v>26</v>
      </c>
      <c r="F2637" s="1" t="s">
        <v>2665</v>
      </c>
      <c r="G2637" s="1" t="s">
        <v>28</v>
      </c>
      <c r="H2637" s="1">
        <v>2735</v>
      </c>
      <c r="I2637" s="1">
        <f t="shared" si="332"/>
        <v>41</v>
      </c>
      <c r="J2637" s="1">
        <f>VLOOKUP(B2637,Cena!$A$2:$B$101,2)</f>
        <v>88</v>
      </c>
      <c r="K2637" s="1">
        <f t="shared" si="328"/>
        <v>3608</v>
      </c>
      <c r="L2637" s="1">
        <f t="shared" si="333"/>
        <v>829.84</v>
      </c>
      <c r="M2637" s="22">
        <f t="shared" si="329"/>
        <v>4437.84</v>
      </c>
      <c r="N2637" s="1">
        <f t="shared" ca="1" si="334"/>
        <v>7</v>
      </c>
      <c r="P2637" s="1">
        <v>41.943127497506794</v>
      </c>
      <c r="Q2637" s="1">
        <f t="shared" ca="1" si="335"/>
        <v>25</v>
      </c>
      <c r="R2637" s="1">
        <v>8.3889495069888653</v>
      </c>
    </row>
    <row r="2638" spans="1:18" x14ac:dyDescent="0.3">
      <c r="A2638" s="26">
        <v>2637</v>
      </c>
      <c r="B2638" s="1">
        <v>15</v>
      </c>
      <c r="C2638" s="1">
        <f t="shared" si="331"/>
        <v>7</v>
      </c>
      <c r="D2638" s="21">
        <f t="shared" ca="1" si="330"/>
        <v>44619</v>
      </c>
      <c r="E2638" s="1" t="s">
        <v>26</v>
      </c>
      <c r="F2638" s="1" t="s">
        <v>2666</v>
      </c>
      <c r="G2638" s="1" t="s">
        <v>28</v>
      </c>
      <c r="H2638" s="1">
        <v>2736</v>
      </c>
      <c r="I2638" s="1">
        <f t="shared" si="332"/>
        <v>51</v>
      </c>
      <c r="J2638" s="1">
        <f>VLOOKUP(B2638,Cena!$A$2:$B$101,2)</f>
        <v>85</v>
      </c>
      <c r="K2638" s="1">
        <f t="shared" si="328"/>
        <v>4335</v>
      </c>
      <c r="L2638" s="1">
        <f t="shared" si="333"/>
        <v>997.05000000000007</v>
      </c>
      <c r="M2638" s="22">
        <f t="shared" si="329"/>
        <v>5332.05</v>
      </c>
      <c r="N2638" s="1">
        <f t="shared" ca="1" si="334"/>
        <v>2</v>
      </c>
      <c r="P2638" s="1">
        <v>51.258263182535302</v>
      </c>
      <c r="Q2638" s="1">
        <f t="shared" ca="1" si="335"/>
        <v>25</v>
      </c>
      <c r="R2638" s="1">
        <v>7.2617501953209285</v>
      </c>
    </row>
    <row r="2639" spans="1:18" x14ac:dyDescent="0.3">
      <c r="A2639" s="26">
        <v>2638</v>
      </c>
      <c r="B2639" s="1">
        <v>19</v>
      </c>
      <c r="C2639" s="1">
        <f t="shared" si="331"/>
        <v>11</v>
      </c>
      <c r="D2639" s="21">
        <f t="shared" ca="1" si="330"/>
        <v>44749</v>
      </c>
      <c r="E2639" s="1" t="s">
        <v>26</v>
      </c>
      <c r="F2639" s="1" t="s">
        <v>2667</v>
      </c>
      <c r="G2639" s="1" t="s">
        <v>28</v>
      </c>
      <c r="H2639" s="1">
        <v>2737</v>
      </c>
      <c r="I2639" s="1">
        <f t="shared" si="332"/>
        <v>43</v>
      </c>
      <c r="J2639" s="1">
        <f>VLOOKUP(B2639,Cena!$A$2:$B$101,2)</f>
        <v>84</v>
      </c>
      <c r="K2639" s="1">
        <f t="shared" si="328"/>
        <v>3612</v>
      </c>
      <c r="L2639" s="1">
        <f t="shared" si="333"/>
        <v>830.76</v>
      </c>
      <c r="M2639" s="22">
        <f t="shared" si="329"/>
        <v>4442.76</v>
      </c>
      <c r="N2639" s="1">
        <f t="shared" ca="1" si="334"/>
        <v>7</v>
      </c>
      <c r="P2639" s="1">
        <v>43.930759956128895</v>
      </c>
      <c r="Q2639" s="1">
        <f t="shared" ca="1" si="335"/>
        <v>27</v>
      </c>
      <c r="R2639" s="1">
        <v>11.365316393275862</v>
      </c>
    </row>
    <row r="2640" spans="1:18" x14ac:dyDescent="0.3">
      <c r="A2640" s="26">
        <v>2639</v>
      </c>
      <c r="B2640" s="1">
        <v>17</v>
      </c>
      <c r="C2640" s="1">
        <f t="shared" si="331"/>
        <v>11</v>
      </c>
      <c r="D2640" s="21">
        <f t="shared" ca="1" si="330"/>
        <v>44878</v>
      </c>
      <c r="E2640" s="1" t="s">
        <v>26</v>
      </c>
      <c r="F2640" s="1" t="s">
        <v>2668</v>
      </c>
      <c r="G2640" s="1" t="s">
        <v>28</v>
      </c>
      <c r="H2640" s="1">
        <v>2738</v>
      </c>
      <c r="I2640" s="1">
        <f t="shared" si="332"/>
        <v>59</v>
      </c>
      <c r="J2640" s="1">
        <f>VLOOKUP(B2640,Cena!$A$2:$B$101,2)</f>
        <v>84</v>
      </c>
      <c r="K2640" s="1">
        <f t="shared" si="328"/>
        <v>4956</v>
      </c>
      <c r="L2640" s="1">
        <f t="shared" si="333"/>
        <v>1139.8800000000001</v>
      </c>
      <c r="M2640" s="22">
        <f t="shared" si="329"/>
        <v>6095.88</v>
      </c>
      <c r="N2640" s="1">
        <f t="shared" ca="1" si="334"/>
        <v>11</v>
      </c>
      <c r="P2640" s="1">
        <v>59.343784768134356</v>
      </c>
      <c r="Q2640" s="1">
        <f t="shared" ca="1" si="335"/>
        <v>7</v>
      </c>
      <c r="R2640" s="1">
        <v>11.537824800834642</v>
      </c>
    </row>
    <row r="2641" spans="1:18" x14ac:dyDescent="0.3">
      <c r="A2641" s="26">
        <v>2640</v>
      </c>
      <c r="B2641" s="1">
        <v>7</v>
      </c>
      <c r="C2641" s="1">
        <f t="shared" si="331"/>
        <v>13</v>
      </c>
      <c r="D2641" s="21">
        <f t="shared" ca="1" si="330"/>
        <v>44599</v>
      </c>
      <c r="E2641" s="1" t="s">
        <v>26</v>
      </c>
      <c r="F2641" s="1" t="s">
        <v>2669</v>
      </c>
      <c r="G2641" s="1" t="s">
        <v>28</v>
      </c>
      <c r="H2641" s="1">
        <v>2739</v>
      </c>
      <c r="I2641" s="1">
        <f t="shared" si="332"/>
        <v>54</v>
      </c>
      <c r="J2641" s="1">
        <f>VLOOKUP(B2641,Cena!$A$2:$B$101,2)</f>
        <v>104</v>
      </c>
      <c r="K2641" s="1">
        <f t="shared" si="328"/>
        <v>5616</v>
      </c>
      <c r="L2641" s="1">
        <f t="shared" si="333"/>
        <v>1291.68</v>
      </c>
      <c r="M2641" s="22">
        <f t="shared" si="329"/>
        <v>6907.68</v>
      </c>
      <c r="N2641" s="1">
        <f t="shared" ca="1" si="334"/>
        <v>2</v>
      </c>
      <c r="P2641" s="1">
        <v>54.717514912044862</v>
      </c>
      <c r="Q2641" s="1">
        <f t="shared" ca="1" si="335"/>
        <v>16</v>
      </c>
      <c r="R2641" s="1">
        <v>13.691002348205075</v>
      </c>
    </row>
    <row r="2642" spans="1:18" x14ac:dyDescent="0.3">
      <c r="A2642" s="26">
        <v>2641</v>
      </c>
      <c r="B2642" s="1">
        <v>19</v>
      </c>
      <c r="C2642" s="1">
        <f t="shared" si="331"/>
        <v>10</v>
      </c>
      <c r="D2642" s="21">
        <f t="shared" ca="1" si="330"/>
        <v>44732</v>
      </c>
      <c r="E2642" s="1" t="s">
        <v>26</v>
      </c>
      <c r="F2642" s="1" t="s">
        <v>2670</v>
      </c>
      <c r="G2642" s="1" t="s">
        <v>28</v>
      </c>
      <c r="H2642" s="1">
        <v>2740</v>
      </c>
      <c r="I2642" s="1">
        <f t="shared" si="332"/>
        <v>33</v>
      </c>
      <c r="J2642" s="1">
        <f>VLOOKUP(B2642,Cena!$A$2:$B$101,2)</f>
        <v>84</v>
      </c>
      <c r="K2642" s="1">
        <f t="shared" si="328"/>
        <v>2772</v>
      </c>
      <c r="L2642" s="1">
        <f t="shared" si="333"/>
        <v>637.56000000000006</v>
      </c>
      <c r="M2642" s="22">
        <f t="shared" si="329"/>
        <v>3409.56</v>
      </c>
      <c r="N2642" s="1">
        <f t="shared" ca="1" si="334"/>
        <v>6</v>
      </c>
      <c r="P2642" s="1">
        <v>33.685074766981415</v>
      </c>
      <c r="Q2642" s="1">
        <f t="shared" ca="1" si="335"/>
        <v>15</v>
      </c>
      <c r="R2642" s="1">
        <v>10.61241678395163</v>
      </c>
    </row>
    <row r="2643" spans="1:18" x14ac:dyDescent="0.3">
      <c r="A2643" s="26">
        <v>2642</v>
      </c>
      <c r="B2643" s="1">
        <v>9</v>
      </c>
      <c r="C2643" s="1">
        <f t="shared" si="331"/>
        <v>6</v>
      </c>
      <c r="D2643" s="21">
        <f t="shared" ca="1" si="330"/>
        <v>44574</v>
      </c>
      <c r="E2643" s="1" t="s">
        <v>26</v>
      </c>
      <c r="F2643" s="1" t="s">
        <v>2671</v>
      </c>
      <c r="G2643" s="1" t="s">
        <v>28</v>
      </c>
      <c r="H2643" s="1">
        <v>2741</v>
      </c>
      <c r="I2643" s="1">
        <f t="shared" si="332"/>
        <v>40</v>
      </c>
      <c r="J2643" s="1">
        <f>VLOOKUP(B2643,Cena!$A$2:$B$101,2)</f>
        <v>96</v>
      </c>
      <c r="K2643" s="1">
        <f t="shared" si="328"/>
        <v>3840</v>
      </c>
      <c r="L2643" s="1">
        <f t="shared" si="333"/>
        <v>883.2</v>
      </c>
      <c r="M2643" s="22">
        <f t="shared" si="329"/>
        <v>4723.2</v>
      </c>
      <c r="N2643" s="1">
        <f t="shared" ca="1" si="334"/>
        <v>1</v>
      </c>
      <c r="P2643" s="1">
        <v>40.275387062865775</v>
      </c>
      <c r="Q2643" s="1">
        <f t="shared" ca="1" si="335"/>
        <v>30</v>
      </c>
      <c r="R2643" s="1">
        <v>6.6101256632100558</v>
      </c>
    </row>
    <row r="2644" spans="1:18" x14ac:dyDescent="0.3">
      <c r="A2644" s="26">
        <v>2643</v>
      </c>
      <c r="B2644" s="1">
        <v>20</v>
      </c>
      <c r="C2644" s="1">
        <f t="shared" si="331"/>
        <v>12</v>
      </c>
      <c r="D2644" s="21">
        <f t="shared" ca="1" si="330"/>
        <v>44805</v>
      </c>
      <c r="E2644" s="1" t="s">
        <v>26</v>
      </c>
      <c r="F2644" s="1" t="s">
        <v>2672</v>
      </c>
      <c r="G2644" s="1" t="s">
        <v>28</v>
      </c>
      <c r="H2644" s="1">
        <v>2742</v>
      </c>
      <c r="I2644" s="1">
        <f t="shared" si="332"/>
        <v>50</v>
      </c>
      <c r="J2644" s="1">
        <f>VLOOKUP(B2644,Cena!$A$2:$B$101,2)</f>
        <v>111</v>
      </c>
      <c r="K2644" s="1">
        <f t="shared" si="328"/>
        <v>5550</v>
      </c>
      <c r="L2644" s="1">
        <f t="shared" si="333"/>
        <v>1276.5</v>
      </c>
      <c r="M2644" s="22">
        <f t="shared" si="329"/>
        <v>6826.5</v>
      </c>
      <c r="N2644" s="1">
        <f t="shared" ca="1" si="334"/>
        <v>9</v>
      </c>
      <c r="P2644" s="1">
        <v>50.609679773333482</v>
      </c>
      <c r="Q2644" s="1">
        <f t="shared" ca="1" si="335"/>
        <v>8</v>
      </c>
      <c r="R2644" s="1">
        <v>12.003127974603558</v>
      </c>
    </row>
    <row r="2645" spans="1:18" x14ac:dyDescent="0.3">
      <c r="A2645" s="26">
        <v>2644</v>
      </c>
      <c r="B2645" s="1">
        <v>14</v>
      </c>
      <c r="C2645" s="1">
        <f t="shared" si="331"/>
        <v>11</v>
      </c>
      <c r="D2645" s="21">
        <f t="shared" ca="1" si="330"/>
        <v>44784</v>
      </c>
      <c r="E2645" s="1" t="s">
        <v>26</v>
      </c>
      <c r="F2645" s="1" t="s">
        <v>2673</v>
      </c>
      <c r="G2645" s="1" t="s">
        <v>28</v>
      </c>
      <c r="H2645" s="1">
        <v>2743</v>
      </c>
      <c r="I2645" s="1">
        <f t="shared" si="332"/>
        <v>56</v>
      </c>
      <c r="J2645" s="1">
        <f>VLOOKUP(B2645,Cena!$A$2:$B$101,2)</f>
        <v>129</v>
      </c>
      <c r="K2645" s="1">
        <f t="shared" si="328"/>
        <v>7224</v>
      </c>
      <c r="L2645" s="1">
        <f t="shared" si="333"/>
        <v>1661.52</v>
      </c>
      <c r="M2645" s="22">
        <f t="shared" si="329"/>
        <v>8885.52</v>
      </c>
      <c r="N2645" s="1">
        <f t="shared" ca="1" si="334"/>
        <v>8</v>
      </c>
      <c r="P2645" s="1">
        <v>56.043512712494703</v>
      </c>
      <c r="Q2645" s="1">
        <f t="shared" ca="1" si="335"/>
        <v>22</v>
      </c>
      <c r="R2645" s="1">
        <v>11.513865299784811</v>
      </c>
    </row>
    <row r="2646" spans="1:18" x14ac:dyDescent="0.3">
      <c r="A2646" s="26">
        <v>2645</v>
      </c>
      <c r="B2646" s="1">
        <v>17</v>
      </c>
      <c r="C2646" s="1">
        <f t="shared" si="331"/>
        <v>10</v>
      </c>
      <c r="D2646" s="21">
        <f t="shared" ca="1" si="330"/>
        <v>44571</v>
      </c>
      <c r="E2646" s="1" t="s">
        <v>26</v>
      </c>
      <c r="F2646" s="1" t="s">
        <v>2674</v>
      </c>
      <c r="G2646" s="1" t="s">
        <v>28</v>
      </c>
      <c r="H2646" s="1">
        <v>2744</v>
      </c>
      <c r="I2646" s="1">
        <f t="shared" si="332"/>
        <v>53</v>
      </c>
      <c r="J2646" s="1">
        <f>VLOOKUP(B2646,Cena!$A$2:$B$101,2)</f>
        <v>84</v>
      </c>
      <c r="K2646" s="1">
        <f t="shared" si="328"/>
        <v>4452</v>
      </c>
      <c r="L2646" s="1">
        <f t="shared" si="333"/>
        <v>1023.96</v>
      </c>
      <c r="M2646" s="22">
        <f t="shared" si="329"/>
        <v>5475.96</v>
      </c>
      <c r="N2646" s="1">
        <f t="shared" ca="1" si="334"/>
        <v>1</v>
      </c>
      <c r="P2646" s="1">
        <v>53.39282451022882</v>
      </c>
      <c r="Q2646" s="1">
        <f t="shared" ca="1" si="335"/>
        <v>16</v>
      </c>
      <c r="R2646" s="1">
        <v>10.62483991314366</v>
      </c>
    </row>
    <row r="2647" spans="1:18" x14ac:dyDescent="0.3">
      <c r="A2647" s="26">
        <v>2646</v>
      </c>
      <c r="B2647" s="1">
        <v>6</v>
      </c>
      <c r="C2647" s="1">
        <f t="shared" si="331"/>
        <v>15</v>
      </c>
      <c r="D2647" s="21">
        <f t="shared" ca="1" si="330"/>
        <v>44612</v>
      </c>
      <c r="E2647" s="1" t="s">
        <v>26</v>
      </c>
      <c r="F2647" s="1" t="s">
        <v>2675</v>
      </c>
      <c r="G2647" s="1" t="s">
        <v>28</v>
      </c>
      <c r="H2647" s="1">
        <v>2745</v>
      </c>
      <c r="I2647" s="1">
        <f t="shared" si="332"/>
        <v>58</v>
      </c>
      <c r="J2647" s="1">
        <f>VLOOKUP(B2647,Cena!$A$2:$B$101,2)</f>
        <v>86</v>
      </c>
      <c r="K2647" s="1">
        <f t="shared" si="328"/>
        <v>4988</v>
      </c>
      <c r="L2647" s="1">
        <f t="shared" si="333"/>
        <v>1147.24</v>
      </c>
      <c r="M2647" s="22">
        <f t="shared" si="329"/>
        <v>6135.24</v>
      </c>
      <c r="N2647" s="1">
        <f t="shared" ca="1" si="334"/>
        <v>2</v>
      </c>
      <c r="P2647" s="1">
        <v>58.932647688197903</v>
      </c>
      <c r="Q2647" s="1">
        <f t="shared" ca="1" si="335"/>
        <v>30</v>
      </c>
      <c r="R2647" s="1">
        <v>15.059996510681231</v>
      </c>
    </row>
    <row r="2648" spans="1:18" x14ac:dyDescent="0.3">
      <c r="A2648" s="26">
        <v>2647</v>
      </c>
      <c r="B2648" s="1">
        <v>2</v>
      </c>
      <c r="C2648" s="1">
        <f t="shared" si="331"/>
        <v>7</v>
      </c>
      <c r="D2648" s="21">
        <f t="shared" ca="1" si="330"/>
        <v>44776</v>
      </c>
      <c r="E2648" s="1" t="s">
        <v>26</v>
      </c>
      <c r="F2648" s="1" t="s">
        <v>2676</v>
      </c>
      <c r="G2648" s="1" t="s">
        <v>28</v>
      </c>
      <c r="H2648" s="1">
        <v>2746</v>
      </c>
      <c r="I2648" s="1">
        <f t="shared" si="332"/>
        <v>56</v>
      </c>
      <c r="J2648" s="1">
        <f>VLOOKUP(B2648,Cena!$A$2:$B$101,2)</f>
        <v>121</v>
      </c>
      <c r="K2648" s="1">
        <f t="shared" si="328"/>
        <v>6776</v>
      </c>
      <c r="L2648" s="1">
        <f t="shared" si="333"/>
        <v>1558.48</v>
      </c>
      <c r="M2648" s="22">
        <f t="shared" si="329"/>
        <v>8334.48</v>
      </c>
      <c r="N2648" s="1">
        <f t="shared" ca="1" si="334"/>
        <v>8</v>
      </c>
      <c r="P2648" s="1">
        <v>56.839070465503028</v>
      </c>
      <c r="Q2648" s="1">
        <f t="shared" ca="1" si="335"/>
        <v>29</v>
      </c>
      <c r="R2648" s="1">
        <v>7.7614209001330892</v>
      </c>
    </row>
    <row r="2649" spans="1:18" x14ac:dyDescent="0.3">
      <c r="A2649" s="26">
        <v>2648</v>
      </c>
      <c r="B2649" s="1">
        <v>11</v>
      </c>
      <c r="C2649" s="1">
        <f t="shared" si="331"/>
        <v>5</v>
      </c>
      <c r="D2649" s="21">
        <f t="shared" ca="1" si="330"/>
        <v>44670</v>
      </c>
      <c r="E2649" s="1" t="s">
        <v>26</v>
      </c>
      <c r="F2649" s="1" t="s">
        <v>2677</v>
      </c>
      <c r="G2649" s="1" t="s">
        <v>28</v>
      </c>
      <c r="H2649" s="1">
        <v>2747</v>
      </c>
      <c r="I2649" s="1">
        <f t="shared" si="332"/>
        <v>48</v>
      </c>
      <c r="J2649" s="1">
        <f>VLOOKUP(B2649,Cena!$A$2:$B$101,2)</f>
        <v>83</v>
      </c>
      <c r="K2649" s="1">
        <f t="shared" si="328"/>
        <v>3984</v>
      </c>
      <c r="L2649" s="1">
        <f t="shared" si="333"/>
        <v>916.32</v>
      </c>
      <c r="M2649" s="22">
        <f t="shared" si="329"/>
        <v>4900.32</v>
      </c>
      <c r="N2649" s="1">
        <f t="shared" ca="1" si="334"/>
        <v>4</v>
      </c>
      <c r="P2649" s="1">
        <v>48.899647835060023</v>
      </c>
      <c r="Q2649" s="1">
        <f t="shared" ca="1" si="335"/>
        <v>20</v>
      </c>
      <c r="R2649" s="1">
        <v>5.861480783787556</v>
      </c>
    </row>
    <row r="2650" spans="1:18" x14ac:dyDescent="0.3">
      <c r="A2650" s="26">
        <v>2649</v>
      </c>
      <c r="B2650" s="1">
        <v>12</v>
      </c>
      <c r="C2650" s="1">
        <f t="shared" si="331"/>
        <v>13</v>
      </c>
      <c r="D2650" s="21">
        <f t="shared" ca="1" si="330"/>
        <v>44713</v>
      </c>
      <c r="E2650" s="1" t="s">
        <v>26</v>
      </c>
      <c r="F2650" s="1" t="s">
        <v>2678</v>
      </c>
      <c r="G2650" s="1" t="s">
        <v>28</v>
      </c>
      <c r="H2650" s="1">
        <v>2748</v>
      </c>
      <c r="I2650" s="1">
        <f t="shared" si="332"/>
        <v>47</v>
      </c>
      <c r="J2650" s="1">
        <f>VLOOKUP(B2650,Cena!$A$2:$B$101,2)</f>
        <v>88</v>
      </c>
      <c r="K2650" s="1">
        <f t="shared" si="328"/>
        <v>4136</v>
      </c>
      <c r="L2650" s="1">
        <f t="shared" si="333"/>
        <v>951.28000000000009</v>
      </c>
      <c r="M2650" s="22">
        <f t="shared" si="329"/>
        <v>5087.28</v>
      </c>
      <c r="N2650" s="1">
        <f t="shared" ca="1" si="334"/>
        <v>6</v>
      </c>
      <c r="P2650" s="1">
        <v>47.015288499824237</v>
      </c>
      <c r="Q2650" s="1">
        <f t="shared" ca="1" si="335"/>
        <v>26</v>
      </c>
      <c r="R2650" s="1">
        <v>13.827835826086812</v>
      </c>
    </row>
    <row r="2651" spans="1:18" x14ac:dyDescent="0.3">
      <c r="A2651" s="26">
        <v>2650</v>
      </c>
      <c r="B2651" s="1">
        <v>4</v>
      </c>
      <c r="C2651" s="1">
        <f t="shared" si="331"/>
        <v>10</v>
      </c>
      <c r="D2651" s="21">
        <f t="shared" ca="1" si="330"/>
        <v>44770</v>
      </c>
      <c r="E2651" s="1" t="s">
        <v>26</v>
      </c>
      <c r="F2651" s="1" t="s">
        <v>2679</v>
      </c>
      <c r="G2651" s="1" t="s">
        <v>28</v>
      </c>
      <c r="H2651" s="1">
        <v>2749</v>
      </c>
      <c r="I2651" s="1">
        <f t="shared" si="332"/>
        <v>41</v>
      </c>
      <c r="J2651" s="1">
        <f>VLOOKUP(B2651,Cena!$A$2:$B$101,2)</f>
        <v>99</v>
      </c>
      <c r="K2651" s="1">
        <f t="shared" si="328"/>
        <v>4059</v>
      </c>
      <c r="L2651" s="1">
        <f t="shared" si="333"/>
        <v>933.57</v>
      </c>
      <c r="M2651" s="22">
        <f t="shared" si="329"/>
        <v>4992.57</v>
      </c>
      <c r="N2651" s="1">
        <f t="shared" ca="1" si="334"/>
        <v>7</v>
      </c>
      <c r="P2651" s="1">
        <v>41.907088769949041</v>
      </c>
      <c r="Q2651" s="1">
        <f t="shared" ca="1" si="335"/>
        <v>10</v>
      </c>
      <c r="R2651" s="1">
        <v>10.262392063632433</v>
      </c>
    </row>
    <row r="2652" spans="1:18" x14ac:dyDescent="0.3">
      <c r="A2652" s="26">
        <v>2651</v>
      </c>
      <c r="B2652" s="1">
        <v>14</v>
      </c>
      <c r="C2652" s="1">
        <f t="shared" si="331"/>
        <v>8</v>
      </c>
      <c r="D2652" s="21">
        <f t="shared" ca="1" si="330"/>
        <v>44789</v>
      </c>
      <c r="E2652" s="1" t="s">
        <v>26</v>
      </c>
      <c r="F2652" s="1" t="s">
        <v>2680</v>
      </c>
      <c r="G2652" s="1" t="s">
        <v>28</v>
      </c>
      <c r="H2652" s="1">
        <v>2750</v>
      </c>
      <c r="I2652" s="1">
        <f t="shared" si="332"/>
        <v>43</v>
      </c>
      <c r="J2652" s="1">
        <f>VLOOKUP(B2652,Cena!$A$2:$B$101,2)</f>
        <v>129</v>
      </c>
      <c r="K2652" s="1">
        <f t="shared" si="328"/>
        <v>5547</v>
      </c>
      <c r="L2652" s="1">
        <f t="shared" si="333"/>
        <v>1275.81</v>
      </c>
      <c r="M2652" s="22">
        <f t="shared" si="329"/>
        <v>6822.8099999999995</v>
      </c>
      <c r="N2652" s="1">
        <f t="shared" ca="1" si="334"/>
        <v>8</v>
      </c>
      <c r="P2652" s="1">
        <v>43.833898770390078</v>
      </c>
      <c r="Q2652" s="1">
        <f t="shared" ca="1" si="335"/>
        <v>7</v>
      </c>
      <c r="R2652" s="1">
        <v>8.6931442208515364</v>
      </c>
    </row>
    <row r="2653" spans="1:18" x14ac:dyDescent="0.3">
      <c r="A2653" s="26">
        <v>2652</v>
      </c>
      <c r="B2653" s="1">
        <v>24</v>
      </c>
      <c r="C2653" s="1">
        <f t="shared" si="331"/>
        <v>11</v>
      </c>
      <c r="D2653" s="21">
        <f t="shared" ca="1" si="330"/>
        <v>44915</v>
      </c>
      <c r="E2653" s="1" t="s">
        <v>26</v>
      </c>
      <c r="F2653" s="1" t="s">
        <v>2681</v>
      </c>
      <c r="G2653" s="1" t="s">
        <v>28</v>
      </c>
      <c r="H2653" s="1">
        <v>2751</v>
      </c>
      <c r="I2653" s="1">
        <f t="shared" si="332"/>
        <v>62</v>
      </c>
      <c r="J2653" s="1">
        <f>VLOOKUP(B2653,Cena!$A$2:$B$101,2)</f>
        <v>125</v>
      </c>
      <c r="K2653" s="1">
        <f t="shared" si="328"/>
        <v>7750</v>
      </c>
      <c r="L2653" s="1">
        <f t="shared" si="333"/>
        <v>1782.5</v>
      </c>
      <c r="M2653" s="22">
        <f t="shared" si="329"/>
        <v>9532.5</v>
      </c>
      <c r="N2653" s="1">
        <f t="shared" ca="1" si="334"/>
        <v>12</v>
      </c>
      <c r="P2653" s="1">
        <v>62.927102943649516</v>
      </c>
      <c r="Q2653" s="1">
        <f t="shared" ca="1" si="335"/>
        <v>17</v>
      </c>
      <c r="R2653" s="1">
        <v>11.062846877175616</v>
      </c>
    </row>
    <row r="2654" spans="1:18" x14ac:dyDescent="0.3">
      <c r="A2654" s="26">
        <v>2653</v>
      </c>
      <c r="B2654" s="1">
        <v>23</v>
      </c>
      <c r="C2654" s="1">
        <f t="shared" si="331"/>
        <v>6</v>
      </c>
      <c r="D2654" s="21">
        <f t="shared" ca="1" si="330"/>
        <v>44721</v>
      </c>
      <c r="E2654" s="1" t="s">
        <v>26</v>
      </c>
      <c r="F2654" s="1" t="s">
        <v>2682</v>
      </c>
      <c r="G2654" s="1" t="s">
        <v>28</v>
      </c>
      <c r="H2654" s="1">
        <v>2752</v>
      </c>
      <c r="I2654" s="1">
        <f t="shared" si="332"/>
        <v>57</v>
      </c>
      <c r="J2654" s="1">
        <f>VLOOKUP(B2654,Cena!$A$2:$B$101,2)</f>
        <v>132</v>
      </c>
      <c r="K2654" s="1">
        <f t="shared" si="328"/>
        <v>7524</v>
      </c>
      <c r="L2654" s="1">
        <f t="shared" si="333"/>
        <v>1730.52</v>
      </c>
      <c r="M2654" s="22">
        <f t="shared" si="329"/>
        <v>9254.52</v>
      </c>
      <c r="N2654" s="1">
        <f t="shared" ca="1" si="334"/>
        <v>6</v>
      </c>
      <c r="P2654" s="1">
        <v>57.687685865676031</v>
      </c>
      <c r="Q2654" s="1">
        <f t="shared" ca="1" si="335"/>
        <v>26</v>
      </c>
      <c r="R2654" s="1">
        <v>6.3960249260708224</v>
      </c>
    </row>
    <row r="2655" spans="1:18" x14ac:dyDescent="0.3">
      <c r="A2655" s="26">
        <v>2654</v>
      </c>
      <c r="B2655" s="1">
        <v>2</v>
      </c>
      <c r="C2655" s="1">
        <f t="shared" si="331"/>
        <v>10</v>
      </c>
      <c r="D2655" s="21">
        <f t="shared" ca="1" si="330"/>
        <v>44648</v>
      </c>
      <c r="E2655" s="1" t="s">
        <v>26</v>
      </c>
      <c r="F2655" s="1" t="s">
        <v>2683</v>
      </c>
      <c r="G2655" s="1" t="s">
        <v>28</v>
      </c>
      <c r="H2655" s="1">
        <v>2753</v>
      </c>
      <c r="I2655" s="1">
        <f t="shared" si="332"/>
        <v>54</v>
      </c>
      <c r="J2655" s="1">
        <f>VLOOKUP(B2655,Cena!$A$2:$B$101,2)</f>
        <v>121</v>
      </c>
      <c r="K2655" s="1">
        <f t="shared" ref="K2655:K2718" si="336">I2655*J2655</f>
        <v>6534</v>
      </c>
      <c r="L2655" s="1">
        <f t="shared" si="333"/>
        <v>1502.8200000000002</v>
      </c>
      <c r="M2655" s="22">
        <f t="shared" ref="M2655:M2718" si="337">K2655+L2655</f>
        <v>8036.82</v>
      </c>
      <c r="N2655" s="1">
        <f t="shared" ca="1" si="334"/>
        <v>3</v>
      </c>
      <c r="P2655" s="1">
        <v>54.697858457802795</v>
      </c>
      <c r="Q2655" s="1">
        <f t="shared" ca="1" si="335"/>
        <v>20</v>
      </c>
      <c r="R2655" s="1">
        <v>10.426726387559029</v>
      </c>
    </row>
    <row r="2656" spans="1:18" x14ac:dyDescent="0.3">
      <c r="A2656" s="26">
        <v>2655</v>
      </c>
      <c r="B2656" s="1">
        <v>13</v>
      </c>
      <c r="C2656" s="1">
        <f t="shared" si="331"/>
        <v>11</v>
      </c>
      <c r="D2656" s="21">
        <f t="shared" ca="1" si="330"/>
        <v>44766</v>
      </c>
      <c r="E2656" s="1" t="s">
        <v>26</v>
      </c>
      <c r="F2656" s="1" t="s">
        <v>2684</v>
      </c>
      <c r="G2656" s="1" t="s">
        <v>28</v>
      </c>
      <c r="H2656" s="1">
        <v>2754</v>
      </c>
      <c r="I2656" s="1">
        <f t="shared" si="332"/>
        <v>44</v>
      </c>
      <c r="J2656" s="1">
        <f>VLOOKUP(B2656,Cena!$A$2:$B$101,2)</f>
        <v>94</v>
      </c>
      <c r="K2656" s="1">
        <f t="shared" si="336"/>
        <v>4136</v>
      </c>
      <c r="L2656" s="1">
        <f t="shared" si="333"/>
        <v>951.28000000000009</v>
      </c>
      <c r="M2656" s="22">
        <f t="shared" si="337"/>
        <v>5087.28</v>
      </c>
      <c r="N2656" s="1">
        <f t="shared" ca="1" si="334"/>
        <v>7</v>
      </c>
      <c r="P2656" s="1">
        <v>44.420250004623085</v>
      </c>
      <c r="Q2656" s="1">
        <f t="shared" ca="1" si="335"/>
        <v>4</v>
      </c>
      <c r="R2656" s="1">
        <v>11.521914327895502</v>
      </c>
    </row>
    <row r="2657" spans="1:18" x14ac:dyDescent="0.3">
      <c r="A2657" s="26">
        <v>2656</v>
      </c>
      <c r="B2657" s="1">
        <v>5</v>
      </c>
      <c r="C2657" s="1">
        <f t="shared" si="331"/>
        <v>9</v>
      </c>
      <c r="D2657" s="21">
        <f t="shared" ca="1" si="330"/>
        <v>44874</v>
      </c>
      <c r="E2657" s="1" t="s">
        <v>26</v>
      </c>
      <c r="F2657" s="1" t="s">
        <v>2685</v>
      </c>
      <c r="G2657" s="1" t="s">
        <v>28</v>
      </c>
      <c r="H2657" s="1">
        <v>2755</v>
      </c>
      <c r="I2657" s="1">
        <f t="shared" si="332"/>
        <v>44</v>
      </c>
      <c r="J2657" s="1">
        <f>VLOOKUP(B2657,Cena!$A$2:$B$101,2)</f>
        <v>91</v>
      </c>
      <c r="K2657" s="1">
        <f t="shared" si="336"/>
        <v>4004</v>
      </c>
      <c r="L2657" s="1">
        <f t="shared" si="333"/>
        <v>920.92000000000007</v>
      </c>
      <c r="M2657" s="22">
        <f t="shared" si="337"/>
        <v>4924.92</v>
      </c>
      <c r="N2657" s="1">
        <f t="shared" ca="1" si="334"/>
        <v>11</v>
      </c>
      <c r="P2657" s="1">
        <v>44.511176737432834</v>
      </c>
      <c r="Q2657" s="1">
        <f t="shared" ca="1" si="335"/>
        <v>7</v>
      </c>
      <c r="R2657" s="1">
        <v>9.3379958596051438</v>
      </c>
    </row>
    <row r="2658" spans="1:18" x14ac:dyDescent="0.3">
      <c r="A2658" s="26">
        <v>2657</v>
      </c>
      <c r="B2658" s="1">
        <v>1</v>
      </c>
      <c r="C2658" s="1">
        <f t="shared" si="331"/>
        <v>8</v>
      </c>
      <c r="D2658" s="21">
        <f t="shared" ca="1" si="330"/>
        <v>44623</v>
      </c>
      <c r="E2658" s="1" t="s">
        <v>26</v>
      </c>
      <c r="F2658" s="1" t="s">
        <v>2686</v>
      </c>
      <c r="G2658" s="1" t="s">
        <v>28</v>
      </c>
      <c r="H2658" s="1">
        <v>2756</v>
      </c>
      <c r="I2658" s="1">
        <f t="shared" si="332"/>
        <v>26</v>
      </c>
      <c r="J2658" s="1">
        <f>VLOOKUP(B2658,Cena!$A$2:$B$101,2)</f>
        <v>84</v>
      </c>
      <c r="K2658" s="1">
        <f t="shared" si="336"/>
        <v>2184</v>
      </c>
      <c r="L2658" s="1">
        <f t="shared" si="333"/>
        <v>502.32000000000005</v>
      </c>
      <c r="M2658" s="22">
        <f t="shared" si="337"/>
        <v>2686.32</v>
      </c>
      <c r="N2658" s="1">
        <f t="shared" ca="1" si="334"/>
        <v>3</v>
      </c>
      <c r="P2658" s="1">
        <v>26.005346979945898</v>
      </c>
      <c r="Q2658" s="1">
        <f t="shared" ca="1" si="335"/>
        <v>3</v>
      </c>
      <c r="R2658" s="1">
        <v>8.2053907388035441</v>
      </c>
    </row>
    <row r="2659" spans="1:18" x14ac:dyDescent="0.3">
      <c r="A2659" s="26">
        <v>2658</v>
      </c>
      <c r="B2659" s="1">
        <v>1</v>
      </c>
      <c r="C2659" s="1">
        <f t="shared" si="331"/>
        <v>12</v>
      </c>
      <c r="D2659" s="21">
        <f t="shared" ca="1" si="330"/>
        <v>44874</v>
      </c>
      <c r="E2659" s="1" t="s">
        <v>26</v>
      </c>
      <c r="F2659" s="1" t="s">
        <v>2687</v>
      </c>
      <c r="G2659" s="1" t="s">
        <v>28</v>
      </c>
      <c r="H2659" s="1">
        <v>2757</v>
      </c>
      <c r="I2659" s="1">
        <f t="shared" si="332"/>
        <v>51</v>
      </c>
      <c r="J2659" s="1">
        <f>VLOOKUP(B2659,Cena!$A$2:$B$101,2)</f>
        <v>84</v>
      </c>
      <c r="K2659" s="1">
        <f t="shared" si="336"/>
        <v>4284</v>
      </c>
      <c r="L2659" s="1">
        <f t="shared" si="333"/>
        <v>985.32</v>
      </c>
      <c r="M2659" s="22">
        <f t="shared" si="337"/>
        <v>5269.32</v>
      </c>
      <c r="N2659" s="1">
        <f t="shared" ca="1" si="334"/>
        <v>11</v>
      </c>
      <c r="P2659" s="1">
        <v>51.672765392868314</v>
      </c>
      <c r="Q2659" s="1">
        <f t="shared" ca="1" si="335"/>
        <v>22</v>
      </c>
      <c r="R2659" s="1">
        <v>12.26497718358587</v>
      </c>
    </row>
    <row r="2660" spans="1:18" x14ac:dyDescent="0.3">
      <c r="A2660" s="26">
        <v>2659</v>
      </c>
      <c r="B2660" s="1">
        <v>22</v>
      </c>
      <c r="C2660" s="1">
        <f t="shared" si="331"/>
        <v>9</v>
      </c>
      <c r="D2660" s="21">
        <f t="shared" ca="1" si="330"/>
        <v>44759</v>
      </c>
      <c r="E2660" s="1" t="s">
        <v>26</v>
      </c>
      <c r="F2660" s="1" t="s">
        <v>2688</v>
      </c>
      <c r="G2660" s="1" t="s">
        <v>28</v>
      </c>
      <c r="H2660" s="1">
        <v>2758</v>
      </c>
      <c r="I2660" s="1">
        <f t="shared" si="332"/>
        <v>52</v>
      </c>
      <c r="J2660" s="1">
        <f>VLOOKUP(B2660,Cena!$A$2:$B$101,2)</f>
        <v>103</v>
      </c>
      <c r="K2660" s="1">
        <f t="shared" si="336"/>
        <v>5356</v>
      </c>
      <c r="L2660" s="1">
        <f t="shared" si="333"/>
        <v>1231.8800000000001</v>
      </c>
      <c r="M2660" s="22">
        <f t="shared" si="337"/>
        <v>6587.88</v>
      </c>
      <c r="N2660" s="1">
        <f t="shared" ca="1" si="334"/>
        <v>7</v>
      </c>
      <c r="P2660" s="1">
        <v>52.75433649221668</v>
      </c>
      <c r="Q2660" s="1">
        <f t="shared" ca="1" si="335"/>
        <v>14</v>
      </c>
      <c r="R2660" s="1">
        <v>9.2235700574383372</v>
      </c>
    </row>
    <row r="2661" spans="1:18" x14ac:dyDescent="0.3">
      <c r="A2661" s="26">
        <v>2660</v>
      </c>
      <c r="B2661" s="1">
        <v>15</v>
      </c>
      <c r="C2661" s="1">
        <f t="shared" si="331"/>
        <v>9</v>
      </c>
      <c r="D2661" s="21">
        <f t="shared" ca="1" si="330"/>
        <v>44573</v>
      </c>
      <c r="E2661" s="1" t="s">
        <v>26</v>
      </c>
      <c r="F2661" s="1" t="s">
        <v>2689</v>
      </c>
      <c r="G2661" s="1" t="s">
        <v>28</v>
      </c>
      <c r="H2661" s="1">
        <v>2759</v>
      </c>
      <c r="I2661" s="1">
        <f t="shared" si="332"/>
        <v>44</v>
      </c>
      <c r="J2661" s="1">
        <f>VLOOKUP(B2661,Cena!$A$2:$B$101,2)</f>
        <v>85</v>
      </c>
      <c r="K2661" s="1">
        <f t="shared" si="336"/>
        <v>3740</v>
      </c>
      <c r="L2661" s="1">
        <f t="shared" si="333"/>
        <v>860.2</v>
      </c>
      <c r="M2661" s="22">
        <f t="shared" si="337"/>
        <v>4600.2</v>
      </c>
      <c r="N2661" s="1">
        <f t="shared" ca="1" si="334"/>
        <v>1</v>
      </c>
      <c r="P2661" s="1">
        <v>44.995800989272539</v>
      </c>
      <c r="Q2661" s="1">
        <f t="shared" ca="1" si="335"/>
        <v>22</v>
      </c>
      <c r="R2661" s="1">
        <v>9.6271270674697007</v>
      </c>
    </row>
    <row r="2662" spans="1:18" x14ac:dyDescent="0.3">
      <c r="A2662" s="26">
        <v>2661</v>
      </c>
      <c r="B2662" s="1">
        <v>26</v>
      </c>
      <c r="C2662" s="1">
        <f t="shared" si="331"/>
        <v>10</v>
      </c>
      <c r="D2662" s="21">
        <f t="shared" ca="1" si="330"/>
        <v>44818</v>
      </c>
      <c r="E2662" s="1" t="s">
        <v>26</v>
      </c>
      <c r="F2662" s="1" t="s">
        <v>2690</v>
      </c>
      <c r="G2662" s="1" t="s">
        <v>28</v>
      </c>
      <c r="H2662" s="1">
        <v>2760</v>
      </c>
      <c r="I2662" s="1">
        <f t="shared" si="332"/>
        <v>44</v>
      </c>
      <c r="J2662" s="1">
        <f>VLOOKUP(B2662,Cena!$A$2:$B$101,2)</f>
        <v>99</v>
      </c>
      <c r="K2662" s="1">
        <f t="shared" si="336"/>
        <v>4356</v>
      </c>
      <c r="L2662" s="1">
        <f t="shared" si="333"/>
        <v>1001.88</v>
      </c>
      <c r="M2662" s="22">
        <f t="shared" si="337"/>
        <v>5357.88</v>
      </c>
      <c r="N2662" s="1">
        <f t="shared" ca="1" si="334"/>
        <v>9</v>
      </c>
      <c r="P2662" s="1">
        <v>44.811128090077545</v>
      </c>
      <c r="Q2662" s="1">
        <f t="shared" ca="1" si="335"/>
        <v>9</v>
      </c>
      <c r="R2662" s="1">
        <v>10.331539240505663</v>
      </c>
    </row>
    <row r="2663" spans="1:18" x14ac:dyDescent="0.3">
      <c r="A2663" s="26">
        <v>2662</v>
      </c>
      <c r="B2663" s="1">
        <v>8</v>
      </c>
      <c r="C2663" s="1">
        <f t="shared" si="331"/>
        <v>8</v>
      </c>
      <c r="D2663" s="21">
        <f t="shared" ca="1" si="330"/>
        <v>44630</v>
      </c>
      <c r="E2663" s="1" t="s">
        <v>26</v>
      </c>
      <c r="F2663" s="1" t="s">
        <v>2691</v>
      </c>
      <c r="G2663" s="1" t="s">
        <v>28</v>
      </c>
      <c r="H2663" s="1">
        <v>2761</v>
      </c>
      <c r="I2663" s="1">
        <f t="shared" si="332"/>
        <v>59</v>
      </c>
      <c r="J2663" s="1">
        <f>VLOOKUP(B2663,Cena!$A$2:$B$101,2)</f>
        <v>88</v>
      </c>
      <c r="K2663" s="1">
        <f t="shared" si="336"/>
        <v>5192</v>
      </c>
      <c r="L2663" s="1">
        <f t="shared" si="333"/>
        <v>1194.1600000000001</v>
      </c>
      <c r="M2663" s="22">
        <f t="shared" si="337"/>
        <v>6386.16</v>
      </c>
      <c r="N2663" s="1">
        <f t="shared" ca="1" si="334"/>
        <v>3</v>
      </c>
      <c r="P2663" s="1">
        <v>59.39955953072058</v>
      </c>
      <c r="Q2663" s="1">
        <f t="shared" ca="1" si="335"/>
        <v>23</v>
      </c>
      <c r="R2663" s="1">
        <v>8.0566769863798982</v>
      </c>
    </row>
    <row r="2664" spans="1:18" x14ac:dyDescent="0.3">
      <c r="A2664" s="26">
        <v>2663</v>
      </c>
      <c r="B2664" s="1">
        <v>10</v>
      </c>
      <c r="C2664" s="1">
        <f t="shared" si="331"/>
        <v>4</v>
      </c>
      <c r="D2664" s="21">
        <f t="shared" ca="1" si="330"/>
        <v>44585</v>
      </c>
      <c r="E2664" s="1" t="s">
        <v>26</v>
      </c>
      <c r="F2664" s="1" t="s">
        <v>2692</v>
      </c>
      <c r="G2664" s="1" t="s">
        <v>28</v>
      </c>
      <c r="H2664" s="1">
        <v>2762</v>
      </c>
      <c r="I2664" s="1">
        <f t="shared" si="332"/>
        <v>61</v>
      </c>
      <c r="J2664" s="1">
        <f>VLOOKUP(B2664,Cena!$A$2:$B$101,2)</f>
        <v>109</v>
      </c>
      <c r="K2664" s="1">
        <f t="shared" si="336"/>
        <v>6649</v>
      </c>
      <c r="L2664" s="1">
        <f t="shared" si="333"/>
        <v>1529.27</v>
      </c>
      <c r="M2664" s="22">
        <f t="shared" si="337"/>
        <v>8178.27</v>
      </c>
      <c r="N2664" s="1">
        <f t="shared" ca="1" si="334"/>
        <v>1</v>
      </c>
      <c r="P2664" s="1">
        <v>61.952192835451569</v>
      </c>
      <c r="Q2664" s="1">
        <f t="shared" ca="1" si="335"/>
        <v>25</v>
      </c>
      <c r="R2664" s="1">
        <v>4.1907844913657755</v>
      </c>
    </row>
    <row r="2665" spans="1:18" x14ac:dyDescent="0.3">
      <c r="A2665" s="26">
        <v>2664</v>
      </c>
      <c r="B2665" s="1">
        <v>8</v>
      </c>
      <c r="C2665" s="1">
        <f t="shared" si="331"/>
        <v>9</v>
      </c>
      <c r="D2665" s="21">
        <f t="shared" ca="1" si="330"/>
        <v>44817</v>
      </c>
      <c r="E2665" s="1" t="s">
        <v>26</v>
      </c>
      <c r="F2665" s="1" t="s">
        <v>2693</v>
      </c>
      <c r="G2665" s="1" t="s">
        <v>28</v>
      </c>
      <c r="H2665" s="1">
        <v>2763</v>
      </c>
      <c r="I2665" s="1">
        <f t="shared" si="332"/>
        <v>61</v>
      </c>
      <c r="J2665" s="1">
        <f>VLOOKUP(B2665,Cena!$A$2:$B$101,2)</f>
        <v>88</v>
      </c>
      <c r="K2665" s="1">
        <f t="shared" si="336"/>
        <v>5368</v>
      </c>
      <c r="L2665" s="1">
        <f t="shared" si="333"/>
        <v>1234.6400000000001</v>
      </c>
      <c r="M2665" s="22">
        <f t="shared" si="337"/>
        <v>6602.64</v>
      </c>
      <c r="N2665" s="1">
        <f t="shared" ca="1" si="334"/>
        <v>9</v>
      </c>
      <c r="P2665" s="1">
        <v>61.772840480261948</v>
      </c>
      <c r="Q2665" s="1">
        <f t="shared" ca="1" si="335"/>
        <v>18</v>
      </c>
      <c r="R2665" s="1">
        <v>9.2729954101378098</v>
      </c>
    </row>
    <row r="2666" spans="1:18" x14ac:dyDescent="0.3">
      <c r="A2666" s="26">
        <v>2665</v>
      </c>
      <c r="B2666" s="1">
        <v>7</v>
      </c>
      <c r="C2666" s="1">
        <f t="shared" si="331"/>
        <v>7</v>
      </c>
      <c r="D2666" s="21">
        <f t="shared" ca="1" si="330"/>
        <v>44599</v>
      </c>
      <c r="E2666" s="1" t="s">
        <v>26</v>
      </c>
      <c r="F2666" s="1" t="s">
        <v>2694</v>
      </c>
      <c r="G2666" s="1" t="s">
        <v>28</v>
      </c>
      <c r="H2666" s="1">
        <v>2764</v>
      </c>
      <c r="I2666" s="1">
        <f t="shared" si="332"/>
        <v>55</v>
      </c>
      <c r="J2666" s="1">
        <f>VLOOKUP(B2666,Cena!$A$2:$B$101,2)</f>
        <v>104</v>
      </c>
      <c r="K2666" s="1">
        <f t="shared" si="336"/>
        <v>5720</v>
      </c>
      <c r="L2666" s="1">
        <f t="shared" si="333"/>
        <v>1315.6000000000001</v>
      </c>
      <c r="M2666" s="22">
        <f t="shared" si="337"/>
        <v>7035.6</v>
      </c>
      <c r="N2666" s="1">
        <f t="shared" ca="1" si="334"/>
        <v>2</v>
      </c>
      <c r="P2666" s="1">
        <v>55.15913143317448</v>
      </c>
      <c r="Q2666" s="1">
        <f t="shared" ca="1" si="335"/>
        <v>4</v>
      </c>
      <c r="R2666" s="1">
        <v>7.4931597535032779</v>
      </c>
    </row>
    <row r="2667" spans="1:18" x14ac:dyDescent="0.3">
      <c r="A2667" s="26">
        <v>2666</v>
      </c>
      <c r="B2667" s="1">
        <v>29</v>
      </c>
      <c r="C2667" s="1">
        <f t="shared" si="331"/>
        <v>7</v>
      </c>
      <c r="D2667" s="21">
        <f t="shared" ca="1" si="330"/>
        <v>44655</v>
      </c>
      <c r="E2667" s="1" t="s">
        <v>26</v>
      </c>
      <c r="F2667" s="1" t="s">
        <v>2695</v>
      </c>
      <c r="G2667" s="1" t="s">
        <v>28</v>
      </c>
      <c r="H2667" s="1">
        <v>2765</v>
      </c>
      <c r="I2667" s="1">
        <f t="shared" si="332"/>
        <v>47</v>
      </c>
      <c r="J2667" s="1">
        <f>VLOOKUP(B2667,Cena!$A$2:$B$101,2)</f>
        <v>105</v>
      </c>
      <c r="K2667" s="1">
        <f t="shared" si="336"/>
        <v>4935</v>
      </c>
      <c r="L2667" s="1">
        <f t="shared" si="333"/>
        <v>1135.05</v>
      </c>
      <c r="M2667" s="22">
        <f t="shared" si="337"/>
        <v>6070.05</v>
      </c>
      <c r="N2667" s="1">
        <f t="shared" ca="1" si="334"/>
        <v>4</v>
      </c>
      <c r="P2667" s="1">
        <v>47.137433638272341</v>
      </c>
      <c r="Q2667" s="1">
        <f t="shared" ca="1" si="335"/>
        <v>29</v>
      </c>
      <c r="R2667" s="1">
        <v>7.8458163241157308</v>
      </c>
    </row>
    <row r="2668" spans="1:18" x14ac:dyDescent="0.3">
      <c r="A2668" s="26">
        <v>2667</v>
      </c>
      <c r="B2668" s="1">
        <v>22</v>
      </c>
      <c r="C2668" s="1">
        <f t="shared" si="331"/>
        <v>9</v>
      </c>
      <c r="D2668" s="21">
        <f t="shared" ca="1" si="330"/>
        <v>44618</v>
      </c>
      <c r="E2668" s="1" t="s">
        <v>26</v>
      </c>
      <c r="F2668" s="1" t="s">
        <v>2696</v>
      </c>
      <c r="G2668" s="1" t="s">
        <v>28</v>
      </c>
      <c r="H2668" s="1">
        <v>2766</v>
      </c>
      <c r="I2668" s="1">
        <f t="shared" si="332"/>
        <v>55</v>
      </c>
      <c r="J2668" s="1">
        <f>VLOOKUP(B2668,Cena!$A$2:$B$101,2)</f>
        <v>103</v>
      </c>
      <c r="K2668" s="1">
        <f t="shared" si="336"/>
        <v>5665</v>
      </c>
      <c r="L2668" s="1">
        <f t="shared" si="333"/>
        <v>1302.95</v>
      </c>
      <c r="M2668" s="22">
        <f t="shared" si="337"/>
        <v>6967.95</v>
      </c>
      <c r="N2668" s="1">
        <f t="shared" ca="1" si="334"/>
        <v>2</v>
      </c>
      <c r="P2668" s="1">
        <v>55.884498932573479</v>
      </c>
      <c r="Q2668" s="1">
        <f t="shared" ca="1" si="335"/>
        <v>13</v>
      </c>
      <c r="R2668" s="1">
        <v>9.1926046050139121</v>
      </c>
    </row>
    <row r="2669" spans="1:18" x14ac:dyDescent="0.3">
      <c r="A2669" s="26">
        <v>2668</v>
      </c>
      <c r="B2669" s="1">
        <v>5</v>
      </c>
      <c r="C2669" s="1">
        <f t="shared" si="331"/>
        <v>9</v>
      </c>
      <c r="D2669" s="21">
        <f t="shared" ca="1" si="330"/>
        <v>44851</v>
      </c>
      <c r="E2669" s="1" t="s">
        <v>26</v>
      </c>
      <c r="F2669" s="1" t="s">
        <v>2697</v>
      </c>
      <c r="G2669" s="1" t="s">
        <v>28</v>
      </c>
      <c r="H2669" s="1">
        <v>2767</v>
      </c>
      <c r="I2669" s="1">
        <f t="shared" si="332"/>
        <v>50</v>
      </c>
      <c r="J2669" s="1">
        <f>VLOOKUP(B2669,Cena!$A$2:$B$101,2)</f>
        <v>91</v>
      </c>
      <c r="K2669" s="1">
        <f t="shared" si="336"/>
        <v>4550</v>
      </c>
      <c r="L2669" s="1">
        <f t="shared" si="333"/>
        <v>1046.5</v>
      </c>
      <c r="M2669" s="22">
        <f t="shared" si="337"/>
        <v>5596.5</v>
      </c>
      <c r="N2669" s="1">
        <f t="shared" ca="1" si="334"/>
        <v>10</v>
      </c>
      <c r="P2669" s="1">
        <v>50.62807430367684</v>
      </c>
      <c r="Q2669" s="1">
        <f t="shared" ca="1" si="335"/>
        <v>10</v>
      </c>
      <c r="R2669" s="1">
        <v>9.5235100413992768</v>
      </c>
    </row>
    <row r="2670" spans="1:18" x14ac:dyDescent="0.3">
      <c r="A2670" s="26">
        <v>2669</v>
      </c>
      <c r="B2670" s="1">
        <v>12</v>
      </c>
      <c r="C2670" s="1">
        <f t="shared" si="331"/>
        <v>10</v>
      </c>
      <c r="D2670" s="21">
        <f t="shared" ca="1" si="330"/>
        <v>44777</v>
      </c>
      <c r="E2670" s="1" t="s">
        <v>26</v>
      </c>
      <c r="F2670" s="1" t="s">
        <v>2698</v>
      </c>
      <c r="G2670" s="1" t="s">
        <v>28</v>
      </c>
      <c r="H2670" s="1">
        <v>2768</v>
      </c>
      <c r="I2670" s="1">
        <f t="shared" si="332"/>
        <v>38</v>
      </c>
      <c r="J2670" s="1">
        <f>VLOOKUP(B2670,Cena!$A$2:$B$101,2)</f>
        <v>88</v>
      </c>
      <c r="K2670" s="1">
        <f t="shared" si="336"/>
        <v>3344</v>
      </c>
      <c r="L2670" s="1">
        <f t="shared" si="333"/>
        <v>769.12</v>
      </c>
      <c r="M2670" s="22">
        <f t="shared" si="337"/>
        <v>4113.12</v>
      </c>
      <c r="N2670" s="1">
        <f t="shared" ca="1" si="334"/>
        <v>8</v>
      </c>
      <c r="P2670" s="1">
        <v>38.564604791463353</v>
      </c>
      <c r="Q2670" s="1">
        <f t="shared" ca="1" si="335"/>
        <v>20</v>
      </c>
      <c r="R2670" s="1">
        <v>10.961952650868625</v>
      </c>
    </row>
    <row r="2671" spans="1:18" x14ac:dyDescent="0.3">
      <c r="A2671" s="26">
        <v>2670</v>
      </c>
      <c r="B2671" s="1">
        <v>18</v>
      </c>
      <c r="C2671" s="1">
        <f t="shared" si="331"/>
        <v>13</v>
      </c>
      <c r="D2671" s="21">
        <f t="shared" ca="1" si="330"/>
        <v>44698</v>
      </c>
      <c r="E2671" s="1" t="s">
        <v>26</v>
      </c>
      <c r="F2671" s="1" t="s">
        <v>2699</v>
      </c>
      <c r="G2671" s="1" t="s">
        <v>28</v>
      </c>
      <c r="H2671" s="1">
        <v>2769</v>
      </c>
      <c r="I2671" s="1">
        <f t="shared" si="332"/>
        <v>49</v>
      </c>
      <c r="J2671" s="1">
        <f>VLOOKUP(B2671,Cena!$A$2:$B$101,2)</f>
        <v>90</v>
      </c>
      <c r="K2671" s="1">
        <f t="shared" si="336"/>
        <v>4410</v>
      </c>
      <c r="L2671" s="1">
        <f t="shared" si="333"/>
        <v>1014.3000000000001</v>
      </c>
      <c r="M2671" s="22">
        <f t="shared" si="337"/>
        <v>5424.3</v>
      </c>
      <c r="N2671" s="1">
        <f t="shared" ca="1" si="334"/>
        <v>5</v>
      </c>
      <c r="P2671" s="1">
        <v>49.905526237853337</v>
      </c>
      <c r="Q2671" s="1">
        <f t="shared" ca="1" si="335"/>
        <v>3</v>
      </c>
      <c r="R2671" s="1">
        <v>13.380785074114101</v>
      </c>
    </row>
    <row r="2672" spans="1:18" x14ac:dyDescent="0.3">
      <c r="A2672" s="26">
        <v>2671</v>
      </c>
      <c r="B2672" s="1">
        <v>9</v>
      </c>
      <c r="C2672" s="1">
        <f t="shared" si="331"/>
        <v>10</v>
      </c>
      <c r="D2672" s="21">
        <f t="shared" ca="1" si="330"/>
        <v>44701</v>
      </c>
      <c r="E2672" s="1" t="s">
        <v>26</v>
      </c>
      <c r="F2672" s="1" t="s">
        <v>2700</v>
      </c>
      <c r="G2672" s="1" t="s">
        <v>28</v>
      </c>
      <c r="H2672" s="1">
        <v>2770</v>
      </c>
      <c r="I2672" s="1">
        <f t="shared" si="332"/>
        <v>56</v>
      </c>
      <c r="J2672" s="1">
        <f>VLOOKUP(B2672,Cena!$A$2:$B$101,2)</f>
        <v>96</v>
      </c>
      <c r="K2672" s="1">
        <f t="shared" si="336"/>
        <v>5376</v>
      </c>
      <c r="L2672" s="1">
        <f t="shared" si="333"/>
        <v>1236.48</v>
      </c>
      <c r="M2672" s="22">
        <f t="shared" si="337"/>
        <v>6612.48</v>
      </c>
      <c r="N2672" s="1">
        <f t="shared" ca="1" si="334"/>
        <v>5</v>
      </c>
      <c r="P2672" s="1">
        <v>56.596542334591504</v>
      </c>
      <c r="Q2672" s="1">
        <f t="shared" ca="1" si="335"/>
        <v>5</v>
      </c>
      <c r="R2672" s="1">
        <v>10.569349367651739</v>
      </c>
    </row>
    <row r="2673" spans="1:18" x14ac:dyDescent="0.3">
      <c r="A2673" s="26">
        <v>2672</v>
      </c>
      <c r="B2673" s="1">
        <v>13</v>
      </c>
      <c r="C2673" s="1">
        <f t="shared" si="331"/>
        <v>12</v>
      </c>
      <c r="D2673" s="21">
        <f t="shared" ca="1" si="330"/>
        <v>44734</v>
      </c>
      <c r="E2673" s="1" t="s">
        <v>26</v>
      </c>
      <c r="F2673" s="1" t="s">
        <v>2701</v>
      </c>
      <c r="G2673" s="1" t="s">
        <v>28</v>
      </c>
      <c r="H2673" s="1">
        <v>2771</v>
      </c>
      <c r="I2673" s="1">
        <f t="shared" si="332"/>
        <v>57</v>
      </c>
      <c r="J2673" s="1">
        <f>VLOOKUP(B2673,Cena!$A$2:$B$101,2)</f>
        <v>94</v>
      </c>
      <c r="K2673" s="1">
        <f t="shared" si="336"/>
        <v>5358</v>
      </c>
      <c r="L2673" s="1">
        <f t="shared" si="333"/>
        <v>1232.3400000000001</v>
      </c>
      <c r="M2673" s="22">
        <f t="shared" si="337"/>
        <v>6590.34</v>
      </c>
      <c r="N2673" s="1">
        <f t="shared" ca="1" si="334"/>
        <v>6</v>
      </c>
      <c r="P2673" s="1">
        <v>57.777430255373474</v>
      </c>
      <c r="Q2673" s="1">
        <f t="shared" ca="1" si="335"/>
        <v>7</v>
      </c>
      <c r="R2673" s="1">
        <v>12.344842187085305</v>
      </c>
    </row>
    <row r="2674" spans="1:18" x14ac:dyDescent="0.3">
      <c r="A2674" s="26">
        <v>2673</v>
      </c>
      <c r="B2674" s="1">
        <v>18</v>
      </c>
      <c r="C2674" s="1">
        <f t="shared" si="331"/>
        <v>12</v>
      </c>
      <c r="D2674" s="21">
        <f t="shared" ca="1" si="330"/>
        <v>44829</v>
      </c>
      <c r="E2674" s="1" t="s">
        <v>26</v>
      </c>
      <c r="F2674" s="1" t="s">
        <v>2702</v>
      </c>
      <c r="G2674" s="1" t="s">
        <v>28</v>
      </c>
      <c r="H2674" s="1">
        <v>2772</v>
      </c>
      <c r="I2674" s="1">
        <f t="shared" si="332"/>
        <v>43</v>
      </c>
      <c r="J2674" s="1">
        <f>VLOOKUP(B2674,Cena!$A$2:$B$101,2)</f>
        <v>90</v>
      </c>
      <c r="K2674" s="1">
        <f t="shared" si="336"/>
        <v>3870</v>
      </c>
      <c r="L2674" s="1">
        <f t="shared" si="333"/>
        <v>890.1</v>
      </c>
      <c r="M2674" s="22">
        <f t="shared" si="337"/>
        <v>4760.1000000000004</v>
      </c>
      <c r="N2674" s="1">
        <f t="shared" ca="1" si="334"/>
        <v>9</v>
      </c>
      <c r="P2674" s="1">
        <v>43.113488017115742</v>
      </c>
      <c r="Q2674" s="1">
        <f t="shared" ca="1" si="335"/>
        <v>7</v>
      </c>
      <c r="R2674" s="1">
        <v>12.254330411233241</v>
      </c>
    </row>
    <row r="2675" spans="1:18" x14ac:dyDescent="0.3">
      <c r="A2675" s="26">
        <v>2674</v>
      </c>
      <c r="B2675" s="1">
        <v>3</v>
      </c>
      <c r="C2675" s="1">
        <f t="shared" si="331"/>
        <v>11</v>
      </c>
      <c r="D2675" s="21">
        <f t="shared" ca="1" si="330"/>
        <v>44796</v>
      </c>
      <c r="E2675" s="1" t="s">
        <v>26</v>
      </c>
      <c r="F2675" s="1" t="s">
        <v>2703</v>
      </c>
      <c r="G2675" s="1" t="s">
        <v>28</v>
      </c>
      <c r="H2675" s="1">
        <v>2773</v>
      </c>
      <c r="I2675" s="1">
        <f t="shared" si="332"/>
        <v>61</v>
      </c>
      <c r="J2675" s="1">
        <f>VLOOKUP(B2675,Cena!$A$2:$B$101,2)</f>
        <v>89</v>
      </c>
      <c r="K2675" s="1">
        <f t="shared" si="336"/>
        <v>5429</v>
      </c>
      <c r="L2675" s="1">
        <f t="shared" si="333"/>
        <v>1248.67</v>
      </c>
      <c r="M2675" s="22">
        <f t="shared" si="337"/>
        <v>6677.67</v>
      </c>
      <c r="N2675" s="1">
        <f t="shared" ca="1" si="334"/>
        <v>8</v>
      </c>
      <c r="P2675" s="1">
        <v>61.020165402442217</v>
      </c>
      <c r="Q2675" s="1">
        <f t="shared" ca="1" si="335"/>
        <v>24</v>
      </c>
      <c r="R2675" s="1">
        <v>11.481598133068474</v>
      </c>
    </row>
    <row r="2676" spans="1:18" x14ac:dyDescent="0.3">
      <c r="A2676" s="26">
        <v>2675</v>
      </c>
      <c r="B2676" s="1">
        <v>25</v>
      </c>
      <c r="C2676" s="1">
        <f t="shared" si="331"/>
        <v>14</v>
      </c>
      <c r="D2676" s="21">
        <f t="shared" ca="1" si="330"/>
        <v>44701</v>
      </c>
      <c r="E2676" s="1" t="s">
        <v>26</v>
      </c>
      <c r="F2676" s="1" t="s">
        <v>2704</v>
      </c>
      <c r="G2676" s="1" t="s">
        <v>28</v>
      </c>
      <c r="H2676" s="1">
        <v>2774</v>
      </c>
      <c r="I2676" s="1">
        <f t="shared" si="332"/>
        <v>44</v>
      </c>
      <c r="J2676" s="1">
        <f>VLOOKUP(B2676,Cena!$A$2:$B$101,2)</f>
        <v>108</v>
      </c>
      <c r="K2676" s="1">
        <f t="shared" si="336"/>
        <v>4752</v>
      </c>
      <c r="L2676" s="1">
        <f t="shared" si="333"/>
        <v>1092.96</v>
      </c>
      <c r="M2676" s="22">
        <f t="shared" si="337"/>
        <v>5844.96</v>
      </c>
      <c r="N2676" s="1">
        <f t="shared" ca="1" si="334"/>
        <v>5</v>
      </c>
      <c r="P2676" s="1">
        <v>44.298264027747791</v>
      </c>
      <c r="Q2676" s="1">
        <f t="shared" ca="1" si="335"/>
        <v>16</v>
      </c>
      <c r="R2676" s="1">
        <v>14.125763553020079</v>
      </c>
    </row>
    <row r="2677" spans="1:18" x14ac:dyDescent="0.3">
      <c r="A2677" s="26">
        <v>2676</v>
      </c>
      <c r="B2677" s="1">
        <v>19</v>
      </c>
      <c r="C2677" s="1">
        <f t="shared" si="331"/>
        <v>7</v>
      </c>
      <c r="D2677" s="21">
        <f t="shared" ca="1" si="330"/>
        <v>44632</v>
      </c>
      <c r="E2677" s="1" t="s">
        <v>26</v>
      </c>
      <c r="F2677" s="1" t="s">
        <v>2705</v>
      </c>
      <c r="G2677" s="1" t="s">
        <v>28</v>
      </c>
      <c r="H2677" s="1">
        <v>2775</v>
      </c>
      <c r="I2677" s="1">
        <f t="shared" si="332"/>
        <v>57</v>
      </c>
      <c r="J2677" s="1">
        <f>VLOOKUP(B2677,Cena!$A$2:$B$101,2)</f>
        <v>84</v>
      </c>
      <c r="K2677" s="1">
        <f t="shared" si="336"/>
        <v>4788</v>
      </c>
      <c r="L2677" s="1">
        <f t="shared" si="333"/>
        <v>1101.24</v>
      </c>
      <c r="M2677" s="22">
        <f t="shared" si="337"/>
        <v>5889.24</v>
      </c>
      <c r="N2677" s="1">
        <f t="shared" ca="1" si="334"/>
        <v>3</v>
      </c>
      <c r="P2677" s="1">
        <v>57.183382422226714</v>
      </c>
      <c r="Q2677" s="1">
        <f t="shared" ca="1" si="335"/>
        <v>8</v>
      </c>
      <c r="R2677" s="1">
        <v>7.6572382820450002</v>
      </c>
    </row>
    <row r="2678" spans="1:18" x14ac:dyDescent="0.3">
      <c r="A2678" s="26">
        <v>2677</v>
      </c>
      <c r="B2678" s="1">
        <v>6</v>
      </c>
      <c r="C2678" s="1">
        <f t="shared" si="331"/>
        <v>5</v>
      </c>
      <c r="D2678" s="21">
        <f t="shared" ca="1" si="330"/>
        <v>44906</v>
      </c>
      <c r="E2678" s="1" t="s">
        <v>26</v>
      </c>
      <c r="F2678" s="1" t="s">
        <v>2706</v>
      </c>
      <c r="G2678" s="1" t="s">
        <v>28</v>
      </c>
      <c r="H2678" s="1">
        <v>2776</v>
      </c>
      <c r="I2678" s="1">
        <f t="shared" si="332"/>
        <v>62</v>
      </c>
      <c r="J2678" s="1">
        <f>VLOOKUP(B2678,Cena!$A$2:$B$101,2)</f>
        <v>86</v>
      </c>
      <c r="K2678" s="1">
        <f t="shared" si="336"/>
        <v>5332</v>
      </c>
      <c r="L2678" s="1">
        <f t="shared" si="333"/>
        <v>1226.3600000000001</v>
      </c>
      <c r="M2678" s="22">
        <f t="shared" si="337"/>
        <v>6558.3600000000006</v>
      </c>
      <c r="N2678" s="1">
        <f t="shared" ca="1" si="334"/>
        <v>12</v>
      </c>
      <c r="P2678" s="1">
        <v>62.925329428981058</v>
      </c>
      <c r="Q2678" s="1">
        <f t="shared" ca="1" si="335"/>
        <v>16</v>
      </c>
      <c r="R2678" s="1">
        <v>5.5500015857978724</v>
      </c>
    </row>
    <row r="2679" spans="1:18" x14ac:dyDescent="0.3">
      <c r="A2679" s="26">
        <v>2678</v>
      </c>
      <c r="B2679" s="1">
        <v>26</v>
      </c>
      <c r="C2679" s="1">
        <f t="shared" si="331"/>
        <v>10</v>
      </c>
      <c r="D2679" s="21">
        <f t="shared" ca="1" si="330"/>
        <v>44874</v>
      </c>
      <c r="E2679" s="1" t="s">
        <v>26</v>
      </c>
      <c r="F2679" s="1" t="s">
        <v>2707</v>
      </c>
      <c r="G2679" s="1" t="s">
        <v>28</v>
      </c>
      <c r="H2679" s="1">
        <v>2777</v>
      </c>
      <c r="I2679" s="1">
        <f t="shared" si="332"/>
        <v>62</v>
      </c>
      <c r="J2679" s="1">
        <f>VLOOKUP(B2679,Cena!$A$2:$B$101,2)</f>
        <v>99</v>
      </c>
      <c r="K2679" s="1">
        <f t="shared" si="336"/>
        <v>6138</v>
      </c>
      <c r="L2679" s="1">
        <f t="shared" si="333"/>
        <v>1411.74</v>
      </c>
      <c r="M2679" s="22">
        <f t="shared" si="337"/>
        <v>7549.74</v>
      </c>
      <c r="N2679" s="1">
        <f t="shared" ca="1" si="334"/>
        <v>11</v>
      </c>
      <c r="P2679" s="1">
        <v>62.076543498551473</v>
      </c>
      <c r="Q2679" s="1">
        <f t="shared" ca="1" si="335"/>
        <v>12</v>
      </c>
      <c r="R2679" s="1">
        <v>10.565813706998597</v>
      </c>
    </row>
    <row r="2680" spans="1:18" x14ac:dyDescent="0.3">
      <c r="A2680" s="26">
        <v>2679</v>
      </c>
      <c r="B2680" s="1">
        <v>16</v>
      </c>
      <c r="C2680" s="1">
        <f t="shared" si="331"/>
        <v>11</v>
      </c>
      <c r="D2680" s="21">
        <f t="shared" ca="1" si="330"/>
        <v>44812</v>
      </c>
      <c r="E2680" s="1" t="s">
        <v>26</v>
      </c>
      <c r="F2680" s="1" t="s">
        <v>2708</v>
      </c>
      <c r="G2680" s="1" t="s">
        <v>28</v>
      </c>
      <c r="H2680" s="1">
        <v>2778</v>
      </c>
      <c r="I2680" s="1">
        <f t="shared" si="332"/>
        <v>60</v>
      </c>
      <c r="J2680" s="1">
        <f>VLOOKUP(B2680,Cena!$A$2:$B$101,2)</f>
        <v>93</v>
      </c>
      <c r="K2680" s="1">
        <f t="shared" si="336"/>
        <v>5580</v>
      </c>
      <c r="L2680" s="1">
        <f t="shared" si="333"/>
        <v>1283.4000000000001</v>
      </c>
      <c r="M2680" s="22">
        <f t="shared" si="337"/>
        <v>6863.4</v>
      </c>
      <c r="N2680" s="1">
        <f t="shared" ca="1" si="334"/>
        <v>9</v>
      </c>
      <c r="P2680" s="1">
        <v>60.386679605289828</v>
      </c>
      <c r="Q2680" s="1">
        <f t="shared" ca="1" si="335"/>
        <v>18</v>
      </c>
      <c r="R2680" s="1">
        <v>11.86636839316634</v>
      </c>
    </row>
    <row r="2681" spans="1:18" x14ac:dyDescent="0.3">
      <c r="A2681" s="26">
        <v>2680</v>
      </c>
      <c r="B2681" s="1">
        <v>9</v>
      </c>
      <c r="C2681" s="1">
        <f t="shared" si="331"/>
        <v>9</v>
      </c>
      <c r="D2681" s="21">
        <f t="shared" ca="1" si="330"/>
        <v>44743</v>
      </c>
      <c r="E2681" s="1" t="s">
        <v>26</v>
      </c>
      <c r="F2681" s="1" t="s">
        <v>2709</v>
      </c>
      <c r="G2681" s="1" t="s">
        <v>28</v>
      </c>
      <c r="H2681" s="1">
        <v>2779</v>
      </c>
      <c r="I2681" s="1">
        <f t="shared" si="332"/>
        <v>46</v>
      </c>
      <c r="J2681" s="1">
        <f>VLOOKUP(B2681,Cena!$A$2:$B$101,2)</f>
        <v>96</v>
      </c>
      <c r="K2681" s="1">
        <f t="shared" si="336"/>
        <v>4416</v>
      </c>
      <c r="L2681" s="1">
        <f t="shared" si="333"/>
        <v>1015.6800000000001</v>
      </c>
      <c r="M2681" s="22">
        <f t="shared" si="337"/>
        <v>5431.68</v>
      </c>
      <c r="N2681" s="1">
        <f t="shared" ca="1" si="334"/>
        <v>7</v>
      </c>
      <c r="P2681" s="1">
        <v>46.444671523931902</v>
      </c>
      <c r="Q2681" s="1">
        <f t="shared" ca="1" si="335"/>
        <v>15</v>
      </c>
      <c r="R2681" s="1">
        <v>9.4844984030351043</v>
      </c>
    </row>
    <row r="2682" spans="1:18" x14ac:dyDescent="0.3">
      <c r="A2682" s="26">
        <v>2681</v>
      </c>
      <c r="B2682" s="1">
        <v>18</v>
      </c>
      <c r="C2682" s="1">
        <f t="shared" si="331"/>
        <v>8</v>
      </c>
      <c r="D2682" s="21">
        <f t="shared" ca="1" si="330"/>
        <v>44693</v>
      </c>
      <c r="E2682" s="1" t="s">
        <v>26</v>
      </c>
      <c r="F2682" s="1" t="s">
        <v>2710</v>
      </c>
      <c r="G2682" s="1" t="s">
        <v>28</v>
      </c>
      <c r="H2682" s="1">
        <v>2780</v>
      </c>
      <c r="I2682" s="1">
        <f t="shared" si="332"/>
        <v>53</v>
      </c>
      <c r="J2682" s="1">
        <f>VLOOKUP(B2682,Cena!$A$2:$B$101,2)</f>
        <v>90</v>
      </c>
      <c r="K2682" s="1">
        <f t="shared" si="336"/>
        <v>4770</v>
      </c>
      <c r="L2682" s="1">
        <f t="shared" si="333"/>
        <v>1097.1000000000001</v>
      </c>
      <c r="M2682" s="22">
        <f t="shared" si="337"/>
        <v>5867.1</v>
      </c>
      <c r="N2682" s="1">
        <f t="shared" ca="1" si="334"/>
        <v>5</v>
      </c>
      <c r="P2682" s="1">
        <v>53.942716375604505</v>
      </c>
      <c r="Q2682" s="1">
        <f t="shared" ca="1" si="335"/>
        <v>27</v>
      </c>
      <c r="R2682" s="1">
        <v>8.4357430093950825</v>
      </c>
    </row>
    <row r="2683" spans="1:18" x14ac:dyDescent="0.3">
      <c r="A2683" s="26">
        <v>2682</v>
      </c>
      <c r="B2683" s="1">
        <v>12</v>
      </c>
      <c r="C2683" s="1">
        <f t="shared" si="331"/>
        <v>11</v>
      </c>
      <c r="D2683" s="21">
        <f t="shared" ca="1" si="330"/>
        <v>44822</v>
      </c>
      <c r="E2683" s="1" t="s">
        <v>26</v>
      </c>
      <c r="F2683" s="1" t="s">
        <v>2711</v>
      </c>
      <c r="G2683" s="1" t="s">
        <v>28</v>
      </c>
      <c r="H2683" s="1">
        <v>2781</v>
      </c>
      <c r="I2683" s="1">
        <f t="shared" si="332"/>
        <v>55</v>
      </c>
      <c r="J2683" s="1">
        <f>VLOOKUP(B2683,Cena!$A$2:$B$101,2)</f>
        <v>88</v>
      </c>
      <c r="K2683" s="1">
        <f t="shared" si="336"/>
        <v>4840</v>
      </c>
      <c r="L2683" s="1">
        <f t="shared" si="333"/>
        <v>1113.2</v>
      </c>
      <c r="M2683" s="22">
        <f t="shared" si="337"/>
        <v>5953.2</v>
      </c>
      <c r="N2683" s="1">
        <f t="shared" ca="1" si="334"/>
        <v>9</v>
      </c>
      <c r="P2683" s="1">
        <v>55.439960659714416</v>
      </c>
      <c r="Q2683" s="1">
        <f t="shared" ca="1" si="335"/>
        <v>25</v>
      </c>
      <c r="R2683" s="1">
        <v>11.775111968527199</v>
      </c>
    </row>
    <row r="2684" spans="1:18" x14ac:dyDescent="0.3">
      <c r="A2684" s="26">
        <v>2683</v>
      </c>
      <c r="B2684" s="1">
        <v>29</v>
      </c>
      <c r="C2684" s="1">
        <f t="shared" si="331"/>
        <v>9</v>
      </c>
      <c r="D2684" s="21">
        <f t="shared" ca="1" si="330"/>
        <v>44716</v>
      </c>
      <c r="E2684" s="1" t="s">
        <v>26</v>
      </c>
      <c r="F2684" s="1" t="s">
        <v>2712</v>
      </c>
      <c r="G2684" s="1" t="s">
        <v>28</v>
      </c>
      <c r="H2684" s="1">
        <v>2782</v>
      </c>
      <c r="I2684" s="1">
        <f t="shared" si="332"/>
        <v>33</v>
      </c>
      <c r="J2684" s="1">
        <f>VLOOKUP(B2684,Cena!$A$2:$B$101,2)</f>
        <v>105</v>
      </c>
      <c r="K2684" s="1">
        <f t="shared" si="336"/>
        <v>3465</v>
      </c>
      <c r="L2684" s="1">
        <f t="shared" si="333"/>
        <v>796.95</v>
      </c>
      <c r="M2684" s="22">
        <f t="shared" si="337"/>
        <v>4261.95</v>
      </c>
      <c r="N2684" s="1">
        <f t="shared" ca="1" si="334"/>
        <v>6</v>
      </c>
      <c r="P2684" s="1">
        <v>33.597626851405948</v>
      </c>
      <c r="Q2684" s="1">
        <f t="shared" ca="1" si="335"/>
        <v>16</v>
      </c>
      <c r="R2684" s="1">
        <v>9.873438127906411</v>
      </c>
    </row>
    <row r="2685" spans="1:18" x14ac:dyDescent="0.3">
      <c r="A2685" s="26">
        <v>2684</v>
      </c>
      <c r="B2685" s="1">
        <v>16</v>
      </c>
      <c r="C2685" s="1">
        <f t="shared" si="331"/>
        <v>8</v>
      </c>
      <c r="D2685" s="21">
        <f t="shared" ca="1" si="330"/>
        <v>44570</v>
      </c>
      <c r="E2685" s="1" t="s">
        <v>26</v>
      </c>
      <c r="F2685" s="1" t="s">
        <v>2713</v>
      </c>
      <c r="G2685" s="1" t="s">
        <v>28</v>
      </c>
      <c r="H2685" s="1">
        <v>2783</v>
      </c>
      <c r="I2685" s="1">
        <f t="shared" si="332"/>
        <v>38</v>
      </c>
      <c r="J2685" s="1">
        <f>VLOOKUP(B2685,Cena!$A$2:$B$101,2)</f>
        <v>93</v>
      </c>
      <c r="K2685" s="1">
        <f t="shared" si="336"/>
        <v>3534</v>
      </c>
      <c r="L2685" s="1">
        <f t="shared" si="333"/>
        <v>812.82</v>
      </c>
      <c r="M2685" s="22">
        <f t="shared" si="337"/>
        <v>4346.82</v>
      </c>
      <c r="N2685" s="1">
        <f t="shared" ca="1" si="334"/>
        <v>1</v>
      </c>
      <c r="P2685" s="1">
        <v>38.432705322338734</v>
      </c>
      <c r="Q2685" s="1">
        <f t="shared" ca="1" si="335"/>
        <v>18</v>
      </c>
      <c r="R2685" s="1">
        <v>8.3579925810772693</v>
      </c>
    </row>
    <row r="2686" spans="1:18" x14ac:dyDescent="0.3">
      <c r="A2686" s="26">
        <v>2685</v>
      </c>
      <c r="B2686" s="1">
        <v>30</v>
      </c>
      <c r="C2686" s="1">
        <f t="shared" si="331"/>
        <v>16</v>
      </c>
      <c r="D2686" s="21">
        <f t="shared" ca="1" si="330"/>
        <v>44877</v>
      </c>
      <c r="E2686" s="1" t="s">
        <v>26</v>
      </c>
      <c r="F2686" s="1" t="s">
        <v>2714</v>
      </c>
      <c r="G2686" s="1" t="s">
        <v>28</v>
      </c>
      <c r="H2686" s="1">
        <v>2784</v>
      </c>
      <c r="I2686" s="1">
        <f t="shared" si="332"/>
        <v>42</v>
      </c>
      <c r="J2686" s="1">
        <f>VLOOKUP(B2686,Cena!$A$2:$B$101,2)</f>
        <v>87</v>
      </c>
      <c r="K2686" s="1">
        <f t="shared" si="336"/>
        <v>3654</v>
      </c>
      <c r="L2686" s="1">
        <f t="shared" si="333"/>
        <v>840.42000000000007</v>
      </c>
      <c r="M2686" s="22">
        <f t="shared" si="337"/>
        <v>4494.42</v>
      </c>
      <c r="N2686" s="1">
        <f t="shared" ca="1" si="334"/>
        <v>11</v>
      </c>
      <c r="P2686" s="1">
        <v>42.96632040568511</v>
      </c>
      <c r="Q2686" s="1">
        <f t="shared" ca="1" si="335"/>
        <v>1</v>
      </c>
      <c r="R2686" s="1">
        <v>16.201025826158002</v>
      </c>
    </row>
    <row r="2687" spans="1:18" x14ac:dyDescent="0.3">
      <c r="A2687" s="26">
        <v>2686</v>
      </c>
      <c r="B2687" s="1">
        <v>19</v>
      </c>
      <c r="C2687" s="1">
        <f t="shared" si="331"/>
        <v>10</v>
      </c>
      <c r="D2687" s="21">
        <f t="shared" ca="1" si="330"/>
        <v>44852</v>
      </c>
      <c r="E2687" s="1" t="s">
        <v>26</v>
      </c>
      <c r="F2687" s="1" t="s">
        <v>2715</v>
      </c>
      <c r="G2687" s="1" t="s">
        <v>28</v>
      </c>
      <c r="H2687" s="1">
        <v>2785</v>
      </c>
      <c r="I2687" s="1">
        <f t="shared" si="332"/>
        <v>48</v>
      </c>
      <c r="J2687" s="1">
        <f>VLOOKUP(B2687,Cena!$A$2:$B$101,2)</f>
        <v>84</v>
      </c>
      <c r="K2687" s="1">
        <f t="shared" si="336"/>
        <v>4032</v>
      </c>
      <c r="L2687" s="1">
        <f t="shared" si="333"/>
        <v>927.36</v>
      </c>
      <c r="M2687" s="22">
        <f t="shared" si="337"/>
        <v>4959.3599999999997</v>
      </c>
      <c r="N2687" s="1">
        <f t="shared" ca="1" si="334"/>
        <v>10</v>
      </c>
      <c r="P2687" s="1">
        <v>48.207647422532318</v>
      </c>
      <c r="Q2687" s="1">
        <f t="shared" ca="1" si="335"/>
        <v>30</v>
      </c>
      <c r="R2687" s="1">
        <v>10.009276845958084</v>
      </c>
    </row>
    <row r="2688" spans="1:18" x14ac:dyDescent="0.3">
      <c r="A2688" s="26">
        <v>2687</v>
      </c>
      <c r="B2688" s="1">
        <v>16</v>
      </c>
      <c r="C2688" s="1">
        <f t="shared" si="331"/>
        <v>10</v>
      </c>
      <c r="D2688" s="21">
        <f t="shared" ca="1" si="330"/>
        <v>44785</v>
      </c>
      <c r="E2688" s="1" t="s">
        <v>26</v>
      </c>
      <c r="F2688" s="1" t="s">
        <v>2716</v>
      </c>
      <c r="G2688" s="1" t="s">
        <v>28</v>
      </c>
      <c r="H2688" s="1">
        <v>2786</v>
      </c>
      <c r="I2688" s="1">
        <f t="shared" si="332"/>
        <v>36</v>
      </c>
      <c r="J2688" s="1">
        <f>VLOOKUP(B2688,Cena!$A$2:$B$101,2)</f>
        <v>93</v>
      </c>
      <c r="K2688" s="1">
        <f t="shared" si="336"/>
        <v>3348</v>
      </c>
      <c r="L2688" s="1">
        <f t="shared" si="333"/>
        <v>770.04000000000008</v>
      </c>
      <c r="M2688" s="22">
        <f t="shared" si="337"/>
        <v>4118.04</v>
      </c>
      <c r="N2688" s="1">
        <f t="shared" ca="1" si="334"/>
        <v>8</v>
      </c>
      <c r="P2688" s="1">
        <v>36.903458193410188</v>
      </c>
      <c r="Q2688" s="1">
        <f t="shared" ca="1" si="335"/>
        <v>12</v>
      </c>
      <c r="R2688" s="1">
        <v>10.383320752916916</v>
      </c>
    </row>
    <row r="2689" spans="1:18" x14ac:dyDescent="0.3">
      <c r="A2689" s="26">
        <v>2688</v>
      </c>
      <c r="B2689" s="1">
        <v>22</v>
      </c>
      <c r="C2689" s="1">
        <f t="shared" si="331"/>
        <v>13</v>
      </c>
      <c r="D2689" s="21">
        <f t="shared" ca="1" si="330"/>
        <v>44567</v>
      </c>
      <c r="E2689" s="1" t="s">
        <v>26</v>
      </c>
      <c r="F2689" s="1" t="s">
        <v>2717</v>
      </c>
      <c r="G2689" s="1" t="s">
        <v>28</v>
      </c>
      <c r="H2689" s="1">
        <v>2787</v>
      </c>
      <c r="I2689" s="1">
        <f t="shared" si="332"/>
        <v>46</v>
      </c>
      <c r="J2689" s="1">
        <f>VLOOKUP(B2689,Cena!$A$2:$B$101,2)</f>
        <v>103</v>
      </c>
      <c r="K2689" s="1">
        <f t="shared" si="336"/>
        <v>4738</v>
      </c>
      <c r="L2689" s="1">
        <f t="shared" si="333"/>
        <v>1089.74</v>
      </c>
      <c r="M2689" s="22">
        <f t="shared" si="337"/>
        <v>5827.74</v>
      </c>
      <c r="N2689" s="1">
        <f t="shared" ca="1" si="334"/>
        <v>1</v>
      </c>
      <c r="P2689" s="1">
        <v>46.375311184237944</v>
      </c>
      <c r="Q2689" s="1">
        <f t="shared" ca="1" si="335"/>
        <v>16</v>
      </c>
      <c r="R2689" s="1">
        <v>13.054333319596481</v>
      </c>
    </row>
    <row r="2690" spans="1:18" x14ac:dyDescent="0.3">
      <c r="A2690" s="26">
        <v>2689</v>
      </c>
      <c r="B2690" s="1">
        <v>13</v>
      </c>
      <c r="C2690" s="1">
        <f t="shared" si="331"/>
        <v>6</v>
      </c>
      <c r="D2690" s="21">
        <f t="shared" ref="D2690:D2753" ca="1" si="338">DATE(2022,RANDBETWEEN(1,12),RANDBETWEEN(1,28))</f>
        <v>44725</v>
      </c>
      <c r="E2690" s="1" t="s">
        <v>26</v>
      </c>
      <c r="F2690" s="1" t="s">
        <v>2718</v>
      </c>
      <c r="G2690" s="1" t="s">
        <v>28</v>
      </c>
      <c r="H2690" s="1">
        <v>2788</v>
      </c>
      <c r="I2690" s="1">
        <f t="shared" si="332"/>
        <v>48</v>
      </c>
      <c r="J2690" s="1">
        <f>VLOOKUP(B2690,Cena!$A$2:$B$101,2)</f>
        <v>94</v>
      </c>
      <c r="K2690" s="1">
        <f t="shared" si="336"/>
        <v>4512</v>
      </c>
      <c r="L2690" s="1">
        <f t="shared" si="333"/>
        <v>1037.76</v>
      </c>
      <c r="M2690" s="22">
        <f t="shared" si="337"/>
        <v>5549.76</v>
      </c>
      <c r="N2690" s="1">
        <f t="shared" ca="1" si="334"/>
        <v>6</v>
      </c>
      <c r="P2690" s="1">
        <v>48.085468178032897</v>
      </c>
      <c r="Q2690" s="1">
        <f t="shared" ca="1" si="335"/>
        <v>2</v>
      </c>
      <c r="R2690" s="1">
        <v>6.9745090311334934</v>
      </c>
    </row>
    <row r="2691" spans="1:18" x14ac:dyDescent="0.3">
      <c r="A2691" s="26">
        <v>2690</v>
      </c>
      <c r="B2691" s="1">
        <v>18</v>
      </c>
      <c r="C2691" s="1">
        <f t="shared" ref="C2691:C2754" si="339">INT(R2691)</f>
        <v>7</v>
      </c>
      <c r="D2691" s="21">
        <f t="shared" ca="1" si="338"/>
        <v>44884</v>
      </c>
      <c r="E2691" s="1" t="s">
        <v>26</v>
      </c>
      <c r="F2691" s="1" t="s">
        <v>2719</v>
      </c>
      <c r="G2691" s="1" t="s">
        <v>28</v>
      </c>
      <c r="H2691" s="1">
        <v>2789</v>
      </c>
      <c r="I2691" s="1">
        <f t="shared" ref="I2691:I2754" si="340">INT(P2691)</f>
        <v>42</v>
      </c>
      <c r="J2691" s="1">
        <f>VLOOKUP(B2691,Cena!$A$2:$B$101,2)</f>
        <v>90</v>
      </c>
      <c r="K2691" s="1">
        <f t="shared" si="336"/>
        <v>3780</v>
      </c>
      <c r="L2691" s="1">
        <f t="shared" ref="L2691:L2754" si="341">K2691*23%</f>
        <v>869.40000000000009</v>
      </c>
      <c r="M2691" s="22">
        <f t="shared" si="337"/>
        <v>4649.3999999999996</v>
      </c>
      <c r="N2691" s="1">
        <f t="shared" ref="N2691:N2754" ca="1" si="342">MONTH(D2691)</f>
        <v>11</v>
      </c>
      <c r="P2691" s="1">
        <v>42.754101185710169</v>
      </c>
      <c r="Q2691" s="1">
        <f t="shared" ref="Q2691:Q2754" ca="1" si="343">RANDBETWEEN(1,30)</f>
        <v>7</v>
      </c>
      <c r="R2691" s="1">
        <v>7.2017292293458013</v>
      </c>
    </row>
    <row r="2692" spans="1:18" x14ac:dyDescent="0.3">
      <c r="A2692" s="26">
        <v>2691</v>
      </c>
      <c r="B2692" s="1">
        <v>17</v>
      </c>
      <c r="C2692" s="1">
        <f t="shared" si="339"/>
        <v>10</v>
      </c>
      <c r="D2692" s="21">
        <f t="shared" ca="1" si="338"/>
        <v>44733</v>
      </c>
      <c r="E2692" s="1" t="s">
        <v>26</v>
      </c>
      <c r="F2692" s="1" t="s">
        <v>2720</v>
      </c>
      <c r="G2692" s="1" t="s">
        <v>28</v>
      </c>
      <c r="H2692" s="1">
        <v>2790</v>
      </c>
      <c r="I2692" s="1">
        <f t="shared" si="340"/>
        <v>51</v>
      </c>
      <c r="J2692" s="1">
        <f>VLOOKUP(B2692,Cena!$A$2:$B$101,2)</f>
        <v>84</v>
      </c>
      <c r="K2692" s="1">
        <f t="shared" si="336"/>
        <v>4284</v>
      </c>
      <c r="L2692" s="1">
        <f t="shared" si="341"/>
        <v>985.32</v>
      </c>
      <c r="M2692" s="22">
        <f t="shared" si="337"/>
        <v>5269.32</v>
      </c>
      <c r="N2692" s="1">
        <f t="shared" ca="1" si="342"/>
        <v>6</v>
      </c>
      <c r="P2692" s="1">
        <v>51.544117367302533</v>
      </c>
      <c r="Q2692" s="1">
        <f t="shared" ca="1" si="343"/>
        <v>29</v>
      </c>
      <c r="R2692" s="1">
        <v>10.35895482142223</v>
      </c>
    </row>
    <row r="2693" spans="1:18" x14ac:dyDescent="0.3">
      <c r="A2693" s="26">
        <v>2692</v>
      </c>
      <c r="B2693" s="1">
        <v>18</v>
      </c>
      <c r="C2693" s="1">
        <f t="shared" si="339"/>
        <v>11</v>
      </c>
      <c r="D2693" s="21">
        <f t="shared" ca="1" si="338"/>
        <v>44744</v>
      </c>
      <c r="E2693" s="1" t="s">
        <v>26</v>
      </c>
      <c r="F2693" s="1" t="s">
        <v>2721</v>
      </c>
      <c r="G2693" s="1" t="s">
        <v>28</v>
      </c>
      <c r="H2693" s="1">
        <v>2791</v>
      </c>
      <c r="I2693" s="1">
        <f t="shared" si="340"/>
        <v>49</v>
      </c>
      <c r="J2693" s="1">
        <f>VLOOKUP(B2693,Cena!$A$2:$B$101,2)</f>
        <v>90</v>
      </c>
      <c r="K2693" s="1">
        <f t="shared" si="336"/>
        <v>4410</v>
      </c>
      <c r="L2693" s="1">
        <f t="shared" si="341"/>
        <v>1014.3000000000001</v>
      </c>
      <c r="M2693" s="22">
        <f t="shared" si="337"/>
        <v>5424.3</v>
      </c>
      <c r="N2693" s="1">
        <f t="shared" ca="1" si="342"/>
        <v>7</v>
      </c>
      <c r="P2693" s="1">
        <v>49.257670424412936</v>
      </c>
      <c r="Q2693" s="1">
        <f t="shared" ca="1" si="343"/>
        <v>20</v>
      </c>
      <c r="R2693" s="1">
        <v>11.178307229565689</v>
      </c>
    </row>
    <row r="2694" spans="1:18" x14ac:dyDescent="0.3">
      <c r="A2694" s="26">
        <v>2693</v>
      </c>
      <c r="B2694" s="1">
        <v>17</v>
      </c>
      <c r="C2694" s="1">
        <f t="shared" si="339"/>
        <v>6</v>
      </c>
      <c r="D2694" s="21">
        <f t="shared" ca="1" si="338"/>
        <v>44775</v>
      </c>
      <c r="E2694" s="1" t="s">
        <v>26</v>
      </c>
      <c r="F2694" s="1" t="s">
        <v>2722</v>
      </c>
      <c r="G2694" s="1" t="s">
        <v>28</v>
      </c>
      <c r="H2694" s="1">
        <v>2792</v>
      </c>
      <c r="I2694" s="1">
        <f t="shared" si="340"/>
        <v>36</v>
      </c>
      <c r="J2694" s="1">
        <f>VLOOKUP(B2694,Cena!$A$2:$B$101,2)</f>
        <v>84</v>
      </c>
      <c r="K2694" s="1">
        <f t="shared" si="336"/>
        <v>3024</v>
      </c>
      <c r="L2694" s="1">
        <f t="shared" si="341"/>
        <v>695.52</v>
      </c>
      <c r="M2694" s="22">
        <f t="shared" si="337"/>
        <v>3719.52</v>
      </c>
      <c r="N2694" s="1">
        <f t="shared" ca="1" si="342"/>
        <v>8</v>
      </c>
      <c r="P2694" s="1">
        <v>36.100874593830667</v>
      </c>
      <c r="Q2694" s="1">
        <f t="shared" ca="1" si="343"/>
        <v>25</v>
      </c>
      <c r="R2694" s="1">
        <v>6.421252035361249</v>
      </c>
    </row>
    <row r="2695" spans="1:18" x14ac:dyDescent="0.3">
      <c r="A2695" s="26">
        <v>2694</v>
      </c>
      <c r="B2695" s="1">
        <v>1</v>
      </c>
      <c r="C2695" s="1">
        <f t="shared" si="339"/>
        <v>7</v>
      </c>
      <c r="D2695" s="21">
        <f t="shared" ca="1" si="338"/>
        <v>44869</v>
      </c>
      <c r="E2695" s="1" t="s">
        <v>26</v>
      </c>
      <c r="F2695" s="1" t="s">
        <v>2723</v>
      </c>
      <c r="G2695" s="1" t="s">
        <v>28</v>
      </c>
      <c r="H2695" s="1">
        <v>2793</v>
      </c>
      <c r="I2695" s="1">
        <f t="shared" si="340"/>
        <v>55</v>
      </c>
      <c r="J2695" s="1">
        <f>VLOOKUP(B2695,Cena!$A$2:$B$101,2)</f>
        <v>84</v>
      </c>
      <c r="K2695" s="1">
        <f t="shared" si="336"/>
        <v>4620</v>
      </c>
      <c r="L2695" s="1">
        <f t="shared" si="341"/>
        <v>1062.6000000000001</v>
      </c>
      <c r="M2695" s="22">
        <f t="shared" si="337"/>
        <v>5682.6</v>
      </c>
      <c r="N2695" s="1">
        <f t="shared" ca="1" si="342"/>
        <v>11</v>
      </c>
      <c r="P2695" s="1">
        <v>55.296828931022901</v>
      </c>
      <c r="Q2695" s="1">
        <f t="shared" ca="1" si="343"/>
        <v>27</v>
      </c>
      <c r="R2695" s="1">
        <v>7.6975800564105157</v>
      </c>
    </row>
    <row r="2696" spans="1:18" x14ac:dyDescent="0.3">
      <c r="A2696" s="26">
        <v>2695</v>
      </c>
      <c r="B2696" s="1">
        <v>9</v>
      </c>
      <c r="C2696" s="1">
        <f t="shared" si="339"/>
        <v>11</v>
      </c>
      <c r="D2696" s="21">
        <f t="shared" ca="1" si="338"/>
        <v>44751</v>
      </c>
      <c r="E2696" s="1" t="s">
        <v>26</v>
      </c>
      <c r="F2696" s="1" t="s">
        <v>2724</v>
      </c>
      <c r="G2696" s="1" t="s">
        <v>28</v>
      </c>
      <c r="H2696" s="1">
        <v>2794</v>
      </c>
      <c r="I2696" s="1">
        <f t="shared" si="340"/>
        <v>51</v>
      </c>
      <c r="J2696" s="1">
        <f>VLOOKUP(B2696,Cena!$A$2:$B$101,2)</f>
        <v>96</v>
      </c>
      <c r="K2696" s="1">
        <f t="shared" si="336"/>
        <v>4896</v>
      </c>
      <c r="L2696" s="1">
        <f t="shared" si="341"/>
        <v>1126.0800000000002</v>
      </c>
      <c r="M2696" s="22">
        <f t="shared" si="337"/>
        <v>6022.08</v>
      </c>
      <c r="N2696" s="1">
        <f t="shared" ca="1" si="342"/>
        <v>7</v>
      </c>
      <c r="P2696" s="1">
        <v>51.540252014819998</v>
      </c>
      <c r="Q2696" s="1">
        <f t="shared" ca="1" si="343"/>
        <v>7</v>
      </c>
      <c r="R2696" s="1">
        <v>11.626614221095224</v>
      </c>
    </row>
    <row r="2697" spans="1:18" x14ac:dyDescent="0.3">
      <c r="A2697" s="26">
        <v>2696</v>
      </c>
      <c r="B2697" s="1">
        <v>29</v>
      </c>
      <c r="C2697" s="1">
        <f t="shared" si="339"/>
        <v>11</v>
      </c>
      <c r="D2697" s="21">
        <f t="shared" ca="1" si="338"/>
        <v>44901</v>
      </c>
      <c r="E2697" s="1" t="s">
        <v>26</v>
      </c>
      <c r="F2697" s="1" t="s">
        <v>2725</v>
      </c>
      <c r="G2697" s="1" t="s">
        <v>28</v>
      </c>
      <c r="H2697" s="1">
        <v>2795</v>
      </c>
      <c r="I2697" s="1">
        <f t="shared" si="340"/>
        <v>35</v>
      </c>
      <c r="J2697" s="1">
        <f>VLOOKUP(B2697,Cena!$A$2:$B$101,2)</f>
        <v>105</v>
      </c>
      <c r="K2697" s="1">
        <f t="shared" si="336"/>
        <v>3675</v>
      </c>
      <c r="L2697" s="1">
        <f t="shared" si="341"/>
        <v>845.25</v>
      </c>
      <c r="M2697" s="22">
        <f t="shared" si="337"/>
        <v>4520.25</v>
      </c>
      <c r="N2697" s="1">
        <f t="shared" ca="1" si="342"/>
        <v>12</v>
      </c>
      <c r="P2697" s="1">
        <v>35.851400197134353</v>
      </c>
      <c r="Q2697" s="1">
        <f t="shared" ca="1" si="343"/>
        <v>19</v>
      </c>
      <c r="R2697" s="1">
        <v>11.624962919777317</v>
      </c>
    </row>
    <row r="2698" spans="1:18" x14ac:dyDescent="0.3">
      <c r="A2698" s="26">
        <v>2697</v>
      </c>
      <c r="B2698" s="1">
        <v>12</v>
      </c>
      <c r="C2698" s="1">
        <f t="shared" si="339"/>
        <v>8</v>
      </c>
      <c r="D2698" s="21">
        <f t="shared" ca="1" si="338"/>
        <v>44861</v>
      </c>
      <c r="E2698" s="1" t="s">
        <v>26</v>
      </c>
      <c r="F2698" s="1" t="s">
        <v>2726</v>
      </c>
      <c r="G2698" s="1" t="s">
        <v>28</v>
      </c>
      <c r="H2698" s="1">
        <v>2796</v>
      </c>
      <c r="I2698" s="1">
        <f t="shared" si="340"/>
        <v>73</v>
      </c>
      <c r="J2698" s="1">
        <f>VLOOKUP(B2698,Cena!$A$2:$B$101,2)</f>
        <v>88</v>
      </c>
      <c r="K2698" s="1">
        <f t="shared" si="336"/>
        <v>6424</v>
      </c>
      <c r="L2698" s="1">
        <f t="shared" si="341"/>
        <v>1477.52</v>
      </c>
      <c r="M2698" s="22">
        <f t="shared" si="337"/>
        <v>7901.52</v>
      </c>
      <c r="N2698" s="1">
        <f t="shared" ca="1" si="342"/>
        <v>10</v>
      </c>
      <c r="P2698" s="1">
        <v>73.795291781425476</v>
      </c>
      <c r="Q2698" s="1">
        <f t="shared" ca="1" si="343"/>
        <v>7</v>
      </c>
      <c r="R2698" s="1">
        <v>8.3655754931533011</v>
      </c>
    </row>
    <row r="2699" spans="1:18" x14ac:dyDescent="0.3">
      <c r="A2699" s="26">
        <v>2698</v>
      </c>
      <c r="B2699" s="1">
        <v>13</v>
      </c>
      <c r="C2699" s="1">
        <f t="shared" si="339"/>
        <v>13</v>
      </c>
      <c r="D2699" s="21">
        <f t="shared" ca="1" si="338"/>
        <v>44913</v>
      </c>
      <c r="E2699" s="1" t="s">
        <v>26</v>
      </c>
      <c r="F2699" s="1" t="s">
        <v>2727</v>
      </c>
      <c r="G2699" s="1" t="s">
        <v>28</v>
      </c>
      <c r="H2699" s="1">
        <v>2797</v>
      </c>
      <c r="I2699" s="1">
        <f t="shared" si="340"/>
        <v>37</v>
      </c>
      <c r="J2699" s="1">
        <f>VLOOKUP(B2699,Cena!$A$2:$B$101,2)</f>
        <v>94</v>
      </c>
      <c r="K2699" s="1">
        <f t="shared" si="336"/>
        <v>3478</v>
      </c>
      <c r="L2699" s="1">
        <f t="shared" si="341"/>
        <v>799.94</v>
      </c>
      <c r="M2699" s="22">
        <f t="shared" si="337"/>
        <v>4277.9400000000005</v>
      </c>
      <c r="N2699" s="1">
        <f t="shared" ca="1" si="342"/>
        <v>12</v>
      </c>
      <c r="P2699" s="1">
        <v>37.411229085410014</v>
      </c>
      <c r="Q2699" s="1">
        <f t="shared" ca="1" si="343"/>
        <v>9</v>
      </c>
      <c r="R2699" s="1">
        <v>13.343933485666639</v>
      </c>
    </row>
    <row r="2700" spans="1:18" x14ac:dyDescent="0.3">
      <c r="A2700" s="26">
        <v>2699</v>
      </c>
      <c r="B2700" s="1">
        <v>5</v>
      </c>
      <c r="C2700" s="1">
        <f t="shared" si="339"/>
        <v>10</v>
      </c>
      <c r="D2700" s="21">
        <f t="shared" ca="1" si="338"/>
        <v>44851</v>
      </c>
      <c r="E2700" s="1" t="s">
        <v>26</v>
      </c>
      <c r="F2700" s="1" t="s">
        <v>2728</v>
      </c>
      <c r="G2700" s="1" t="s">
        <v>28</v>
      </c>
      <c r="H2700" s="1">
        <v>2798</v>
      </c>
      <c r="I2700" s="1">
        <f t="shared" si="340"/>
        <v>69</v>
      </c>
      <c r="J2700" s="1">
        <f>VLOOKUP(B2700,Cena!$A$2:$B$101,2)</f>
        <v>91</v>
      </c>
      <c r="K2700" s="1">
        <f t="shared" si="336"/>
        <v>6279</v>
      </c>
      <c r="L2700" s="1">
        <f t="shared" si="341"/>
        <v>1444.17</v>
      </c>
      <c r="M2700" s="22">
        <f t="shared" si="337"/>
        <v>7723.17</v>
      </c>
      <c r="N2700" s="1">
        <f t="shared" ca="1" si="342"/>
        <v>10</v>
      </c>
      <c r="P2700" s="1">
        <v>69.808430806733668</v>
      </c>
      <c r="Q2700" s="1">
        <f t="shared" ca="1" si="343"/>
        <v>7</v>
      </c>
      <c r="R2700" s="1">
        <v>10.953718881646637</v>
      </c>
    </row>
    <row r="2701" spans="1:18" x14ac:dyDescent="0.3">
      <c r="A2701" s="26">
        <v>2700</v>
      </c>
      <c r="B2701" s="1">
        <v>8</v>
      </c>
      <c r="C2701" s="1">
        <f t="shared" si="339"/>
        <v>15</v>
      </c>
      <c r="D2701" s="21">
        <f t="shared" ca="1" si="338"/>
        <v>44796</v>
      </c>
      <c r="E2701" s="1" t="s">
        <v>26</v>
      </c>
      <c r="F2701" s="1" t="s">
        <v>2729</v>
      </c>
      <c r="G2701" s="1" t="s">
        <v>28</v>
      </c>
      <c r="H2701" s="1">
        <v>2799</v>
      </c>
      <c r="I2701" s="1">
        <f t="shared" si="340"/>
        <v>65</v>
      </c>
      <c r="J2701" s="1">
        <f>VLOOKUP(B2701,Cena!$A$2:$B$101,2)</f>
        <v>88</v>
      </c>
      <c r="K2701" s="1">
        <f t="shared" si="336"/>
        <v>5720</v>
      </c>
      <c r="L2701" s="1">
        <f t="shared" si="341"/>
        <v>1315.6000000000001</v>
      </c>
      <c r="M2701" s="22">
        <f t="shared" si="337"/>
        <v>7035.6</v>
      </c>
      <c r="N2701" s="1">
        <f t="shared" ca="1" si="342"/>
        <v>8</v>
      </c>
      <c r="P2701" s="1">
        <v>65.501836969633587</v>
      </c>
      <c r="Q2701" s="1">
        <f t="shared" ca="1" si="343"/>
        <v>10</v>
      </c>
      <c r="R2701" s="1">
        <v>15.05851858179085</v>
      </c>
    </row>
    <row r="2702" spans="1:18" x14ac:dyDescent="0.3">
      <c r="A2702" s="26">
        <v>2701</v>
      </c>
      <c r="B2702" s="1">
        <v>3</v>
      </c>
      <c r="C2702" s="1">
        <f t="shared" si="339"/>
        <v>13</v>
      </c>
      <c r="D2702" s="21">
        <f t="shared" ca="1" si="338"/>
        <v>44688</v>
      </c>
      <c r="E2702" s="1" t="s">
        <v>26</v>
      </c>
      <c r="F2702" s="1" t="s">
        <v>2730</v>
      </c>
      <c r="G2702" s="1" t="s">
        <v>28</v>
      </c>
      <c r="H2702" s="1">
        <v>2800</v>
      </c>
      <c r="I2702" s="1">
        <f t="shared" si="340"/>
        <v>40</v>
      </c>
      <c r="J2702" s="1">
        <f>VLOOKUP(B2702,Cena!$A$2:$B$101,2)</f>
        <v>89</v>
      </c>
      <c r="K2702" s="1">
        <f t="shared" si="336"/>
        <v>3560</v>
      </c>
      <c r="L2702" s="1">
        <f t="shared" si="341"/>
        <v>818.80000000000007</v>
      </c>
      <c r="M2702" s="22">
        <f t="shared" si="337"/>
        <v>4378.8</v>
      </c>
      <c r="N2702" s="1">
        <f t="shared" ca="1" si="342"/>
        <v>5</v>
      </c>
      <c r="P2702" s="1">
        <v>40.82065187394619</v>
      </c>
      <c r="Q2702" s="1">
        <f t="shared" ca="1" si="343"/>
        <v>25</v>
      </c>
      <c r="R2702" s="1">
        <v>13.627371825132286</v>
      </c>
    </row>
    <row r="2703" spans="1:18" x14ac:dyDescent="0.3">
      <c r="A2703" s="26">
        <v>2702</v>
      </c>
      <c r="B2703" s="1">
        <v>29</v>
      </c>
      <c r="C2703" s="1">
        <f t="shared" si="339"/>
        <v>5</v>
      </c>
      <c r="D2703" s="21">
        <f t="shared" ca="1" si="338"/>
        <v>44827</v>
      </c>
      <c r="E2703" s="1" t="s">
        <v>26</v>
      </c>
      <c r="F2703" s="1" t="s">
        <v>2731</v>
      </c>
      <c r="G2703" s="1" t="s">
        <v>28</v>
      </c>
      <c r="H2703" s="1">
        <v>2801</v>
      </c>
      <c r="I2703" s="1">
        <f t="shared" si="340"/>
        <v>68</v>
      </c>
      <c r="J2703" s="1">
        <f>VLOOKUP(B2703,Cena!$A$2:$B$101,2)</f>
        <v>105</v>
      </c>
      <c r="K2703" s="1">
        <f t="shared" si="336"/>
        <v>7140</v>
      </c>
      <c r="L2703" s="1">
        <f t="shared" si="341"/>
        <v>1642.2</v>
      </c>
      <c r="M2703" s="22">
        <f t="shared" si="337"/>
        <v>8782.2000000000007</v>
      </c>
      <c r="N2703" s="1">
        <f t="shared" ca="1" si="342"/>
        <v>9</v>
      </c>
      <c r="P2703" s="1">
        <v>68.067385099129751</v>
      </c>
      <c r="Q2703" s="1">
        <f t="shared" ca="1" si="343"/>
        <v>24</v>
      </c>
      <c r="R2703" s="1">
        <v>5.3002543406910263</v>
      </c>
    </row>
    <row r="2704" spans="1:18" x14ac:dyDescent="0.3">
      <c r="A2704" s="26">
        <v>2703</v>
      </c>
      <c r="B2704" s="1">
        <v>2</v>
      </c>
      <c r="C2704" s="1">
        <f t="shared" si="339"/>
        <v>6</v>
      </c>
      <c r="D2704" s="21">
        <f t="shared" ca="1" si="338"/>
        <v>44758</v>
      </c>
      <c r="E2704" s="1" t="s">
        <v>26</v>
      </c>
      <c r="F2704" s="1" t="s">
        <v>2732</v>
      </c>
      <c r="G2704" s="1" t="s">
        <v>28</v>
      </c>
      <c r="H2704" s="1">
        <v>2802</v>
      </c>
      <c r="I2704" s="1">
        <f t="shared" si="340"/>
        <v>63</v>
      </c>
      <c r="J2704" s="1">
        <f>VLOOKUP(B2704,Cena!$A$2:$B$101,2)</f>
        <v>121</v>
      </c>
      <c r="K2704" s="1">
        <f t="shared" si="336"/>
        <v>7623</v>
      </c>
      <c r="L2704" s="1">
        <f t="shared" si="341"/>
        <v>1753.29</v>
      </c>
      <c r="M2704" s="22">
        <f t="shared" si="337"/>
        <v>9376.2900000000009</v>
      </c>
      <c r="N2704" s="1">
        <f t="shared" ca="1" si="342"/>
        <v>7</v>
      </c>
      <c r="P2704" s="1">
        <v>63.521230357582681</v>
      </c>
      <c r="Q2704" s="1">
        <f t="shared" ca="1" si="343"/>
        <v>6</v>
      </c>
      <c r="R2704" s="1">
        <v>6.6839254739170428</v>
      </c>
    </row>
    <row r="2705" spans="1:18" x14ac:dyDescent="0.3">
      <c r="A2705" s="26">
        <v>2704</v>
      </c>
      <c r="B2705" s="1">
        <v>20</v>
      </c>
      <c r="C2705" s="1">
        <f t="shared" si="339"/>
        <v>10</v>
      </c>
      <c r="D2705" s="21">
        <f t="shared" ca="1" si="338"/>
        <v>44735</v>
      </c>
      <c r="E2705" s="1" t="s">
        <v>26</v>
      </c>
      <c r="F2705" s="1" t="s">
        <v>2733</v>
      </c>
      <c r="G2705" s="1" t="s">
        <v>28</v>
      </c>
      <c r="H2705" s="1">
        <v>2803</v>
      </c>
      <c r="I2705" s="1">
        <f t="shared" si="340"/>
        <v>41</v>
      </c>
      <c r="J2705" s="1">
        <f>VLOOKUP(B2705,Cena!$A$2:$B$101,2)</f>
        <v>111</v>
      </c>
      <c r="K2705" s="1">
        <f t="shared" si="336"/>
        <v>4551</v>
      </c>
      <c r="L2705" s="1">
        <f t="shared" si="341"/>
        <v>1046.73</v>
      </c>
      <c r="M2705" s="22">
        <f t="shared" si="337"/>
        <v>5597.73</v>
      </c>
      <c r="N2705" s="1">
        <f t="shared" ca="1" si="342"/>
        <v>6</v>
      </c>
      <c r="P2705" s="1">
        <v>41.848585523257498</v>
      </c>
      <c r="Q2705" s="1">
        <f t="shared" ca="1" si="343"/>
        <v>30</v>
      </c>
      <c r="R2705" s="1">
        <v>10.884963924363547</v>
      </c>
    </row>
    <row r="2706" spans="1:18" x14ac:dyDescent="0.3">
      <c r="A2706" s="26">
        <v>2705</v>
      </c>
      <c r="B2706" s="1">
        <v>30</v>
      </c>
      <c r="C2706" s="1">
        <f t="shared" si="339"/>
        <v>11</v>
      </c>
      <c r="D2706" s="21">
        <f t="shared" ca="1" si="338"/>
        <v>44679</v>
      </c>
      <c r="E2706" s="1" t="s">
        <v>26</v>
      </c>
      <c r="F2706" s="1" t="s">
        <v>2734</v>
      </c>
      <c r="G2706" s="1" t="s">
        <v>28</v>
      </c>
      <c r="H2706" s="1">
        <v>2804</v>
      </c>
      <c r="I2706" s="1">
        <f t="shared" si="340"/>
        <v>43</v>
      </c>
      <c r="J2706" s="1">
        <f>VLOOKUP(B2706,Cena!$A$2:$B$101,2)</f>
        <v>87</v>
      </c>
      <c r="K2706" s="1">
        <f t="shared" si="336"/>
        <v>3741</v>
      </c>
      <c r="L2706" s="1">
        <f t="shared" si="341"/>
        <v>860.43000000000006</v>
      </c>
      <c r="M2706" s="22">
        <f t="shared" si="337"/>
        <v>4601.43</v>
      </c>
      <c r="N2706" s="1">
        <f t="shared" ca="1" si="342"/>
        <v>4</v>
      </c>
      <c r="P2706" s="1">
        <v>43.845926837821025</v>
      </c>
      <c r="Q2706" s="1">
        <f t="shared" ca="1" si="343"/>
        <v>13</v>
      </c>
      <c r="R2706" s="1">
        <v>11.677290129009634</v>
      </c>
    </row>
    <row r="2707" spans="1:18" x14ac:dyDescent="0.3">
      <c r="A2707" s="26">
        <v>2706</v>
      </c>
      <c r="B2707" s="1">
        <v>28</v>
      </c>
      <c r="C2707" s="1">
        <f t="shared" si="339"/>
        <v>12</v>
      </c>
      <c r="D2707" s="21">
        <f t="shared" ca="1" si="338"/>
        <v>44688</v>
      </c>
      <c r="E2707" s="1" t="s">
        <v>26</v>
      </c>
      <c r="F2707" s="1" t="s">
        <v>2735</v>
      </c>
      <c r="G2707" s="1" t="s">
        <v>28</v>
      </c>
      <c r="H2707" s="1">
        <v>2805</v>
      </c>
      <c r="I2707" s="1">
        <f t="shared" si="340"/>
        <v>54</v>
      </c>
      <c r="J2707" s="1">
        <f>VLOOKUP(B2707,Cena!$A$2:$B$101,2)</f>
        <v>59</v>
      </c>
      <c r="K2707" s="1">
        <f t="shared" si="336"/>
        <v>3186</v>
      </c>
      <c r="L2707" s="1">
        <f t="shared" si="341"/>
        <v>732.78000000000009</v>
      </c>
      <c r="M2707" s="22">
        <f t="shared" si="337"/>
        <v>3918.78</v>
      </c>
      <c r="N2707" s="1">
        <f t="shared" ca="1" si="342"/>
        <v>5</v>
      </c>
      <c r="P2707" s="1">
        <v>54.006460585515015</v>
      </c>
      <c r="Q2707" s="1">
        <f t="shared" ca="1" si="343"/>
        <v>15</v>
      </c>
      <c r="R2707" s="1">
        <v>12.403379539828165</v>
      </c>
    </row>
    <row r="2708" spans="1:18" x14ac:dyDescent="0.3">
      <c r="A2708" s="26">
        <v>2707</v>
      </c>
      <c r="B2708" s="1">
        <v>21</v>
      </c>
      <c r="C2708" s="1">
        <f t="shared" si="339"/>
        <v>12</v>
      </c>
      <c r="D2708" s="21">
        <f t="shared" ca="1" si="338"/>
        <v>44837</v>
      </c>
      <c r="E2708" s="1" t="s">
        <v>26</v>
      </c>
      <c r="F2708" s="1" t="s">
        <v>2736</v>
      </c>
      <c r="G2708" s="1" t="s">
        <v>28</v>
      </c>
      <c r="H2708" s="1">
        <v>2806</v>
      </c>
      <c r="I2708" s="1">
        <f t="shared" si="340"/>
        <v>31</v>
      </c>
      <c r="J2708" s="1">
        <f>VLOOKUP(B2708,Cena!$A$2:$B$101,2)</f>
        <v>105</v>
      </c>
      <c r="K2708" s="1">
        <f t="shared" si="336"/>
        <v>3255</v>
      </c>
      <c r="L2708" s="1">
        <f t="shared" si="341"/>
        <v>748.65</v>
      </c>
      <c r="M2708" s="22">
        <f t="shared" si="337"/>
        <v>4003.65</v>
      </c>
      <c r="N2708" s="1">
        <f t="shared" ca="1" si="342"/>
        <v>10</v>
      </c>
      <c r="P2708" s="1">
        <v>31.110704538878053</v>
      </c>
      <c r="Q2708" s="1">
        <f t="shared" ca="1" si="343"/>
        <v>2</v>
      </c>
      <c r="R2708" s="1">
        <v>12.703671952986042</v>
      </c>
    </row>
    <row r="2709" spans="1:18" x14ac:dyDescent="0.3">
      <c r="A2709" s="26">
        <v>2708</v>
      </c>
      <c r="B2709" s="1">
        <v>23</v>
      </c>
      <c r="C2709" s="1">
        <f t="shared" si="339"/>
        <v>12</v>
      </c>
      <c r="D2709" s="21">
        <f t="shared" ca="1" si="338"/>
        <v>44756</v>
      </c>
      <c r="E2709" s="1" t="s">
        <v>26</v>
      </c>
      <c r="F2709" s="1" t="s">
        <v>2737</v>
      </c>
      <c r="G2709" s="1" t="s">
        <v>28</v>
      </c>
      <c r="H2709" s="1">
        <v>2807</v>
      </c>
      <c r="I2709" s="1">
        <f t="shared" si="340"/>
        <v>34</v>
      </c>
      <c r="J2709" s="1">
        <f>VLOOKUP(B2709,Cena!$A$2:$B$101,2)</f>
        <v>132</v>
      </c>
      <c r="K2709" s="1">
        <f t="shared" si="336"/>
        <v>4488</v>
      </c>
      <c r="L2709" s="1">
        <f t="shared" si="341"/>
        <v>1032.24</v>
      </c>
      <c r="M2709" s="22">
        <f t="shared" si="337"/>
        <v>5520.24</v>
      </c>
      <c r="N2709" s="1">
        <f t="shared" ca="1" si="342"/>
        <v>7</v>
      </c>
      <c r="P2709" s="1">
        <v>34.892929205670953</v>
      </c>
      <c r="Q2709" s="1">
        <f t="shared" ca="1" si="343"/>
        <v>12</v>
      </c>
      <c r="R2709" s="1">
        <v>12.939771093224408</v>
      </c>
    </row>
    <row r="2710" spans="1:18" x14ac:dyDescent="0.3">
      <c r="A2710" s="26">
        <v>2709</v>
      </c>
      <c r="B2710" s="1">
        <v>7</v>
      </c>
      <c r="C2710" s="1">
        <f t="shared" si="339"/>
        <v>7</v>
      </c>
      <c r="D2710" s="21">
        <f t="shared" ca="1" si="338"/>
        <v>44565</v>
      </c>
      <c r="E2710" s="1" t="s">
        <v>26</v>
      </c>
      <c r="F2710" s="1" t="s">
        <v>2738</v>
      </c>
      <c r="G2710" s="1" t="s">
        <v>28</v>
      </c>
      <c r="H2710" s="1">
        <v>2808</v>
      </c>
      <c r="I2710" s="1">
        <f t="shared" si="340"/>
        <v>55</v>
      </c>
      <c r="J2710" s="1">
        <f>VLOOKUP(B2710,Cena!$A$2:$B$101,2)</f>
        <v>104</v>
      </c>
      <c r="K2710" s="1">
        <f t="shared" si="336"/>
        <v>5720</v>
      </c>
      <c r="L2710" s="1">
        <f t="shared" si="341"/>
        <v>1315.6000000000001</v>
      </c>
      <c r="M2710" s="22">
        <f t="shared" si="337"/>
        <v>7035.6</v>
      </c>
      <c r="N2710" s="1">
        <f t="shared" ca="1" si="342"/>
        <v>1</v>
      </c>
      <c r="P2710" s="1">
        <v>55.631682142848149</v>
      </c>
      <c r="Q2710" s="1">
        <f t="shared" ca="1" si="343"/>
        <v>17</v>
      </c>
      <c r="R2710" s="1">
        <v>7.8380401444155723</v>
      </c>
    </row>
    <row r="2711" spans="1:18" x14ac:dyDescent="0.3">
      <c r="A2711" s="26">
        <v>2710</v>
      </c>
      <c r="B2711" s="1">
        <v>25</v>
      </c>
      <c r="C2711" s="1">
        <f t="shared" si="339"/>
        <v>10</v>
      </c>
      <c r="D2711" s="21">
        <f t="shared" ca="1" si="338"/>
        <v>44759</v>
      </c>
      <c r="E2711" s="1" t="s">
        <v>26</v>
      </c>
      <c r="F2711" s="1" t="s">
        <v>2739</v>
      </c>
      <c r="G2711" s="1" t="s">
        <v>28</v>
      </c>
      <c r="H2711" s="1">
        <v>2809</v>
      </c>
      <c r="I2711" s="1">
        <f t="shared" si="340"/>
        <v>45</v>
      </c>
      <c r="J2711" s="1">
        <f>VLOOKUP(B2711,Cena!$A$2:$B$101,2)</f>
        <v>108</v>
      </c>
      <c r="K2711" s="1">
        <f t="shared" si="336"/>
        <v>4860</v>
      </c>
      <c r="L2711" s="1">
        <f t="shared" si="341"/>
        <v>1117.8</v>
      </c>
      <c r="M2711" s="22">
        <f t="shared" si="337"/>
        <v>5977.8</v>
      </c>
      <c r="N2711" s="1">
        <f t="shared" ca="1" si="342"/>
        <v>7</v>
      </c>
      <c r="P2711" s="1">
        <v>45.267944541410543</v>
      </c>
      <c r="Q2711" s="1">
        <f t="shared" ca="1" si="343"/>
        <v>16</v>
      </c>
      <c r="R2711" s="1">
        <v>10.419743173551979</v>
      </c>
    </row>
    <row r="2712" spans="1:18" x14ac:dyDescent="0.3">
      <c r="A2712" s="26">
        <v>2711</v>
      </c>
      <c r="B2712" s="1">
        <v>22</v>
      </c>
      <c r="C2712" s="1">
        <f t="shared" si="339"/>
        <v>11</v>
      </c>
      <c r="D2712" s="21">
        <f t="shared" ca="1" si="338"/>
        <v>44643</v>
      </c>
      <c r="E2712" s="1" t="s">
        <v>26</v>
      </c>
      <c r="F2712" s="1" t="s">
        <v>2740</v>
      </c>
      <c r="G2712" s="1" t="s">
        <v>28</v>
      </c>
      <c r="H2712" s="1">
        <v>2810</v>
      </c>
      <c r="I2712" s="1">
        <f t="shared" si="340"/>
        <v>63</v>
      </c>
      <c r="J2712" s="1">
        <f>VLOOKUP(B2712,Cena!$A$2:$B$101,2)</f>
        <v>103</v>
      </c>
      <c r="K2712" s="1">
        <f t="shared" si="336"/>
        <v>6489</v>
      </c>
      <c r="L2712" s="1">
        <f t="shared" si="341"/>
        <v>1492.47</v>
      </c>
      <c r="M2712" s="22">
        <f t="shared" si="337"/>
        <v>7981.47</v>
      </c>
      <c r="N2712" s="1">
        <f t="shared" ca="1" si="342"/>
        <v>3</v>
      </c>
      <c r="P2712" s="1">
        <v>63.466114978655241</v>
      </c>
      <c r="Q2712" s="1">
        <f t="shared" ca="1" si="343"/>
        <v>11</v>
      </c>
      <c r="R2712" s="1">
        <v>11.370426616631448</v>
      </c>
    </row>
    <row r="2713" spans="1:18" x14ac:dyDescent="0.3">
      <c r="A2713" s="26">
        <v>2712</v>
      </c>
      <c r="B2713" s="1">
        <v>27</v>
      </c>
      <c r="C2713" s="1">
        <f t="shared" si="339"/>
        <v>9</v>
      </c>
      <c r="D2713" s="21">
        <f t="shared" ca="1" si="338"/>
        <v>44731</v>
      </c>
      <c r="E2713" s="1" t="s">
        <v>26</v>
      </c>
      <c r="F2713" s="1" t="s">
        <v>2741</v>
      </c>
      <c r="G2713" s="1" t="s">
        <v>28</v>
      </c>
      <c r="H2713" s="1">
        <v>2811</v>
      </c>
      <c r="I2713" s="1">
        <f t="shared" si="340"/>
        <v>43</v>
      </c>
      <c r="J2713" s="1">
        <f>VLOOKUP(B2713,Cena!$A$2:$B$101,2)</f>
        <v>87</v>
      </c>
      <c r="K2713" s="1">
        <f t="shared" si="336"/>
        <v>3741</v>
      </c>
      <c r="L2713" s="1">
        <f t="shared" si="341"/>
        <v>860.43000000000006</v>
      </c>
      <c r="M2713" s="22">
        <f t="shared" si="337"/>
        <v>4601.43</v>
      </c>
      <c r="N2713" s="1">
        <f t="shared" ca="1" si="342"/>
        <v>6</v>
      </c>
      <c r="P2713" s="1">
        <v>43.392043506901246</v>
      </c>
      <c r="Q2713" s="1">
        <f t="shared" ca="1" si="343"/>
        <v>6</v>
      </c>
      <c r="R2713" s="1">
        <v>9.361929781116487</v>
      </c>
    </row>
    <row r="2714" spans="1:18" x14ac:dyDescent="0.3">
      <c r="A2714" s="26">
        <v>2713</v>
      </c>
      <c r="B2714" s="1">
        <v>4</v>
      </c>
      <c r="C2714" s="1">
        <f t="shared" si="339"/>
        <v>11</v>
      </c>
      <c r="D2714" s="21">
        <f t="shared" ca="1" si="338"/>
        <v>44796</v>
      </c>
      <c r="E2714" s="1" t="s">
        <v>26</v>
      </c>
      <c r="F2714" s="1" t="s">
        <v>2742</v>
      </c>
      <c r="G2714" s="1" t="s">
        <v>28</v>
      </c>
      <c r="H2714" s="1">
        <v>2812</v>
      </c>
      <c r="I2714" s="1">
        <f t="shared" si="340"/>
        <v>45</v>
      </c>
      <c r="J2714" s="1">
        <f>VLOOKUP(B2714,Cena!$A$2:$B$101,2)</f>
        <v>99</v>
      </c>
      <c r="K2714" s="1">
        <f t="shared" si="336"/>
        <v>4455</v>
      </c>
      <c r="L2714" s="1">
        <f t="shared" si="341"/>
        <v>1024.6500000000001</v>
      </c>
      <c r="M2714" s="22">
        <f t="shared" si="337"/>
        <v>5479.65</v>
      </c>
      <c r="N2714" s="1">
        <f t="shared" ca="1" si="342"/>
        <v>8</v>
      </c>
      <c r="P2714" s="1">
        <v>45.545090314408299</v>
      </c>
      <c r="Q2714" s="1">
        <f t="shared" ca="1" si="343"/>
        <v>26</v>
      </c>
      <c r="R2714" s="1">
        <v>11.973737084881577</v>
      </c>
    </row>
    <row r="2715" spans="1:18" x14ac:dyDescent="0.3">
      <c r="A2715" s="26">
        <v>2714</v>
      </c>
      <c r="B2715" s="1">
        <v>29</v>
      </c>
      <c r="C2715" s="1">
        <f t="shared" si="339"/>
        <v>8</v>
      </c>
      <c r="D2715" s="21">
        <f t="shared" ca="1" si="338"/>
        <v>44839</v>
      </c>
      <c r="E2715" s="1" t="s">
        <v>26</v>
      </c>
      <c r="F2715" s="1" t="s">
        <v>2743</v>
      </c>
      <c r="G2715" s="1" t="s">
        <v>28</v>
      </c>
      <c r="H2715" s="1">
        <v>2813</v>
      </c>
      <c r="I2715" s="1">
        <f t="shared" si="340"/>
        <v>61</v>
      </c>
      <c r="J2715" s="1">
        <f>VLOOKUP(B2715,Cena!$A$2:$B$101,2)</f>
        <v>105</v>
      </c>
      <c r="K2715" s="1">
        <f t="shared" si="336"/>
        <v>6405</v>
      </c>
      <c r="L2715" s="1">
        <f t="shared" si="341"/>
        <v>1473.15</v>
      </c>
      <c r="M2715" s="22">
        <f t="shared" si="337"/>
        <v>7878.15</v>
      </c>
      <c r="N2715" s="1">
        <f t="shared" ca="1" si="342"/>
        <v>10</v>
      </c>
      <c r="P2715" s="1">
        <v>61.996053217444569</v>
      </c>
      <c r="Q2715" s="1">
        <f t="shared" ca="1" si="343"/>
        <v>5</v>
      </c>
      <c r="R2715" s="1">
        <v>8.9157629443070618</v>
      </c>
    </row>
    <row r="2716" spans="1:18" x14ac:dyDescent="0.3">
      <c r="A2716" s="26">
        <v>2715</v>
      </c>
      <c r="B2716" s="1">
        <v>8</v>
      </c>
      <c r="C2716" s="1">
        <f t="shared" si="339"/>
        <v>12</v>
      </c>
      <c r="D2716" s="21">
        <f t="shared" ca="1" si="338"/>
        <v>44796</v>
      </c>
      <c r="E2716" s="1" t="s">
        <v>26</v>
      </c>
      <c r="F2716" s="1" t="s">
        <v>2744</v>
      </c>
      <c r="G2716" s="1" t="s">
        <v>28</v>
      </c>
      <c r="H2716" s="1">
        <v>2814</v>
      </c>
      <c r="I2716" s="1">
        <f t="shared" si="340"/>
        <v>37</v>
      </c>
      <c r="J2716" s="1">
        <f>VLOOKUP(B2716,Cena!$A$2:$B$101,2)</f>
        <v>88</v>
      </c>
      <c r="K2716" s="1">
        <f t="shared" si="336"/>
        <v>3256</v>
      </c>
      <c r="L2716" s="1">
        <f t="shared" si="341"/>
        <v>748.88</v>
      </c>
      <c r="M2716" s="22">
        <f t="shared" si="337"/>
        <v>4004.88</v>
      </c>
      <c r="N2716" s="1">
        <f t="shared" ca="1" si="342"/>
        <v>8</v>
      </c>
      <c r="P2716" s="1">
        <v>37.898036124533974</v>
      </c>
      <c r="Q2716" s="1">
        <f t="shared" ca="1" si="343"/>
        <v>1</v>
      </c>
      <c r="R2716" s="1">
        <v>12.407938382020802</v>
      </c>
    </row>
    <row r="2717" spans="1:18" x14ac:dyDescent="0.3">
      <c r="A2717" s="26">
        <v>2716</v>
      </c>
      <c r="B2717" s="1">
        <v>27</v>
      </c>
      <c r="C2717" s="1">
        <f t="shared" si="339"/>
        <v>10</v>
      </c>
      <c r="D2717" s="21">
        <f t="shared" ca="1" si="338"/>
        <v>44587</v>
      </c>
      <c r="E2717" s="1" t="s">
        <v>26</v>
      </c>
      <c r="F2717" s="1" t="s">
        <v>2745</v>
      </c>
      <c r="G2717" s="1" t="s">
        <v>28</v>
      </c>
      <c r="H2717" s="1">
        <v>2815</v>
      </c>
      <c r="I2717" s="1">
        <f t="shared" si="340"/>
        <v>50</v>
      </c>
      <c r="J2717" s="1">
        <f>VLOOKUP(B2717,Cena!$A$2:$B$101,2)</f>
        <v>87</v>
      </c>
      <c r="K2717" s="1">
        <f t="shared" si="336"/>
        <v>4350</v>
      </c>
      <c r="L2717" s="1">
        <f t="shared" si="341"/>
        <v>1000.5</v>
      </c>
      <c r="M2717" s="22">
        <f t="shared" si="337"/>
        <v>5350.5</v>
      </c>
      <c r="N2717" s="1">
        <f t="shared" ca="1" si="342"/>
        <v>1</v>
      </c>
      <c r="P2717" s="1">
        <v>50.903526142792543</v>
      </c>
      <c r="Q2717" s="1">
        <f t="shared" ca="1" si="343"/>
        <v>21</v>
      </c>
      <c r="R2717" s="1">
        <v>10.905762931324716</v>
      </c>
    </row>
    <row r="2718" spans="1:18" x14ac:dyDescent="0.3">
      <c r="A2718" s="26">
        <v>2717</v>
      </c>
      <c r="B2718" s="1">
        <v>13</v>
      </c>
      <c r="C2718" s="1">
        <f t="shared" si="339"/>
        <v>10</v>
      </c>
      <c r="D2718" s="21">
        <f t="shared" ca="1" si="338"/>
        <v>44917</v>
      </c>
      <c r="E2718" s="1" t="s">
        <v>26</v>
      </c>
      <c r="F2718" s="1" t="s">
        <v>2746</v>
      </c>
      <c r="G2718" s="1" t="s">
        <v>28</v>
      </c>
      <c r="H2718" s="1">
        <v>2816</v>
      </c>
      <c r="I2718" s="1">
        <f t="shared" si="340"/>
        <v>31</v>
      </c>
      <c r="J2718" s="1">
        <f>VLOOKUP(B2718,Cena!$A$2:$B$101,2)</f>
        <v>94</v>
      </c>
      <c r="K2718" s="1">
        <f t="shared" si="336"/>
        <v>2914</v>
      </c>
      <c r="L2718" s="1">
        <f t="shared" si="341"/>
        <v>670.22</v>
      </c>
      <c r="M2718" s="22">
        <f t="shared" si="337"/>
        <v>3584.2200000000003</v>
      </c>
      <c r="N2718" s="1">
        <f t="shared" ca="1" si="342"/>
        <v>12</v>
      </c>
      <c r="P2718" s="1">
        <v>31.424571160459891</v>
      </c>
      <c r="Q2718" s="1">
        <f t="shared" ca="1" si="343"/>
        <v>30</v>
      </c>
      <c r="R2718" s="1">
        <v>10.534856781087001</v>
      </c>
    </row>
    <row r="2719" spans="1:18" x14ac:dyDescent="0.3">
      <c r="A2719" s="26">
        <v>2718</v>
      </c>
      <c r="B2719" s="1">
        <v>8</v>
      </c>
      <c r="C2719" s="1">
        <f t="shared" si="339"/>
        <v>8</v>
      </c>
      <c r="D2719" s="21">
        <f t="shared" ca="1" si="338"/>
        <v>44594</v>
      </c>
      <c r="E2719" s="1" t="s">
        <v>26</v>
      </c>
      <c r="F2719" s="1" t="s">
        <v>2747</v>
      </c>
      <c r="G2719" s="1" t="s">
        <v>28</v>
      </c>
      <c r="H2719" s="1">
        <v>2817</v>
      </c>
      <c r="I2719" s="1">
        <f t="shared" si="340"/>
        <v>49</v>
      </c>
      <c r="J2719" s="1">
        <f>VLOOKUP(B2719,Cena!$A$2:$B$101,2)</f>
        <v>88</v>
      </c>
      <c r="K2719" s="1">
        <f t="shared" ref="K2719:K2782" si="344">I2719*J2719</f>
        <v>4312</v>
      </c>
      <c r="L2719" s="1">
        <f t="shared" si="341"/>
        <v>991.76</v>
      </c>
      <c r="M2719" s="22">
        <f t="shared" ref="M2719:M2782" si="345">K2719+L2719</f>
        <v>5303.76</v>
      </c>
      <c r="N2719" s="1">
        <f t="shared" ca="1" si="342"/>
        <v>2</v>
      </c>
      <c r="P2719" s="1">
        <v>49.739497980044689</v>
      </c>
      <c r="Q2719" s="1">
        <f t="shared" ca="1" si="343"/>
        <v>15</v>
      </c>
      <c r="R2719" s="1">
        <v>8.2955444011167856</v>
      </c>
    </row>
    <row r="2720" spans="1:18" x14ac:dyDescent="0.3">
      <c r="A2720" s="26">
        <v>2719</v>
      </c>
      <c r="B2720" s="1">
        <v>24</v>
      </c>
      <c r="C2720" s="1">
        <f t="shared" si="339"/>
        <v>9</v>
      </c>
      <c r="D2720" s="21">
        <f t="shared" ca="1" si="338"/>
        <v>44724</v>
      </c>
      <c r="E2720" s="1" t="s">
        <v>26</v>
      </c>
      <c r="F2720" s="1" t="s">
        <v>2748</v>
      </c>
      <c r="G2720" s="1" t="s">
        <v>28</v>
      </c>
      <c r="H2720" s="1">
        <v>2818</v>
      </c>
      <c r="I2720" s="1">
        <f t="shared" si="340"/>
        <v>35</v>
      </c>
      <c r="J2720" s="1">
        <f>VLOOKUP(B2720,Cena!$A$2:$B$101,2)</f>
        <v>125</v>
      </c>
      <c r="K2720" s="1">
        <f t="shared" si="344"/>
        <v>4375</v>
      </c>
      <c r="L2720" s="1">
        <f t="shared" si="341"/>
        <v>1006.25</v>
      </c>
      <c r="M2720" s="22">
        <f t="shared" si="345"/>
        <v>5381.25</v>
      </c>
      <c r="N2720" s="1">
        <f t="shared" ca="1" si="342"/>
        <v>6</v>
      </c>
      <c r="P2720" s="1">
        <v>35.067825036821887</v>
      </c>
      <c r="Q2720" s="1">
        <f t="shared" ca="1" si="343"/>
        <v>3</v>
      </c>
      <c r="R2720" s="1">
        <v>9.7837164755765116</v>
      </c>
    </row>
    <row r="2721" spans="1:18" x14ac:dyDescent="0.3">
      <c r="A2721" s="26">
        <v>2720</v>
      </c>
      <c r="B2721" s="1">
        <v>16</v>
      </c>
      <c r="C2721" s="1">
        <f t="shared" si="339"/>
        <v>10</v>
      </c>
      <c r="D2721" s="21">
        <f t="shared" ca="1" si="338"/>
        <v>44807</v>
      </c>
      <c r="E2721" s="1" t="s">
        <v>26</v>
      </c>
      <c r="F2721" s="1" t="s">
        <v>2749</v>
      </c>
      <c r="G2721" s="1" t="s">
        <v>28</v>
      </c>
      <c r="H2721" s="1">
        <v>2819</v>
      </c>
      <c r="I2721" s="1">
        <f t="shared" si="340"/>
        <v>52</v>
      </c>
      <c r="J2721" s="1">
        <f>VLOOKUP(B2721,Cena!$A$2:$B$101,2)</f>
        <v>93</v>
      </c>
      <c r="K2721" s="1">
        <f t="shared" si="344"/>
        <v>4836</v>
      </c>
      <c r="L2721" s="1">
        <f t="shared" si="341"/>
        <v>1112.28</v>
      </c>
      <c r="M2721" s="22">
        <f t="shared" si="345"/>
        <v>5948.28</v>
      </c>
      <c r="N2721" s="1">
        <f t="shared" ca="1" si="342"/>
        <v>9</v>
      </c>
      <c r="P2721" s="1">
        <v>52.989520453411387</v>
      </c>
      <c r="Q2721" s="1">
        <f t="shared" ca="1" si="343"/>
        <v>8</v>
      </c>
      <c r="R2721" s="1">
        <v>10.871540350999567</v>
      </c>
    </row>
    <row r="2722" spans="1:18" x14ac:dyDescent="0.3">
      <c r="A2722" s="26">
        <v>2721</v>
      </c>
      <c r="B2722" s="1">
        <v>11</v>
      </c>
      <c r="C2722" s="1">
        <f t="shared" si="339"/>
        <v>12</v>
      </c>
      <c r="D2722" s="21">
        <f t="shared" ca="1" si="338"/>
        <v>44826</v>
      </c>
      <c r="E2722" s="1" t="s">
        <v>26</v>
      </c>
      <c r="F2722" s="1" t="s">
        <v>2750</v>
      </c>
      <c r="G2722" s="1" t="s">
        <v>28</v>
      </c>
      <c r="H2722" s="1">
        <v>2820</v>
      </c>
      <c r="I2722" s="1">
        <f t="shared" si="340"/>
        <v>41</v>
      </c>
      <c r="J2722" s="1">
        <f>VLOOKUP(B2722,Cena!$A$2:$B$101,2)</f>
        <v>83</v>
      </c>
      <c r="K2722" s="1">
        <f t="shared" si="344"/>
        <v>3403</v>
      </c>
      <c r="L2722" s="1">
        <f t="shared" si="341"/>
        <v>782.69</v>
      </c>
      <c r="M2722" s="22">
        <f t="shared" si="345"/>
        <v>4185.6900000000005</v>
      </c>
      <c r="N2722" s="1">
        <f t="shared" ca="1" si="342"/>
        <v>9</v>
      </c>
      <c r="P2722" s="1">
        <v>41.419804246106651</v>
      </c>
      <c r="Q2722" s="1">
        <f t="shared" ca="1" si="343"/>
        <v>13</v>
      </c>
      <c r="R2722" s="1">
        <v>12.255768549730419</v>
      </c>
    </row>
    <row r="2723" spans="1:18" x14ac:dyDescent="0.3">
      <c r="A2723" s="26">
        <v>2722</v>
      </c>
      <c r="B2723" s="1">
        <v>10</v>
      </c>
      <c r="C2723" s="1">
        <f t="shared" si="339"/>
        <v>7</v>
      </c>
      <c r="D2723" s="21">
        <f t="shared" ca="1" si="338"/>
        <v>44922</v>
      </c>
      <c r="E2723" s="1" t="s">
        <v>26</v>
      </c>
      <c r="F2723" s="1" t="s">
        <v>2751</v>
      </c>
      <c r="G2723" s="1" t="s">
        <v>28</v>
      </c>
      <c r="H2723" s="1">
        <v>2821</v>
      </c>
      <c r="I2723" s="1">
        <f t="shared" si="340"/>
        <v>32</v>
      </c>
      <c r="J2723" s="1">
        <f>VLOOKUP(B2723,Cena!$A$2:$B$101,2)</f>
        <v>109</v>
      </c>
      <c r="K2723" s="1">
        <f t="shared" si="344"/>
        <v>3488</v>
      </c>
      <c r="L2723" s="1">
        <f t="shared" si="341"/>
        <v>802.24</v>
      </c>
      <c r="M2723" s="22">
        <f t="shared" si="345"/>
        <v>4290.24</v>
      </c>
      <c r="N2723" s="1">
        <f t="shared" ca="1" si="342"/>
        <v>12</v>
      </c>
      <c r="P2723" s="1">
        <v>32.585632096743211</v>
      </c>
      <c r="Q2723" s="1">
        <f t="shared" ca="1" si="343"/>
        <v>5</v>
      </c>
      <c r="R2723" s="1">
        <v>7.9102483393944567</v>
      </c>
    </row>
    <row r="2724" spans="1:18" x14ac:dyDescent="0.3">
      <c r="A2724" s="26">
        <v>2723</v>
      </c>
      <c r="B2724" s="1">
        <v>22</v>
      </c>
      <c r="C2724" s="1">
        <f t="shared" si="339"/>
        <v>11</v>
      </c>
      <c r="D2724" s="21">
        <f t="shared" ca="1" si="338"/>
        <v>44721</v>
      </c>
      <c r="E2724" s="1" t="s">
        <v>26</v>
      </c>
      <c r="F2724" s="1" t="s">
        <v>2752</v>
      </c>
      <c r="G2724" s="1" t="s">
        <v>28</v>
      </c>
      <c r="H2724" s="1">
        <v>2822</v>
      </c>
      <c r="I2724" s="1">
        <f t="shared" si="340"/>
        <v>49</v>
      </c>
      <c r="J2724" s="1">
        <f>VLOOKUP(B2724,Cena!$A$2:$B$101,2)</f>
        <v>103</v>
      </c>
      <c r="K2724" s="1">
        <f t="shared" si="344"/>
        <v>5047</v>
      </c>
      <c r="L2724" s="1">
        <f t="shared" si="341"/>
        <v>1160.81</v>
      </c>
      <c r="M2724" s="22">
        <f t="shared" si="345"/>
        <v>6207.8099999999995</v>
      </c>
      <c r="N2724" s="1">
        <f t="shared" ca="1" si="342"/>
        <v>6</v>
      </c>
      <c r="P2724" s="1">
        <v>49.584110810246784</v>
      </c>
      <c r="Q2724" s="1">
        <f t="shared" ca="1" si="343"/>
        <v>21</v>
      </c>
      <c r="R2724" s="1">
        <v>11.756217216097866</v>
      </c>
    </row>
    <row r="2725" spans="1:18" x14ac:dyDescent="0.3">
      <c r="A2725" s="26">
        <v>2724</v>
      </c>
      <c r="B2725" s="1">
        <v>30</v>
      </c>
      <c r="C2725" s="1">
        <f t="shared" si="339"/>
        <v>15</v>
      </c>
      <c r="D2725" s="21">
        <f t="shared" ca="1" si="338"/>
        <v>44581</v>
      </c>
      <c r="E2725" s="1" t="s">
        <v>26</v>
      </c>
      <c r="F2725" s="1" t="s">
        <v>2753</v>
      </c>
      <c r="G2725" s="1" t="s">
        <v>28</v>
      </c>
      <c r="H2725" s="1">
        <v>2823</v>
      </c>
      <c r="I2725" s="1">
        <f t="shared" si="340"/>
        <v>51</v>
      </c>
      <c r="J2725" s="1">
        <f>VLOOKUP(B2725,Cena!$A$2:$B$101,2)</f>
        <v>87</v>
      </c>
      <c r="K2725" s="1">
        <f t="shared" si="344"/>
        <v>4437</v>
      </c>
      <c r="L2725" s="1">
        <f t="shared" si="341"/>
        <v>1020.51</v>
      </c>
      <c r="M2725" s="22">
        <f t="shared" si="345"/>
        <v>5457.51</v>
      </c>
      <c r="N2725" s="1">
        <f t="shared" ca="1" si="342"/>
        <v>1</v>
      </c>
      <c r="P2725" s="1">
        <v>51.778357727744151</v>
      </c>
      <c r="Q2725" s="1">
        <f t="shared" ca="1" si="343"/>
        <v>16</v>
      </c>
      <c r="R2725" s="1">
        <v>15.176616468816064</v>
      </c>
    </row>
    <row r="2726" spans="1:18" x14ac:dyDescent="0.3">
      <c r="A2726" s="26">
        <v>2725</v>
      </c>
      <c r="B2726" s="1">
        <v>26</v>
      </c>
      <c r="C2726" s="1">
        <f t="shared" si="339"/>
        <v>5</v>
      </c>
      <c r="D2726" s="21">
        <f t="shared" ca="1" si="338"/>
        <v>44886</v>
      </c>
      <c r="E2726" s="1" t="s">
        <v>26</v>
      </c>
      <c r="F2726" s="1" t="s">
        <v>2754</v>
      </c>
      <c r="G2726" s="1" t="s">
        <v>28</v>
      </c>
      <c r="H2726" s="1">
        <v>2824</v>
      </c>
      <c r="I2726" s="1">
        <f t="shared" si="340"/>
        <v>50</v>
      </c>
      <c r="J2726" s="1">
        <f>VLOOKUP(B2726,Cena!$A$2:$B$101,2)</f>
        <v>99</v>
      </c>
      <c r="K2726" s="1">
        <f t="shared" si="344"/>
        <v>4950</v>
      </c>
      <c r="L2726" s="1">
        <f t="shared" si="341"/>
        <v>1138.5</v>
      </c>
      <c r="M2726" s="22">
        <f t="shared" si="345"/>
        <v>6088.5</v>
      </c>
      <c r="N2726" s="1">
        <f t="shared" ca="1" si="342"/>
        <v>11</v>
      </c>
      <c r="P2726" s="1">
        <v>50.276577338809147</v>
      </c>
      <c r="Q2726" s="1">
        <f t="shared" ca="1" si="343"/>
        <v>12</v>
      </c>
      <c r="R2726" s="1">
        <v>5.6774217935162596</v>
      </c>
    </row>
    <row r="2727" spans="1:18" x14ac:dyDescent="0.3">
      <c r="A2727" s="26">
        <v>2726</v>
      </c>
      <c r="B2727" s="1">
        <v>21</v>
      </c>
      <c r="C2727" s="1">
        <f t="shared" si="339"/>
        <v>14</v>
      </c>
      <c r="D2727" s="21">
        <f t="shared" ca="1" si="338"/>
        <v>44913</v>
      </c>
      <c r="E2727" s="1" t="s">
        <v>26</v>
      </c>
      <c r="F2727" s="1" t="s">
        <v>2755</v>
      </c>
      <c r="G2727" s="1" t="s">
        <v>28</v>
      </c>
      <c r="H2727" s="1">
        <v>2825</v>
      </c>
      <c r="I2727" s="1">
        <f t="shared" si="340"/>
        <v>43</v>
      </c>
      <c r="J2727" s="1">
        <f>VLOOKUP(B2727,Cena!$A$2:$B$101,2)</f>
        <v>105</v>
      </c>
      <c r="K2727" s="1">
        <f t="shared" si="344"/>
        <v>4515</v>
      </c>
      <c r="L2727" s="1">
        <f t="shared" si="341"/>
        <v>1038.45</v>
      </c>
      <c r="M2727" s="22">
        <f t="shared" si="345"/>
        <v>5553.45</v>
      </c>
      <c r="N2727" s="1">
        <f t="shared" ca="1" si="342"/>
        <v>12</v>
      </c>
      <c r="P2727" s="1">
        <v>43.046435520227533</v>
      </c>
      <c r="Q2727" s="1">
        <f t="shared" ca="1" si="343"/>
        <v>16</v>
      </c>
      <c r="R2727" s="1">
        <v>14.214950877212686</v>
      </c>
    </row>
    <row r="2728" spans="1:18" x14ac:dyDescent="0.3">
      <c r="A2728" s="26">
        <v>2727</v>
      </c>
      <c r="B2728" s="1">
        <v>1</v>
      </c>
      <c r="C2728" s="1">
        <f t="shared" si="339"/>
        <v>10</v>
      </c>
      <c r="D2728" s="21">
        <f t="shared" ca="1" si="338"/>
        <v>44792</v>
      </c>
      <c r="E2728" s="1" t="s">
        <v>26</v>
      </c>
      <c r="F2728" s="1" t="s">
        <v>2756</v>
      </c>
      <c r="G2728" s="1" t="s">
        <v>28</v>
      </c>
      <c r="H2728" s="1">
        <v>2826</v>
      </c>
      <c r="I2728" s="1">
        <f t="shared" si="340"/>
        <v>47</v>
      </c>
      <c r="J2728" s="1">
        <f>VLOOKUP(B2728,Cena!$A$2:$B$101,2)</f>
        <v>84</v>
      </c>
      <c r="K2728" s="1">
        <f t="shared" si="344"/>
        <v>3948</v>
      </c>
      <c r="L2728" s="1">
        <f t="shared" si="341"/>
        <v>908.04000000000008</v>
      </c>
      <c r="M2728" s="22">
        <f t="shared" si="345"/>
        <v>4856.04</v>
      </c>
      <c r="N2728" s="1">
        <f t="shared" ca="1" si="342"/>
        <v>8</v>
      </c>
      <c r="P2728" s="1">
        <v>47.621216607512906</v>
      </c>
      <c r="Q2728" s="1">
        <f t="shared" ca="1" si="343"/>
        <v>10</v>
      </c>
      <c r="R2728" s="1">
        <v>10.63648712966824</v>
      </c>
    </row>
    <row r="2729" spans="1:18" x14ac:dyDescent="0.3">
      <c r="A2729" s="26">
        <v>2728</v>
      </c>
      <c r="B2729" s="1">
        <v>8</v>
      </c>
      <c r="C2729" s="1">
        <f t="shared" si="339"/>
        <v>3</v>
      </c>
      <c r="D2729" s="21">
        <f t="shared" ca="1" si="338"/>
        <v>44696</v>
      </c>
      <c r="E2729" s="1" t="s">
        <v>26</v>
      </c>
      <c r="F2729" s="1" t="s">
        <v>2757</v>
      </c>
      <c r="G2729" s="1" t="s">
        <v>28</v>
      </c>
      <c r="H2729" s="1">
        <v>2827</v>
      </c>
      <c r="I2729" s="1">
        <f t="shared" si="340"/>
        <v>44</v>
      </c>
      <c r="J2729" s="1">
        <f>VLOOKUP(B2729,Cena!$A$2:$B$101,2)</f>
        <v>88</v>
      </c>
      <c r="K2729" s="1">
        <f t="shared" si="344"/>
        <v>3872</v>
      </c>
      <c r="L2729" s="1">
        <f t="shared" si="341"/>
        <v>890.56000000000006</v>
      </c>
      <c r="M2729" s="22">
        <f t="shared" si="345"/>
        <v>4762.5600000000004</v>
      </c>
      <c r="N2729" s="1">
        <f t="shared" ca="1" si="342"/>
        <v>5</v>
      </c>
      <c r="P2729" s="1">
        <v>44.050790519395377</v>
      </c>
      <c r="Q2729" s="1">
        <f t="shared" ca="1" si="343"/>
        <v>15</v>
      </c>
      <c r="R2729" s="1">
        <v>3.4256265987642109</v>
      </c>
    </row>
    <row r="2730" spans="1:18" x14ac:dyDescent="0.3">
      <c r="A2730" s="26">
        <v>2729</v>
      </c>
      <c r="B2730" s="1">
        <v>30</v>
      </c>
      <c r="C2730" s="1">
        <f t="shared" si="339"/>
        <v>12</v>
      </c>
      <c r="D2730" s="21">
        <f t="shared" ca="1" si="338"/>
        <v>44624</v>
      </c>
      <c r="E2730" s="1" t="s">
        <v>26</v>
      </c>
      <c r="F2730" s="1" t="s">
        <v>2758</v>
      </c>
      <c r="G2730" s="1" t="s">
        <v>28</v>
      </c>
      <c r="H2730" s="1">
        <v>2828</v>
      </c>
      <c r="I2730" s="1">
        <f t="shared" si="340"/>
        <v>57</v>
      </c>
      <c r="J2730" s="1">
        <f>VLOOKUP(B2730,Cena!$A$2:$B$101,2)</f>
        <v>87</v>
      </c>
      <c r="K2730" s="1">
        <f t="shared" si="344"/>
        <v>4959</v>
      </c>
      <c r="L2730" s="1">
        <f t="shared" si="341"/>
        <v>1140.57</v>
      </c>
      <c r="M2730" s="22">
        <f t="shared" si="345"/>
        <v>6099.57</v>
      </c>
      <c r="N2730" s="1">
        <f t="shared" ca="1" si="342"/>
        <v>3</v>
      </c>
      <c r="P2730" s="1">
        <v>57.791936695866752</v>
      </c>
      <c r="Q2730" s="1">
        <f t="shared" ca="1" si="343"/>
        <v>9</v>
      </c>
      <c r="R2730" s="1">
        <v>12.005236865443294</v>
      </c>
    </row>
    <row r="2731" spans="1:18" x14ac:dyDescent="0.3">
      <c r="A2731" s="26">
        <v>2730</v>
      </c>
      <c r="B2731" s="1">
        <v>25</v>
      </c>
      <c r="C2731" s="1">
        <f t="shared" si="339"/>
        <v>12</v>
      </c>
      <c r="D2731" s="21">
        <f t="shared" ca="1" si="338"/>
        <v>44914</v>
      </c>
      <c r="E2731" s="1" t="s">
        <v>26</v>
      </c>
      <c r="F2731" s="1" t="s">
        <v>2759</v>
      </c>
      <c r="G2731" s="1" t="s">
        <v>28</v>
      </c>
      <c r="H2731" s="1">
        <v>2829</v>
      </c>
      <c r="I2731" s="1">
        <f t="shared" si="340"/>
        <v>60</v>
      </c>
      <c r="J2731" s="1">
        <f>VLOOKUP(B2731,Cena!$A$2:$B$101,2)</f>
        <v>108</v>
      </c>
      <c r="K2731" s="1">
        <f t="shared" si="344"/>
        <v>6480</v>
      </c>
      <c r="L2731" s="1">
        <f t="shared" si="341"/>
        <v>1490.4</v>
      </c>
      <c r="M2731" s="22">
        <f t="shared" si="345"/>
        <v>7970.4</v>
      </c>
      <c r="N2731" s="1">
        <f t="shared" ca="1" si="342"/>
        <v>12</v>
      </c>
      <c r="P2731" s="1">
        <v>60.321309673599899</v>
      </c>
      <c r="Q2731" s="1">
        <f t="shared" ca="1" si="343"/>
        <v>25</v>
      </c>
      <c r="R2731" s="1">
        <v>12.850038072210737</v>
      </c>
    </row>
    <row r="2732" spans="1:18" x14ac:dyDescent="0.3">
      <c r="A2732" s="26">
        <v>2731</v>
      </c>
      <c r="B2732" s="1">
        <v>9</v>
      </c>
      <c r="C2732" s="1">
        <f t="shared" si="339"/>
        <v>10</v>
      </c>
      <c r="D2732" s="21">
        <f t="shared" ca="1" si="338"/>
        <v>44687</v>
      </c>
      <c r="E2732" s="1" t="s">
        <v>26</v>
      </c>
      <c r="F2732" s="1" t="s">
        <v>2760</v>
      </c>
      <c r="G2732" s="1" t="s">
        <v>28</v>
      </c>
      <c r="H2732" s="1">
        <v>2830</v>
      </c>
      <c r="I2732" s="1">
        <f t="shared" si="340"/>
        <v>52</v>
      </c>
      <c r="J2732" s="1">
        <f>VLOOKUP(B2732,Cena!$A$2:$B$101,2)</f>
        <v>96</v>
      </c>
      <c r="K2732" s="1">
        <f t="shared" si="344"/>
        <v>4992</v>
      </c>
      <c r="L2732" s="1">
        <f t="shared" si="341"/>
        <v>1148.1600000000001</v>
      </c>
      <c r="M2732" s="22">
        <f t="shared" si="345"/>
        <v>6140.16</v>
      </c>
      <c r="N2732" s="1">
        <f t="shared" ca="1" si="342"/>
        <v>5</v>
      </c>
      <c r="P2732" s="1">
        <v>52.353613126615528</v>
      </c>
      <c r="Q2732" s="1">
        <f t="shared" ca="1" si="343"/>
        <v>27</v>
      </c>
      <c r="R2732" s="1">
        <v>10.202271621674299</v>
      </c>
    </row>
    <row r="2733" spans="1:18" x14ac:dyDescent="0.3">
      <c r="A2733" s="26">
        <v>2732</v>
      </c>
      <c r="B2733" s="1">
        <v>22</v>
      </c>
      <c r="C2733" s="1">
        <f t="shared" si="339"/>
        <v>10</v>
      </c>
      <c r="D2733" s="21">
        <f t="shared" ca="1" si="338"/>
        <v>44880</v>
      </c>
      <c r="E2733" s="1" t="s">
        <v>26</v>
      </c>
      <c r="F2733" s="1" t="s">
        <v>2761</v>
      </c>
      <c r="G2733" s="1" t="s">
        <v>28</v>
      </c>
      <c r="H2733" s="1">
        <v>2831</v>
      </c>
      <c r="I2733" s="1">
        <f t="shared" si="340"/>
        <v>64</v>
      </c>
      <c r="J2733" s="1">
        <f>VLOOKUP(B2733,Cena!$A$2:$B$101,2)</f>
        <v>103</v>
      </c>
      <c r="K2733" s="1">
        <f t="shared" si="344"/>
        <v>6592</v>
      </c>
      <c r="L2733" s="1">
        <f t="shared" si="341"/>
        <v>1516.16</v>
      </c>
      <c r="M2733" s="22">
        <f t="shared" si="345"/>
        <v>8108.16</v>
      </c>
      <c r="N2733" s="1">
        <f t="shared" ca="1" si="342"/>
        <v>11</v>
      </c>
      <c r="P2733" s="1">
        <v>64.353463484439999</v>
      </c>
      <c r="Q2733" s="1">
        <f t="shared" ca="1" si="343"/>
        <v>22</v>
      </c>
      <c r="R2733" s="1">
        <v>10.94098027147993</v>
      </c>
    </row>
    <row r="2734" spans="1:18" x14ac:dyDescent="0.3">
      <c r="A2734" s="26">
        <v>2733</v>
      </c>
      <c r="B2734" s="1">
        <v>8</v>
      </c>
      <c r="C2734" s="1">
        <f t="shared" si="339"/>
        <v>5</v>
      </c>
      <c r="D2734" s="21">
        <f t="shared" ca="1" si="338"/>
        <v>44753</v>
      </c>
      <c r="E2734" s="1" t="s">
        <v>26</v>
      </c>
      <c r="F2734" s="1" t="s">
        <v>2762</v>
      </c>
      <c r="G2734" s="1" t="s">
        <v>28</v>
      </c>
      <c r="H2734" s="1">
        <v>2832</v>
      </c>
      <c r="I2734" s="1">
        <f t="shared" si="340"/>
        <v>51</v>
      </c>
      <c r="J2734" s="1">
        <f>VLOOKUP(B2734,Cena!$A$2:$B$101,2)</f>
        <v>88</v>
      </c>
      <c r="K2734" s="1">
        <f t="shared" si="344"/>
        <v>4488</v>
      </c>
      <c r="L2734" s="1">
        <f t="shared" si="341"/>
        <v>1032.24</v>
      </c>
      <c r="M2734" s="22">
        <f t="shared" si="345"/>
        <v>5520.24</v>
      </c>
      <c r="N2734" s="1">
        <f t="shared" ca="1" si="342"/>
        <v>7</v>
      </c>
      <c r="P2734" s="1">
        <v>51.155785867013037</v>
      </c>
      <c r="Q2734" s="1">
        <f t="shared" ca="1" si="343"/>
        <v>3</v>
      </c>
      <c r="R2734" s="1">
        <v>5.6952251523034647</v>
      </c>
    </row>
    <row r="2735" spans="1:18" x14ac:dyDescent="0.3">
      <c r="A2735" s="26">
        <v>2734</v>
      </c>
      <c r="B2735" s="1">
        <v>8</v>
      </c>
      <c r="C2735" s="1">
        <f t="shared" si="339"/>
        <v>6</v>
      </c>
      <c r="D2735" s="21">
        <f t="shared" ca="1" si="338"/>
        <v>44750</v>
      </c>
      <c r="E2735" s="1" t="s">
        <v>26</v>
      </c>
      <c r="F2735" s="1" t="s">
        <v>2763</v>
      </c>
      <c r="G2735" s="1" t="s">
        <v>28</v>
      </c>
      <c r="H2735" s="1">
        <v>2833</v>
      </c>
      <c r="I2735" s="1">
        <f t="shared" si="340"/>
        <v>47</v>
      </c>
      <c r="J2735" s="1">
        <f>VLOOKUP(B2735,Cena!$A$2:$B$101,2)</f>
        <v>88</v>
      </c>
      <c r="K2735" s="1">
        <f t="shared" si="344"/>
        <v>4136</v>
      </c>
      <c r="L2735" s="1">
        <f t="shared" si="341"/>
        <v>951.28000000000009</v>
      </c>
      <c r="M2735" s="22">
        <f t="shared" si="345"/>
        <v>5087.28</v>
      </c>
      <c r="N2735" s="1">
        <f t="shared" ca="1" si="342"/>
        <v>7</v>
      </c>
      <c r="P2735" s="1">
        <v>47.867621459590737</v>
      </c>
      <c r="Q2735" s="1">
        <f t="shared" ca="1" si="343"/>
        <v>29</v>
      </c>
      <c r="R2735" s="1">
        <v>6.5845290716970339</v>
      </c>
    </row>
    <row r="2736" spans="1:18" x14ac:dyDescent="0.3">
      <c r="A2736" s="26">
        <v>2735</v>
      </c>
      <c r="B2736" s="1">
        <v>17</v>
      </c>
      <c r="C2736" s="1">
        <f t="shared" si="339"/>
        <v>9</v>
      </c>
      <c r="D2736" s="21">
        <f t="shared" ca="1" si="338"/>
        <v>44566</v>
      </c>
      <c r="E2736" s="1" t="s">
        <v>26</v>
      </c>
      <c r="F2736" s="1" t="s">
        <v>2764</v>
      </c>
      <c r="G2736" s="1" t="s">
        <v>28</v>
      </c>
      <c r="H2736" s="1">
        <v>2834</v>
      </c>
      <c r="I2736" s="1">
        <f t="shared" si="340"/>
        <v>46</v>
      </c>
      <c r="J2736" s="1">
        <f>VLOOKUP(B2736,Cena!$A$2:$B$101,2)</f>
        <v>84</v>
      </c>
      <c r="K2736" s="1">
        <f t="shared" si="344"/>
        <v>3864</v>
      </c>
      <c r="L2736" s="1">
        <f t="shared" si="341"/>
        <v>888.72</v>
      </c>
      <c r="M2736" s="22">
        <f t="shared" si="345"/>
        <v>4752.72</v>
      </c>
      <c r="N2736" s="1">
        <f t="shared" ca="1" si="342"/>
        <v>1</v>
      </c>
      <c r="P2736" s="1">
        <v>46.390829437586945</v>
      </c>
      <c r="Q2736" s="1">
        <f t="shared" ca="1" si="343"/>
        <v>9</v>
      </c>
      <c r="R2736" s="1">
        <v>9.4737493125285255</v>
      </c>
    </row>
    <row r="2737" spans="1:18" x14ac:dyDescent="0.3">
      <c r="A2737" s="26">
        <v>2736</v>
      </c>
      <c r="B2737" s="1">
        <v>12</v>
      </c>
      <c r="C2737" s="1">
        <f t="shared" si="339"/>
        <v>6</v>
      </c>
      <c r="D2737" s="21">
        <f t="shared" ca="1" si="338"/>
        <v>44736</v>
      </c>
      <c r="E2737" s="1" t="s">
        <v>26</v>
      </c>
      <c r="F2737" s="1" t="s">
        <v>2765</v>
      </c>
      <c r="G2737" s="1" t="s">
        <v>28</v>
      </c>
      <c r="H2737" s="1">
        <v>2835</v>
      </c>
      <c r="I2737" s="1">
        <f t="shared" si="340"/>
        <v>37</v>
      </c>
      <c r="J2737" s="1">
        <f>VLOOKUP(B2737,Cena!$A$2:$B$101,2)</f>
        <v>88</v>
      </c>
      <c r="K2737" s="1">
        <f t="shared" si="344"/>
        <v>3256</v>
      </c>
      <c r="L2737" s="1">
        <f t="shared" si="341"/>
        <v>748.88</v>
      </c>
      <c r="M2737" s="22">
        <f t="shared" si="345"/>
        <v>4004.88</v>
      </c>
      <c r="N2737" s="1">
        <f t="shared" ca="1" si="342"/>
        <v>6</v>
      </c>
      <c r="P2737" s="1">
        <v>37.508635967969894</v>
      </c>
      <c r="Q2737" s="1">
        <f t="shared" ca="1" si="343"/>
        <v>20</v>
      </c>
      <c r="R2737" s="1">
        <v>6.497371057557757</v>
      </c>
    </row>
    <row r="2738" spans="1:18" x14ac:dyDescent="0.3">
      <c r="A2738" s="26">
        <v>2737</v>
      </c>
      <c r="B2738" s="1">
        <v>11</v>
      </c>
      <c r="C2738" s="1">
        <f t="shared" si="339"/>
        <v>10</v>
      </c>
      <c r="D2738" s="21">
        <f t="shared" ca="1" si="338"/>
        <v>44841</v>
      </c>
      <c r="E2738" s="1" t="s">
        <v>26</v>
      </c>
      <c r="F2738" s="1" t="s">
        <v>2766</v>
      </c>
      <c r="G2738" s="1" t="s">
        <v>28</v>
      </c>
      <c r="H2738" s="1">
        <v>2836</v>
      </c>
      <c r="I2738" s="1">
        <f t="shared" si="340"/>
        <v>64</v>
      </c>
      <c r="J2738" s="1">
        <f>VLOOKUP(B2738,Cena!$A$2:$B$101,2)</f>
        <v>83</v>
      </c>
      <c r="K2738" s="1">
        <f t="shared" si="344"/>
        <v>5312</v>
      </c>
      <c r="L2738" s="1">
        <f t="shared" si="341"/>
        <v>1221.76</v>
      </c>
      <c r="M2738" s="22">
        <f t="shared" si="345"/>
        <v>6533.76</v>
      </c>
      <c r="N2738" s="1">
        <f t="shared" ca="1" si="342"/>
        <v>10</v>
      </c>
      <c r="P2738" s="1">
        <v>64.918214219505899</v>
      </c>
      <c r="Q2738" s="1">
        <f t="shared" ca="1" si="343"/>
        <v>8</v>
      </c>
      <c r="R2738" s="1">
        <v>10.029930902201158</v>
      </c>
    </row>
    <row r="2739" spans="1:18" x14ac:dyDescent="0.3">
      <c r="A2739" s="26">
        <v>2738</v>
      </c>
      <c r="B2739" s="1">
        <v>30</v>
      </c>
      <c r="C2739" s="1">
        <f t="shared" si="339"/>
        <v>8</v>
      </c>
      <c r="D2739" s="21">
        <f t="shared" ca="1" si="338"/>
        <v>44852</v>
      </c>
      <c r="E2739" s="1" t="s">
        <v>26</v>
      </c>
      <c r="F2739" s="1" t="s">
        <v>2767</v>
      </c>
      <c r="G2739" s="1" t="s">
        <v>28</v>
      </c>
      <c r="H2739" s="1">
        <v>2837</v>
      </c>
      <c r="I2739" s="1">
        <f t="shared" si="340"/>
        <v>46</v>
      </c>
      <c r="J2739" s="1">
        <f>VLOOKUP(B2739,Cena!$A$2:$B$101,2)</f>
        <v>87</v>
      </c>
      <c r="K2739" s="1">
        <f t="shared" si="344"/>
        <v>4002</v>
      </c>
      <c r="L2739" s="1">
        <f t="shared" si="341"/>
        <v>920.46</v>
      </c>
      <c r="M2739" s="22">
        <f t="shared" si="345"/>
        <v>4922.46</v>
      </c>
      <c r="N2739" s="1">
        <f t="shared" ca="1" si="342"/>
        <v>10</v>
      </c>
      <c r="P2739" s="1">
        <v>46.378573996480554</v>
      </c>
      <c r="Q2739" s="1">
        <f t="shared" ca="1" si="343"/>
        <v>15</v>
      </c>
      <c r="R2739" s="1">
        <v>8.9092458463346702</v>
      </c>
    </row>
    <row r="2740" spans="1:18" x14ac:dyDescent="0.3">
      <c r="A2740" s="26">
        <v>2739</v>
      </c>
      <c r="B2740" s="1">
        <v>24</v>
      </c>
      <c r="C2740" s="1">
        <f t="shared" si="339"/>
        <v>4</v>
      </c>
      <c r="D2740" s="21">
        <f t="shared" ca="1" si="338"/>
        <v>44879</v>
      </c>
      <c r="E2740" s="1" t="s">
        <v>26</v>
      </c>
      <c r="F2740" s="1" t="s">
        <v>2768</v>
      </c>
      <c r="G2740" s="1" t="s">
        <v>28</v>
      </c>
      <c r="H2740" s="1">
        <v>2838</v>
      </c>
      <c r="I2740" s="1">
        <f t="shared" si="340"/>
        <v>51</v>
      </c>
      <c r="J2740" s="1">
        <f>VLOOKUP(B2740,Cena!$A$2:$B$101,2)</f>
        <v>125</v>
      </c>
      <c r="K2740" s="1">
        <f t="shared" si="344"/>
        <v>6375</v>
      </c>
      <c r="L2740" s="1">
        <f t="shared" si="341"/>
        <v>1466.25</v>
      </c>
      <c r="M2740" s="22">
        <f t="shared" si="345"/>
        <v>7841.25</v>
      </c>
      <c r="N2740" s="1">
        <f t="shared" ca="1" si="342"/>
        <v>11</v>
      </c>
      <c r="P2740" s="1">
        <v>51.208934463647893</v>
      </c>
      <c r="Q2740" s="1">
        <f t="shared" ca="1" si="343"/>
        <v>7</v>
      </c>
      <c r="R2740" s="1">
        <v>4.4299815979320556</v>
      </c>
    </row>
    <row r="2741" spans="1:18" x14ac:dyDescent="0.3">
      <c r="A2741" s="26">
        <v>2740</v>
      </c>
      <c r="B2741" s="1">
        <v>27</v>
      </c>
      <c r="C2741" s="1">
        <f t="shared" si="339"/>
        <v>10</v>
      </c>
      <c r="D2741" s="21">
        <f t="shared" ca="1" si="338"/>
        <v>44867</v>
      </c>
      <c r="E2741" s="1" t="s">
        <v>26</v>
      </c>
      <c r="F2741" s="1" t="s">
        <v>2769</v>
      </c>
      <c r="G2741" s="1" t="s">
        <v>28</v>
      </c>
      <c r="H2741" s="1">
        <v>2839</v>
      </c>
      <c r="I2741" s="1">
        <f t="shared" si="340"/>
        <v>50</v>
      </c>
      <c r="J2741" s="1">
        <f>VLOOKUP(B2741,Cena!$A$2:$B$101,2)</f>
        <v>87</v>
      </c>
      <c r="K2741" s="1">
        <f t="shared" si="344"/>
        <v>4350</v>
      </c>
      <c r="L2741" s="1">
        <f t="shared" si="341"/>
        <v>1000.5</v>
      </c>
      <c r="M2741" s="22">
        <f t="shared" si="345"/>
        <v>5350.5</v>
      </c>
      <c r="N2741" s="1">
        <f t="shared" ca="1" si="342"/>
        <v>11</v>
      </c>
      <c r="P2741" s="1">
        <v>50.435034053225536</v>
      </c>
      <c r="Q2741" s="1">
        <f t="shared" ca="1" si="343"/>
        <v>6</v>
      </c>
      <c r="R2741" s="1">
        <v>10.691167656441394</v>
      </c>
    </row>
    <row r="2742" spans="1:18" x14ac:dyDescent="0.3">
      <c r="A2742" s="26">
        <v>2741</v>
      </c>
      <c r="B2742" s="1">
        <v>24</v>
      </c>
      <c r="C2742" s="1">
        <f t="shared" si="339"/>
        <v>5</v>
      </c>
      <c r="D2742" s="21">
        <f t="shared" ca="1" si="338"/>
        <v>44630</v>
      </c>
      <c r="E2742" s="1" t="s">
        <v>26</v>
      </c>
      <c r="F2742" s="1" t="s">
        <v>2770</v>
      </c>
      <c r="G2742" s="1" t="s">
        <v>28</v>
      </c>
      <c r="H2742" s="1">
        <v>2840</v>
      </c>
      <c r="I2742" s="1">
        <f t="shared" si="340"/>
        <v>54</v>
      </c>
      <c r="J2742" s="1">
        <f>VLOOKUP(B2742,Cena!$A$2:$B$101,2)</f>
        <v>125</v>
      </c>
      <c r="K2742" s="1">
        <f t="shared" si="344"/>
        <v>6750</v>
      </c>
      <c r="L2742" s="1">
        <f t="shared" si="341"/>
        <v>1552.5</v>
      </c>
      <c r="M2742" s="22">
        <f t="shared" si="345"/>
        <v>8302.5</v>
      </c>
      <c r="N2742" s="1">
        <f t="shared" ca="1" si="342"/>
        <v>3</v>
      </c>
      <c r="P2742" s="1">
        <v>54.18031049775891</v>
      </c>
      <c r="Q2742" s="1">
        <f t="shared" ca="1" si="343"/>
        <v>7</v>
      </c>
      <c r="R2742" s="1">
        <v>5.1011659504729323</v>
      </c>
    </row>
    <row r="2743" spans="1:18" x14ac:dyDescent="0.3">
      <c r="A2743" s="26">
        <v>2742</v>
      </c>
      <c r="B2743" s="1">
        <v>17</v>
      </c>
      <c r="C2743" s="1">
        <f t="shared" si="339"/>
        <v>8</v>
      </c>
      <c r="D2743" s="21">
        <f t="shared" ca="1" si="338"/>
        <v>44860</v>
      </c>
      <c r="E2743" s="1" t="s">
        <v>26</v>
      </c>
      <c r="F2743" s="1" t="s">
        <v>2771</v>
      </c>
      <c r="G2743" s="1" t="s">
        <v>28</v>
      </c>
      <c r="H2743" s="1">
        <v>2841</v>
      </c>
      <c r="I2743" s="1">
        <f t="shared" si="340"/>
        <v>51</v>
      </c>
      <c r="J2743" s="1">
        <f>VLOOKUP(B2743,Cena!$A$2:$B$101,2)</f>
        <v>84</v>
      </c>
      <c r="K2743" s="1">
        <f t="shared" si="344"/>
        <v>4284</v>
      </c>
      <c r="L2743" s="1">
        <f t="shared" si="341"/>
        <v>985.32</v>
      </c>
      <c r="M2743" s="22">
        <f t="shared" si="345"/>
        <v>5269.32</v>
      </c>
      <c r="N2743" s="1">
        <f t="shared" ca="1" si="342"/>
        <v>10</v>
      </c>
      <c r="P2743" s="1">
        <v>51.870148480520584</v>
      </c>
      <c r="Q2743" s="1">
        <f t="shared" ca="1" si="343"/>
        <v>4</v>
      </c>
      <c r="R2743" s="1">
        <v>8.5810859470802825</v>
      </c>
    </row>
    <row r="2744" spans="1:18" x14ac:dyDescent="0.3">
      <c r="A2744" s="26">
        <v>2743</v>
      </c>
      <c r="B2744" s="1">
        <v>22</v>
      </c>
      <c r="C2744" s="1">
        <f t="shared" si="339"/>
        <v>7</v>
      </c>
      <c r="D2744" s="21">
        <f t="shared" ca="1" si="338"/>
        <v>44861</v>
      </c>
      <c r="E2744" s="1" t="s">
        <v>26</v>
      </c>
      <c r="F2744" s="1" t="s">
        <v>2772</v>
      </c>
      <c r="G2744" s="1" t="s">
        <v>28</v>
      </c>
      <c r="H2744" s="1">
        <v>2842</v>
      </c>
      <c r="I2744" s="1">
        <f t="shared" si="340"/>
        <v>58</v>
      </c>
      <c r="J2744" s="1">
        <f>VLOOKUP(B2744,Cena!$A$2:$B$101,2)</f>
        <v>103</v>
      </c>
      <c r="K2744" s="1">
        <f t="shared" si="344"/>
        <v>5974</v>
      </c>
      <c r="L2744" s="1">
        <f t="shared" si="341"/>
        <v>1374.02</v>
      </c>
      <c r="M2744" s="22">
        <f t="shared" si="345"/>
        <v>7348.02</v>
      </c>
      <c r="N2744" s="1">
        <f t="shared" ca="1" si="342"/>
        <v>10</v>
      </c>
      <c r="P2744" s="1">
        <v>58.028337106225081</v>
      </c>
      <c r="Q2744" s="1">
        <f t="shared" ca="1" si="343"/>
        <v>21</v>
      </c>
      <c r="R2744" s="1">
        <v>7.0279077388113365</v>
      </c>
    </row>
    <row r="2745" spans="1:18" x14ac:dyDescent="0.3">
      <c r="A2745" s="26">
        <v>2744</v>
      </c>
      <c r="B2745" s="1">
        <v>7</v>
      </c>
      <c r="C2745" s="1">
        <f t="shared" si="339"/>
        <v>12</v>
      </c>
      <c r="D2745" s="21">
        <f t="shared" ca="1" si="338"/>
        <v>44820</v>
      </c>
      <c r="E2745" s="1" t="s">
        <v>26</v>
      </c>
      <c r="F2745" s="1" t="s">
        <v>2773</v>
      </c>
      <c r="G2745" s="1" t="s">
        <v>28</v>
      </c>
      <c r="H2745" s="1">
        <v>2843</v>
      </c>
      <c r="I2745" s="1">
        <f t="shared" si="340"/>
        <v>59</v>
      </c>
      <c r="J2745" s="1">
        <f>VLOOKUP(B2745,Cena!$A$2:$B$101,2)</f>
        <v>104</v>
      </c>
      <c r="K2745" s="1">
        <f t="shared" si="344"/>
        <v>6136</v>
      </c>
      <c r="L2745" s="1">
        <f t="shared" si="341"/>
        <v>1411.28</v>
      </c>
      <c r="M2745" s="22">
        <f t="shared" si="345"/>
        <v>7547.28</v>
      </c>
      <c r="N2745" s="1">
        <f t="shared" ca="1" si="342"/>
        <v>9</v>
      </c>
      <c r="P2745" s="1">
        <v>59.222549124388024</v>
      </c>
      <c r="Q2745" s="1">
        <f t="shared" ca="1" si="343"/>
        <v>11</v>
      </c>
      <c r="R2745" s="1">
        <v>12.804006271617254</v>
      </c>
    </row>
    <row r="2746" spans="1:18" x14ac:dyDescent="0.3">
      <c r="A2746" s="26">
        <v>2745</v>
      </c>
      <c r="B2746" s="1">
        <v>16</v>
      </c>
      <c r="C2746" s="1">
        <f t="shared" si="339"/>
        <v>6</v>
      </c>
      <c r="D2746" s="21">
        <f t="shared" ca="1" si="338"/>
        <v>44622</v>
      </c>
      <c r="E2746" s="1" t="s">
        <v>26</v>
      </c>
      <c r="F2746" s="1" t="s">
        <v>2774</v>
      </c>
      <c r="G2746" s="1" t="s">
        <v>28</v>
      </c>
      <c r="H2746" s="1">
        <v>2844</v>
      </c>
      <c r="I2746" s="1">
        <f t="shared" si="340"/>
        <v>52</v>
      </c>
      <c r="J2746" s="1">
        <f>VLOOKUP(B2746,Cena!$A$2:$B$101,2)</f>
        <v>93</v>
      </c>
      <c r="K2746" s="1">
        <f t="shared" si="344"/>
        <v>4836</v>
      </c>
      <c r="L2746" s="1">
        <f t="shared" si="341"/>
        <v>1112.28</v>
      </c>
      <c r="M2746" s="22">
        <f t="shared" si="345"/>
        <v>5948.28</v>
      </c>
      <c r="N2746" s="1">
        <f t="shared" ca="1" si="342"/>
        <v>3</v>
      </c>
      <c r="P2746" s="1">
        <v>52.515935193514451</v>
      </c>
      <c r="Q2746" s="1">
        <f t="shared" ca="1" si="343"/>
        <v>7</v>
      </c>
      <c r="R2746" s="1">
        <v>6.9796704135660548</v>
      </c>
    </row>
    <row r="2747" spans="1:18" x14ac:dyDescent="0.3">
      <c r="A2747" s="26">
        <v>2746</v>
      </c>
      <c r="B2747" s="1">
        <v>13</v>
      </c>
      <c r="C2747" s="1">
        <f t="shared" si="339"/>
        <v>10</v>
      </c>
      <c r="D2747" s="21">
        <f t="shared" ca="1" si="338"/>
        <v>44838</v>
      </c>
      <c r="E2747" s="1" t="s">
        <v>26</v>
      </c>
      <c r="F2747" s="1" t="s">
        <v>2775</v>
      </c>
      <c r="G2747" s="1" t="s">
        <v>28</v>
      </c>
      <c r="H2747" s="1">
        <v>2845</v>
      </c>
      <c r="I2747" s="1">
        <f t="shared" si="340"/>
        <v>47</v>
      </c>
      <c r="J2747" s="1">
        <f>VLOOKUP(B2747,Cena!$A$2:$B$101,2)</f>
        <v>94</v>
      </c>
      <c r="K2747" s="1">
        <f t="shared" si="344"/>
        <v>4418</v>
      </c>
      <c r="L2747" s="1">
        <f t="shared" si="341"/>
        <v>1016.1400000000001</v>
      </c>
      <c r="M2747" s="22">
        <f t="shared" si="345"/>
        <v>5434.14</v>
      </c>
      <c r="N2747" s="1">
        <f t="shared" ca="1" si="342"/>
        <v>10</v>
      </c>
      <c r="P2747" s="1">
        <v>47.865268142049899</v>
      </c>
      <c r="Q2747" s="1">
        <f t="shared" ca="1" si="343"/>
        <v>16</v>
      </c>
      <c r="R2747" s="1">
        <v>10.962776880442107</v>
      </c>
    </row>
    <row r="2748" spans="1:18" x14ac:dyDescent="0.3">
      <c r="A2748" s="26">
        <v>2747</v>
      </c>
      <c r="B2748" s="1">
        <v>11</v>
      </c>
      <c r="C2748" s="1">
        <f t="shared" si="339"/>
        <v>9</v>
      </c>
      <c r="D2748" s="21">
        <f t="shared" ca="1" si="338"/>
        <v>44782</v>
      </c>
      <c r="E2748" s="1" t="s">
        <v>26</v>
      </c>
      <c r="F2748" s="1" t="s">
        <v>2776</v>
      </c>
      <c r="G2748" s="1" t="s">
        <v>28</v>
      </c>
      <c r="H2748" s="1">
        <v>2846</v>
      </c>
      <c r="I2748" s="1">
        <f t="shared" si="340"/>
        <v>54</v>
      </c>
      <c r="J2748" s="1">
        <f>VLOOKUP(B2748,Cena!$A$2:$B$101,2)</f>
        <v>83</v>
      </c>
      <c r="K2748" s="1">
        <f t="shared" si="344"/>
        <v>4482</v>
      </c>
      <c r="L2748" s="1">
        <f t="shared" si="341"/>
        <v>1030.8600000000001</v>
      </c>
      <c r="M2748" s="22">
        <f t="shared" si="345"/>
        <v>5512.8600000000006</v>
      </c>
      <c r="N2748" s="1">
        <f t="shared" ca="1" si="342"/>
        <v>8</v>
      </c>
      <c r="P2748" s="1">
        <v>54.966091182723176</v>
      </c>
      <c r="Q2748" s="1">
        <f t="shared" ca="1" si="343"/>
        <v>28</v>
      </c>
      <c r="R2748" s="1">
        <v>9.5186385604029056</v>
      </c>
    </row>
    <row r="2749" spans="1:18" x14ac:dyDescent="0.3">
      <c r="A2749" s="26">
        <v>2748</v>
      </c>
      <c r="B2749" s="1">
        <v>19</v>
      </c>
      <c r="C2749" s="1">
        <f t="shared" si="339"/>
        <v>12</v>
      </c>
      <c r="D2749" s="21">
        <f t="shared" ca="1" si="338"/>
        <v>44903</v>
      </c>
      <c r="E2749" s="1" t="s">
        <v>26</v>
      </c>
      <c r="F2749" s="1" t="s">
        <v>2777</v>
      </c>
      <c r="G2749" s="1" t="s">
        <v>28</v>
      </c>
      <c r="H2749" s="1">
        <v>2847</v>
      </c>
      <c r="I2749" s="1">
        <f t="shared" si="340"/>
        <v>54</v>
      </c>
      <c r="J2749" s="1">
        <f>VLOOKUP(B2749,Cena!$A$2:$B$101,2)</f>
        <v>84</v>
      </c>
      <c r="K2749" s="1">
        <f t="shared" si="344"/>
        <v>4536</v>
      </c>
      <c r="L2749" s="1">
        <f t="shared" si="341"/>
        <v>1043.28</v>
      </c>
      <c r="M2749" s="22">
        <f t="shared" si="345"/>
        <v>5579.28</v>
      </c>
      <c r="N2749" s="1">
        <f t="shared" ca="1" si="342"/>
        <v>12</v>
      </c>
      <c r="P2749" s="1">
        <v>54.899561645288486</v>
      </c>
      <c r="Q2749" s="1">
        <f t="shared" ca="1" si="343"/>
        <v>20</v>
      </c>
      <c r="R2749" s="1">
        <v>12.874719484680099</v>
      </c>
    </row>
    <row r="2750" spans="1:18" x14ac:dyDescent="0.3">
      <c r="A2750" s="26">
        <v>2749</v>
      </c>
      <c r="B2750" s="1">
        <v>8</v>
      </c>
      <c r="C2750" s="1">
        <f t="shared" si="339"/>
        <v>13</v>
      </c>
      <c r="D2750" s="21">
        <f t="shared" ca="1" si="338"/>
        <v>44654</v>
      </c>
      <c r="E2750" s="1" t="s">
        <v>26</v>
      </c>
      <c r="F2750" s="1" t="s">
        <v>2778</v>
      </c>
      <c r="G2750" s="1" t="s">
        <v>28</v>
      </c>
      <c r="H2750" s="1">
        <v>2848</v>
      </c>
      <c r="I2750" s="1">
        <f t="shared" si="340"/>
        <v>56</v>
      </c>
      <c r="J2750" s="1">
        <f>VLOOKUP(B2750,Cena!$A$2:$B$101,2)</f>
        <v>88</v>
      </c>
      <c r="K2750" s="1">
        <f t="shared" si="344"/>
        <v>4928</v>
      </c>
      <c r="L2750" s="1">
        <f t="shared" si="341"/>
        <v>1133.44</v>
      </c>
      <c r="M2750" s="22">
        <f t="shared" si="345"/>
        <v>6061.4400000000005</v>
      </c>
      <c r="N2750" s="1">
        <f t="shared" ca="1" si="342"/>
        <v>4</v>
      </c>
      <c r="P2750" s="1">
        <v>56.867128377052722</v>
      </c>
      <c r="Q2750" s="1">
        <f t="shared" ca="1" si="343"/>
        <v>19</v>
      </c>
      <c r="R2750" s="1">
        <v>13.878005827573361</v>
      </c>
    </row>
    <row r="2751" spans="1:18" x14ac:dyDescent="0.3">
      <c r="A2751" s="26">
        <v>2750</v>
      </c>
      <c r="B2751" s="1">
        <v>10</v>
      </c>
      <c r="C2751" s="1">
        <f t="shared" si="339"/>
        <v>11</v>
      </c>
      <c r="D2751" s="21">
        <f t="shared" ca="1" si="338"/>
        <v>44636</v>
      </c>
      <c r="E2751" s="1" t="s">
        <v>26</v>
      </c>
      <c r="F2751" s="1" t="s">
        <v>2779</v>
      </c>
      <c r="G2751" s="1" t="s">
        <v>28</v>
      </c>
      <c r="H2751" s="1">
        <v>2849</v>
      </c>
      <c r="I2751" s="1">
        <f t="shared" si="340"/>
        <v>44</v>
      </c>
      <c r="J2751" s="1">
        <f>VLOOKUP(B2751,Cena!$A$2:$B$101,2)</f>
        <v>109</v>
      </c>
      <c r="K2751" s="1">
        <f t="shared" si="344"/>
        <v>4796</v>
      </c>
      <c r="L2751" s="1">
        <f t="shared" si="341"/>
        <v>1103.0800000000002</v>
      </c>
      <c r="M2751" s="22">
        <f t="shared" si="345"/>
        <v>5899.08</v>
      </c>
      <c r="N2751" s="1">
        <f t="shared" ca="1" si="342"/>
        <v>3</v>
      </c>
      <c r="P2751" s="1">
        <v>44.886252352443989</v>
      </c>
      <c r="Q2751" s="1">
        <f t="shared" ca="1" si="343"/>
        <v>9</v>
      </c>
      <c r="R2751" s="1">
        <v>11.957323547685519</v>
      </c>
    </row>
    <row r="2752" spans="1:18" x14ac:dyDescent="0.3">
      <c r="A2752" s="26">
        <v>2751</v>
      </c>
      <c r="B2752" s="1">
        <v>22</v>
      </c>
      <c r="C2752" s="1">
        <f t="shared" si="339"/>
        <v>11</v>
      </c>
      <c r="D2752" s="21">
        <f t="shared" ca="1" si="338"/>
        <v>44638</v>
      </c>
      <c r="E2752" s="1" t="s">
        <v>26</v>
      </c>
      <c r="F2752" s="1" t="s">
        <v>2780</v>
      </c>
      <c r="G2752" s="1" t="s">
        <v>28</v>
      </c>
      <c r="H2752" s="1">
        <v>2850</v>
      </c>
      <c r="I2752" s="1">
        <f t="shared" si="340"/>
        <v>38</v>
      </c>
      <c r="J2752" s="1">
        <f>VLOOKUP(B2752,Cena!$A$2:$B$101,2)</f>
        <v>103</v>
      </c>
      <c r="K2752" s="1">
        <f t="shared" si="344"/>
        <v>3914</v>
      </c>
      <c r="L2752" s="1">
        <f t="shared" si="341"/>
        <v>900.22</v>
      </c>
      <c r="M2752" s="22">
        <f t="shared" si="345"/>
        <v>4814.22</v>
      </c>
      <c r="N2752" s="1">
        <f t="shared" ca="1" si="342"/>
        <v>3</v>
      </c>
      <c r="P2752" s="1">
        <v>38.786839821841568</v>
      </c>
      <c r="Q2752" s="1">
        <f t="shared" ca="1" si="343"/>
        <v>3</v>
      </c>
      <c r="R2752" s="1">
        <v>11.782257186278002</v>
      </c>
    </row>
    <row r="2753" spans="1:18" x14ac:dyDescent="0.3">
      <c r="A2753" s="26">
        <v>2752</v>
      </c>
      <c r="B2753" s="1">
        <v>10</v>
      </c>
      <c r="C2753" s="1">
        <f t="shared" si="339"/>
        <v>13</v>
      </c>
      <c r="D2753" s="21">
        <f t="shared" ca="1" si="338"/>
        <v>44656</v>
      </c>
      <c r="E2753" s="1" t="s">
        <v>26</v>
      </c>
      <c r="F2753" s="1" t="s">
        <v>2781</v>
      </c>
      <c r="G2753" s="1" t="s">
        <v>28</v>
      </c>
      <c r="H2753" s="1">
        <v>2851</v>
      </c>
      <c r="I2753" s="1">
        <f t="shared" si="340"/>
        <v>51</v>
      </c>
      <c r="J2753" s="1">
        <f>VLOOKUP(B2753,Cena!$A$2:$B$101,2)</f>
        <v>109</v>
      </c>
      <c r="K2753" s="1">
        <f t="shared" si="344"/>
        <v>5559</v>
      </c>
      <c r="L2753" s="1">
        <f t="shared" si="341"/>
        <v>1278.5700000000002</v>
      </c>
      <c r="M2753" s="22">
        <f t="shared" si="345"/>
        <v>6837.57</v>
      </c>
      <c r="N2753" s="1">
        <f t="shared" ca="1" si="342"/>
        <v>4</v>
      </c>
      <c r="P2753" s="1">
        <v>51.089574652723968</v>
      </c>
      <c r="Q2753" s="1">
        <f t="shared" ca="1" si="343"/>
        <v>5</v>
      </c>
      <c r="R2753" s="1">
        <v>13.662250946945278</v>
      </c>
    </row>
    <row r="2754" spans="1:18" x14ac:dyDescent="0.3">
      <c r="A2754" s="26">
        <v>2753</v>
      </c>
      <c r="B2754" s="1">
        <v>15</v>
      </c>
      <c r="C2754" s="1">
        <f t="shared" si="339"/>
        <v>11</v>
      </c>
      <c r="D2754" s="21">
        <f t="shared" ref="D2754:D2817" ca="1" si="346">DATE(2022,RANDBETWEEN(1,12),RANDBETWEEN(1,28))</f>
        <v>44789</v>
      </c>
      <c r="E2754" s="1" t="s">
        <v>26</v>
      </c>
      <c r="F2754" s="1" t="s">
        <v>2782</v>
      </c>
      <c r="G2754" s="1" t="s">
        <v>28</v>
      </c>
      <c r="H2754" s="1">
        <v>2852</v>
      </c>
      <c r="I2754" s="1">
        <f t="shared" si="340"/>
        <v>39</v>
      </c>
      <c r="J2754" s="1">
        <f>VLOOKUP(B2754,Cena!$A$2:$B$101,2)</f>
        <v>85</v>
      </c>
      <c r="K2754" s="1">
        <f t="shared" si="344"/>
        <v>3315</v>
      </c>
      <c r="L2754" s="1">
        <f t="shared" si="341"/>
        <v>762.45</v>
      </c>
      <c r="M2754" s="22">
        <f t="shared" si="345"/>
        <v>4077.45</v>
      </c>
      <c r="N2754" s="1">
        <f t="shared" ca="1" si="342"/>
        <v>8</v>
      </c>
      <c r="P2754" s="1">
        <v>39.538241607078817</v>
      </c>
      <c r="Q2754" s="1">
        <f t="shared" ca="1" si="343"/>
        <v>14</v>
      </c>
      <c r="R2754" s="1">
        <v>11.478861122450326</v>
      </c>
    </row>
    <row r="2755" spans="1:18" x14ac:dyDescent="0.3">
      <c r="A2755" s="26">
        <v>2754</v>
      </c>
      <c r="B2755" s="1">
        <v>20</v>
      </c>
      <c r="C2755" s="1">
        <f t="shared" ref="C2755:C2818" si="347">INT(R2755)</f>
        <v>7</v>
      </c>
      <c r="D2755" s="21">
        <f t="shared" ca="1" si="346"/>
        <v>44841</v>
      </c>
      <c r="E2755" s="1" t="s">
        <v>26</v>
      </c>
      <c r="F2755" s="1" t="s">
        <v>2783</v>
      </c>
      <c r="G2755" s="1" t="s">
        <v>28</v>
      </c>
      <c r="H2755" s="1">
        <v>2853</v>
      </c>
      <c r="I2755" s="1">
        <f t="shared" ref="I2755:I2818" si="348">INT(P2755)</f>
        <v>57</v>
      </c>
      <c r="J2755" s="1">
        <f>VLOOKUP(B2755,Cena!$A$2:$B$101,2)</f>
        <v>111</v>
      </c>
      <c r="K2755" s="1">
        <f t="shared" si="344"/>
        <v>6327</v>
      </c>
      <c r="L2755" s="1">
        <f t="shared" ref="L2755:L2818" si="349">K2755*23%</f>
        <v>1455.21</v>
      </c>
      <c r="M2755" s="22">
        <f t="shared" si="345"/>
        <v>7782.21</v>
      </c>
      <c r="N2755" s="1">
        <f t="shared" ref="N2755:N2818" ca="1" si="350">MONTH(D2755)</f>
        <v>10</v>
      </c>
      <c r="P2755" s="1">
        <v>57.047401595627889</v>
      </c>
      <c r="Q2755" s="1">
        <f t="shared" ref="Q2755:Q2818" ca="1" si="351">RANDBETWEEN(1,30)</f>
        <v>13</v>
      </c>
      <c r="R2755" s="1">
        <v>7.3997205415798817</v>
      </c>
    </row>
    <row r="2756" spans="1:18" x14ac:dyDescent="0.3">
      <c r="A2756" s="26">
        <v>2755</v>
      </c>
      <c r="B2756" s="1">
        <v>24</v>
      </c>
      <c r="C2756" s="1">
        <f t="shared" si="347"/>
        <v>12</v>
      </c>
      <c r="D2756" s="21">
        <f t="shared" ca="1" si="346"/>
        <v>44564</v>
      </c>
      <c r="E2756" s="1" t="s">
        <v>26</v>
      </c>
      <c r="F2756" s="1" t="s">
        <v>2784</v>
      </c>
      <c r="G2756" s="1" t="s">
        <v>28</v>
      </c>
      <c r="H2756" s="1">
        <v>2854</v>
      </c>
      <c r="I2756" s="1">
        <f t="shared" si="348"/>
        <v>44</v>
      </c>
      <c r="J2756" s="1">
        <f>VLOOKUP(B2756,Cena!$A$2:$B$101,2)</f>
        <v>125</v>
      </c>
      <c r="K2756" s="1">
        <f t="shared" si="344"/>
        <v>5500</v>
      </c>
      <c r="L2756" s="1">
        <f t="shared" si="349"/>
        <v>1265</v>
      </c>
      <c r="M2756" s="22">
        <f t="shared" si="345"/>
        <v>6765</v>
      </c>
      <c r="N2756" s="1">
        <f t="shared" ca="1" si="350"/>
        <v>1</v>
      </c>
      <c r="P2756" s="1">
        <v>44.85833086509956</v>
      </c>
      <c r="Q2756" s="1">
        <f t="shared" ca="1" si="351"/>
        <v>28</v>
      </c>
      <c r="R2756" s="1">
        <v>12.806154952850193</v>
      </c>
    </row>
    <row r="2757" spans="1:18" x14ac:dyDescent="0.3">
      <c r="A2757" s="26">
        <v>2756</v>
      </c>
      <c r="B2757" s="1">
        <v>25</v>
      </c>
      <c r="C2757" s="1">
        <f t="shared" si="347"/>
        <v>13</v>
      </c>
      <c r="D2757" s="21">
        <f t="shared" ca="1" si="346"/>
        <v>44744</v>
      </c>
      <c r="E2757" s="1" t="s">
        <v>26</v>
      </c>
      <c r="F2757" s="1" t="s">
        <v>2785</v>
      </c>
      <c r="G2757" s="1" t="s">
        <v>28</v>
      </c>
      <c r="H2757" s="1">
        <v>2855</v>
      </c>
      <c r="I2757" s="1">
        <f t="shared" si="348"/>
        <v>35</v>
      </c>
      <c r="J2757" s="1">
        <f>VLOOKUP(B2757,Cena!$A$2:$B$101,2)</f>
        <v>108</v>
      </c>
      <c r="K2757" s="1">
        <f t="shared" si="344"/>
        <v>3780</v>
      </c>
      <c r="L2757" s="1">
        <f t="shared" si="349"/>
        <v>869.40000000000009</v>
      </c>
      <c r="M2757" s="22">
        <f t="shared" si="345"/>
        <v>4649.3999999999996</v>
      </c>
      <c r="N2757" s="1">
        <f t="shared" ca="1" si="350"/>
        <v>7</v>
      </c>
      <c r="P2757" s="1">
        <v>35.393378665321507</v>
      </c>
      <c r="Q2757" s="1">
        <f t="shared" ca="1" si="351"/>
        <v>24</v>
      </c>
      <c r="R2757" s="1">
        <v>13.7133304431336</v>
      </c>
    </row>
    <row r="2758" spans="1:18" x14ac:dyDescent="0.3">
      <c r="A2758" s="26">
        <v>2757</v>
      </c>
      <c r="B2758" s="1">
        <v>16</v>
      </c>
      <c r="C2758" s="1">
        <f t="shared" si="347"/>
        <v>13</v>
      </c>
      <c r="D2758" s="21">
        <f t="shared" ca="1" si="346"/>
        <v>44576</v>
      </c>
      <c r="E2758" s="1" t="s">
        <v>26</v>
      </c>
      <c r="F2758" s="1" t="s">
        <v>2786</v>
      </c>
      <c r="G2758" s="1" t="s">
        <v>28</v>
      </c>
      <c r="H2758" s="1">
        <v>2856</v>
      </c>
      <c r="I2758" s="1">
        <f t="shared" si="348"/>
        <v>48</v>
      </c>
      <c r="J2758" s="1">
        <f>VLOOKUP(B2758,Cena!$A$2:$B$101,2)</f>
        <v>93</v>
      </c>
      <c r="K2758" s="1">
        <f t="shared" si="344"/>
        <v>4464</v>
      </c>
      <c r="L2758" s="1">
        <f t="shared" si="349"/>
        <v>1026.72</v>
      </c>
      <c r="M2758" s="22">
        <f t="shared" si="345"/>
        <v>5490.72</v>
      </c>
      <c r="N2758" s="1">
        <f t="shared" ca="1" si="350"/>
        <v>1</v>
      </c>
      <c r="P2758" s="1">
        <v>48.711655280203559</v>
      </c>
      <c r="Q2758" s="1">
        <f t="shared" ca="1" si="351"/>
        <v>5</v>
      </c>
      <c r="R2758" s="1">
        <v>13.579816620913334</v>
      </c>
    </row>
    <row r="2759" spans="1:18" x14ac:dyDescent="0.3">
      <c r="A2759" s="26">
        <v>2758</v>
      </c>
      <c r="B2759" s="1">
        <v>17</v>
      </c>
      <c r="C2759" s="1">
        <f t="shared" si="347"/>
        <v>9</v>
      </c>
      <c r="D2759" s="21">
        <f t="shared" ca="1" si="346"/>
        <v>44899</v>
      </c>
      <c r="E2759" s="1" t="s">
        <v>26</v>
      </c>
      <c r="F2759" s="1" t="s">
        <v>2787</v>
      </c>
      <c r="G2759" s="1" t="s">
        <v>28</v>
      </c>
      <c r="H2759" s="1">
        <v>2857</v>
      </c>
      <c r="I2759" s="1">
        <f t="shared" si="348"/>
        <v>38</v>
      </c>
      <c r="J2759" s="1">
        <f>VLOOKUP(B2759,Cena!$A$2:$B$101,2)</f>
        <v>84</v>
      </c>
      <c r="K2759" s="1">
        <f t="shared" si="344"/>
        <v>3192</v>
      </c>
      <c r="L2759" s="1">
        <f t="shared" si="349"/>
        <v>734.16000000000008</v>
      </c>
      <c r="M2759" s="22">
        <f t="shared" si="345"/>
        <v>3926.16</v>
      </c>
      <c r="N2759" s="1">
        <f t="shared" ca="1" si="350"/>
        <v>12</v>
      </c>
      <c r="P2759" s="1">
        <v>38.219497026875615</v>
      </c>
      <c r="Q2759" s="1">
        <f t="shared" ca="1" si="351"/>
        <v>23</v>
      </c>
      <c r="R2759" s="1">
        <v>9.1932099874247797</v>
      </c>
    </row>
    <row r="2760" spans="1:18" x14ac:dyDescent="0.3">
      <c r="A2760" s="26">
        <v>2759</v>
      </c>
      <c r="B2760" s="1">
        <v>7</v>
      </c>
      <c r="C2760" s="1">
        <f t="shared" si="347"/>
        <v>9</v>
      </c>
      <c r="D2760" s="21">
        <f t="shared" ca="1" si="346"/>
        <v>44672</v>
      </c>
      <c r="E2760" s="1" t="s">
        <v>26</v>
      </c>
      <c r="F2760" s="1" t="s">
        <v>2788</v>
      </c>
      <c r="G2760" s="1" t="s">
        <v>28</v>
      </c>
      <c r="H2760" s="1">
        <v>2858</v>
      </c>
      <c r="I2760" s="1">
        <f t="shared" si="348"/>
        <v>54</v>
      </c>
      <c r="J2760" s="1">
        <f>VLOOKUP(B2760,Cena!$A$2:$B$101,2)</f>
        <v>104</v>
      </c>
      <c r="K2760" s="1">
        <f t="shared" si="344"/>
        <v>5616</v>
      </c>
      <c r="L2760" s="1">
        <f t="shared" si="349"/>
        <v>1291.68</v>
      </c>
      <c r="M2760" s="22">
        <f t="shared" si="345"/>
        <v>6907.68</v>
      </c>
      <c r="N2760" s="1">
        <f t="shared" ca="1" si="350"/>
        <v>4</v>
      </c>
      <c r="P2760" s="1">
        <v>54.227115368848899</v>
      </c>
      <c r="Q2760" s="1">
        <f t="shared" ca="1" si="351"/>
        <v>5</v>
      </c>
      <c r="R2760" s="1">
        <v>9.0320731058091042</v>
      </c>
    </row>
    <row r="2761" spans="1:18" x14ac:dyDescent="0.3">
      <c r="A2761" s="26">
        <v>2760</v>
      </c>
      <c r="B2761" s="1">
        <v>26</v>
      </c>
      <c r="C2761" s="1">
        <f t="shared" si="347"/>
        <v>7</v>
      </c>
      <c r="D2761" s="21">
        <f t="shared" ca="1" si="346"/>
        <v>44880</v>
      </c>
      <c r="E2761" s="1" t="s">
        <v>26</v>
      </c>
      <c r="F2761" s="1" t="s">
        <v>2789</v>
      </c>
      <c r="G2761" s="1" t="s">
        <v>28</v>
      </c>
      <c r="H2761" s="1">
        <v>2859</v>
      </c>
      <c r="I2761" s="1">
        <f t="shared" si="348"/>
        <v>72</v>
      </c>
      <c r="J2761" s="1">
        <f>VLOOKUP(B2761,Cena!$A$2:$B$101,2)</f>
        <v>99</v>
      </c>
      <c r="K2761" s="1">
        <f t="shared" si="344"/>
        <v>7128</v>
      </c>
      <c r="L2761" s="1">
        <f t="shared" si="349"/>
        <v>1639.44</v>
      </c>
      <c r="M2761" s="22">
        <f t="shared" si="345"/>
        <v>8767.44</v>
      </c>
      <c r="N2761" s="1">
        <f t="shared" ca="1" si="350"/>
        <v>11</v>
      </c>
      <c r="P2761" s="1">
        <v>72.109452402219176</v>
      </c>
      <c r="Q2761" s="1">
        <f t="shared" ca="1" si="351"/>
        <v>9</v>
      </c>
      <c r="R2761" s="1">
        <v>7.1532588460831903</v>
      </c>
    </row>
    <row r="2762" spans="1:18" x14ac:dyDescent="0.3">
      <c r="A2762" s="26">
        <v>2761</v>
      </c>
      <c r="B2762" s="1">
        <v>9</v>
      </c>
      <c r="C2762" s="1">
        <f t="shared" si="347"/>
        <v>7</v>
      </c>
      <c r="D2762" s="21">
        <f t="shared" ca="1" si="346"/>
        <v>44915</v>
      </c>
      <c r="E2762" s="1" t="s">
        <v>26</v>
      </c>
      <c r="F2762" s="1" t="s">
        <v>2790</v>
      </c>
      <c r="G2762" s="1" t="s">
        <v>28</v>
      </c>
      <c r="H2762" s="1">
        <v>2860</v>
      </c>
      <c r="I2762" s="1">
        <f t="shared" si="348"/>
        <v>57</v>
      </c>
      <c r="J2762" s="1">
        <f>VLOOKUP(B2762,Cena!$A$2:$B$101,2)</f>
        <v>96</v>
      </c>
      <c r="K2762" s="1">
        <f t="shared" si="344"/>
        <v>5472</v>
      </c>
      <c r="L2762" s="1">
        <f t="shared" si="349"/>
        <v>1258.56</v>
      </c>
      <c r="M2762" s="22">
        <f t="shared" si="345"/>
        <v>6730.5599999999995</v>
      </c>
      <c r="N2762" s="1">
        <f t="shared" ca="1" si="350"/>
        <v>12</v>
      </c>
      <c r="P2762" s="1">
        <v>57.637413546035532</v>
      </c>
      <c r="Q2762" s="1">
        <f t="shared" ca="1" si="351"/>
        <v>11</v>
      </c>
      <c r="R2762" s="1">
        <v>7.2811792758875526</v>
      </c>
    </row>
    <row r="2763" spans="1:18" x14ac:dyDescent="0.3">
      <c r="A2763" s="26">
        <v>2762</v>
      </c>
      <c r="B2763" s="1">
        <v>4</v>
      </c>
      <c r="C2763" s="1">
        <f t="shared" si="347"/>
        <v>7</v>
      </c>
      <c r="D2763" s="21">
        <f t="shared" ca="1" si="346"/>
        <v>44754</v>
      </c>
      <c r="E2763" s="1" t="s">
        <v>26</v>
      </c>
      <c r="F2763" s="1" t="s">
        <v>2791</v>
      </c>
      <c r="G2763" s="1" t="s">
        <v>28</v>
      </c>
      <c r="H2763" s="1">
        <v>2861</v>
      </c>
      <c r="I2763" s="1">
        <f t="shared" si="348"/>
        <v>56</v>
      </c>
      <c r="J2763" s="1">
        <f>VLOOKUP(B2763,Cena!$A$2:$B$101,2)</f>
        <v>99</v>
      </c>
      <c r="K2763" s="1">
        <f t="shared" si="344"/>
        <v>5544</v>
      </c>
      <c r="L2763" s="1">
        <f t="shared" si="349"/>
        <v>1275.1200000000001</v>
      </c>
      <c r="M2763" s="22">
        <f t="shared" si="345"/>
        <v>6819.12</v>
      </c>
      <c r="N2763" s="1">
        <f t="shared" ca="1" si="350"/>
        <v>7</v>
      </c>
      <c r="P2763" s="1">
        <v>56.66420874040341</v>
      </c>
      <c r="Q2763" s="1">
        <f t="shared" ca="1" si="351"/>
        <v>1</v>
      </c>
      <c r="R2763" s="1">
        <v>7.735307033508434</v>
      </c>
    </row>
    <row r="2764" spans="1:18" x14ac:dyDescent="0.3">
      <c r="A2764" s="26">
        <v>2763</v>
      </c>
      <c r="B2764" s="1">
        <v>18</v>
      </c>
      <c r="C2764" s="1">
        <f t="shared" si="347"/>
        <v>15</v>
      </c>
      <c r="D2764" s="21">
        <f t="shared" ca="1" si="346"/>
        <v>44608</v>
      </c>
      <c r="E2764" s="1" t="s">
        <v>26</v>
      </c>
      <c r="F2764" s="1" t="s">
        <v>2792</v>
      </c>
      <c r="G2764" s="1" t="s">
        <v>28</v>
      </c>
      <c r="H2764" s="1">
        <v>2862</v>
      </c>
      <c r="I2764" s="1">
        <f t="shared" si="348"/>
        <v>48</v>
      </c>
      <c r="J2764" s="1">
        <f>VLOOKUP(B2764,Cena!$A$2:$B$101,2)</f>
        <v>90</v>
      </c>
      <c r="K2764" s="1">
        <f t="shared" si="344"/>
        <v>4320</v>
      </c>
      <c r="L2764" s="1">
        <f t="shared" si="349"/>
        <v>993.6</v>
      </c>
      <c r="M2764" s="22">
        <f t="shared" si="345"/>
        <v>5313.6</v>
      </c>
      <c r="N2764" s="1">
        <f t="shared" ca="1" si="350"/>
        <v>2</v>
      </c>
      <c r="P2764" s="1">
        <v>48.659950506407768</v>
      </c>
      <c r="Q2764" s="1">
        <f t="shared" ca="1" si="351"/>
        <v>12</v>
      </c>
      <c r="R2764" s="1">
        <v>15.166839400772005</v>
      </c>
    </row>
    <row r="2765" spans="1:18" x14ac:dyDescent="0.3">
      <c r="A2765" s="26">
        <v>2764</v>
      </c>
      <c r="B2765" s="1">
        <v>8</v>
      </c>
      <c r="C2765" s="1">
        <f t="shared" si="347"/>
        <v>12</v>
      </c>
      <c r="D2765" s="21">
        <f t="shared" ca="1" si="346"/>
        <v>44920</v>
      </c>
      <c r="E2765" s="1" t="s">
        <v>26</v>
      </c>
      <c r="F2765" s="1" t="s">
        <v>2793</v>
      </c>
      <c r="G2765" s="1" t="s">
        <v>28</v>
      </c>
      <c r="H2765" s="1">
        <v>2863</v>
      </c>
      <c r="I2765" s="1">
        <f t="shared" si="348"/>
        <v>37</v>
      </c>
      <c r="J2765" s="1">
        <f>VLOOKUP(B2765,Cena!$A$2:$B$101,2)</f>
        <v>88</v>
      </c>
      <c r="K2765" s="1">
        <f t="shared" si="344"/>
        <v>3256</v>
      </c>
      <c r="L2765" s="1">
        <f t="shared" si="349"/>
        <v>748.88</v>
      </c>
      <c r="M2765" s="22">
        <f t="shared" si="345"/>
        <v>4004.88</v>
      </c>
      <c r="N2765" s="1">
        <f t="shared" ca="1" si="350"/>
        <v>12</v>
      </c>
      <c r="P2765" s="1">
        <v>37.578439686330967</v>
      </c>
      <c r="Q2765" s="1">
        <f t="shared" ca="1" si="351"/>
        <v>1</v>
      </c>
      <c r="R2765" s="1">
        <v>12.196350123995217</v>
      </c>
    </row>
    <row r="2766" spans="1:18" x14ac:dyDescent="0.3">
      <c r="A2766" s="26">
        <v>2765</v>
      </c>
      <c r="B2766" s="1">
        <v>25</v>
      </c>
      <c r="C2766" s="1">
        <f t="shared" si="347"/>
        <v>6</v>
      </c>
      <c r="D2766" s="21">
        <f t="shared" ca="1" si="346"/>
        <v>44880</v>
      </c>
      <c r="E2766" s="1" t="s">
        <v>26</v>
      </c>
      <c r="F2766" s="1" t="s">
        <v>2794</v>
      </c>
      <c r="G2766" s="1" t="s">
        <v>28</v>
      </c>
      <c r="H2766" s="1">
        <v>2864</v>
      </c>
      <c r="I2766" s="1">
        <f t="shared" si="348"/>
        <v>52</v>
      </c>
      <c r="J2766" s="1">
        <f>VLOOKUP(B2766,Cena!$A$2:$B$101,2)</f>
        <v>108</v>
      </c>
      <c r="K2766" s="1">
        <f t="shared" si="344"/>
        <v>5616</v>
      </c>
      <c r="L2766" s="1">
        <f t="shared" si="349"/>
        <v>1291.68</v>
      </c>
      <c r="M2766" s="22">
        <f t="shared" si="345"/>
        <v>6907.68</v>
      </c>
      <c r="N2766" s="1">
        <f t="shared" ca="1" si="350"/>
        <v>11</v>
      </c>
      <c r="P2766" s="1">
        <v>52.400042831141036</v>
      </c>
      <c r="Q2766" s="1">
        <f t="shared" ca="1" si="351"/>
        <v>13</v>
      </c>
      <c r="R2766" s="1">
        <v>6.8574513786734315</v>
      </c>
    </row>
    <row r="2767" spans="1:18" x14ac:dyDescent="0.3">
      <c r="A2767" s="26">
        <v>2766</v>
      </c>
      <c r="B2767" s="1">
        <v>26</v>
      </c>
      <c r="C2767" s="1">
        <f t="shared" si="347"/>
        <v>4</v>
      </c>
      <c r="D2767" s="21">
        <f t="shared" ca="1" si="346"/>
        <v>44868</v>
      </c>
      <c r="E2767" s="1" t="s">
        <v>26</v>
      </c>
      <c r="F2767" s="1" t="s">
        <v>2795</v>
      </c>
      <c r="G2767" s="1" t="s">
        <v>28</v>
      </c>
      <c r="H2767" s="1">
        <v>2865</v>
      </c>
      <c r="I2767" s="1">
        <f t="shared" si="348"/>
        <v>75</v>
      </c>
      <c r="J2767" s="1">
        <f>VLOOKUP(B2767,Cena!$A$2:$B$101,2)</f>
        <v>99</v>
      </c>
      <c r="K2767" s="1">
        <f t="shared" si="344"/>
        <v>7425</v>
      </c>
      <c r="L2767" s="1">
        <f t="shared" si="349"/>
        <v>1707.75</v>
      </c>
      <c r="M2767" s="22">
        <f t="shared" si="345"/>
        <v>9132.75</v>
      </c>
      <c r="N2767" s="1">
        <f t="shared" ca="1" si="350"/>
        <v>11</v>
      </c>
      <c r="P2767" s="1">
        <v>75.096596800722182</v>
      </c>
      <c r="Q2767" s="1">
        <f t="shared" ca="1" si="351"/>
        <v>15</v>
      </c>
      <c r="R2767" s="1">
        <v>4.1172063699923456</v>
      </c>
    </row>
    <row r="2768" spans="1:18" x14ac:dyDescent="0.3">
      <c r="A2768" s="26">
        <v>2767</v>
      </c>
      <c r="B2768" s="1">
        <v>8</v>
      </c>
      <c r="C2768" s="1">
        <f t="shared" si="347"/>
        <v>5</v>
      </c>
      <c r="D2768" s="21">
        <f t="shared" ca="1" si="346"/>
        <v>44904</v>
      </c>
      <c r="E2768" s="1" t="s">
        <v>26</v>
      </c>
      <c r="F2768" s="1" t="s">
        <v>2796</v>
      </c>
      <c r="G2768" s="1" t="s">
        <v>28</v>
      </c>
      <c r="H2768" s="1">
        <v>2866</v>
      </c>
      <c r="I2768" s="1">
        <f t="shared" si="348"/>
        <v>62</v>
      </c>
      <c r="J2768" s="1">
        <f>VLOOKUP(B2768,Cena!$A$2:$B$101,2)</f>
        <v>88</v>
      </c>
      <c r="K2768" s="1">
        <f t="shared" si="344"/>
        <v>5456</v>
      </c>
      <c r="L2768" s="1">
        <f t="shared" si="349"/>
        <v>1254.8800000000001</v>
      </c>
      <c r="M2768" s="22">
        <f t="shared" si="345"/>
        <v>6710.88</v>
      </c>
      <c r="N2768" s="1">
        <f t="shared" ca="1" si="350"/>
        <v>12</v>
      </c>
      <c r="P2768" s="1">
        <v>62.969530871487223</v>
      </c>
      <c r="Q2768" s="1">
        <f t="shared" ca="1" si="351"/>
        <v>23</v>
      </c>
      <c r="R2768" s="1">
        <v>5.0148321659071371</v>
      </c>
    </row>
    <row r="2769" spans="1:18" x14ac:dyDescent="0.3">
      <c r="A2769" s="26">
        <v>2768</v>
      </c>
      <c r="B2769" s="1">
        <v>15</v>
      </c>
      <c r="C2769" s="1">
        <f t="shared" si="347"/>
        <v>4</v>
      </c>
      <c r="D2769" s="21">
        <f t="shared" ca="1" si="346"/>
        <v>44645</v>
      </c>
      <c r="E2769" s="1" t="s">
        <v>26</v>
      </c>
      <c r="F2769" s="1" t="s">
        <v>2797</v>
      </c>
      <c r="G2769" s="1" t="s">
        <v>28</v>
      </c>
      <c r="H2769" s="1">
        <v>2867</v>
      </c>
      <c r="I2769" s="1">
        <f t="shared" si="348"/>
        <v>44</v>
      </c>
      <c r="J2769" s="1">
        <f>VLOOKUP(B2769,Cena!$A$2:$B$101,2)</f>
        <v>85</v>
      </c>
      <c r="K2769" s="1">
        <f t="shared" si="344"/>
        <v>3740</v>
      </c>
      <c r="L2769" s="1">
        <f t="shared" si="349"/>
        <v>860.2</v>
      </c>
      <c r="M2769" s="22">
        <f t="shared" si="345"/>
        <v>4600.2</v>
      </c>
      <c r="N2769" s="1">
        <f t="shared" ca="1" si="350"/>
        <v>3</v>
      </c>
      <c r="P2769" s="1">
        <v>44.159111338376533</v>
      </c>
      <c r="Q2769" s="1">
        <f t="shared" ca="1" si="351"/>
        <v>28</v>
      </c>
      <c r="R2769" s="1">
        <v>4.9678567645605654</v>
      </c>
    </row>
    <row r="2770" spans="1:18" x14ac:dyDescent="0.3">
      <c r="A2770" s="26">
        <v>2769</v>
      </c>
      <c r="B2770" s="1">
        <v>4</v>
      </c>
      <c r="C2770" s="1">
        <f t="shared" si="347"/>
        <v>11</v>
      </c>
      <c r="D2770" s="21">
        <f t="shared" ca="1" si="346"/>
        <v>44696</v>
      </c>
      <c r="E2770" s="1" t="s">
        <v>26</v>
      </c>
      <c r="F2770" s="1" t="s">
        <v>2798</v>
      </c>
      <c r="G2770" s="1" t="s">
        <v>28</v>
      </c>
      <c r="H2770" s="1">
        <v>2868</v>
      </c>
      <c r="I2770" s="1">
        <f t="shared" si="348"/>
        <v>35</v>
      </c>
      <c r="J2770" s="1">
        <f>VLOOKUP(B2770,Cena!$A$2:$B$101,2)</f>
        <v>99</v>
      </c>
      <c r="K2770" s="1">
        <f t="shared" si="344"/>
        <v>3465</v>
      </c>
      <c r="L2770" s="1">
        <f t="shared" si="349"/>
        <v>796.95</v>
      </c>
      <c r="M2770" s="22">
        <f t="shared" si="345"/>
        <v>4261.95</v>
      </c>
      <c r="N2770" s="1">
        <f t="shared" ca="1" si="350"/>
        <v>5</v>
      </c>
      <c r="P2770" s="1">
        <v>35.635804478079081</v>
      </c>
      <c r="Q2770" s="1">
        <f t="shared" ca="1" si="351"/>
        <v>30</v>
      </c>
      <c r="R2770" s="1">
        <v>11.501933866165928</v>
      </c>
    </row>
    <row r="2771" spans="1:18" x14ac:dyDescent="0.3">
      <c r="A2771" s="26">
        <v>2770</v>
      </c>
      <c r="B2771" s="1">
        <v>20</v>
      </c>
      <c r="C2771" s="1">
        <f t="shared" si="347"/>
        <v>10</v>
      </c>
      <c r="D2771" s="21">
        <f t="shared" ca="1" si="346"/>
        <v>44678</v>
      </c>
      <c r="E2771" s="1" t="s">
        <v>26</v>
      </c>
      <c r="F2771" s="1" t="s">
        <v>2799</v>
      </c>
      <c r="G2771" s="1" t="s">
        <v>28</v>
      </c>
      <c r="H2771" s="1">
        <v>2869</v>
      </c>
      <c r="I2771" s="1">
        <f t="shared" si="348"/>
        <v>55</v>
      </c>
      <c r="J2771" s="1">
        <f>VLOOKUP(B2771,Cena!$A$2:$B$101,2)</f>
        <v>111</v>
      </c>
      <c r="K2771" s="1">
        <f t="shared" si="344"/>
        <v>6105</v>
      </c>
      <c r="L2771" s="1">
        <f t="shared" si="349"/>
        <v>1404.15</v>
      </c>
      <c r="M2771" s="22">
        <f t="shared" si="345"/>
        <v>7509.15</v>
      </c>
      <c r="N2771" s="1">
        <f t="shared" ca="1" si="350"/>
        <v>4</v>
      </c>
      <c r="P2771" s="1">
        <v>55.258141300146235</v>
      </c>
      <c r="Q2771" s="1">
        <f t="shared" ca="1" si="351"/>
        <v>4</v>
      </c>
      <c r="R2771" s="1">
        <v>10.290870616481698</v>
      </c>
    </row>
    <row r="2772" spans="1:18" x14ac:dyDescent="0.3">
      <c r="A2772" s="26">
        <v>2771</v>
      </c>
      <c r="B2772" s="1">
        <v>23</v>
      </c>
      <c r="C2772" s="1">
        <f t="shared" si="347"/>
        <v>11</v>
      </c>
      <c r="D2772" s="21">
        <f t="shared" ca="1" si="346"/>
        <v>44769</v>
      </c>
      <c r="E2772" s="1" t="s">
        <v>26</v>
      </c>
      <c r="F2772" s="1" t="s">
        <v>2800</v>
      </c>
      <c r="G2772" s="1" t="s">
        <v>28</v>
      </c>
      <c r="H2772" s="1">
        <v>2870</v>
      </c>
      <c r="I2772" s="1">
        <f t="shared" si="348"/>
        <v>63</v>
      </c>
      <c r="J2772" s="1">
        <f>VLOOKUP(B2772,Cena!$A$2:$B$101,2)</f>
        <v>132</v>
      </c>
      <c r="K2772" s="1">
        <f t="shared" si="344"/>
        <v>8316</v>
      </c>
      <c r="L2772" s="1">
        <f t="shared" si="349"/>
        <v>1912.68</v>
      </c>
      <c r="M2772" s="22">
        <f t="shared" si="345"/>
        <v>10228.68</v>
      </c>
      <c r="N2772" s="1">
        <f t="shared" ca="1" si="350"/>
        <v>7</v>
      </c>
      <c r="P2772" s="1">
        <v>63.400085663306527</v>
      </c>
      <c r="Q2772" s="1">
        <f t="shared" ca="1" si="351"/>
        <v>20</v>
      </c>
      <c r="R2772" s="1">
        <v>11.206382194141042</v>
      </c>
    </row>
    <row r="2773" spans="1:18" x14ac:dyDescent="0.3">
      <c r="A2773" s="26">
        <v>2772</v>
      </c>
      <c r="B2773" s="1">
        <v>6</v>
      </c>
      <c r="C2773" s="1">
        <f t="shared" si="347"/>
        <v>11</v>
      </c>
      <c r="D2773" s="21">
        <f t="shared" ca="1" si="346"/>
        <v>44760</v>
      </c>
      <c r="E2773" s="1" t="s">
        <v>26</v>
      </c>
      <c r="F2773" s="1" t="s">
        <v>2801</v>
      </c>
      <c r="G2773" s="1" t="s">
        <v>28</v>
      </c>
      <c r="H2773" s="1">
        <v>2871</v>
      </c>
      <c r="I2773" s="1">
        <f t="shared" si="348"/>
        <v>40</v>
      </c>
      <c r="J2773" s="1">
        <f>VLOOKUP(B2773,Cena!$A$2:$B$101,2)</f>
        <v>86</v>
      </c>
      <c r="K2773" s="1">
        <f t="shared" si="344"/>
        <v>3440</v>
      </c>
      <c r="L2773" s="1">
        <f t="shared" si="349"/>
        <v>791.2</v>
      </c>
      <c r="M2773" s="22">
        <f t="shared" si="345"/>
        <v>4231.2</v>
      </c>
      <c r="N2773" s="1">
        <f t="shared" ca="1" si="350"/>
        <v>7</v>
      </c>
      <c r="P2773" s="1">
        <v>40.084575074433815</v>
      </c>
      <c r="Q2773" s="1">
        <f t="shared" ca="1" si="351"/>
        <v>26</v>
      </c>
      <c r="R2773" s="1">
        <v>11.936348326125881</v>
      </c>
    </row>
    <row r="2774" spans="1:18" x14ac:dyDescent="0.3">
      <c r="A2774" s="26">
        <v>2773</v>
      </c>
      <c r="B2774" s="1">
        <v>12</v>
      </c>
      <c r="C2774" s="1">
        <f t="shared" si="347"/>
        <v>10</v>
      </c>
      <c r="D2774" s="21">
        <f t="shared" ca="1" si="346"/>
        <v>44653</v>
      </c>
      <c r="E2774" s="1" t="s">
        <v>26</v>
      </c>
      <c r="F2774" s="1" t="s">
        <v>2802</v>
      </c>
      <c r="G2774" s="1" t="s">
        <v>28</v>
      </c>
      <c r="H2774" s="1">
        <v>2872</v>
      </c>
      <c r="I2774" s="1">
        <f t="shared" si="348"/>
        <v>61</v>
      </c>
      <c r="J2774" s="1">
        <f>VLOOKUP(B2774,Cena!$A$2:$B$101,2)</f>
        <v>88</v>
      </c>
      <c r="K2774" s="1">
        <f t="shared" si="344"/>
        <v>5368</v>
      </c>
      <c r="L2774" s="1">
        <f t="shared" si="349"/>
        <v>1234.6400000000001</v>
      </c>
      <c r="M2774" s="22">
        <f t="shared" si="345"/>
        <v>6602.64</v>
      </c>
      <c r="N2774" s="1">
        <f t="shared" ca="1" si="350"/>
        <v>4</v>
      </c>
      <c r="P2774" s="1">
        <v>61.467795957287308</v>
      </c>
      <c r="Q2774" s="1">
        <f t="shared" ca="1" si="351"/>
        <v>4</v>
      </c>
      <c r="R2774" s="1">
        <v>10.134031097331899</v>
      </c>
    </row>
    <row r="2775" spans="1:18" x14ac:dyDescent="0.3">
      <c r="A2775" s="26">
        <v>2774</v>
      </c>
      <c r="B2775" s="1">
        <v>13</v>
      </c>
      <c r="C2775" s="1">
        <f t="shared" si="347"/>
        <v>5</v>
      </c>
      <c r="D2775" s="21">
        <f t="shared" ca="1" si="346"/>
        <v>44636</v>
      </c>
      <c r="E2775" s="1" t="s">
        <v>26</v>
      </c>
      <c r="F2775" s="1" t="s">
        <v>2803</v>
      </c>
      <c r="G2775" s="1" t="s">
        <v>28</v>
      </c>
      <c r="H2775" s="1">
        <v>2873</v>
      </c>
      <c r="I2775" s="1">
        <f t="shared" si="348"/>
        <v>50</v>
      </c>
      <c r="J2775" s="1">
        <f>VLOOKUP(B2775,Cena!$A$2:$B$101,2)</f>
        <v>94</v>
      </c>
      <c r="K2775" s="1">
        <f t="shared" si="344"/>
        <v>4700</v>
      </c>
      <c r="L2775" s="1">
        <f t="shared" si="349"/>
        <v>1081</v>
      </c>
      <c r="M2775" s="22">
        <f t="shared" si="345"/>
        <v>5781</v>
      </c>
      <c r="N2775" s="1">
        <f t="shared" ca="1" si="350"/>
        <v>3</v>
      </c>
      <c r="P2775" s="1">
        <v>50.654904397379141</v>
      </c>
      <c r="Q2775" s="1">
        <f t="shared" ca="1" si="351"/>
        <v>28</v>
      </c>
      <c r="R2775" s="1">
        <v>5.1647851048619486</v>
      </c>
    </row>
    <row r="2776" spans="1:18" x14ac:dyDescent="0.3">
      <c r="A2776" s="26">
        <v>2775</v>
      </c>
      <c r="B2776" s="1">
        <v>17</v>
      </c>
      <c r="C2776" s="1">
        <f t="shared" si="347"/>
        <v>9</v>
      </c>
      <c r="D2776" s="21">
        <f t="shared" ca="1" si="346"/>
        <v>44563</v>
      </c>
      <c r="E2776" s="1" t="s">
        <v>26</v>
      </c>
      <c r="F2776" s="1" t="s">
        <v>2804</v>
      </c>
      <c r="G2776" s="1" t="s">
        <v>28</v>
      </c>
      <c r="H2776" s="1">
        <v>2874</v>
      </c>
      <c r="I2776" s="1">
        <f t="shared" si="348"/>
        <v>38</v>
      </c>
      <c r="J2776" s="1">
        <f>VLOOKUP(B2776,Cena!$A$2:$B$101,2)</f>
        <v>84</v>
      </c>
      <c r="K2776" s="1">
        <f t="shared" si="344"/>
        <v>3192</v>
      </c>
      <c r="L2776" s="1">
        <f t="shared" si="349"/>
        <v>734.16000000000008</v>
      </c>
      <c r="M2776" s="22">
        <f t="shared" si="345"/>
        <v>3926.16</v>
      </c>
      <c r="N2776" s="1">
        <f t="shared" ca="1" si="350"/>
        <v>1</v>
      </c>
      <c r="P2776" s="1">
        <v>38.277477314113639</v>
      </c>
      <c r="Q2776" s="1">
        <f t="shared" ca="1" si="351"/>
        <v>30</v>
      </c>
      <c r="R2776" s="1">
        <v>9.3988097912733792</v>
      </c>
    </row>
    <row r="2777" spans="1:18" x14ac:dyDescent="0.3">
      <c r="A2777" s="26">
        <v>2776</v>
      </c>
      <c r="B2777" s="1">
        <v>5</v>
      </c>
      <c r="C2777" s="1">
        <f t="shared" si="347"/>
        <v>12</v>
      </c>
      <c r="D2777" s="21">
        <f t="shared" ca="1" si="346"/>
        <v>44853</v>
      </c>
      <c r="E2777" s="1" t="s">
        <v>26</v>
      </c>
      <c r="F2777" s="1" t="s">
        <v>2805</v>
      </c>
      <c r="G2777" s="1" t="s">
        <v>28</v>
      </c>
      <c r="H2777" s="1">
        <v>2875</v>
      </c>
      <c r="I2777" s="1">
        <f t="shared" si="348"/>
        <v>47</v>
      </c>
      <c r="J2777" s="1">
        <f>VLOOKUP(B2777,Cena!$A$2:$B$101,2)</f>
        <v>91</v>
      </c>
      <c r="K2777" s="1">
        <f t="shared" si="344"/>
        <v>4277</v>
      </c>
      <c r="L2777" s="1">
        <f t="shared" si="349"/>
        <v>983.71</v>
      </c>
      <c r="M2777" s="22">
        <f t="shared" si="345"/>
        <v>5260.71</v>
      </c>
      <c r="N2777" s="1">
        <f t="shared" ca="1" si="350"/>
        <v>10</v>
      </c>
      <c r="P2777" s="1">
        <v>47.607051227532793</v>
      </c>
      <c r="Q2777" s="1">
        <f t="shared" ca="1" si="351"/>
        <v>27</v>
      </c>
      <c r="R2777" s="1">
        <v>12.711237812036416</v>
      </c>
    </row>
    <row r="2778" spans="1:18" x14ac:dyDescent="0.3">
      <c r="A2778" s="26">
        <v>2777</v>
      </c>
      <c r="B2778" s="1">
        <v>15</v>
      </c>
      <c r="C2778" s="1">
        <f t="shared" si="347"/>
        <v>9</v>
      </c>
      <c r="D2778" s="21">
        <f t="shared" ca="1" si="346"/>
        <v>44751</v>
      </c>
      <c r="E2778" s="1" t="s">
        <v>26</v>
      </c>
      <c r="F2778" s="1" t="s">
        <v>2806</v>
      </c>
      <c r="G2778" s="1" t="s">
        <v>28</v>
      </c>
      <c r="H2778" s="1">
        <v>2876</v>
      </c>
      <c r="I2778" s="1">
        <f t="shared" si="348"/>
        <v>54</v>
      </c>
      <c r="J2778" s="1">
        <f>VLOOKUP(B2778,Cena!$A$2:$B$101,2)</f>
        <v>85</v>
      </c>
      <c r="K2778" s="1">
        <f t="shared" si="344"/>
        <v>4590</v>
      </c>
      <c r="L2778" s="1">
        <f t="shared" si="349"/>
        <v>1055.7</v>
      </c>
      <c r="M2778" s="22">
        <f t="shared" si="345"/>
        <v>5645.7</v>
      </c>
      <c r="N2778" s="1">
        <f t="shared" ca="1" si="350"/>
        <v>7</v>
      </c>
      <c r="P2778" s="1">
        <v>54.992944013793021</v>
      </c>
      <c r="Q2778" s="1">
        <f t="shared" ca="1" si="351"/>
        <v>9</v>
      </c>
      <c r="R2778" s="1">
        <v>9.3712123114164569</v>
      </c>
    </row>
    <row r="2779" spans="1:18" x14ac:dyDescent="0.3">
      <c r="A2779" s="26">
        <v>2778</v>
      </c>
      <c r="B2779" s="1">
        <v>3</v>
      </c>
      <c r="C2779" s="1">
        <f t="shared" si="347"/>
        <v>10</v>
      </c>
      <c r="D2779" s="21">
        <f t="shared" ca="1" si="346"/>
        <v>44576</v>
      </c>
      <c r="E2779" s="1" t="s">
        <v>26</v>
      </c>
      <c r="F2779" s="1" t="s">
        <v>2807</v>
      </c>
      <c r="G2779" s="1" t="s">
        <v>28</v>
      </c>
      <c r="H2779" s="1">
        <v>2877</v>
      </c>
      <c r="I2779" s="1">
        <f t="shared" si="348"/>
        <v>61</v>
      </c>
      <c r="J2779" s="1">
        <f>VLOOKUP(B2779,Cena!$A$2:$B$101,2)</f>
        <v>89</v>
      </c>
      <c r="K2779" s="1">
        <f t="shared" si="344"/>
        <v>5429</v>
      </c>
      <c r="L2779" s="1">
        <f t="shared" si="349"/>
        <v>1248.67</v>
      </c>
      <c r="M2779" s="22">
        <f t="shared" si="345"/>
        <v>6677.67</v>
      </c>
      <c r="N2779" s="1">
        <f t="shared" ca="1" si="350"/>
        <v>1</v>
      </c>
      <c r="P2779" s="1">
        <v>61.604697647271678</v>
      </c>
      <c r="Q2779" s="1">
        <f t="shared" ca="1" si="351"/>
        <v>24</v>
      </c>
      <c r="R2779" s="1">
        <v>10.094593133326271</v>
      </c>
    </row>
    <row r="2780" spans="1:18" x14ac:dyDescent="0.3">
      <c r="A2780" s="26">
        <v>2779</v>
      </c>
      <c r="B2780" s="1">
        <v>15</v>
      </c>
      <c r="C2780" s="1">
        <f t="shared" si="347"/>
        <v>6</v>
      </c>
      <c r="D2780" s="21">
        <f t="shared" ca="1" si="346"/>
        <v>44631</v>
      </c>
      <c r="E2780" s="1" t="s">
        <v>26</v>
      </c>
      <c r="F2780" s="1" t="s">
        <v>2808</v>
      </c>
      <c r="G2780" s="1" t="s">
        <v>28</v>
      </c>
      <c r="H2780" s="1">
        <v>2878</v>
      </c>
      <c r="I2780" s="1">
        <f t="shared" si="348"/>
        <v>44</v>
      </c>
      <c r="J2780" s="1">
        <f>VLOOKUP(B2780,Cena!$A$2:$B$101,2)</f>
        <v>85</v>
      </c>
      <c r="K2780" s="1">
        <f t="shared" si="344"/>
        <v>3740</v>
      </c>
      <c r="L2780" s="1">
        <f t="shared" si="349"/>
        <v>860.2</v>
      </c>
      <c r="M2780" s="22">
        <f t="shared" si="345"/>
        <v>4600.2</v>
      </c>
      <c r="N2780" s="1">
        <f t="shared" ca="1" si="350"/>
        <v>3</v>
      </c>
      <c r="P2780" s="1">
        <v>44.664403857314028</v>
      </c>
      <c r="Q2780" s="1">
        <f t="shared" ca="1" si="351"/>
        <v>7</v>
      </c>
      <c r="R2780" s="1">
        <v>6.8092481594794663</v>
      </c>
    </row>
    <row r="2781" spans="1:18" x14ac:dyDescent="0.3">
      <c r="A2781" s="26">
        <v>2780</v>
      </c>
      <c r="B2781" s="1">
        <v>12</v>
      </c>
      <c r="C2781" s="1">
        <f t="shared" si="347"/>
        <v>11</v>
      </c>
      <c r="D2781" s="21">
        <f t="shared" ca="1" si="346"/>
        <v>44648</v>
      </c>
      <c r="E2781" s="1" t="s">
        <v>26</v>
      </c>
      <c r="F2781" s="1" t="s">
        <v>2809</v>
      </c>
      <c r="G2781" s="1" t="s">
        <v>28</v>
      </c>
      <c r="H2781" s="1">
        <v>2879</v>
      </c>
      <c r="I2781" s="1">
        <f t="shared" si="348"/>
        <v>44</v>
      </c>
      <c r="J2781" s="1">
        <f>VLOOKUP(B2781,Cena!$A$2:$B$101,2)</f>
        <v>88</v>
      </c>
      <c r="K2781" s="1">
        <f t="shared" si="344"/>
        <v>3872</v>
      </c>
      <c r="L2781" s="1">
        <f t="shared" si="349"/>
        <v>890.56000000000006</v>
      </c>
      <c r="M2781" s="22">
        <f t="shared" si="345"/>
        <v>4762.5600000000004</v>
      </c>
      <c r="N2781" s="1">
        <f t="shared" ca="1" si="350"/>
        <v>3</v>
      </c>
      <c r="P2781" s="1">
        <v>44.312656781403348</v>
      </c>
      <c r="Q2781" s="1">
        <f t="shared" ca="1" si="351"/>
        <v>9</v>
      </c>
      <c r="R2781" s="1">
        <v>11.067036237145658</v>
      </c>
    </row>
    <row r="2782" spans="1:18" x14ac:dyDescent="0.3">
      <c r="A2782" s="26">
        <v>2781</v>
      </c>
      <c r="B2782" s="1">
        <v>16</v>
      </c>
      <c r="C2782" s="1">
        <f t="shared" si="347"/>
        <v>7</v>
      </c>
      <c r="D2782" s="21">
        <f t="shared" ca="1" si="346"/>
        <v>44812</v>
      </c>
      <c r="E2782" s="1" t="s">
        <v>26</v>
      </c>
      <c r="F2782" s="1" t="s">
        <v>2810</v>
      </c>
      <c r="G2782" s="1" t="s">
        <v>28</v>
      </c>
      <c r="H2782" s="1">
        <v>2880</v>
      </c>
      <c r="I2782" s="1">
        <f t="shared" si="348"/>
        <v>51</v>
      </c>
      <c r="J2782" s="1">
        <f>VLOOKUP(B2782,Cena!$A$2:$B$101,2)</f>
        <v>93</v>
      </c>
      <c r="K2782" s="1">
        <f t="shared" si="344"/>
        <v>4743</v>
      </c>
      <c r="L2782" s="1">
        <f t="shared" si="349"/>
        <v>1090.8900000000001</v>
      </c>
      <c r="M2782" s="22">
        <f t="shared" si="345"/>
        <v>5833.89</v>
      </c>
      <c r="N2782" s="1">
        <f t="shared" ca="1" si="350"/>
        <v>9</v>
      </c>
      <c r="P2782" s="1">
        <v>51.046487341227476</v>
      </c>
      <c r="Q2782" s="1">
        <f t="shared" ca="1" si="351"/>
        <v>5</v>
      </c>
      <c r="R2782" s="1">
        <v>7.7144739204959478</v>
      </c>
    </row>
    <row r="2783" spans="1:18" x14ac:dyDescent="0.3">
      <c r="A2783" s="26">
        <v>2782</v>
      </c>
      <c r="B2783" s="1">
        <v>24</v>
      </c>
      <c r="C2783" s="1">
        <f t="shared" si="347"/>
        <v>15</v>
      </c>
      <c r="D2783" s="21">
        <f t="shared" ca="1" si="346"/>
        <v>44920</v>
      </c>
      <c r="E2783" s="1" t="s">
        <v>26</v>
      </c>
      <c r="F2783" s="1" t="s">
        <v>2811</v>
      </c>
      <c r="G2783" s="1" t="s">
        <v>28</v>
      </c>
      <c r="H2783" s="1">
        <v>2881</v>
      </c>
      <c r="I2783" s="1">
        <f t="shared" si="348"/>
        <v>55</v>
      </c>
      <c r="J2783" s="1">
        <f>VLOOKUP(B2783,Cena!$A$2:$B$101,2)</f>
        <v>125</v>
      </c>
      <c r="K2783" s="1">
        <f t="shared" ref="K2783:K2846" si="352">I2783*J2783</f>
        <v>6875</v>
      </c>
      <c r="L2783" s="1">
        <f t="shared" si="349"/>
        <v>1581.25</v>
      </c>
      <c r="M2783" s="22">
        <f t="shared" ref="M2783:M2846" si="353">K2783+L2783</f>
        <v>8456.25</v>
      </c>
      <c r="N2783" s="1">
        <f t="shared" ca="1" si="350"/>
        <v>12</v>
      </c>
      <c r="P2783" s="1">
        <v>55.876313480257522</v>
      </c>
      <c r="Q2783" s="1">
        <f t="shared" ca="1" si="351"/>
        <v>27</v>
      </c>
      <c r="R2783" s="1">
        <v>15.916899681324139</v>
      </c>
    </row>
    <row r="2784" spans="1:18" x14ac:dyDescent="0.3">
      <c r="A2784" s="26">
        <v>2783</v>
      </c>
      <c r="B2784" s="1">
        <v>5</v>
      </c>
      <c r="C2784" s="1">
        <f t="shared" si="347"/>
        <v>5</v>
      </c>
      <c r="D2784" s="21">
        <f t="shared" ca="1" si="346"/>
        <v>44579</v>
      </c>
      <c r="E2784" s="1" t="s">
        <v>26</v>
      </c>
      <c r="F2784" s="1" t="s">
        <v>2812</v>
      </c>
      <c r="G2784" s="1" t="s">
        <v>28</v>
      </c>
      <c r="H2784" s="1">
        <v>2882</v>
      </c>
      <c r="I2784" s="1">
        <f t="shared" si="348"/>
        <v>73</v>
      </c>
      <c r="J2784" s="1">
        <f>VLOOKUP(B2784,Cena!$A$2:$B$101,2)</f>
        <v>91</v>
      </c>
      <c r="K2784" s="1">
        <f t="shared" si="352"/>
        <v>6643</v>
      </c>
      <c r="L2784" s="1">
        <f t="shared" si="349"/>
        <v>1527.89</v>
      </c>
      <c r="M2784" s="22">
        <f t="shared" si="353"/>
        <v>8170.89</v>
      </c>
      <c r="N2784" s="1">
        <f t="shared" ca="1" si="350"/>
        <v>1</v>
      </c>
      <c r="P2784" s="1">
        <v>73.927168513182551</v>
      </c>
      <c r="Q2784" s="1">
        <f t="shared" ca="1" si="351"/>
        <v>29</v>
      </c>
      <c r="R2784" s="1">
        <v>5.9183696773834527</v>
      </c>
    </row>
    <row r="2785" spans="1:18" x14ac:dyDescent="0.3">
      <c r="A2785" s="26">
        <v>2784</v>
      </c>
      <c r="B2785" s="1">
        <v>30</v>
      </c>
      <c r="C2785" s="1">
        <f t="shared" si="347"/>
        <v>8</v>
      </c>
      <c r="D2785" s="21">
        <f t="shared" ca="1" si="346"/>
        <v>44769</v>
      </c>
      <c r="E2785" s="1" t="s">
        <v>26</v>
      </c>
      <c r="F2785" s="1" t="s">
        <v>2813</v>
      </c>
      <c r="G2785" s="1" t="s">
        <v>28</v>
      </c>
      <c r="H2785" s="1">
        <v>2883</v>
      </c>
      <c r="I2785" s="1">
        <f t="shared" si="348"/>
        <v>43</v>
      </c>
      <c r="J2785" s="1">
        <f>VLOOKUP(B2785,Cena!$A$2:$B$101,2)</f>
        <v>87</v>
      </c>
      <c r="K2785" s="1">
        <f t="shared" si="352"/>
        <v>3741</v>
      </c>
      <c r="L2785" s="1">
        <f t="shared" si="349"/>
        <v>860.43000000000006</v>
      </c>
      <c r="M2785" s="22">
        <f t="shared" si="353"/>
        <v>4601.43</v>
      </c>
      <c r="N2785" s="1">
        <f t="shared" ca="1" si="350"/>
        <v>7</v>
      </c>
      <c r="P2785" s="1">
        <v>43.789424479473382</v>
      </c>
      <c r="Q2785" s="1">
        <f t="shared" ca="1" si="351"/>
        <v>20</v>
      </c>
      <c r="R2785" s="1">
        <v>8.0113386754965177</v>
      </c>
    </row>
    <row r="2786" spans="1:18" x14ac:dyDescent="0.3">
      <c r="A2786" s="26">
        <v>2785</v>
      </c>
      <c r="B2786" s="1">
        <v>18</v>
      </c>
      <c r="C2786" s="1">
        <f t="shared" si="347"/>
        <v>11</v>
      </c>
      <c r="D2786" s="21">
        <f t="shared" ca="1" si="346"/>
        <v>44657</v>
      </c>
      <c r="E2786" s="1" t="s">
        <v>26</v>
      </c>
      <c r="F2786" s="1" t="s">
        <v>2814</v>
      </c>
      <c r="G2786" s="1" t="s">
        <v>28</v>
      </c>
      <c r="H2786" s="1">
        <v>2884</v>
      </c>
      <c r="I2786" s="1">
        <f t="shared" si="348"/>
        <v>39</v>
      </c>
      <c r="J2786" s="1">
        <f>VLOOKUP(B2786,Cena!$A$2:$B$101,2)</f>
        <v>90</v>
      </c>
      <c r="K2786" s="1">
        <f t="shared" si="352"/>
        <v>3510</v>
      </c>
      <c r="L2786" s="1">
        <f t="shared" si="349"/>
        <v>807.30000000000007</v>
      </c>
      <c r="M2786" s="22">
        <f t="shared" si="353"/>
        <v>4317.3</v>
      </c>
      <c r="N2786" s="1">
        <f t="shared" ca="1" si="350"/>
        <v>4</v>
      </c>
      <c r="P2786" s="1">
        <v>39.092862051620614</v>
      </c>
      <c r="Q2786" s="1">
        <f t="shared" ca="1" si="351"/>
        <v>7</v>
      </c>
      <c r="R2786" s="1">
        <v>11.60634385792946</v>
      </c>
    </row>
    <row r="2787" spans="1:18" x14ac:dyDescent="0.3">
      <c r="A2787" s="26">
        <v>2786</v>
      </c>
      <c r="B2787" s="1">
        <v>26</v>
      </c>
      <c r="C2787" s="1">
        <f t="shared" si="347"/>
        <v>10</v>
      </c>
      <c r="D2787" s="21">
        <f t="shared" ca="1" si="346"/>
        <v>44563</v>
      </c>
      <c r="E2787" s="1" t="s">
        <v>26</v>
      </c>
      <c r="F2787" s="1" t="s">
        <v>2815</v>
      </c>
      <c r="G2787" s="1" t="s">
        <v>28</v>
      </c>
      <c r="H2787" s="1">
        <v>2885</v>
      </c>
      <c r="I2787" s="1">
        <f t="shared" si="348"/>
        <v>35</v>
      </c>
      <c r="J2787" s="1">
        <f>VLOOKUP(B2787,Cena!$A$2:$B$101,2)</f>
        <v>99</v>
      </c>
      <c r="K2787" s="1">
        <f t="shared" si="352"/>
        <v>3465</v>
      </c>
      <c r="L2787" s="1">
        <f t="shared" si="349"/>
        <v>796.95</v>
      </c>
      <c r="M2787" s="22">
        <f t="shared" si="353"/>
        <v>4261.95</v>
      </c>
      <c r="N2787" s="1">
        <f t="shared" ca="1" si="350"/>
        <v>1</v>
      </c>
      <c r="P2787" s="1">
        <v>35.265480972884689</v>
      </c>
      <c r="Q2787" s="1">
        <f t="shared" ca="1" si="351"/>
        <v>25</v>
      </c>
      <c r="R2787" s="1">
        <v>10.010996359378623</v>
      </c>
    </row>
    <row r="2788" spans="1:18" x14ac:dyDescent="0.3">
      <c r="A2788" s="26">
        <v>2787</v>
      </c>
      <c r="B2788" s="1">
        <v>13</v>
      </c>
      <c r="C2788" s="1">
        <f t="shared" si="347"/>
        <v>10</v>
      </c>
      <c r="D2788" s="21">
        <f t="shared" ca="1" si="346"/>
        <v>44891</v>
      </c>
      <c r="E2788" s="1" t="s">
        <v>26</v>
      </c>
      <c r="F2788" s="1" t="s">
        <v>2816</v>
      </c>
      <c r="G2788" s="1" t="s">
        <v>28</v>
      </c>
      <c r="H2788" s="1">
        <v>2886</v>
      </c>
      <c r="I2788" s="1">
        <f t="shared" si="348"/>
        <v>42</v>
      </c>
      <c r="J2788" s="1">
        <f>VLOOKUP(B2788,Cena!$A$2:$B$101,2)</f>
        <v>94</v>
      </c>
      <c r="K2788" s="1">
        <f t="shared" si="352"/>
        <v>3948</v>
      </c>
      <c r="L2788" s="1">
        <f t="shared" si="349"/>
        <v>908.04000000000008</v>
      </c>
      <c r="M2788" s="22">
        <f t="shared" si="353"/>
        <v>4856.04</v>
      </c>
      <c r="N2788" s="1">
        <f t="shared" ca="1" si="350"/>
        <v>11</v>
      </c>
      <c r="P2788" s="1">
        <v>42.680295690661296</v>
      </c>
      <c r="Q2788" s="1">
        <f t="shared" ca="1" si="351"/>
        <v>5</v>
      </c>
      <c r="R2788" s="1">
        <v>10.348524054061272</v>
      </c>
    </row>
    <row r="2789" spans="1:18" x14ac:dyDescent="0.3">
      <c r="A2789" s="26">
        <v>2788</v>
      </c>
      <c r="B2789" s="1">
        <v>4</v>
      </c>
      <c r="C2789" s="1">
        <f t="shared" si="347"/>
        <v>11</v>
      </c>
      <c r="D2789" s="21">
        <f t="shared" ca="1" si="346"/>
        <v>44624</v>
      </c>
      <c r="E2789" s="1" t="s">
        <v>26</v>
      </c>
      <c r="F2789" s="1" t="s">
        <v>2817</v>
      </c>
      <c r="G2789" s="1" t="s">
        <v>28</v>
      </c>
      <c r="H2789" s="1">
        <v>2887</v>
      </c>
      <c r="I2789" s="1">
        <f t="shared" si="348"/>
        <v>52</v>
      </c>
      <c r="J2789" s="1">
        <f>VLOOKUP(B2789,Cena!$A$2:$B$101,2)</f>
        <v>99</v>
      </c>
      <c r="K2789" s="1">
        <f t="shared" si="352"/>
        <v>5148</v>
      </c>
      <c r="L2789" s="1">
        <f t="shared" si="349"/>
        <v>1184.04</v>
      </c>
      <c r="M2789" s="22">
        <f t="shared" si="353"/>
        <v>6332.04</v>
      </c>
      <c r="N2789" s="1">
        <f t="shared" ca="1" si="350"/>
        <v>3</v>
      </c>
      <c r="P2789" s="1">
        <v>52.38428583543282</v>
      </c>
      <c r="Q2789" s="1">
        <f t="shared" ca="1" si="351"/>
        <v>30</v>
      </c>
      <c r="R2789" s="1">
        <v>11.938929017342161</v>
      </c>
    </row>
    <row r="2790" spans="1:18" x14ac:dyDescent="0.3">
      <c r="A2790" s="26">
        <v>2789</v>
      </c>
      <c r="B2790" s="1">
        <v>5</v>
      </c>
      <c r="C2790" s="1">
        <f t="shared" si="347"/>
        <v>8</v>
      </c>
      <c r="D2790" s="21">
        <f t="shared" ca="1" si="346"/>
        <v>44916</v>
      </c>
      <c r="E2790" s="1" t="s">
        <v>26</v>
      </c>
      <c r="F2790" s="1" t="s">
        <v>2818</v>
      </c>
      <c r="G2790" s="1" t="s">
        <v>28</v>
      </c>
      <c r="H2790" s="1">
        <v>2888</v>
      </c>
      <c r="I2790" s="1">
        <f t="shared" si="348"/>
        <v>44</v>
      </c>
      <c r="J2790" s="1">
        <f>VLOOKUP(B2790,Cena!$A$2:$B$101,2)</f>
        <v>91</v>
      </c>
      <c r="K2790" s="1">
        <f t="shared" si="352"/>
        <v>4004</v>
      </c>
      <c r="L2790" s="1">
        <f t="shared" si="349"/>
        <v>920.92000000000007</v>
      </c>
      <c r="M2790" s="22">
        <f t="shared" si="353"/>
        <v>4924.92</v>
      </c>
      <c r="N2790" s="1">
        <f t="shared" ca="1" si="350"/>
        <v>12</v>
      </c>
      <c r="P2790" s="1">
        <v>44.388031154812779</v>
      </c>
      <c r="Q2790" s="1">
        <f t="shared" ca="1" si="351"/>
        <v>18</v>
      </c>
      <c r="R2790" s="1">
        <v>8.1303403728816193</v>
      </c>
    </row>
    <row r="2791" spans="1:18" x14ac:dyDescent="0.3">
      <c r="A2791" s="26">
        <v>2790</v>
      </c>
      <c r="B2791" s="1">
        <v>24</v>
      </c>
      <c r="C2791" s="1">
        <f t="shared" si="347"/>
        <v>7</v>
      </c>
      <c r="D2791" s="21">
        <f t="shared" ca="1" si="346"/>
        <v>44812</v>
      </c>
      <c r="E2791" s="1" t="s">
        <v>26</v>
      </c>
      <c r="F2791" s="1" t="s">
        <v>2819</v>
      </c>
      <c r="G2791" s="1" t="s">
        <v>28</v>
      </c>
      <c r="H2791" s="1">
        <v>2889</v>
      </c>
      <c r="I2791" s="1">
        <f t="shared" si="348"/>
        <v>47</v>
      </c>
      <c r="J2791" s="1">
        <f>VLOOKUP(B2791,Cena!$A$2:$B$101,2)</f>
        <v>125</v>
      </c>
      <c r="K2791" s="1">
        <f t="shared" si="352"/>
        <v>5875</v>
      </c>
      <c r="L2791" s="1">
        <f t="shared" si="349"/>
        <v>1351.25</v>
      </c>
      <c r="M2791" s="22">
        <f t="shared" si="353"/>
        <v>7226.25</v>
      </c>
      <c r="N2791" s="1">
        <f t="shared" ca="1" si="350"/>
        <v>9</v>
      </c>
      <c r="P2791" s="1">
        <v>47.574764165619854</v>
      </c>
      <c r="Q2791" s="1">
        <f t="shared" ca="1" si="351"/>
        <v>14</v>
      </c>
      <c r="R2791" s="1">
        <v>7.6271055857068859</v>
      </c>
    </row>
    <row r="2792" spans="1:18" x14ac:dyDescent="0.3">
      <c r="A2792" s="26">
        <v>2791</v>
      </c>
      <c r="B2792" s="1">
        <v>17</v>
      </c>
      <c r="C2792" s="1">
        <f t="shared" si="347"/>
        <v>5</v>
      </c>
      <c r="D2792" s="21">
        <f t="shared" ca="1" si="346"/>
        <v>44572</v>
      </c>
      <c r="E2792" s="1" t="s">
        <v>26</v>
      </c>
      <c r="F2792" s="1" t="s">
        <v>2820</v>
      </c>
      <c r="G2792" s="1" t="s">
        <v>28</v>
      </c>
      <c r="H2792" s="1">
        <v>2890</v>
      </c>
      <c r="I2792" s="1">
        <f t="shared" si="348"/>
        <v>46</v>
      </c>
      <c r="J2792" s="1">
        <f>VLOOKUP(B2792,Cena!$A$2:$B$101,2)</f>
        <v>84</v>
      </c>
      <c r="K2792" s="1">
        <f t="shared" si="352"/>
        <v>3864</v>
      </c>
      <c r="L2792" s="1">
        <f t="shared" si="349"/>
        <v>888.72</v>
      </c>
      <c r="M2792" s="22">
        <f t="shared" si="353"/>
        <v>4752.72</v>
      </c>
      <c r="N2792" s="1">
        <f t="shared" ca="1" si="350"/>
        <v>1</v>
      </c>
      <c r="P2792" s="1">
        <v>46.442215888237115</v>
      </c>
      <c r="Q2792" s="1">
        <f t="shared" ca="1" si="351"/>
        <v>30</v>
      </c>
      <c r="R2792" s="1">
        <v>5.4723534756340086</v>
      </c>
    </row>
    <row r="2793" spans="1:18" x14ac:dyDescent="0.3">
      <c r="A2793" s="26">
        <v>2792</v>
      </c>
      <c r="B2793" s="1">
        <v>23</v>
      </c>
      <c r="C2793" s="1">
        <f t="shared" si="347"/>
        <v>8</v>
      </c>
      <c r="D2793" s="21">
        <f t="shared" ca="1" si="346"/>
        <v>44646</v>
      </c>
      <c r="E2793" s="1" t="s">
        <v>26</v>
      </c>
      <c r="F2793" s="1" t="s">
        <v>2821</v>
      </c>
      <c r="G2793" s="1" t="s">
        <v>28</v>
      </c>
      <c r="H2793" s="1">
        <v>2891</v>
      </c>
      <c r="I2793" s="1">
        <f t="shared" si="348"/>
        <v>46</v>
      </c>
      <c r="J2793" s="1">
        <f>VLOOKUP(B2793,Cena!$A$2:$B$101,2)</f>
        <v>132</v>
      </c>
      <c r="K2793" s="1">
        <f t="shared" si="352"/>
        <v>6072</v>
      </c>
      <c r="L2793" s="1">
        <f t="shared" si="349"/>
        <v>1396.5600000000002</v>
      </c>
      <c r="M2793" s="22">
        <f t="shared" si="353"/>
        <v>7468.56</v>
      </c>
      <c r="N2793" s="1">
        <f t="shared" ca="1" si="350"/>
        <v>3</v>
      </c>
      <c r="P2793" s="1">
        <v>46.952828951179981</v>
      </c>
      <c r="Q2793" s="1">
        <f t="shared" ca="1" si="351"/>
        <v>6</v>
      </c>
      <c r="R2793" s="1">
        <v>8.0952509304188425</v>
      </c>
    </row>
    <row r="2794" spans="1:18" x14ac:dyDescent="0.3">
      <c r="A2794" s="26">
        <v>2793</v>
      </c>
      <c r="B2794" s="1">
        <v>25</v>
      </c>
      <c r="C2794" s="1">
        <f t="shared" si="347"/>
        <v>8</v>
      </c>
      <c r="D2794" s="21">
        <f t="shared" ca="1" si="346"/>
        <v>44692</v>
      </c>
      <c r="E2794" s="1" t="s">
        <v>26</v>
      </c>
      <c r="F2794" s="1" t="s">
        <v>2822</v>
      </c>
      <c r="G2794" s="1" t="s">
        <v>28</v>
      </c>
      <c r="H2794" s="1">
        <v>2892</v>
      </c>
      <c r="I2794" s="1">
        <f t="shared" si="348"/>
        <v>55</v>
      </c>
      <c r="J2794" s="1">
        <f>VLOOKUP(B2794,Cena!$A$2:$B$101,2)</f>
        <v>108</v>
      </c>
      <c r="K2794" s="1">
        <f t="shared" si="352"/>
        <v>5940</v>
      </c>
      <c r="L2794" s="1">
        <f t="shared" si="349"/>
        <v>1366.2</v>
      </c>
      <c r="M2794" s="22">
        <f t="shared" si="353"/>
        <v>7306.2</v>
      </c>
      <c r="N2794" s="1">
        <f t="shared" ca="1" si="350"/>
        <v>5</v>
      </c>
      <c r="P2794" s="1">
        <v>55.74318619328551</v>
      </c>
      <c r="Q2794" s="1">
        <f t="shared" ca="1" si="351"/>
        <v>2</v>
      </c>
      <c r="R2794" s="1">
        <v>8.0767910301437951</v>
      </c>
    </row>
    <row r="2795" spans="1:18" x14ac:dyDescent="0.3">
      <c r="A2795" s="26">
        <v>2794</v>
      </c>
      <c r="B2795" s="1">
        <v>28</v>
      </c>
      <c r="C2795" s="1">
        <f t="shared" si="347"/>
        <v>8</v>
      </c>
      <c r="D2795" s="21">
        <f t="shared" ca="1" si="346"/>
        <v>44899</v>
      </c>
      <c r="E2795" s="1" t="s">
        <v>26</v>
      </c>
      <c r="F2795" s="1" t="s">
        <v>2823</v>
      </c>
      <c r="G2795" s="1" t="s">
        <v>28</v>
      </c>
      <c r="H2795" s="1">
        <v>2893</v>
      </c>
      <c r="I2795" s="1">
        <f t="shared" si="348"/>
        <v>59</v>
      </c>
      <c r="J2795" s="1">
        <f>VLOOKUP(B2795,Cena!$A$2:$B$101,2)</f>
        <v>59</v>
      </c>
      <c r="K2795" s="1">
        <f t="shared" si="352"/>
        <v>3481</v>
      </c>
      <c r="L2795" s="1">
        <f t="shared" si="349"/>
        <v>800.63</v>
      </c>
      <c r="M2795" s="22">
        <f t="shared" si="353"/>
        <v>4281.63</v>
      </c>
      <c r="N2795" s="1">
        <f t="shared" ca="1" si="350"/>
        <v>12</v>
      </c>
      <c r="P2795" s="1">
        <v>59.574728210282046</v>
      </c>
      <c r="Q2795" s="1">
        <f t="shared" ca="1" si="351"/>
        <v>25</v>
      </c>
      <c r="R2795" s="1">
        <v>8.9863539440193563</v>
      </c>
    </row>
    <row r="2796" spans="1:18" x14ac:dyDescent="0.3">
      <c r="A2796" s="26">
        <v>2795</v>
      </c>
      <c r="B2796" s="1">
        <v>17</v>
      </c>
      <c r="C2796" s="1">
        <f t="shared" si="347"/>
        <v>11</v>
      </c>
      <c r="D2796" s="21">
        <f t="shared" ca="1" si="346"/>
        <v>44703</v>
      </c>
      <c r="E2796" s="1" t="s">
        <v>26</v>
      </c>
      <c r="F2796" s="1" t="s">
        <v>2824</v>
      </c>
      <c r="G2796" s="1" t="s">
        <v>28</v>
      </c>
      <c r="H2796" s="1">
        <v>2894</v>
      </c>
      <c r="I2796" s="1">
        <f t="shared" si="348"/>
        <v>55</v>
      </c>
      <c r="J2796" s="1">
        <f>VLOOKUP(B2796,Cena!$A$2:$B$101,2)</f>
        <v>84</v>
      </c>
      <c r="K2796" s="1">
        <f t="shared" si="352"/>
        <v>4620</v>
      </c>
      <c r="L2796" s="1">
        <f t="shared" si="349"/>
        <v>1062.6000000000001</v>
      </c>
      <c r="M2796" s="22">
        <f t="shared" si="353"/>
        <v>5682.6</v>
      </c>
      <c r="N2796" s="1">
        <f t="shared" ca="1" si="350"/>
        <v>5</v>
      </c>
      <c r="P2796" s="1">
        <v>55.035440153733362</v>
      </c>
      <c r="Q2796" s="1">
        <f t="shared" ca="1" si="351"/>
        <v>8</v>
      </c>
      <c r="R2796" s="1">
        <v>11.541755523248867</v>
      </c>
    </row>
    <row r="2797" spans="1:18" x14ac:dyDescent="0.3">
      <c r="A2797" s="26">
        <v>2796</v>
      </c>
      <c r="B2797" s="1">
        <v>11</v>
      </c>
      <c r="C2797" s="1">
        <f t="shared" si="347"/>
        <v>10</v>
      </c>
      <c r="D2797" s="21">
        <f t="shared" ca="1" si="346"/>
        <v>44888</v>
      </c>
      <c r="E2797" s="1" t="s">
        <v>26</v>
      </c>
      <c r="F2797" s="1" t="s">
        <v>2825</v>
      </c>
      <c r="G2797" s="1" t="s">
        <v>28</v>
      </c>
      <c r="H2797" s="1">
        <v>2895</v>
      </c>
      <c r="I2797" s="1">
        <f t="shared" si="348"/>
        <v>43</v>
      </c>
      <c r="J2797" s="1">
        <f>VLOOKUP(B2797,Cena!$A$2:$B$101,2)</f>
        <v>83</v>
      </c>
      <c r="K2797" s="1">
        <f t="shared" si="352"/>
        <v>3569</v>
      </c>
      <c r="L2797" s="1">
        <f t="shared" si="349"/>
        <v>820.87</v>
      </c>
      <c r="M2797" s="22">
        <f t="shared" si="353"/>
        <v>4389.87</v>
      </c>
      <c r="N2797" s="1">
        <f t="shared" ca="1" si="350"/>
        <v>11</v>
      </c>
      <c r="P2797" s="1">
        <v>43.90222455986077</v>
      </c>
      <c r="Q2797" s="1">
        <f t="shared" ca="1" si="351"/>
        <v>13</v>
      </c>
      <c r="R2797" s="1">
        <v>10.039301539800363</v>
      </c>
    </row>
    <row r="2798" spans="1:18" x14ac:dyDescent="0.3">
      <c r="A2798" s="26">
        <v>2797</v>
      </c>
      <c r="B2798" s="1">
        <v>7</v>
      </c>
      <c r="C2798" s="1">
        <f t="shared" si="347"/>
        <v>8</v>
      </c>
      <c r="D2798" s="21">
        <f t="shared" ca="1" si="346"/>
        <v>44743</v>
      </c>
      <c r="E2798" s="1" t="s">
        <v>26</v>
      </c>
      <c r="F2798" s="1" t="s">
        <v>2826</v>
      </c>
      <c r="G2798" s="1" t="s">
        <v>28</v>
      </c>
      <c r="H2798" s="1">
        <v>2896</v>
      </c>
      <c r="I2798" s="1">
        <f t="shared" si="348"/>
        <v>42</v>
      </c>
      <c r="J2798" s="1">
        <f>VLOOKUP(B2798,Cena!$A$2:$B$101,2)</f>
        <v>104</v>
      </c>
      <c r="K2798" s="1">
        <f t="shared" si="352"/>
        <v>4368</v>
      </c>
      <c r="L2798" s="1">
        <f t="shared" si="349"/>
        <v>1004.6400000000001</v>
      </c>
      <c r="M2798" s="22">
        <f t="shared" si="353"/>
        <v>5372.64</v>
      </c>
      <c r="N2798" s="1">
        <f t="shared" ca="1" si="350"/>
        <v>7</v>
      </c>
      <c r="P2798" s="1">
        <v>42.460516295977868</v>
      </c>
      <c r="Q2798" s="1">
        <f t="shared" ca="1" si="351"/>
        <v>13</v>
      </c>
      <c r="R2798" s="1">
        <v>8.3135978709469782</v>
      </c>
    </row>
    <row r="2799" spans="1:18" x14ac:dyDescent="0.3">
      <c r="A2799" s="26">
        <v>2798</v>
      </c>
      <c r="B2799" s="1">
        <v>22</v>
      </c>
      <c r="C2799" s="1">
        <f t="shared" si="347"/>
        <v>10</v>
      </c>
      <c r="D2799" s="21">
        <f t="shared" ca="1" si="346"/>
        <v>44767</v>
      </c>
      <c r="E2799" s="1" t="s">
        <v>26</v>
      </c>
      <c r="F2799" s="1" t="s">
        <v>2827</v>
      </c>
      <c r="G2799" s="1" t="s">
        <v>28</v>
      </c>
      <c r="H2799" s="1">
        <v>2897</v>
      </c>
      <c r="I2799" s="1">
        <f t="shared" si="348"/>
        <v>43</v>
      </c>
      <c r="J2799" s="1">
        <f>VLOOKUP(B2799,Cena!$A$2:$B$101,2)</f>
        <v>103</v>
      </c>
      <c r="K2799" s="1">
        <f t="shared" si="352"/>
        <v>4429</v>
      </c>
      <c r="L2799" s="1">
        <f t="shared" si="349"/>
        <v>1018.6700000000001</v>
      </c>
      <c r="M2799" s="22">
        <f t="shared" si="353"/>
        <v>5447.67</v>
      </c>
      <c r="N2799" s="1">
        <f t="shared" ca="1" si="350"/>
        <v>7</v>
      </c>
      <c r="P2799" s="1">
        <v>43.277424437110312</v>
      </c>
      <c r="Q2799" s="1">
        <f t="shared" ca="1" si="351"/>
        <v>20</v>
      </c>
      <c r="R2799" s="1">
        <v>10.872353211889276</v>
      </c>
    </row>
    <row r="2800" spans="1:18" x14ac:dyDescent="0.3">
      <c r="A2800" s="26">
        <v>2799</v>
      </c>
      <c r="B2800" s="1">
        <v>30</v>
      </c>
      <c r="C2800" s="1">
        <f t="shared" si="347"/>
        <v>10</v>
      </c>
      <c r="D2800" s="21">
        <f t="shared" ca="1" si="346"/>
        <v>44779</v>
      </c>
      <c r="E2800" s="1" t="s">
        <v>26</v>
      </c>
      <c r="F2800" s="1" t="s">
        <v>2828</v>
      </c>
      <c r="G2800" s="1" t="s">
        <v>28</v>
      </c>
      <c r="H2800" s="1">
        <v>2898</v>
      </c>
      <c r="I2800" s="1">
        <f t="shared" si="348"/>
        <v>39</v>
      </c>
      <c r="J2800" s="1">
        <f>VLOOKUP(B2800,Cena!$A$2:$B$101,2)</f>
        <v>87</v>
      </c>
      <c r="K2800" s="1">
        <f t="shared" si="352"/>
        <v>3393</v>
      </c>
      <c r="L2800" s="1">
        <f t="shared" si="349"/>
        <v>780.39</v>
      </c>
      <c r="M2800" s="22">
        <f t="shared" si="353"/>
        <v>4173.3900000000003</v>
      </c>
      <c r="N2800" s="1">
        <f t="shared" ca="1" si="350"/>
        <v>8</v>
      </c>
      <c r="P2800" s="1">
        <v>39.175694281584583</v>
      </c>
      <c r="Q2800" s="1">
        <f t="shared" ca="1" si="351"/>
        <v>8</v>
      </c>
      <c r="R2800" s="1">
        <v>10.984647385848803</v>
      </c>
    </row>
    <row r="2801" spans="1:18" x14ac:dyDescent="0.3">
      <c r="A2801" s="26">
        <v>2800</v>
      </c>
      <c r="B2801" s="1">
        <v>16</v>
      </c>
      <c r="C2801" s="1">
        <f t="shared" si="347"/>
        <v>9</v>
      </c>
      <c r="D2801" s="21">
        <f t="shared" ca="1" si="346"/>
        <v>44562</v>
      </c>
      <c r="E2801" s="1" t="s">
        <v>26</v>
      </c>
      <c r="F2801" s="1" t="s">
        <v>2829</v>
      </c>
      <c r="G2801" s="1" t="s">
        <v>28</v>
      </c>
      <c r="H2801" s="1">
        <v>2899</v>
      </c>
      <c r="I2801" s="1">
        <f t="shared" si="348"/>
        <v>41</v>
      </c>
      <c r="J2801" s="1">
        <f>VLOOKUP(B2801,Cena!$A$2:$B$101,2)</f>
        <v>93</v>
      </c>
      <c r="K2801" s="1">
        <f t="shared" si="352"/>
        <v>3813</v>
      </c>
      <c r="L2801" s="1">
        <f t="shared" si="349"/>
        <v>876.99</v>
      </c>
      <c r="M2801" s="22">
        <f t="shared" si="353"/>
        <v>4689.99</v>
      </c>
      <c r="N2801" s="1">
        <f t="shared" ca="1" si="350"/>
        <v>1</v>
      </c>
      <c r="P2801" s="1">
        <v>41.144613886717707</v>
      </c>
      <c r="Q2801" s="1">
        <f t="shared" ca="1" si="351"/>
        <v>19</v>
      </c>
      <c r="R2801" s="1">
        <v>9.9274109541147482</v>
      </c>
    </row>
    <row r="2802" spans="1:18" x14ac:dyDescent="0.3">
      <c r="A2802" s="26">
        <v>2801</v>
      </c>
      <c r="B2802" s="1">
        <v>6</v>
      </c>
      <c r="C2802" s="1">
        <f t="shared" si="347"/>
        <v>10</v>
      </c>
      <c r="D2802" s="21">
        <f t="shared" ca="1" si="346"/>
        <v>44719</v>
      </c>
      <c r="E2802" s="1" t="s">
        <v>26</v>
      </c>
      <c r="F2802" s="1" t="s">
        <v>2830</v>
      </c>
      <c r="G2802" s="1" t="s">
        <v>28</v>
      </c>
      <c r="H2802" s="1">
        <v>2900</v>
      </c>
      <c r="I2802" s="1">
        <f t="shared" si="348"/>
        <v>51</v>
      </c>
      <c r="J2802" s="1">
        <f>VLOOKUP(B2802,Cena!$A$2:$B$101,2)</f>
        <v>86</v>
      </c>
      <c r="K2802" s="1">
        <f t="shared" si="352"/>
        <v>4386</v>
      </c>
      <c r="L2802" s="1">
        <f t="shared" si="349"/>
        <v>1008.7800000000001</v>
      </c>
      <c r="M2802" s="22">
        <f t="shared" si="353"/>
        <v>5394.78</v>
      </c>
      <c r="N2802" s="1">
        <f t="shared" ca="1" si="350"/>
        <v>6</v>
      </c>
      <c r="P2802" s="1">
        <v>51.802459337341134</v>
      </c>
      <c r="Q2802" s="1">
        <f t="shared" ca="1" si="351"/>
        <v>3</v>
      </c>
      <c r="R2802" s="1">
        <v>10.540532596460253</v>
      </c>
    </row>
    <row r="2803" spans="1:18" x14ac:dyDescent="0.3">
      <c r="A2803" s="26">
        <v>2802</v>
      </c>
      <c r="B2803" s="1">
        <v>1</v>
      </c>
      <c r="C2803" s="1">
        <f t="shared" si="347"/>
        <v>7</v>
      </c>
      <c r="D2803" s="21">
        <f t="shared" ca="1" si="346"/>
        <v>44566</v>
      </c>
      <c r="E2803" s="1" t="s">
        <v>26</v>
      </c>
      <c r="F2803" s="1" t="s">
        <v>2831</v>
      </c>
      <c r="G2803" s="1" t="s">
        <v>28</v>
      </c>
      <c r="H2803" s="1">
        <v>2901</v>
      </c>
      <c r="I2803" s="1">
        <f t="shared" si="348"/>
        <v>45</v>
      </c>
      <c r="J2803" s="1">
        <f>VLOOKUP(B2803,Cena!$A$2:$B$101,2)</f>
        <v>84</v>
      </c>
      <c r="K2803" s="1">
        <f t="shared" si="352"/>
        <v>3780</v>
      </c>
      <c r="L2803" s="1">
        <f t="shared" si="349"/>
        <v>869.40000000000009</v>
      </c>
      <c r="M2803" s="22">
        <f t="shared" si="353"/>
        <v>4649.3999999999996</v>
      </c>
      <c r="N2803" s="1">
        <f t="shared" ca="1" si="350"/>
        <v>1</v>
      </c>
      <c r="P2803" s="1">
        <v>45.163307175971568</v>
      </c>
      <c r="Q2803" s="1">
        <f t="shared" ca="1" si="351"/>
        <v>16</v>
      </c>
      <c r="R2803" s="1">
        <v>7.9618792167457286</v>
      </c>
    </row>
    <row r="2804" spans="1:18" x14ac:dyDescent="0.3">
      <c r="A2804" s="26">
        <v>2803</v>
      </c>
      <c r="B2804" s="1">
        <v>30</v>
      </c>
      <c r="C2804" s="1">
        <f t="shared" si="347"/>
        <v>13</v>
      </c>
      <c r="D2804" s="21">
        <f t="shared" ca="1" si="346"/>
        <v>44858</v>
      </c>
      <c r="E2804" s="1" t="s">
        <v>26</v>
      </c>
      <c r="F2804" s="1" t="s">
        <v>2832</v>
      </c>
      <c r="G2804" s="1" t="s">
        <v>28</v>
      </c>
      <c r="H2804" s="1">
        <v>2902</v>
      </c>
      <c r="I2804" s="1">
        <f t="shared" si="348"/>
        <v>49</v>
      </c>
      <c r="J2804" s="1">
        <f>VLOOKUP(B2804,Cena!$A$2:$B$101,2)</f>
        <v>87</v>
      </c>
      <c r="K2804" s="1">
        <f t="shared" si="352"/>
        <v>4263</v>
      </c>
      <c r="L2804" s="1">
        <f t="shared" si="349"/>
        <v>980.49</v>
      </c>
      <c r="M2804" s="22">
        <f t="shared" si="353"/>
        <v>5243.49</v>
      </c>
      <c r="N2804" s="1">
        <f t="shared" ca="1" si="350"/>
        <v>10</v>
      </c>
      <c r="P2804" s="1">
        <v>49.134104200493312</v>
      </c>
      <c r="Q2804" s="1">
        <f t="shared" ca="1" si="351"/>
        <v>25</v>
      </c>
      <c r="R2804" s="1">
        <v>13.787579316849587</v>
      </c>
    </row>
    <row r="2805" spans="1:18" x14ac:dyDescent="0.3">
      <c r="A2805" s="26">
        <v>2804</v>
      </c>
      <c r="B2805" s="1">
        <v>8</v>
      </c>
      <c r="C2805" s="1">
        <f t="shared" si="347"/>
        <v>9</v>
      </c>
      <c r="D2805" s="21">
        <f t="shared" ca="1" si="346"/>
        <v>44733</v>
      </c>
      <c r="E2805" s="1" t="s">
        <v>26</v>
      </c>
      <c r="F2805" s="1" t="s">
        <v>2833</v>
      </c>
      <c r="G2805" s="1" t="s">
        <v>28</v>
      </c>
      <c r="H2805" s="1">
        <v>2903</v>
      </c>
      <c r="I2805" s="1">
        <f t="shared" si="348"/>
        <v>41</v>
      </c>
      <c r="J2805" s="1">
        <f>VLOOKUP(B2805,Cena!$A$2:$B$101,2)</f>
        <v>88</v>
      </c>
      <c r="K2805" s="1">
        <f t="shared" si="352"/>
        <v>3608</v>
      </c>
      <c r="L2805" s="1">
        <f t="shared" si="349"/>
        <v>829.84</v>
      </c>
      <c r="M2805" s="22">
        <f t="shared" si="353"/>
        <v>4437.84</v>
      </c>
      <c r="N2805" s="1">
        <f t="shared" ca="1" si="350"/>
        <v>6</v>
      </c>
      <c r="P2805" s="1">
        <v>41.333243087865412</v>
      </c>
      <c r="Q2805" s="1">
        <f t="shared" ca="1" si="351"/>
        <v>29</v>
      </c>
      <c r="R2805" s="1">
        <v>9.824194674147293</v>
      </c>
    </row>
    <row r="2806" spans="1:18" x14ac:dyDescent="0.3">
      <c r="A2806" s="26">
        <v>2805</v>
      </c>
      <c r="B2806" s="1">
        <v>1</v>
      </c>
      <c r="C2806" s="1">
        <f t="shared" si="347"/>
        <v>11</v>
      </c>
      <c r="D2806" s="21">
        <f t="shared" ca="1" si="346"/>
        <v>44733</v>
      </c>
      <c r="E2806" s="1" t="s">
        <v>26</v>
      </c>
      <c r="F2806" s="1" t="s">
        <v>2834</v>
      </c>
      <c r="G2806" s="1" t="s">
        <v>28</v>
      </c>
      <c r="H2806" s="1">
        <v>2904</v>
      </c>
      <c r="I2806" s="1">
        <f t="shared" si="348"/>
        <v>25</v>
      </c>
      <c r="J2806" s="1">
        <f>VLOOKUP(B2806,Cena!$A$2:$B$101,2)</f>
        <v>84</v>
      </c>
      <c r="K2806" s="1">
        <f t="shared" si="352"/>
        <v>2100</v>
      </c>
      <c r="L2806" s="1">
        <f t="shared" si="349"/>
        <v>483</v>
      </c>
      <c r="M2806" s="22">
        <f t="shared" si="353"/>
        <v>2583</v>
      </c>
      <c r="N2806" s="1">
        <f t="shared" ca="1" si="350"/>
        <v>6</v>
      </c>
      <c r="P2806" s="1">
        <v>25.650280248373747</v>
      </c>
      <c r="Q2806" s="1">
        <f t="shared" ca="1" si="351"/>
        <v>14</v>
      </c>
      <c r="R2806" s="1">
        <v>11.335445176664507</v>
      </c>
    </row>
    <row r="2807" spans="1:18" x14ac:dyDescent="0.3">
      <c r="A2807" s="26">
        <v>2806</v>
      </c>
      <c r="B2807" s="1">
        <v>28</v>
      </c>
      <c r="C2807" s="1">
        <f t="shared" si="347"/>
        <v>15</v>
      </c>
      <c r="D2807" s="21">
        <f t="shared" ca="1" si="346"/>
        <v>44645</v>
      </c>
      <c r="E2807" s="1" t="s">
        <v>26</v>
      </c>
      <c r="F2807" s="1" t="s">
        <v>2835</v>
      </c>
      <c r="G2807" s="1" t="s">
        <v>28</v>
      </c>
      <c r="H2807" s="1">
        <v>2905</v>
      </c>
      <c r="I2807" s="1">
        <f t="shared" si="348"/>
        <v>48</v>
      </c>
      <c r="J2807" s="1">
        <f>VLOOKUP(B2807,Cena!$A$2:$B$101,2)</f>
        <v>59</v>
      </c>
      <c r="K2807" s="1">
        <f t="shared" si="352"/>
        <v>2832</v>
      </c>
      <c r="L2807" s="1">
        <f t="shared" si="349"/>
        <v>651.36</v>
      </c>
      <c r="M2807" s="22">
        <f t="shared" si="353"/>
        <v>3483.36</v>
      </c>
      <c r="N2807" s="1">
        <f t="shared" ca="1" si="350"/>
        <v>3</v>
      </c>
      <c r="P2807" s="1">
        <v>48.779503584955819</v>
      </c>
      <c r="Q2807" s="1">
        <f t="shared" ca="1" si="351"/>
        <v>20</v>
      </c>
      <c r="R2807" s="1">
        <v>15.062975105829537</v>
      </c>
    </row>
    <row r="2808" spans="1:18" x14ac:dyDescent="0.3">
      <c r="A2808" s="26">
        <v>2807</v>
      </c>
      <c r="B2808" s="1">
        <v>7</v>
      </c>
      <c r="C2808" s="1">
        <f t="shared" si="347"/>
        <v>8</v>
      </c>
      <c r="D2808" s="21">
        <f t="shared" ca="1" si="346"/>
        <v>44566</v>
      </c>
      <c r="E2808" s="1" t="s">
        <v>26</v>
      </c>
      <c r="F2808" s="1" t="s">
        <v>2836</v>
      </c>
      <c r="G2808" s="1" t="s">
        <v>28</v>
      </c>
      <c r="H2808" s="1">
        <v>2906</v>
      </c>
      <c r="I2808" s="1">
        <f t="shared" si="348"/>
        <v>45</v>
      </c>
      <c r="J2808" s="1">
        <f>VLOOKUP(B2808,Cena!$A$2:$B$101,2)</f>
        <v>104</v>
      </c>
      <c r="K2808" s="1">
        <f t="shared" si="352"/>
        <v>4680</v>
      </c>
      <c r="L2808" s="1">
        <f t="shared" si="349"/>
        <v>1076.4000000000001</v>
      </c>
      <c r="M2808" s="22">
        <f t="shared" si="353"/>
        <v>5756.4</v>
      </c>
      <c r="N2808" s="1">
        <f t="shared" ca="1" si="350"/>
        <v>1</v>
      </c>
      <c r="P2808" s="1">
        <v>45.406108155293623</v>
      </c>
      <c r="Q2808" s="1">
        <f t="shared" ca="1" si="351"/>
        <v>17</v>
      </c>
      <c r="R2808" s="1">
        <v>8.3771630240880768</v>
      </c>
    </row>
    <row r="2809" spans="1:18" x14ac:dyDescent="0.3">
      <c r="A2809" s="26">
        <v>2808</v>
      </c>
      <c r="B2809" s="1">
        <v>23</v>
      </c>
      <c r="C2809" s="1">
        <f t="shared" si="347"/>
        <v>10</v>
      </c>
      <c r="D2809" s="21">
        <f t="shared" ca="1" si="346"/>
        <v>44767</v>
      </c>
      <c r="E2809" s="1" t="s">
        <v>26</v>
      </c>
      <c r="F2809" s="1" t="s">
        <v>2837</v>
      </c>
      <c r="G2809" s="1" t="s">
        <v>28</v>
      </c>
      <c r="H2809" s="1">
        <v>2907</v>
      </c>
      <c r="I2809" s="1">
        <f t="shared" si="348"/>
        <v>23</v>
      </c>
      <c r="J2809" s="1">
        <f>VLOOKUP(B2809,Cena!$A$2:$B$101,2)</f>
        <v>132</v>
      </c>
      <c r="K2809" s="1">
        <f t="shared" si="352"/>
        <v>3036</v>
      </c>
      <c r="L2809" s="1">
        <f t="shared" si="349"/>
        <v>698.28000000000009</v>
      </c>
      <c r="M2809" s="22">
        <f t="shared" si="353"/>
        <v>3734.28</v>
      </c>
      <c r="N2809" s="1">
        <f t="shared" ca="1" si="350"/>
        <v>7</v>
      </c>
      <c r="P2809" s="1">
        <v>23.069498082622886</v>
      </c>
      <c r="Q2809" s="1">
        <f t="shared" ca="1" si="351"/>
        <v>20</v>
      </c>
      <c r="R2809" s="1">
        <v>10.407527522838791</v>
      </c>
    </row>
    <row r="2810" spans="1:18" x14ac:dyDescent="0.3">
      <c r="A2810" s="26">
        <v>2809</v>
      </c>
      <c r="B2810" s="1">
        <v>8</v>
      </c>
      <c r="C2810" s="1">
        <f t="shared" si="347"/>
        <v>8</v>
      </c>
      <c r="D2810" s="21">
        <f t="shared" ca="1" si="346"/>
        <v>44622</v>
      </c>
      <c r="E2810" s="1" t="s">
        <v>26</v>
      </c>
      <c r="F2810" s="1" t="s">
        <v>2838</v>
      </c>
      <c r="G2810" s="1" t="s">
        <v>28</v>
      </c>
      <c r="H2810" s="1">
        <v>2908</v>
      </c>
      <c r="I2810" s="1">
        <f t="shared" si="348"/>
        <v>60</v>
      </c>
      <c r="J2810" s="1">
        <f>VLOOKUP(B2810,Cena!$A$2:$B$101,2)</f>
        <v>88</v>
      </c>
      <c r="K2810" s="1">
        <f t="shared" si="352"/>
        <v>5280</v>
      </c>
      <c r="L2810" s="1">
        <f t="shared" si="349"/>
        <v>1214.4000000000001</v>
      </c>
      <c r="M2810" s="22">
        <f t="shared" si="353"/>
        <v>6494.4</v>
      </c>
      <c r="N2810" s="1">
        <f t="shared" ca="1" si="350"/>
        <v>3</v>
      </c>
      <c r="P2810" s="1">
        <v>60.749022294476163</v>
      </c>
      <c r="Q2810" s="1">
        <f t="shared" ca="1" si="351"/>
        <v>30</v>
      </c>
      <c r="R2810" s="1">
        <v>8.8833138786503696</v>
      </c>
    </row>
    <row r="2811" spans="1:18" x14ac:dyDescent="0.3">
      <c r="A2811" s="26">
        <v>2810</v>
      </c>
      <c r="B2811" s="1">
        <v>7</v>
      </c>
      <c r="C2811" s="1">
        <f t="shared" si="347"/>
        <v>7</v>
      </c>
      <c r="D2811" s="21">
        <f t="shared" ca="1" si="346"/>
        <v>44648</v>
      </c>
      <c r="E2811" s="1" t="s">
        <v>26</v>
      </c>
      <c r="F2811" s="1" t="s">
        <v>2839</v>
      </c>
      <c r="G2811" s="1" t="s">
        <v>28</v>
      </c>
      <c r="H2811" s="1">
        <v>2909</v>
      </c>
      <c r="I2811" s="1">
        <f t="shared" si="348"/>
        <v>56</v>
      </c>
      <c r="J2811" s="1">
        <f>VLOOKUP(B2811,Cena!$A$2:$B$101,2)</f>
        <v>104</v>
      </c>
      <c r="K2811" s="1">
        <f t="shared" si="352"/>
        <v>5824</v>
      </c>
      <c r="L2811" s="1">
        <f t="shared" si="349"/>
        <v>1339.52</v>
      </c>
      <c r="M2811" s="22">
        <f t="shared" si="353"/>
        <v>7163.52</v>
      </c>
      <c r="N2811" s="1">
        <f t="shared" ca="1" si="350"/>
        <v>3</v>
      </c>
      <c r="P2811" s="1">
        <v>56.878758540551644</v>
      </c>
      <c r="Q2811" s="1">
        <f t="shared" ca="1" si="351"/>
        <v>5</v>
      </c>
      <c r="R2811" s="1">
        <v>7.2439070461405208</v>
      </c>
    </row>
    <row r="2812" spans="1:18" x14ac:dyDescent="0.3">
      <c r="A2812" s="26">
        <v>2811</v>
      </c>
      <c r="B2812" s="1">
        <v>19</v>
      </c>
      <c r="C2812" s="1">
        <f t="shared" si="347"/>
        <v>9</v>
      </c>
      <c r="D2812" s="21">
        <f t="shared" ca="1" si="346"/>
        <v>44735</v>
      </c>
      <c r="E2812" s="1" t="s">
        <v>26</v>
      </c>
      <c r="F2812" s="1" t="s">
        <v>2840</v>
      </c>
      <c r="G2812" s="1" t="s">
        <v>28</v>
      </c>
      <c r="H2812" s="1">
        <v>2910</v>
      </c>
      <c r="I2812" s="1">
        <f t="shared" si="348"/>
        <v>56</v>
      </c>
      <c r="J2812" s="1">
        <f>VLOOKUP(B2812,Cena!$A$2:$B$101,2)</f>
        <v>84</v>
      </c>
      <c r="K2812" s="1">
        <f t="shared" si="352"/>
        <v>4704</v>
      </c>
      <c r="L2812" s="1">
        <f t="shared" si="349"/>
        <v>1081.92</v>
      </c>
      <c r="M2812" s="22">
        <f t="shared" si="353"/>
        <v>5785.92</v>
      </c>
      <c r="N2812" s="1">
        <f t="shared" ca="1" si="350"/>
        <v>6</v>
      </c>
      <c r="P2812" s="1">
        <v>56.096865945437457</v>
      </c>
      <c r="Q2812" s="1">
        <f t="shared" ca="1" si="351"/>
        <v>25</v>
      </c>
      <c r="R2812" s="1">
        <v>9.9511345549763064</v>
      </c>
    </row>
    <row r="2813" spans="1:18" x14ac:dyDescent="0.3">
      <c r="A2813" s="26">
        <v>2812</v>
      </c>
      <c r="B2813" s="1">
        <v>23</v>
      </c>
      <c r="C2813" s="1">
        <f t="shared" si="347"/>
        <v>9</v>
      </c>
      <c r="D2813" s="21">
        <f t="shared" ca="1" si="346"/>
        <v>44775</v>
      </c>
      <c r="E2813" s="1" t="s">
        <v>26</v>
      </c>
      <c r="F2813" s="1" t="s">
        <v>2841</v>
      </c>
      <c r="G2813" s="1" t="s">
        <v>28</v>
      </c>
      <c r="H2813" s="1">
        <v>2911</v>
      </c>
      <c r="I2813" s="1">
        <f t="shared" si="348"/>
        <v>41</v>
      </c>
      <c r="J2813" s="1">
        <f>VLOOKUP(B2813,Cena!$A$2:$B$101,2)</f>
        <v>132</v>
      </c>
      <c r="K2813" s="1">
        <f t="shared" si="352"/>
        <v>5412</v>
      </c>
      <c r="L2813" s="1">
        <f t="shared" si="349"/>
        <v>1244.76</v>
      </c>
      <c r="M2813" s="22">
        <f t="shared" si="353"/>
        <v>6656.76</v>
      </c>
      <c r="N2813" s="1">
        <f t="shared" ca="1" si="350"/>
        <v>8</v>
      </c>
      <c r="P2813" s="1">
        <v>41.152526490623131</v>
      </c>
      <c r="Q2813" s="1">
        <f t="shared" ca="1" si="351"/>
        <v>26</v>
      </c>
      <c r="R2813" s="1">
        <v>9.2229675171984127</v>
      </c>
    </row>
    <row r="2814" spans="1:18" x14ac:dyDescent="0.3">
      <c r="A2814" s="26">
        <v>2813</v>
      </c>
      <c r="B2814" s="1">
        <v>9</v>
      </c>
      <c r="C2814" s="1">
        <f t="shared" si="347"/>
        <v>9</v>
      </c>
      <c r="D2814" s="21">
        <f t="shared" ca="1" si="346"/>
        <v>44870</v>
      </c>
      <c r="E2814" s="1" t="s">
        <v>26</v>
      </c>
      <c r="F2814" s="1" t="s">
        <v>2842</v>
      </c>
      <c r="G2814" s="1" t="s">
        <v>28</v>
      </c>
      <c r="H2814" s="1">
        <v>2912</v>
      </c>
      <c r="I2814" s="1">
        <f t="shared" si="348"/>
        <v>34</v>
      </c>
      <c r="J2814" s="1">
        <f>VLOOKUP(B2814,Cena!$A$2:$B$101,2)</f>
        <v>96</v>
      </c>
      <c r="K2814" s="1">
        <f t="shared" si="352"/>
        <v>3264</v>
      </c>
      <c r="L2814" s="1">
        <f t="shared" si="349"/>
        <v>750.72</v>
      </c>
      <c r="M2814" s="22">
        <f t="shared" si="353"/>
        <v>4014.7200000000003</v>
      </c>
      <c r="N2814" s="1">
        <f t="shared" ca="1" si="350"/>
        <v>11</v>
      </c>
      <c r="P2814" s="1">
        <v>34.4777903490467</v>
      </c>
      <c r="Q2814" s="1">
        <f t="shared" ca="1" si="351"/>
        <v>22</v>
      </c>
      <c r="R2814" s="1">
        <v>9.7524099626389216</v>
      </c>
    </row>
    <row r="2815" spans="1:18" x14ac:dyDescent="0.3">
      <c r="A2815" s="26">
        <v>2814</v>
      </c>
      <c r="B2815" s="1">
        <v>11</v>
      </c>
      <c r="C2815" s="1">
        <f t="shared" si="347"/>
        <v>11</v>
      </c>
      <c r="D2815" s="21">
        <f t="shared" ca="1" si="346"/>
        <v>44576</v>
      </c>
      <c r="E2815" s="1" t="s">
        <v>26</v>
      </c>
      <c r="F2815" s="1" t="s">
        <v>2843</v>
      </c>
      <c r="G2815" s="1" t="s">
        <v>28</v>
      </c>
      <c r="H2815" s="1">
        <v>2913</v>
      </c>
      <c r="I2815" s="1">
        <f t="shared" si="348"/>
        <v>75</v>
      </c>
      <c r="J2815" s="1">
        <f>VLOOKUP(B2815,Cena!$A$2:$B$101,2)</f>
        <v>83</v>
      </c>
      <c r="K2815" s="1">
        <f t="shared" si="352"/>
        <v>6225</v>
      </c>
      <c r="L2815" s="1">
        <f t="shared" si="349"/>
        <v>1431.75</v>
      </c>
      <c r="M2815" s="22">
        <f t="shared" si="353"/>
        <v>7656.75</v>
      </c>
      <c r="N2815" s="1">
        <f t="shared" ca="1" si="350"/>
        <v>1</v>
      </c>
      <c r="P2815" s="1">
        <v>75.712870410643518</v>
      </c>
      <c r="Q2815" s="1">
        <f t="shared" ca="1" si="351"/>
        <v>23</v>
      </c>
      <c r="R2815" s="1">
        <v>11.034445062941813</v>
      </c>
    </row>
    <row r="2816" spans="1:18" x14ac:dyDescent="0.3">
      <c r="A2816" s="26">
        <v>2815</v>
      </c>
      <c r="B2816" s="1">
        <v>3</v>
      </c>
      <c r="C2816" s="1">
        <f t="shared" si="347"/>
        <v>8</v>
      </c>
      <c r="D2816" s="21">
        <f t="shared" ca="1" si="346"/>
        <v>44655</v>
      </c>
      <c r="E2816" s="1" t="s">
        <v>26</v>
      </c>
      <c r="F2816" s="1" t="s">
        <v>2844</v>
      </c>
      <c r="G2816" s="1" t="s">
        <v>28</v>
      </c>
      <c r="H2816" s="1">
        <v>2914</v>
      </c>
      <c r="I2816" s="1">
        <f t="shared" si="348"/>
        <v>39</v>
      </c>
      <c r="J2816" s="1">
        <f>VLOOKUP(B2816,Cena!$A$2:$B$101,2)</f>
        <v>89</v>
      </c>
      <c r="K2816" s="1">
        <f t="shared" si="352"/>
        <v>3471</v>
      </c>
      <c r="L2816" s="1">
        <f t="shared" si="349"/>
        <v>798.33</v>
      </c>
      <c r="M2816" s="22">
        <f t="shared" si="353"/>
        <v>4269.33</v>
      </c>
      <c r="N2816" s="1">
        <f t="shared" ca="1" si="350"/>
        <v>4</v>
      </c>
      <c r="P2816" s="1">
        <v>39.053958415752277</v>
      </c>
      <c r="Q2816" s="1">
        <f t="shared" ca="1" si="351"/>
        <v>19</v>
      </c>
      <c r="R2816" s="1">
        <v>8.0299151047802297</v>
      </c>
    </row>
    <row r="2817" spans="1:18" x14ac:dyDescent="0.3">
      <c r="A2817" s="26">
        <v>2816</v>
      </c>
      <c r="B2817" s="1">
        <v>27</v>
      </c>
      <c r="C2817" s="1">
        <f t="shared" si="347"/>
        <v>6</v>
      </c>
      <c r="D2817" s="21">
        <f t="shared" ca="1" si="346"/>
        <v>44824</v>
      </c>
      <c r="E2817" s="1" t="s">
        <v>26</v>
      </c>
      <c r="F2817" s="1" t="s">
        <v>2845</v>
      </c>
      <c r="G2817" s="1" t="s">
        <v>28</v>
      </c>
      <c r="H2817" s="1">
        <v>2915</v>
      </c>
      <c r="I2817" s="1">
        <f t="shared" si="348"/>
        <v>51</v>
      </c>
      <c r="J2817" s="1">
        <f>VLOOKUP(B2817,Cena!$A$2:$B$101,2)</f>
        <v>87</v>
      </c>
      <c r="K2817" s="1">
        <f t="shared" si="352"/>
        <v>4437</v>
      </c>
      <c r="L2817" s="1">
        <f t="shared" si="349"/>
        <v>1020.51</v>
      </c>
      <c r="M2817" s="22">
        <f t="shared" si="353"/>
        <v>5457.51</v>
      </c>
      <c r="N2817" s="1">
        <f t="shared" ca="1" si="350"/>
        <v>9</v>
      </c>
      <c r="P2817" s="1">
        <v>51.930118287418736</v>
      </c>
      <c r="Q2817" s="1">
        <f t="shared" ca="1" si="351"/>
        <v>12</v>
      </c>
      <c r="R2817" s="1">
        <v>6.7104770348669263</v>
      </c>
    </row>
    <row r="2818" spans="1:18" x14ac:dyDescent="0.3">
      <c r="A2818" s="26">
        <v>2817</v>
      </c>
      <c r="B2818" s="1">
        <v>19</v>
      </c>
      <c r="C2818" s="1">
        <f t="shared" si="347"/>
        <v>8</v>
      </c>
      <c r="D2818" s="21">
        <f t="shared" ref="D2818:D2881" ca="1" si="354">DATE(2022,RANDBETWEEN(1,12),RANDBETWEEN(1,28))</f>
        <v>44702</v>
      </c>
      <c r="E2818" s="1" t="s">
        <v>26</v>
      </c>
      <c r="F2818" s="1" t="s">
        <v>2846</v>
      </c>
      <c r="G2818" s="1" t="s">
        <v>28</v>
      </c>
      <c r="H2818" s="1">
        <v>2916</v>
      </c>
      <c r="I2818" s="1">
        <f t="shared" si="348"/>
        <v>33</v>
      </c>
      <c r="J2818" s="1">
        <f>VLOOKUP(B2818,Cena!$A$2:$B$101,2)</f>
        <v>84</v>
      </c>
      <c r="K2818" s="1">
        <f t="shared" si="352"/>
        <v>2772</v>
      </c>
      <c r="L2818" s="1">
        <f t="shared" si="349"/>
        <v>637.56000000000006</v>
      </c>
      <c r="M2818" s="22">
        <f t="shared" si="353"/>
        <v>3409.56</v>
      </c>
      <c r="N2818" s="1">
        <f t="shared" ca="1" si="350"/>
        <v>5</v>
      </c>
      <c r="P2818" s="1">
        <v>33.859197527635843</v>
      </c>
      <c r="Q2818" s="1">
        <f t="shared" ca="1" si="351"/>
        <v>18</v>
      </c>
      <c r="R2818" s="1">
        <v>8.729839489897131</v>
      </c>
    </row>
    <row r="2819" spans="1:18" x14ac:dyDescent="0.3">
      <c r="A2819" s="26">
        <v>2818</v>
      </c>
      <c r="B2819" s="1">
        <v>7</v>
      </c>
      <c r="C2819" s="1">
        <f t="shared" ref="C2819:C2882" si="355">INT(R2819)</f>
        <v>7</v>
      </c>
      <c r="D2819" s="21">
        <f t="shared" ca="1" si="354"/>
        <v>44755</v>
      </c>
      <c r="E2819" s="1" t="s">
        <v>26</v>
      </c>
      <c r="F2819" s="1" t="s">
        <v>2847</v>
      </c>
      <c r="G2819" s="1" t="s">
        <v>28</v>
      </c>
      <c r="H2819" s="1">
        <v>2917</v>
      </c>
      <c r="I2819" s="1">
        <f t="shared" ref="I2819:I2882" si="356">INT(P2819)</f>
        <v>51</v>
      </c>
      <c r="J2819" s="1">
        <f>VLOOKUP(B2819,Cena!$A$2:$B$101,2)</f>
        <v>104</v>
      </c>
      <c r="K2819" s="1">
        <f t="shared" si="352"/>
        <v>5304</v>
      </c>
      <c r="L2819" s="1">
        <f t="shared" ref="L2819:L2882" si="357">K2819*23%</f>
        <v>1219.92</v>
      </c>
      <c r="M2819" s="22">
        <f t="shared" si="353"/>
        <v>6523.92</v>
      </c>
      <c r="N2819" s="1">
        <f t="shared" ref="N2819:N2882" ca="1" si="358">MONTH(D2819)</f>
        <v>7</v>
      </c>
      <c r="P2819" s="1">
        <v>51.496141521784011</v>
      </c>
      <c r="Q2819" s="1">
        <f t="shared" ref="Q2819:Q2882" ca="1" si="359">RANDBETWEEN(1,30)</f>
        <v>15</v>
      </c>
      <c r="R2819" s="1">
        <v>7.8347034357284429</v>
      </c>
    </row>
    <row r="2820" spans="1:18" x14ac:dyDescent="0.3">
      <c r="A2820" s="26">
        <v>2819</v>
      </c>
      <c r="B2820" s="1">
        <v>12</v>
      </c>
      <c r="C2820" s="1">
        <f t="shared" si="355"/>
        <v>8</v>
      </c>
      <c r="D2820" s="21">
        <f t="shared" ca="1" si="354"/>
        <v>44793</v>
      </c>
      <c r="E2820" s="1" t="s">
        <v>26</v>
      </c>
      <c r="F2820" s="1" t="s">
        <v>2848</v>
      </c>
      <c r="G2820" s="1" t="s">
        <v>28</v>
      </c>
      <c r="H2820" s="1">
        <v>2918</v>
      </c>
      <c r="I2820" s="1">
        <f t="shared" si="356"/>
        <v>57</v>
      </c>
      <c r="J2820" s="1">
        <f>VLOOKUP(B2820,Cena!$A$2:$B$101,2)</f>
        <v>88</v>
      </c>
      <c r="K2820" s="1">
        <f t="shared" si="352"/>
        <v>5016</v>
      </c>
      <c r="L2820" s="1">
        <f t="shared" si="357"/>
        <v>1153.68</v>
      </c>
      <c r="M2820" s="22">
        <f t="shared" si="353"/>
        <v>6169.68</v>
      </c>
      <c r="N2820" s="1">
        <f t="shared" ca="1" si="358"/>
        <v>8</v>
      </c>
      <c r="P2820" s="1">
        <v>57.075868779793382</v>
      </c>
      <c r="Q2820" s="1">
        <f t="shared" ca="1" si="359"/>
        <v>27</v>
      </c>
      <c r="R2820" s="1">
        <v>8.4380707473974326</v>
      </c>
    </row>
    <row r="2821" spans="1:18" x14ac:dyDescent="0.3">
      <c r="A2821" s="26">
        <v>2820</v>
      </c>
      <c r="B2821" s="1">
        <v>8</v>
      </c>
      <c r="C2821" s="1">
        <f t="shared" si="355"/>
        <v>9</v>
      </c>
      <c r="D2821" s="21">
        <f t="shared" ca="1" si="354"/>
        <v>44769</v>
      </c>
      <c r="E2821" s="1" t="s">
        <v>26</v>
      </c>
      <c r="F2821" s="1" t="s">
        <v>2849</v>
      </c>
      <c r="G2821" s="1" t="s">
        <v>28</v>
      </c>
      <c r="H2821" s="1">
        <v>2919</v>
      </c>
      <c r="I2821" s="1">
        <f t="shared" si="356"/>
        <v>63</v>
      </c>
      <c r="J2821" s="1">
        <f>VLOOKUP(B2821,Cena!$A$2:$B$101,2)</f>
        <v>88</v>
      </c>
      <c r="K2821" s="1">
        <f t="shared" si="352"/>
        <v>5544</v>
      </c>
      <c r="L2821" s="1">
        <f t="shared" si="357"/>
        <v>1275.1200000000001</v>
      </c>
      <c r="M2821" s="22">
        <f t="shared" si="353"/>
        <v>6819.12</v>
      </c>
      <c r="N2821" s="1">
        <f t="shared" ca="1" si="358"/>
        <v>7</v>
      </c>
      <c r="P2821" s="1">
        <v>63.576800483861007</v>
      </c>
      <c r="Q2821" s="1">
        <f t="shared" ca="1" si="359"/>
        <v>1</v>
      </c>
      <c r="R2821" s="1">
        <v>9.587822685498395</v>
      </c>
    </row>
    <row r="2822" spans="1:18" x14ac:dyDescent="0.3">
      <c r="A2822" s="26">
        <v>2821</v>
      </c>
      <c r="B2822" s="1">
        <v>29</v>
      </c>
      <c r="C2822" s="1">
        <f t="shared" si="355"/>
        <v>9</v>
      </c>
      <c r="D2822" s="21">
        <f t="shared" ca="1" si="354"/>
        <v>44752</v>
      </c>
      <c r="E2822" s="1" t="s">
        <v>26</v>
      </c>
      <c r="F2822" s="1" t="s">
        <v>2850</v>
      </c>
      <c r="G2822" s="1" t="s">
        <v>28</v>
      </c>
      <c r="H2822" s="1">
        <v>2920</v>
      </c>
      <c r="I2822" s="1">
        <f t="shared" si="356"/>
        <v>66</v>
      </c>
      <c r="J2822" s="1">
        <f>VLOOKUP(B2822,Cena!$A$2:$B$101,2)</f>
        <v>105</v>
      </c>
      <c r="K2822" s="1">
        <f t="shared" si="352"/>
        <v>6930</v>
      </c>
      <c r="L2822" s="1">
        <f t="shared" si="357"/>
        <v>1593.9</v>
      </c>
      <c r="M2822" s="22">
        <f t="shared" si="353"/>
        <v>8523.9</v>
      </c>
      <c r="N2822" s="1">
        <f t="shared" ca="1" si="358"/>
        <v>7</v>
      </c>
      <c r="P2822" s="1">
        <v>66.431840776931494</v>
      </c>
      <c r="Q2822" s="1">
        <f t="shared" ca="1" si="359"/>
        <v>24</v>
      </c>
      <c r="R2822" s="1">
        <v>9.9274109541147482</v>
      </c>
    </row>
    <row r="2823" spans="1:18" x14ac:dyDescent="0.3">
      <c r="A2823" s="26">
        <v>2822</v>
      </c>
      <c r="B2823" s="1">
        <v>15</v>
      </c>
      <c r="C2823" s="1">
        <f t="shared" si="355"/>
        <v>15</v>
      </c>
      <c r="D2823" s="21">
        <f t="shared" ca="1" si="354"/>
        <v>44624</v>
      </c>
      <c r="E2823" s="1" t="s">
        <v>26</v>
      </c>
      <c r="F2823" s="1" t="s">
        <v>2851</v>
      </c>
      <c r="G2823" s="1" t="s">
        <v>28</v>
      </c>
      <c r="H2823" s="1">
        <v>2921</v>
      </c>
      <c r="I2823" s="1">
        <f t="shared" si="356"/>
        <v>51</v>
      </c>
      <c r="J2823" s="1">
        <f>VLOOKUP(B2823,Cena!$A$2:$B$101,2)</f>
        <v>85</v>
      </c>
      <c r="K2823" s="1">
        <f t="shared" si="352"/>
        <v>4335</v>
      </c>
      <c r="L2823" s="1">
        <f t="shared" si="357"/>
        <v>997.05000000000007</v>
      </c>
      <c r="M2823" s="22">
        <f t="shared" si="353"/>
        <v>5332.05</v>
      </c>
      <c r="N2823" s="1">
        <f t="shared" ca="1" si="358"/>
        <v>3</v>
      </c>
      <c r="P2823" s="1">
        <v>51.980799879675033</v>
      </c>
      <c r="Q2823" s="1">
        <f t="shared" ca="1" si="359"/>
        <v>1</v>
      </c>
      <c r="R2823" s="1">
        <v>15.680612957803532</v>
      </c>
    </row>
    <row r="2824" spans="1:18" x14ac:dyDescent="0.3">
      <c r="A2824" s="26">
        <v>2823</v>
      </c>
      <c r="B2824" s="1">
        <v>15</v>
      </c>
      <c r="C2824" s="1">
        <f t="shared" si="355"/>
        <v>15</v>
      </c>
      <c r="D2824" s="21">
        <f t="shared" ca="1" si="354"/>
        <v>44727</v>
      </c>
      <c r="E2824" s="1" t="s">
        <v>26</v>
      </c>
      <c r="F2824" s="1" t="s">
        <v>2852</v>
      </c>
      <c r="G2824" s="1" t="s">
        <v>28</v>
      </c>
      <c r="H2824" s="1">
        <v>2922</v>
      </c>
      <c r="I2824" s="1">
        <f t="shared" si="356"/>
        <v>44</v>
      </c>
      <c r="J2824" s="1">
        <f>VLOOKUP(B2824,Cena!$A$2:$B$101,2)</f>
        <v>85</v>
      </c>
      <c r="K2824" s="1">
        <f t="shared" si="352"/>
        <v>3740</v>
      </c>
      <c r="L2824" s="1">
        <f t="shared" si="357"/>
        <v>860.2</v>
      </c>
      <c r="M2824" s="22">
        <f t="shared" si="353"/>
        <v>4600.2</v>
      </c>
      <c r="N2824" s="1">
        <f t="shared" ca="1" si="358"/>
        <v>6</v>
      </c>
      <c r="P2824" s="1">
        <v>44.919357959588524</v>
      </c>
      <c r="Q2824" s="1">
        <f t="shared" ca="1" si="359"/>
        <v>6</v>
      </c>
      <c r="R2824" s="1">
        <v>15.434321792563424</v>
      </c>
    </row>
    <row r="2825" spans="1:18" x14ac:dyDescent="0.3">
      <c r="A2825" s="26">
        <v>2824</v>
      </c>
      <c r="B2825" s="1">
        <v>16</v>
      </c>
      <c r="C2825" s="1">
        <f t="shared" si="355"/>
        <v>10</v>
      </c>
      <c r="D2825" s="21">
        <f t="shared" ca="1" si="354"/>
        <v>44759</v>
      </c>
      <c r="E2825" s="1" t="s">
        <v>26</v>
      </c>
      <c r="F2825" s="1" t="s">
        <v>2853</v>
      </c>
      <c r="G2825" s="1" t="s">
        <v>28</v>
      </c>
      <c r="H2825" s="1">
        <v>2923</v>
      </c>
      <c r="I2825" s="1">
        <f t="shared" si="356"/>
        <v>44</v>
      </c>
      <c r="J2825" s="1">
        <f>VLOOKUP(B2825,Cena!$A$2:$B$101,2)</f>
        <v>93</v>
      </c>
      <c r="K2825" s="1">
        <f t="shared" si="352"/>
        <v>4092</v>
      </c>
      <c r="L2825" s="1">
        <f t="shared" si="357"/>
        <v>941.16000000000008</v>
      </c>
      <c r="M2825" s="22">
        <f t="shared" si="353"/>
        <v>5033.16</v>
      </c>
      <c r="N2825" s="1">
        <f t="shared" ca="1" si="358"/>
        <v>7</v>
      </c>
      <c r="P2825" s="1">
        <v>44.284758031426463</v>
      </c>
      <c r="Q2825" s="1">
        <f t="shared" ca="1" si="359"/>
        <v>12</v>
      </c>
      <c r="R2825" s="1">
        <v>10.371520059161412</v>
      </c>
    </row>
    <row r="2826" spans="1:18" x14ac:dyDescent="0.3">
      <c r="A2826" s="26">
        <v>2825</v>
      </c>
      <c r="B2826" s="1">
        <v>6</v>
      </c>
      <c r="C2826" s="1">
        <f t="shared" si="355"/>
        <v>9</v>
      </c>
      <c r="D2826" s="21">
        <f t="shared" ca="1" si="354"/>
        <v>44715</v>
      </c>
      <c r="E2826" s="1" t="s">
        <v>26</v>
      </c>
      <c r="F2826" s="1" t="s">
        <v>2854</v>
      </c>
      <c r="G2826" s="1" t="s">
        <v>28</v>
      </c>
      <c r="H2826" s="1">
        <v>2924</v>
      </c>
      <c r="I2826" s="1">
        <f t="shared" si="356"/>
        <v>46</v>
      </c>
      <c r="J2826" s="1">
        <f>VLOOKUP(B2826,Cena!$A$2:$B$101,2)</f>
        <v>86</v>
      </c>
      <c r="K2826" s="1">
        <f t="shared" si="352"/>
        <v>3956</v>
      </c>
      <c r="L2826" s="1">
        <f t="shared" si="357"/>
        <v>909.88</v>
      </c>
      <c r="M2826" s="22">
        <f t="shared" si="353"/>
        <v>4865.88</v>
      </c>
      <c r="N2826" s="1">
        <f t="shared" ca="1" si="358"/>
        <v>6</v>
      </c>
      <c r="P2826" s="1">
        <v>46.726864992524497</v>
      </c>
      <c r="Q2826" s="1">
        <f t="shared" ca="1" si="359"/>
        <v>7</v>
      </c>
      <c r="R2826" s="1">
        <v>9.891241486693616</v>
      </c>
    </row>
    <row r="2827" spans="1:18" x14ac:dyDescent="0.3">
      <c r="A2827" s="26">
        <v>2826</v>
      </c>
      <c r="B2827" s="1">
        <v>17</v>
      </c>
      <c r="C2827" s="1">
        <f t="shared" si="355"/>
        <v>8</v>
      </c>
      <c r="D2827" s="21">
        <f t="shared" ca="1" si="354"/>
        <v>44570</v>
      </c>
      <c r="E2827" s="1" t="s">
        <v>26</v>
      </c>
      <c r="F2827" s="1" t="s">
        <v>2855</v>
      </c>
      <c r="G2827" s="1" t="s">
        <v>28</v>
      </c>
      <c r="H2827" s="1">
        <v>2925</v>
      </c>
      <c r="I2827" s="1">
        <f t="shared" si="356"/>
        <v>32</v>
      </c>
      <c r="J2827" s="1">
        <f>VLOOKUP(B2827,Cena!$A$2:$B$101,2)</f>
        <v>84</v>
      </c>
      <c r="K2827" s="1">
        <f t="shared" si="352"/>
        <v>2688</v>
      </c>
      <c r="L2827" s="1">
        <f t="shared" si="357"/>
        <v>618.24</v>
      </c>
      <c r="M2827" s="22">
        <f t="shared" si="353"/>
        <v>3306.24</v>
      </c>
      <c r="N2827" s="1">
        <f t="shared" ca="1" si="358"/>
        <v>1</v>
      </c>
      <c r="P2827" s="1">
        <v>32.128701958572492</v>
      </c>
      <c r="Q2827" s="1">
        <f t="shared" ca="1" si="359"/>
        <v>5</v>
      </c>
      <c r="R2827" s="1">
        <v>8.4180306000780547</v>
      </c>
    </row>
    <row r="2828" spans="1:18" x14ac:dyDescent="0.3">
      <c r="A2828" s="26">
        <v>2827</v>
      </c>
      <c r="B2828" s="1">
        <v>1</v>
      </c>
      <c r="C2828" s="1">
        <f t="shared" si="355"/>
        <v>8</v>
      </c>
      <c r="D2828" s="21">
        <f t="shared" ca="1" si="354"/>
        <v>44739</v>
      </c>
      <c r="E2828" s="1" t="s">
        <v>26</v>
      </c>
      <c r="F2828" s="1" t="s">
        <v>2856</v>
      </c>
      <c r="G2828" s="1" t="s">
        <v>28</v>
      </c>
      <c r="H2828" s="1">
        <v>2926</v>
      </c>
      <c r="I2828" s="1">
        <f t="shared" si="356"/>
        <v>57</v>
      </c>
      <c r="J2828" s="1">
        <f>VLOOKUP(B2828,Cena!$A$2:$B$101,2)</f>
        <v>84</v>
      </c>
      <c r="K2828" s="1">
        <f t="shared" si="352"/>
        <v>4788</v>
      </c>
      <c r="L2828" s="1">
        <f t="shared" si="357"/>
        <v>1101.24</v>
      </c>
      <c r="M2828" s="22">
        <f t="shared" si="353"/>
        <v>5889.24</v>
      </c>
      <c r="N2828" s="1">
        <f t="shared" ca="1" si="358"/>
        <v>6</v>
      </c>
      <c r="P2828" s="1">
        <v>57.317703420994803</v>
      </c>
      <c r="Q2828" s="1">
        <f t="shared" ca="1" si="359"/>
        <v>24</v>
      </c>
      <c r="R2828" s="1">
        <v>8.7106519938606652</v>
      </c>
    </row>
    <row r="2829" spans="1:18" x14ac:dyDescent="0.3">
      <c r="A2829" s="26">
        <v>2828</v>
      </c>
      <c r="B2829" s="1">
        <v>25</v>
      </c>
      <c r="C2829" s="1">
        <f t="shared" si="355"/>
        <v>9</v>
      </c>
      <c r="D2829" s="21">
        <f t="shared" ca="1" si="354"/>
        <v>44580</v>
      </c>
      <c r="E2829" s="1" t="s">
        <v>26</v>
      </c>
      <c r="F2829" s="1" t="s">
        <v>2857</v>
      </c>
      <c r="G2829" s="1" t="s">
        <v>28</v>
      </c>
      <c r="H2829" s="1">
        <v>2927</v>
      </c>
      <c r="I2829" s="1">
        <f t="shared" si="356"/>
        <v>46</v>
      </c>
      <c r="J2829" s="1">
        <f>VLOOKUP(B2829,Cena!$A$2:$B$101,2)</f>
        <v>108</v>
      </c>
      <c r="K2829" s="1">
        <f t="shared" si="352"/>
        <v>4968</v>
      </c>
      <c r="L2829" s="1">
        <f t="shared" si="357"/>
        <v>1142.6400000000001</v>
      </c>
      <c r="M2829" s="22">
        <f t="shared" si="353"/>
        <v>6110.64</v>
      </c>
      <c r="N2829" s="1">
        <f t="shared" ca="1" si="358"/>
        <v>1</v>
      </c>
      <c r="P2829" s="1">
        <v>46.303336047276389</v>
      </c>
      <c r="Q2829" s="1">
        <f t="shared" ca="1" si="359"/>
        <v>11</v>
      </c>
      <c r="R2829" s="1">
        <v>9.5501639205031097</v>
      </c>
    </row>
    <row r="2830" spans="1:18" x14ac:dyDescent="0.3">
      <c r="A2830" s="26">
        <v>2829</v>
      </c>
      <c r="B2830" s="1">
        <v>18</v>
      </c>
      <c r="C2830" s="1">
        <f t="shared" si="355"/>
        <v>10</v>
      </c>
      <c r="D2830" s="21">
        <f t="shared" ca="1" si="354"/>
        <v>44588</v>
      </c>
      <c r="E2830" s="1" t="s">
        <v>26</v>
      </c>
      <c r="F2830" s="1" t="s">
        <v>2858</v>
      </c>
      <c r="G2830" s="1" t="s">
        <v>28</v>
      </c>
      <c r="H2830" s="1">
        <v>2928</v>
      </c>
      <c r="I2830" s="1">
        <f t="shared" si="356"/>
        <v>61</v>
      </c>
      <c r="J2830" s="1">
        <f>VLOOKUP(B2830,Cena!$A$2:$B$101,2)</f>
        <v>90</v>
      </c>
      <c r="K2830" s="1">
        <f t="shared" si="352"/>
        <v>5490</v>
      </c>
      <c r="L2830" s="1">
        <f t="shared" si="357"/>
        <v>1262.7</v>
      </c>
      <c r="M2830" s="22">
        <f t="shared" si="353"/>
        <v>6752.7</v>
      </c>
      <c r="N2830" s="1">
        <f t="shared" ca="1" si="358"/>
        <v>1</v>
      </c>
      <c r="P2830" s="1">
        <v>61.205975170014426</v>
      </c>
      <c r="Q2830" s="1">
        <f t="shared" ca="1" si="359"/>
        <v>13</v>
      </c>
      <c r="R2830" s="1">
        <v>10.953718881646637</v>
      </c>
    </row>
    <row r="2831" spans="1:18" x14ac:dyDescent="0.3">
      <c r="A2831" s="26">
        <v>2830</v>
      </c>
      <c r="B2831" s="1">
        <v>30</v>
      </c>
      <c r="C2831" s="1">
        <f t="shared" si="355"/>
        <v>11</v>
      </c>
      <c r="D2831" s="21">
        <f t="shared" ca="1" si="354"/>
        <v>44903</v>
      </c>
      <c r="E2831" s="1" t="s">
        <v>26</v>
      </c>
      <c r="F2831" s="1" t="s">
        <v>2859</v>
      </c>
      <c r="G2831" s="1" t="s">
        <v>28</v>
      </c>
      <c r="H2831" s="1">
        <v>2929</v>
      </c>
      <c r="I2831" s="1">
        <f t="shared" si="356"/>
        <v>39</v>
      </c>
      <c r="J2831" s="1">
        <f>VLOOKUP(B2831,Cena!$A$2:$B$101,2)</f>
        <v>87</v>
      </c>
      <c r="K2831" s="1">
        <f t="shared" si="352"/>
        <v>3393</v>
      </c>
      <c r="L2831" s="1">
        <f t="shared" si="357"/>
        <v>780.39</v>
      </c>
      <c r="M2831" s="22">
        <f t="shared" si="353"/>
        <v>4173.3900000000003</v>
      </c>
      <c r="N2831" s="1">
        <f t="shared" ca="1" si="358"/>
        <v>12</v>
      </c>
      <c r="P2831" s="1">
        <v>39.339153216860723</v>
      </c>
      <c r="Q2831" s="1">
        <f t="shared" ca="1" si="359"/>
        <v>15</v>
      </c>
      <c r="R2831" s="1">
        <v>11.381107495035394</v>
      </c>
    </row>
    <row r="2832" spans="1:18" x14ac:dyDescent="0.3">
      <c r="A2832" s="26">
        <v>2831</v>
      </c>
      <c r="B2832" s="1">
        <v>19</v>
      </c>
      <c r="C2832" s="1">
        <f t="shared" si="355"/>
        <v>8</v>
      </c>
      <c r="D2832" s="21">
        <f t="shared" ca="1" si="354"/>
        <v>44822</v>
      </c>
      <c r="E2832" s="1" t="s">
        <v>26</v>
      </c>
      <c r="F2832" s="1" t="s">
        <v>2860</v>
      </c>
      <c r="G2832" s="1" t="s">
        <v>28</v>
      </c>
      <c r="H2832" s="1">
        <v>2930</v>
      </c>
      <c r="I2832" s="1">
        <f t="shared" si="356"/>
        <v>48</v>
      </c>
      <c r="J2832" s="1">
        <f>VLOOKUP(B2832,Cena!$A$2:$B$101,2)</f>
        <v>84</v>
      </c>
      <c r="K2832" s="1">
        <f t="shared" si="352"/>
        <v>4032</v>
      </c>
      <c r="L2832" s="1">
        <f t="shared" si="357"/>
        <v>927.36</v>
      </c>
      <c r="M2832" s="22">
        <f t="shared" si="353"/>
        <v>4959.3599999999997</v>
      </c>
      <c r="N2832" s="1">
        <f t="shared" ca="1" si="358"/>
        <v>9</v>
      </c>
      <c r="P2832" s="1">
        <v>48.688508640043437</v>
      </c>
      <c r="Q2832" s="1">
        <f t="shared" ca="1" si="359"/>
        <v>23</v>
      </c>
      <c r="R2832" s="1">
        <v>8.8970330377924256</v>
      </c>
    </row>
    <row r="2833" spans="1:18" x14ac:dyDescent="0.3">
      <c r="A2833" s="26">
        <v>2832</v>
      </c>
      <c r="B2833" s="1">
        <v>14</v>
      </c>
      <c r="C2833" s="1">
        <f t="shared" si="355"/>
        <v>11</v>
      </c>
      <c r="D2833" s="21">
        <f t="shared" ca="1" si="354"/>
        <v>44751</v>
      </c>
      <c r="E2833" s="1" t="s">
        <v>26</v>
      </c>
      <c r="F2833" s="1" t="s">
        <v>2861</v>
      </c>
      <c r="G2833" s="1" t="s">
        <v>28</v>
      </c>
      <c r="H2833" s="1">
        <v>2931</v>
      </c>
      <c r="I2833" s="1">
        <f t="shared" si="356"/>
        <v>66</v>
      </c>
      <c r="J2833" s="1">
        <f>VLOOKUP(B2833,Cena!$A$2:$B$101,2)</f>
        <v>129</v>
      </c>
      <c r="K2833" s="1">
        <f t="shared" si="352"/>
        <v>8514</v>
      </c>
      <c r="L2833" s="1">
        <f t="shared" si="357"/>
        <v>1958.22</v>
      </c>
      <c r="M2833" s="22">
        <f t="shared" si="353"/>
        <v>10472.219999999999</v>
      </c>
      <c r="N2833" s="1">
        <f t="shared" ca="1" si="358"/>
        <v>7</v>
      </c>
      <c r="P2833" s="1">
        <v>66.11551851965487</v>
      </c>
      <c r="Q2833" s="1">
        <f t="shared" ca="1" si="359"/>
        <v>26</v>
      </c>
      <c r="R2833" s="1">
        <v>11.041115638145129</v>
      </c>
    </row>
    <row r="2834" spans="1:18" x14ac:dyDescent="0.3">
      <c r="A2834" s="26">
        <v>2833</v>
      </c>
      <c r="B2834" s="1">
        <v>16</v>
      </c>
      <c r="C2834" s="1">
        <f t="shared" si="355"/>
        <v>11</v>
      </c>
      <c r="D2834" s="21">
        <f t="shared" ca="1" si="354"/>
        <v>44581</v>
      </c>
      <c r="E2834" s="1" t="s">
        <v>26</v>
      </c>
      <c r="F2834" s="1" t="s">
        <v>2862</v>
      </c>
      <c r="G2834" s="1" t="s">
        <v>28</v>
      </c>
      <c r="H2834" s="1">
        <v>2932</v>
      </c>
      <c r="I2834" s="1">
        <f t="shared" si="356"/>
        <v>45</v>
      </c>
      <c r="J2834" s="1">
        <f>VLOOKUP(B2834,Cena!$A$2:$B$101,2)</f>
        <v>93</v>
      </c>
      <c r="K2834" s="1">
        <f t="shared" si="352"/>
        <v>4185</v>
      </c>
      <c r="L2834" s="1">
        <f t="shared" si="357"/>
        <v>962.55000000000007</v>
      </c>
      <c r="M2834" s="22">
        <f t="shared" si="353"/>
        <v>5147.55</v>
      </c>
      <c r="N2834" s="1">
        <f t="shared" ca="1" si="358"/>
        <v>1</v>
      </c>
      <c r="P2834" s="1">
        <v>45.430744093027897</v>
      </c>
      <c r="Q2834" s="1">
        <f t="shared" ca="1" si="359"/>
        <v>26</v>
      </c>
      <c r="R2834" s="1">
        <v>11.998120069401921</v>
      </c>
    </row>
    <row r="2835" spans="1:18" x14ac:dyDescent="0.3">
      <c r="A2835" s="26">
        <v>2834</v>
      </c>
      <c r="B2835" s="1">
        <v>15</v>
      </c>
      <c r="C2835" s="1">
        <f t="shared" si="355"/>
        <v>9</v>
      </c>
      <c r="D2835" s="21">
        <f t="shared" ca="1" si="354"/>
        <v>44878</v>
      </c>
      <c r="E2835" s="1" t="s">
        <v>26</v>
      </c>
      <c r="F2835" s="1" t="s">
        <v>2863</v>
      </c>
      <c r="G2835" s="1" t="s">
        <v>28</v>
      </c>
      <c r="H2835" s="1">
        <v>2933</v>
      </c>
      <c r="I2835" s="1">
        <f t="shared" si="356"/>
        <v>56</v>
      </c>
      <c r="J2835" s="1">
        <f>VLOOKUP(B2835,Cena!$A$2:$B$101,2)</f>
        <v>85</v>
      </c>
      <c r="K2835" s="1">
        <f t="shared" si="352"/>
        <v>4760</v>
      </c>
      <c r="L2835" s="1">
        <f t="shared" si="357"/>
        <v>1094.8</v>
      </c>
      <c r="M2835" s="22">
        <f t="shared" si="353"/>
        <v>5854.8</v>
      </c>
      <c r="N2835" s="1">
        <f t="shared" ca="1" si="358"/>
        <v>11</v>
      </c>
      <c r="P2835" s="1">
        <v>56.415041298168944</v>
      </c>
      <c r="Q2835" s="1">
        <f t="shared" ca="1" si="359"/>
        <v>24</v>
      </c>
      <c r="R2835" s="1">
        <v>9.6969961557624629</v>
      </c>
    </row>
    <row r="2836" spans="1:18" x14ac:dyDescent="0.3">
      <c r="A2836" s="26">
        <v>2835</v>
      </c>
      <c r="B2836" s="1">
        <v>30</v>
      </c>
      <c r="C2836" s="1">
        <f t="shared" si="355"/>
        <v>10</v>
      </c>
      <c r="D2836" s="21">
        <f t="shared" ca="1" si="354"/>
        <v>44782</v>
      </c>
      <c r="E2836" s="1" t="s">
        <v>26</v>
      </c>
      <c r="F2836" s="1" t="s">
        <v>2864</v>
      </c>
      <c r="G2836" s="1" t="s">
        <v>28</v>
      </c>
      <c r="H2836" s="1">
        <v>2934</v>
      </c>
      <c r="I2836" s="1">
        <f t="shared" si="356"/>
        <v>60</v>
      </c>
      <c r="J2836" s="1">
        <f>VLOOKUP(B2836,Cena!$A$2:$B$101,2)</f>
        <v>87</v>
      </c>
      <c r="K2836" s="1">
        <f t="shared" si="352"/>
        <v>5220</v>
      </c>
      <c r="L2836" s="1">
        <f t="shared" si="357"/>
        <v>1200.6000000000001</v>
      </c>
      <c r="M2836" s="22">
        <f t="shared" si="353"/>
        <v>6420.6</v>
      </c>
      <c r="N2836" s="1">
        <f t="shared" ca="1" si="358"/>
        <v>8</v>
      </c>
      <c r="P2836" s="1">
        <v>60.243434189760592</v>
      </c>
      <c r="Q2836" s="1">
        <f t="shared" ca="1" si="359"/>
        <v>26</v>
      </c>
      <c r="R2836" s="1">
        <v>10.643206021777587</v>
      </c>
    </row>
    <row r="2837" spans="1:18" x14ac:dyDescent="0.3">
      <c r="A2837" s="26">
        <v>2836</v>
      </c>
      <c r="B2837" s="1">
        <v>3</v>
      </c>
      <c r="C2837" s="1">
        <f t="shared" si="355"/>
        <v>9</v>
      </c>
      <c r="D2837" s="21">
        <f t="shared" ca="1" si="354"/>
        <v>44757</v>
      </c>
      <c r="E2837" s="1" t="s">
        <v>26</v>
      </c>
      <c r="F2837" s="1" t="s">
        <v>2865</v>
      </c>
      <c r="G2837" s="1" t="s">
        <v>28</v>
      </c>
      <c r="H2837" s="1">
        <v>2935</v>
      </c>
      <c r="I2837" s="1">
        <f t="shared" si="356"/>
        <v>68</v>
      </c>
      <c r="J2837" s="1">
        <f>VLOOKUP(B2837,Cena!$A$2:$B$101,2)</f>
        <v>89</v>
      </c>
      <c r="K2837" s="1">
        <f t="shared" si="352"/>
        <v>6052</v>
      </c>
      <c r="L2837" s="1">
        <f t="shared" si="357"/>
        <v>1391.96</v>
      </c>
      <c r="M2837" s="22">
        <f t="shared" si="353"/>
        <v>7443.96</v>
      </c>
      <c r="N2837" s="1">
        <f t="shared" ca="1" si="358"/>
        <v>7</v>
      </c>
      <c r="P2837" s="1">
        <v>68.545415514381602</v>
      </c>
      <c r="Q2837" s="1">
        <f t="shared" ca="1" si="359"/>
        <v>6</v>
      </c>
      <c r="R2837" s="1">
        <v>9.4659276580932783</v>
      </c>
    </row>
    <row r="2838" spans="1:18" x14ac:dyDescent="0.3">
      <c r="A2838" s="26">
        <v>2837</v>
      </c>
      <c r="B2838" s="1">
        <v>13</v>
      </c>
      <c r="C2838" s="1">
        <f t="shared" si="355"/>
        <v>10</v>
      </c>
      <c r="D2838" s="21">
        <f t="shared" ca="1" si="354"/>
        <v>44917</v>
      </c>
      <c r="E2838" s="1" t="s">
        <v>26</v>
      </c>
      <c r="F2838" s="1" t="s">
        <v>2866</v>
      </c>
      <c r="G2838" s="1" t="s">
        <v>28</v>
      </c>
      <c r="H2838" s="1">
        <v>2936</v>
      </c>
      <c r="I2838" s="1">
        <f t="shared" si="356"/>
        <v>43</v>
      </c>
      <c r="J2838" s="1">
        <f>VLOOKUP(B2838,Cena!$A$2:$B$101,2)</f>
        <v>94</v>
      </c>
      <c r="K2838" s="1">
        <f t="shared" si="352"/>
        <v>4042</v>
      </c>
      <c r="L2838" s="1">
        <f t="shared" si="357"/>
        <v>929.66000000000008</v>
      </c>
      <c r="M2838" s="22">
        <f t="shared" si="353"/>
        <v>4971.66</v>
      </c>
      <c r="N2838" s="1">
        <f t="shared" ca="1" si="358"/>
        <v>12</v>
      </c>
      <c r="P2838" s="1">
        <v>43.26589659176534</v>
      </c>
      <c r="Q2838" s="1">
        <f t="shared" ca="1" si="359"/>
        <v>28</v>
      </c>
      <c r="R2838" s="1">
        <v>10.78385937740677</v>
      </c>
    </row>
    <row r="2839" spans="1:18" x14ac:dyDescent="0.3">
      <c r="A2839" s="26">
        <v>2838</v>
      </c>
      <c r="B2839" s="1">
        <v>15</v>
      </c>
      <c r="C2839" s="1">
        <f t="shared" si="355"/>
        <v>8</v>
      </c>
      <c r="D2839" s="21">
        <f t="shared" ca="1" si="354"/>
        <v>44692</v>
      </c>
      <c r="E2839" s="1" t="s">
        <v>26</v>
      </c>
      <c r="F2839" s="1" t="s">
        <v>2867</v>
      </c>
      <c r="G2839" s="1" t="s">
        <v>28</v>
      </c>
      <c r="H2839" s="1">
        <v>2937</v>
      </c>
      <c r="I2839" s="1">
        <f t="shared" si="356"/>
        <v>31</v>
      </c>
      <c r="J2839" s="1">
        <f>VLOOKUP(B2839,Cena!$A$2:$B$101,2)</f>
        <v>85</v>
      </c>
      <c r="K2839" s="1">
        <f t="shared" si="352"/>
        <v>2635</v>
      </c>
      <c r="L2839" s="1">
        <f t="shared" si="357"/>
        <v>606.05000000000007</v>
      </c>
      <c r="M2839" s="22">
        <f t="shared" si="353"/>
        <v>3241.05</v>
      </c>
      <c r="N2839" s="1">
        <f t="shared" ca="1" si="358"/>
        <v>5</v>
      </c>
      <c r="P2839" s="1">
        <v>31.745577315450646</v>
      </c>
      <c r="Q2839" s="1">
        <f t="shared" ca="1" si="359"/>
        <v>27</v>
      </c>
      <c r="R2839" s="1">
        <v>8.1949827088101301</v>
      </c>
    </row>
    <row r="2840" spans="1:18" x14ac:dyDescent="0.3">
      <c r="A2840" s="26">
        <v>2839</v>
      </c>
      <c r="B2840" s="1">
        <v>22</v>
      </c>
      <c r="C2840" s="1">
        <f t="shared" si="355"/>
        <v>10</v>
      </c>
      <c r="D2840" s="21">
        <f t="shared" ca="1" si="354"/>
        <v>44849</v>
      </c>
      <c r="E2840" s="1" t="s">
        <v>26</v>
      </c>
      <c r="F2840" s="1" t="s">
        <v>2868</v>
      </c>
      <c r="G2840" s="1" t="s">
        <v>28</v>
      </c>
      <c r="H2840" s="1">
        <v>2938</v>
      </c>
      <c r="I2840" s="1">
        <f t="shared" si="356"/>
        <v>52</v>
      </c>
      <c r="J2840" s="1">
        <f>VLOOKUP(B2840,Cena!$A$2:$B$101,2)</f>
        <v>103</v>
      </c>
      <c r="K2840" s="1">
        <f t="shared" si="352"/>
        <v>5356</v>
      </c>
      <c r="L2840" s="1">
        <f t="shared" si="357"/>
        <v>1231.8800000000001</v>
      </c>
      <c r="M2840" s="22">
        <f t="shared" si="353"/>
        <v>6587.88</v>
      </c>
      <c r="N2840" s="1">
        <f t="shared" ca="1" si="358"/>
        <v>10</v>
      </c>
      <c r="P2840" s="1">
        <v>52.397678144916426</v>
      </c>
      <c r="Q2840" s="1">
        <f t="shared" ca="1" si="359"/>
        <v>21</v>
      </c>
      <c r="R2840" s="1">
        <v>10.92765048975707</v>
      </c>
    </row>
    <row r="2841" spans="1:18" x14ac:dyDescent="0.3">
      <c r="A2841" s="26">
        <v>2840</v>
      </c>
      <c r="B2841" s="1">
        <v>24</v>
      </c>
      <c r="C2841" s="1">
        <f t="shared" si="355"/>
        <v>8</v>
      </c>
      <c r="D2841" s="21">
        <f t="shared" ca="1" si="354"/>
        <v>44846</v>
      </c>
      <c r="E2841" s="1" t="s">
        <v>26</v>
      </c>
      <c r="F2841" s="1" t="s">
        <v>2869</v>
      </c>
      <c r="G2841" s="1" t="s">
        <v>28</v>
      </c>
      <c r="H2841" s="1">
        <v>2939</v>
      </c>
      <c r="I2841" s="1">
        <f t="shared" si="356"/>
        <v>43</v>
      </c>
      <c r="J2841" s="1">
        <f>VLOOKUP(B2841,Cena!$A$2:$B$101,2)</f>
        <v>125</v>
      </c>
      <c r="K2841" s="1">
        <f t="shared" si="352"/>
        <v>5375</v>
      </c>
      <c r="L2841" s="1">
        <f t="shared" si="357"/>
        <v>1236.25</v>
      </c>
      <c r="M2841" s="22">
        <f t="shared" si="353"/>
        <v>6611.25</v>
      </c>
      <c r="N2841" s="1">
        <f t="shared" ca="1" si="358"/>
        <v>10</v>
      </c>
      <c r="P2841" s="1">
        <v>43.893004557321547</v>
      </c>
      <c r="Q2841" s="1">
        <f t="shared" ca="1" si="359"/>
        <v>21</v>
      </c>
      <c r="R2841" s="1">
        <v>8.8754893820441794</v>
      </c>
    </row>
    <row r="2842" spans="1:18" x14ac:dyDescent="0.3">
      <c r="A2842" s="26">
        <v>2841</v>
      </c>
      <c r="B2842" s="1">
        <v>28</v>
      </c>
      <c r="C2842" s="1">
        <f t="shared" si="355"/>
        <v>6</v>
      </c>
      <c r="D2842" s="21">
        <f t="shared" ca="1" si="354"/>
        <v>44641</v>
      </c>
      <c r="E2842" s="1" t="s">
        <v>26</v>
      </c>
      <c r="F2842" s="1" t="s">
        <v>2870</v>
      </c>
      <c r="G2842" s="1" t="s">
        <v>28</v>
      </c>
      <c r="H2842" s="1">
        <v>2940</v>
      </c>
      <c r="I2842" s="1">
        <f t="shared" si="356"/>
        <v>47</v>
      </c>
      <c r="J2842" s="1">
        <f>VLOOKUP(B2842,Cena!$A$2:$B$101,2)</f>
        <v>59</v>
      </c>
      <c r="K2842" s="1">
        <f t="shared" si="352"/>
        <v>2773</v>
      </c>
      <c r="L2842" s="1">
        <f t="shared" si="357"/>
        <v>637.79000000000008</v>
      </c>
      <c r="M2842" s="22">
        <f t="shared" si="353"/>
        <v>3410.79</v>
      </c>
      <c r="N2842" s="1">
        <f t="shared" ca="1" si="358"/>
        <v>3</v>
      </c>
      <c r="P2842" s="1">
        <v>47.164525211701402</v>
      </c>
      <c r="Q2842" s="1">
        <f t="shared" ca="1" si="359"/>
        <v>9</v>
      </c>
      <c r="R2842" s="1">
        <v>6.8825761698099086</v>
      </c>
    </row>
    <row r="2843" spans="1:18" x14ac:dyDescent="0.3">
      <c r="A2843" s="26">
        <v>2842</v>
      </c>
      <c r="B2843" s="1">
        <v>18</v>
      </c>
      <c r="C2843" s="1">
        <f t="shared" si="355"/>
        <v>7</v>
      </c>
      <c r="D2843" s="21">
        <f t="shared" ca="1" si="354"/>
        <v>44617</v>
      </c>
      <c r="E2843" s="1" t="s">
        <v>26</v>
      </c>
      <c r="F2843" s="1" t="s">
        <v>2871</v>
      </c>
      <c r="G2843" s="1" t="s">
        <v>28</v>
      </c>
      <c r="H2843" s="1">
        <v>2941</v>
      </c>
      <c r="I2843" s="1">
        <f t="shared" si="356"/>
        <v>48</v>
      </c>
      <c r="J2843" s="1">
        <f>VLOOKUP(B2843,Cena!$A$2:$B$101,2)</f>
        <v>90</v>
      </c>
      <c r="K2843" s="1">
        <f t="shared" si="352"/>
        <v>4320</v>
      </c>
      <c r="L2843" s="1">
        <f t="shared" si="357"/>
        <v>993.6</v>
      </c>
      <c r="M2843" s="22">
        <f t="shared" si="353"/>
        <v>5313.6</v>
      </c>
      <c r="N2843" s="1">
        <f t="shared" ca="1" si="358"/>
        <v>2</v>
      </c>
      <c r="P2843" s="1">
        <v>48.434975623240462</v>
      </c>
      <c r="Q2843" s="1">
        <f t="shared" ca="1" si="359"/>
        <v>23</v>
      </c>
      <c r="R2843" s="1">
        <v>7.1059366998815676</v>
      </c>
    </row>
    <row r="2844" spans="1:18" x14ac:dyDescent="0.3">
      <c r="A2844" s="26">
        <v>2843</v>
      </c>
      <c r="B2844" s="1">
        <v>8</v>
      </c>
      <c r="C2844" s="1">
        <f t="shared" si="355"/>
        <v>3</v>
      </c>
      <c r="D2844" s="21">
        <f t="shared" ca="1" si="354"/>
        <v>44618</v>
      </c>
      <c r="E2844" s="1" t="s">
        <v>26</v>
      </c>
      <c r="F2844" s="1" t="s">
        <v>2872</v>
      </c>
      <c r="G2844" s="1" t="s">
        <v>28</v>
      </c>
      <c r="H2844" s="1">
        <v>2942</v>
      </c>
      <c r="I2844" s="1">
        <f t="shared" si="356"/>
        <v>34</v>
      </c>
      <c r="J2844" s="1">
        <f>VLOOKUP(B2844,Cena!$A$2:$B$101,2)</f>
        <v>88</v>
      </c>
      <c r="K2844" s="1">
        <f t="shared" si="352"/>
        <v>2992</v>
      </c>
      <c r="L2844" s="1">
        <f t="shared" si="357"/>
        <v>688.16000000000008</v>
      </c>
      <c r="M2844" s="22">
        <f t="shared" si="353"/>
        <v>3680.16</v>
      </c>
      <c r="N2844" s="1">
        <f t="shared" ca="1" si="358"/>
        <v>2</v>
      </c>
      <c r="P2844" s="1">
        <v>34.784290063544177</v>
      </c>
      <c r="Q2844" s="1">
        <f t="shared" ca="1" si="359"/>
        <v>27</v>
      </c>
      <c r="R2844" s="1">
        <v>3.8435394142288715</v>
      </c>
    </row>
    <row r="2845" spans="1:18" x14ac:dyDescent="0.3">
      <c r="A2845" s="26">
        <v>2844</v>
      </c>
      <c r="B2845" s="1">
        <v>2</v>
      </c>
      <c r="C2845" s="1">
        <f t="shared" si="355"/>
        <v>5</v>
      </c>
      <c r="D2845" s="21">
        <f t="shared" ca="1" si="354"/>
        <v>44754</v>
      </c>
      <c r="E2845" s="1" t="s">
        <v>26</v>
      </c>
      <c r="F2845" s="1" t="s">
        <v>2873</v>
      </c>
      <c r="G2845" s="1" t="s">
        <v>28</v>
      </c>
      <c r="H2845" s="1">
        <v>2943</v>
      </c>
      <c r="I2845" s="1">
        <f t="shared" si="356"/>
        <v>47</v>
      </c>
      <c r="J2845" s="1">
        <f>VLOOKUP(B2845,Cena!$A$2:$B$101,2)</f>
        <v>121</v>
      </c>
      <c r="K2845" s="1">
        <f t="shared" si="352"/>
        <v>5687</v>
      </c>
      <c r="L2845" s="1">
        <f t="shared" si="357"/>
        <v>1308.01</v>
      </c>
      <c r="M2845" s="22">
        <f t="shared" si="353"/>
        <v>6995.01</v>
      </c>
      <c r="N2845" s="1">
        <f t="shared" ca="1" si="358"/>
        <v>7</v>
      </c>
      <c r="P2845" s="1">
        <v>47.874658674845705</v>
      </c>
      <c r="Q2845" s="1">
        <f t="shared" ca="1" si="359"/>
        <v>8</v>
      </c>
      <c r="R2845" s="1">
        <v>5.4644408717285842</v>
      </c>
    </row>
    <row r="2846" spans="1:18" x14ac:dyDescent="0.3">
      <c r="A2846" s="26">
        <v>2845</v>
      </c>
      <c r="B2846" s="1">
        <v>25</v>
      </c>
      <c r="C2846" s="1">
        <f t="shared" si="355"/>
        <v>14</v>
      </c>
      <c r="D2846" s="21">
        <f t="shared" ca="1" si="354"/>
        <v>44622</v>
      </c>
      <c r="E2846" s="1" t="s">
        <v>26</v>
      </c>
      <c r="F2846" s="1" t="s">
        <v>2874</v>
      </c>
      <c r="G2846" s="1" t="s">
        <v>28</v>
      </c>
      <c r="H2846" s="1">
        <v>2944</v>
      </c>
      <c r="I2846" s="1">
        <f t="shared" si="356"/>
        <v>50</v>
      </c>
      <c r="J2846" s="1">
        <f>VLOOKUP(B2846,Cena!$A$2:$B$101,2)</f>
        <v>108</v>
      </c>
      <c r="K2846" s="1">
        <f t="shared" si="352"/>
        <v>5400</v>
      </c>
      <c r="L2846" s="1">
        <f t="shared" si="357"/>
        <v>1242</v>
      </c>
      <c r="M2846" s="22">
        <f t="shared" si="353"/>
        <v>6642</v>
      </c>
      <c r="N2846" s="1">
        <f t="shared" ca="1" si="358"/>
        <v>3</v>
      </c>
      <c r="P2846" s="1">
        <v>50.159502633323427</v>
      </c>
      <c r="Q2846" s="1">
        <f t="shared" ca="1" si="359"/>
        <v>20</v>
      </c>
      <c r="R2846" s="1">
        <v>14.53358097729506</v>
      </c>
    </row>
    <row r="2847" spans="1:18" x14ac:dyDescent="0.3">
      <c r="A2847" s="26">
        <v>2846</v>
      </c>
      <c r="B2847" s="1">
        <v>9</v>
      </c>
      <c r="C2847" s="1">
        <f t="shared" si="355"/>
        <v>9</v>
      </c>
      <c r="D2847" s="21">
        <f t="shared" ca="1" si="354"/>
        <v>44835</v>
      </c>
      <c r="E2847" s="1" t="s">
        <v>26</v>
      </c>
      <c r="F2847" s="1" t="s">
        <v>2875</v>
      </c>
      <c r="G2847" s="1" t="s">
        <v>28</v>
      </c>
      <c r="H2847" s="1">
        <v>2945</v>
      </c>
      <c r="I2847" s="1">
        <f t="shared" si="356"/>
        <v>57</v>
      </c>
      <c r="J2847" s="1">
        <f>VLOOKUP(B2847,Cena!$A$2:$B$101,2)</f>
        <v>96</v>
      </c>
      <c r="K2847" s="1">
        <f t="shared" ref="K2847:K2910" si="360">I2847*J2847</f>
        <v>5472</v>
      </c>
      <c r="L2847" s="1">
        <f t="shared" si="357"/>
        <v>1258.56</v>
      </c>
      <c r="M2847" s="22">
        <f t="shared" ref="M2847:M2910" si="361">K2847+L2847</f>
        <v>6730.5599999999995</v>
      </c>
      <c r="N2847" s="1">
        <f t="shared" ca="1" si="358"/>
        <v>10</v>
      </c>
      <c r="P2847" s="1">
        <v>57.889730113674887</v>
      </c>
      <c r="Q2847" s="1">
        <f t="shared" ca="1" si="359"/>
        <v>7</v>
      </c>
      <c r="R2847" s="1">
        <v>9.9195665623119567</v>
      </c>
    </row>
    <row r="2848" spans="1:18" x14ac:dyDescent="0.3">
      <c r="A2848" s="26">
        <v>2847</v>
      </c>
      <c r="B2848" s="1">
        <v>5</v>
      </c>
      <c r="C2848" s="1">
        <f t="shared" si="355"/>
        <v>9</v>
      </c>
      <c r="D2848" s="21">
        <f t="shared" ca="1" si="354"/>
        <v>44901</v>
      </c>
      <c r="E2848" s="1" t="s">
        <v>26</v>
      </c>
      <c r="F2848" s="1" t="s">
        <v>2876</v>
      </c>
      <c r="G2848" s="1" t="s">
        <v>28</v>
      </c>
      <c r="H2848" s="1">
        <v>2946</v>
      </c>
      <c r="I2848" s="1">
        <f t="shared" si="356"/>
        <v>59</v>
      </c>
      <c r="J2848" s="1">
        <f>VLOOKUP(B2848,Cena!$A$2:$B$101,2)</f>
        <v>91</v>
      </c>
      <c r="K2848" s="1">
        <f t="shared" si="360"/>
        <v>5369</v>
      </c>
      <c r="L2848" s="1">
        <f t="shared" si="357"/>
        <v>1234.8700000000001</v>
      </c>
      <c r="M2848" s="22">
        <f t="shared" si="361"/>
        <v>6603.87</v>
      </c>
      <c r="N2848" s="1">
        <f t="shared" ca="1" si="358"/>
        <v>12</v>
      </c>
      <c r="P2848" s="1">
        <v>59.765199138200842</v>
      </c>
      <c r="Q2848" s="1">
        <f t="shared" ca="1" si="359"/>
        <v>6</v>
      </c>
      <c r="R2848" s="1">
        <v>9.4796155533549609</v>
      </c>
    </row>
    <row r="2849" spans="1:18" x14ac:dyDescent="0.3">
      <c r="A2849" s="26">
        <v>2848</v>
      </c>
      <c r="B2849" s="1">
        <v>25</v>
      </c>
      <c r="C2849" s="1">
        <f t="shared" si="355"/>
        <v>8</v>
      </c>
      <c r="D2849" s="21">
        <f t="shared" ca="1" si="354"/>
        <v>44671</v>
      </c>
      <c r="E2849" s="1" t="s">
        <v>26</v>
      </c>
      <c r="F2849" s="1" t="s">
        <v>2877</v>
      </c>
      <c r="G2849" s="1" t="s">
        <v>28</v>
      </c>
      <c r="H2849" s="1">
        <v>2947</v>
      </c>
      <c r="I2849" s="1">
        <f t="shared" si="356"/>
        <v>63</v>
      </c>
      <c r="J2849" s="1">
        <f>VLOOKUP(B2849,Cena!$A$2:$B$101,2)</f>
        <v>108</v>
      </c>
      <c r="K2849" s="1">
        <f t="shared" si="360"/>
        <v>6804</v>
      </c>
      <c r="L2849" s="1">
        <f t="shared" si="357"/>
        <v>1564.92</v>
      </c>
      <c r="M2849" s="22">
        <f t="shared" si="361"/>
        <v>8368.92</v>
      </c>
      <c r="N2849" s="1">
        <f t="shared" ca="1" si="358"/>
        <v>4</v>
      </c>
      <c r="P2849" s="1">
        <v>63.704811863135546</v>
      </c>
      <c r="Q2849" s="1">
        <f t="shared" ca="1" si="359"/>
        <v>28</v>
      </c>
      <c r="R2849" s="1">
        <v>8.9092458463346702</v>
      </c>
    </row>
    <row r="2850" spans="1:18" x14ac:dyDescent="0.3">
      <c r="A2850" s="26">
        <v>2849</v>
      </c>
      <c r="B2850" s="1">
        <v>27</v>
      </c>
      <c r="C2850" s="1">
        <f t="shared" si="355"/>
        <v>9</v>
      </c>
      <c r="D2850" s="21">
        <f t="shared" ca="1" si="354"/>
        <v>44646</v>
      </c>
      <c r="E2850" s="1" t="s">
        <v>26</v>
      </c>
      <c r="F2850" s="1" t="s">
        <v>2878</v>
      </c>
      <c r="G2850" s="1" t="s">
        <v>28</v>
      </c>
      <c r="H2850" s="1">
        <v>2948</v>
      </c>
      <c r="I2850" s="1">
        <f t="shared" si="356"/>
        <v>58</v>
      </c>
      <c r="J2850" s="1">
        <f>VLOOKUP(B2850,Cena!$A$2:$B$101,2)</f>
        <v>87</v>
      </c>
      <c r="K2850" s="1">
        <f t="shared" si="360"/>
        <v>5046</v>
      </c>
      <c r="L2850" s="1">
        <f t="shared" si="357"/>
        <v>1160.5800000000002</v>
      </c>
      <c r="M2850" s="22">
        <f t="shared" si="361"/>
        <v>6206.58</v>
      </c>
      <c r="N2850" s="1">
        <f t="shared" ca="1" si="358"/>
        <v>3</v>
      </c>
      <c r="P2850" s="1">
        <v>58.91327545105014</v>
      </c>
      <c r="Q2850" s="1">
        <f t="shared" ca="1" si="359"/>
        <v>20</v>
      </c>
      <c r="R2850" s="1">
        <v>9.306845666069421</v>
      </c>
    </row>
    <row r="2851" spans="1:18" x14ac:dyDescent="0.3">
      <c r="A2851" s="26">
        <v>2850</v>
      </c>
      <c r="B2851" s="1">
        <v>3</v>
      </c>
      <c r="C2851" s="1">
        <f t="shared" si="355"/>
        <v>10</v>
      </c>
      <c r="D2851" s="21">
        <f t="shared" ca="1" si="354"/>
        <v>44780</v>
      </c>
      <c r="E2851" s="1" t="s">
        <v>26</v>
      </c>
      <c r="F2851" s="1" t="s">
        <v>2879</v>
      </c>
      <c r="G2851" s="1" t="s">
        <v>28</v>
      </c>
      <c r="H2851" s="1">
        <v>2949</v>
      </c>
      <c r="I2851" s="1">
        <f t="shared" si="356"/>
        <v>55</v>
      </c>
      <c r="J2851" s="1">
        <f>VLOOKUP(B2851,Cena!$A$2:$B$101,2)</f>
        <v>89</v>
      </c>
      <c r="K2851" s="1">
        <f t="shared" si="360"/>
        <v>4895</v>
      </c>
      <c r="L2851" s="1">
        <f t="shared" si="357"/>
        <v>1125.8500000000001</v>
      </c>
      <c r="M2851" s="22">
        <f t="shared" si="361"/>
        <v>6020.85</v>
      </c>
      <c r="N2851" s="1">
        <f t="shared" ca="1" si="358"/>
        <v>8</v>
      </c>
      <c r="P2851" s="1">
        <v>55.810079528600909</v>
      </c>
      <c r="Q2851" s="1">
        <f t="shared" ca="1" si="359"/>
        <v>8</v>
      </c>
      <c r="R2851" s="1">
        <v>10.40055283534457</v>
      </c>
    </row>
    <row r="2852" spans="1:18" x14ac:dyDescent="0.3">
      <c r="A2852" s="26">
        <v>2851</v>
      </c>
      <c r="B2852" s="1">
        <v>22</v>
      </c>
      <c r="C2852" s="1">
        <f t="shared" si="355"/>
        <v>8</v>
      </c>
      <c r="D2852" s="21">
        <f t="shared" ca="1" si="354"/>
        <v>44873</v>
      </c>
      <c r="E2852" s="1" t="s">
        <v>26</v>
      </c>
      <c r="F2852" s="1" t="s">
        <v>2880</v>
      </c>
      <c r="G2852" s="1" t="s">
        <v>28</v>
      </c>
      <c r="H2852" s="1">
        <v>2950</v>
      </c>
      <c r="I2852" s="1">
        <f t="shared" si="356"/>
        <v>54</v>
      </c>
      <c r="J2852" s="1">
        <f>VLOOKUP(B2852,Cena!$A$2:$B$101,2)</f>
        <v>103</v>
      </c>
      <c r="K2852" s="1">
        <f t="shared" si="360"/>
        <v>5562</v>
      </c>
      <c r="L2852" s="1">
        <f t="shared" si="357"/>
        <v>1279.26</v>
      </c>
      <c r="M2852" s="22">
        <f t="shared" si="361"/>
        <v>6841.26</v>
      </c>
      <c r="N2852" s="1">
        <f t="shared" ca="1" si="358"/>
        <v>11</v>
      </c>
      <c r="P2852" s="1">
        <v>54.157789135206258</v>
      </c>
      <c r="Q2852" s="1">
        <f t="shared" ca="1" si="359"/>
        <v>28</v>
      </c>
      <c r="R2852" s="1">
        <v>8.1598080012190621</v>
      </c>
    </row>
    <row r="2853" spans="1:18" x14ac:dyDescent="0.3">
      <c r="A2853" s="26">
        <v>2852</v>
      </c>
      <c r="B2853" s="1">
        <v>1</v>
      </c>
      <c r="C2853" s="1">
        <f t="shared" si="355"/>
        <v>9</v>
      </c>
      <c r="D2853" s="21">
        <f t="shared" ca="1" si="354"/>
        <v>44744</v>
      </c>
      <c r="E2853" s="1" t="s">
        <v>26</v>
      </c>
      <c r="F2853" s="1" t="s">
        <v>2881</v>
      </c>
      <c r="G2853" s="1" t="s">
        <v>28</v>
      </c>
      <c r="H2853" s="1">
        <v>2951</v>
      </c>
      <c r="I2853" s="1">
        <f t="shared" si="356"/>
        <v>67</v>
      </c>
      <c r="J2853" s="1">
        <f>VLOOKUP(B2853,Cena!$A$2:$B$101,2)</f>
        <v>84</v>
      </c>
      <c r="K2853" s="1">
        <f t="shared" si="360"/>
        <v>5628</v>
      </c>
      <c r="L2853" s="1">
        <f t="shared" si="357"/>
        <v>1294.44</v>
      </c>
      <c r="M2853" s="22">
        <f t="shared" si="361"/>
        <v>6922.4400000000005</v>
      </c>
      <c r="N2853" s="1">
        <f t="shared" ca="1" si="358"/>
        <v>7</v>
      </c>
      <c r="P2853" s="1">
        <v>67.435331756132655</v>
      </c>
      <c r="Q2853" s="1">
        <f t="shared" ca="1" si="359"/>
        <v>13</v>
      </c>
      <c r="R2853" s="1">
        <v>9.7023905962123536</v>
      </c>
    </row>
    <row r="2854" spans="1:18" x14ac:dyDescent="0.3">
      <c r="A2854" s="26">
        <v>2853</v>
      </c>
      <c r="B2854" s="1">
        <v>8</v>
      </c>
      <c r="C2854" s="1">
        <f t="shared" si="355"/>
        <v>8</v>
      </c>
      <c r="D2854" s="21">
        <f t="shared" ca="1" si="354"/>
        <v>44731</v>
      </c>
      <c r="E2854" s="1" t="s">
        <v>26</v>
      </c>
      <c r="F2854" s="1" t="s">
        <v>2882</v>
      </c>
      <c r="G2854" s="1" t="s">
        <v>28</v>
      </c>
      <c r="H2854" s="1">
        <v>2952</v>
      </c>
      <c r="I2854" s="1">
        <f t="shared" si="356"/>
        <v>62</v>
      </c>
      <c r="J2854" s="1">
        <f>VLOOKUP(B2854,Cena!$A$2:$B$101,2)</f>
        <v>88</v>
      </c>
      <c r="K2854" s="1">
        <f t="shared" si="360"/>
        <v>5456</v>
      </c>
      <c r="L2854" s="1">
        <f t="shared" si="357"/>
        <v>1254.8800000000001</v>
      </c>
      <c r="M2854" s="22">
        <f t="shared" si="361"/>
        <v>6710.88</v>
      </c>
      <c r="N2854" s="1">
        <f t="shared" ca="1" si="358"/>
        <v>6</v>
      </c>
      <c r="P2854" s="1">
        <v>62.298414731048979</v>
      </c>
      <c r="Q2854" s="1">
        <f t="shared" ca="1" si="359"/>
        <v>5</v>
      </c>
      <c r="R2854" s="1">
        <v>8.504932818832458</v>
      </c>
    </row>
    <row r="2855" spans="1:18" x14ac:dyDescent="0.3">
      <c r="A2855" s="26">
        <v>2854</v>
      </c>
      <c r="B2855" s="1">
        <v>2</v>
      </c>
      <c r="C2855" s="1">
        <f t="shared" si="355"/>
        <v>9</v>
      </c>
      <c r="D2855" s="21">
        <f t="shared" ca="1" si="354"/>
        <v>44832</v>
      </c>
      <c r="E2855" s="1" t="s">
        <v>26</v>
      </c>
      <c r="F2855" s="1" t="s">
        <v>2883</v>
      </c>
      <c r="G2855" s="1" t="s">
        <v>28</v>
      </c>
      <c r="H2855" s="1">
        <v>2953</v>
      </c>
      <c r="I2855" s="1">
        <f t="shared" si="356"/>
        <v>50</v>
      </c>
      <c r="J2855" s="1">
        <f>VLOOKUP(B2855,Cena!$A$2:$B$101,2)</f>
        <v>121</v>
      </c>
      <c r="K2855" s="1">
        <f t="shared" si="360"/>
        <v>6050</v>
      </c>
      <c r="L2855" s="1">
        <f t="shared" si="357"/>
        <v>1391.5</v>
      </c>
      <c r="M2855" s="22">
        <f t="shared" si="361"/>
        <v>7441.5</v>
      </c>
      <c r="N2855" s="1">
        <f t="shared" ca="1" si="358"/>
        <v>9</v>
      </c>
      <c r="P2855" s="1">
        <v>50.736190486350097</v>
      </c>
      <c r="Q2855" s="1">
        <f t="shared" ca="1" si="359"/>
        <v>17</v>
      </c>
      <c r="R2855" s="1">
        <v>9.183734189500683</v>
      </c>
    </row>
    <row r="2856" spans="1:18" x14ac:dyDescent="0.3">
      <c r="A2856" s="26">
        <v>2855</v>
      </c>
      <c r="B2856" s="1">
        <v>21</v>
      </c>
      <c r="C2856" s="1">
        <f t="shared" si="355"/>
        <v>12</v>
      </c>
      <c r="D2856" s="21">
        <f t="shared" ca="1" si="354"/>
        <v>44735</v>
      </c>
      <c r="E2856" s="1" t="s">
        <v>26</v>
      </c>
      <c r="F2856" s="1" t="s">
        <v>2884</v>
      </c>
      <c r="G2856" s="1" t="s">
        <v>28</v>
      </c>
      <c r="H2856" s="1">
        <v>2954</v>
      </c>
      <c r="I2856" s="1">
        <f t="shared" si="356"/>
        <v>36</v>
      </c>
      <c r="J2856" s="1">
        <f>VLOOKUP(B2856,Cena!$A$2:$B$101,2)</f>
        <v>105</v>
      </c>
      <c r="K2856" s="1">
        <f t="shared" si="360"/>
        <v>3780</v>
      </c>
      <c r="L2856" s="1">
        <f t="shared" si="357"/>
        <v>869.40000000000009</v>
      </c>
      <c r="M2856" s="22">
        <f t="shared" si="361"/>
        <v>4649.3999999999996</v>
      </c>
      <c r="N2856" s="1">
        <f t="shared" ca="1" si="358"/>
        <v>6</v>
      </c>
      <c r="P2856" s="1">
        <v>36.400098350713961</v>
      </c>
      <c r="Q2856" s="1">
        <f t="shared" ca="1" si="359"/>
        <v>26</v>
      </c>
      <c r="R2856" s="1">
        <v>12.177284841309302</v>
      </c>
    </row>
    <row r="2857" spans="1:18" x14ac:dyDescent="0.3">
      <c r="A2857" s="26">
        <v>2856</v>
      </c>
      <c r="B2857" s="1">
        <v>30</v>
      </c>
      <c r="C2857" s="1">
        <f t="shared" si="355"/>
        <v>10</v>
      </c>
      <c r="D2857" s="21">
        <f t="shared" ca="1" si="354"/>
        <v>44907</v>
      </c>
      <c r="E2857" s="1" t="s">
        <v>26</v>
      </c>
      <c r="F2857" s="1" t="s">
        <v>2885</v>
      </c>
      <c r="G2857" s="1" t="s">
        <v>28</v>
      </c>
      <c r="H2857" s="1">
        <v>2955</v>
      </c>
      <c r="I2857" s="1">
        <f t="shared" si="356"/>
        <v>40</v>
      </c>
      <c r="J2857" s="1">
        <f>VLOOKUP(B2857,Cena!$A$2:$B$101,2)</f>
        <v>87</v>
      </c>
      <c r="K2857" s="1">
        <f t="shared" si="360"/>
        <v>3480</v>
      </c>
      <c r="L2857" s="1">
        <f t="shared" si="357"/>
        <v>800.40000000000009</v>
      </c>
      <c r="M2857" s="22">
        <f t="shared" si="361"/>
        <v>4280.3999999999996</v>
      </c>
      <c r="N2857" s="1">
        <f t="shared" ca="1" si="358"/>
        <v>12</v>
      </c>
      <c r="P2857" s="1">
        <v>40.838136909587774</v>
      </c>
      <c r="Q2857" s="1">
        <f t="shared" ca="1" si="359"/>
        <v>27</v>
      </c>
      <c r="R2857" s="1">
        <v>10.37422864807013</v>
      </c>
    </row>
    <row r="2858" spans="1:18" x14ac:dyDescent="0.3">
      <c r="A2858" s="26">
        <v>2857</v>
      </c>
      <c r="B2858" s="1">
        <v>15</v>
      </c>
      <c r="C2858" s="1">
        <f t="shared" si="355"/>
        <v>13</v>
      </c>
      <c r="D2858" s="21">
        <f t="shared" ca="1" si="354"/>
        <v>44678</v>
      </c>
      <c r="E2858" s="1" t="s">
        <v>26</v>
      </c>
      <c r="F2858" s="1" t="s">
        <v>2886</v>
      </c>
      <c r="G2858" s="1" t="s">
        <v>28</v>
      </c>
      <c r="H2858" s="1">
        <v>2956</v>
      </c>
      <c r="I2858" s="1">
        <f t="shared" si="356"/>
        <v>51</v>
      </c>
      <c r="J2858" s="1">
        <f>VLOOKUP(B2858,Cena!$A$2:$B$101,2)</f>
        <v>85</v>
      </c>
      <c r="K2858" s="1">
        <f t="shared" si="360"/>
        <v>4335</v>
      </c>
      <c r="L2858" s="1">
        <f t="shared" si="357"/>
        <v>997.05000000000007</v>
      </c>
      <c r="M2858" s="22">
        <f t="shared" si="361"/>
        <v>5332.05</v>
      </c>
      <c r="N2858" s="1">
        <f t="shared" ca="1" si="358"/>
        <v>4</v>
      </c>
      <c r="P2858" s="1">
        <v>51.086505108105484</v>
      </c>
      <c r="Q2858" s="1">
        <f t="shared" ca="1" si="359"/>
        <v>10</v>
      </c>
      <c r="R2858" s="1">
        <v>13.226489297958324</v>
      </c>
    </row>
    <row r="2859" spans="1:18" x14ac:dyDescent="0.3">
      <c r="A2859" s="26">
        <v>2858</v>
      </c>
      <c r="B2859" s="1">
        <v>7</v>
      </c>
      <c r="C2859" s="1">
        <f t="shared" si="355"/>
        <v>8</v>
      </c>
      <c r="D2859" s="21">
        <f t="shared" ca="1" si="354"/>
        <v>44898</v>
      </c>
      <c r="E2859" s="1" t="s">
        <v>26</v>
      </c>
      <c r="F2859" s="1" t="s">
        <v>2887</v>
      </c>
      <c r="G2859" s="1" t="s">
        <v>28</v>
      </c>
      <c r="H2859" s="1">
        <v>2957</v>
      </c>
      <c r="I2859" s="1">
        <f t="shared" si="356"/>
        <v>41</v>
      </c>
      <c r="J2859" s="1">
        <f>VLOOKUP(B2859,Cena!$A$2:$B$101,2)</f>
        <v>104</v>
      </c>
      <c r="K2859" s="1">
        <f t="shared" si="360"/>
        <v>4264</v>
      </c>
      <c r="L2859" s="1">
        <f t="shared" si="357"/>
        <v>980.72</v>
      </c>
      <c r="M2859" s="22">
        <f t="shared" si="361"/>
        <v>5244.72</v>
      </c>
      <c r="N2859" s="1">
        <f t="shared" ca="1" si="358"/>
        <v>12</v>
      </c>
      <c r="P2859" s="1">
        <v>41.928302733867895</v>
      </c>
      <c r="Q2859" s="1">
        <f t="shared" ca="1" si="359"/>
        <v>24</v>
      </c>
      <c r="R2859" s="1">
        <v>8.405391465894354</v>
      </c>
    </row>
    <row r="2860" spans="1:18" x14ac:dyDescent="0.3">
      <c r="A2860" s="26">
        <v>2859</v>
      </c>
      <c r="B2860" s="1">
        <v>11</v>
      </c>
      <c r="C2860" s="1">
        <f t="shared" si="355"/>
        <v>16</v>
      </c>
      <c r="D2860" s="21">
        <f t="shared" ca="1" si="354"/>
        <v>44806</v>
      </c>
      <c r="E2860" s="1" t="s">
        <v>26</v>
      </c>
      <c r="F2860" s="1" t="s">
        <v>2888</v>
      </c>
      <c r="G2860" s="1" t="s">
        <v>28</v>
      </c>
      <c r="H2860" s="1">
        <v>2958</v>
      </c>
      <c r="I2860" s="1">
        <f t="shared" si="356"/>
        <v>47</v>
      </c>
      <c r="J2860" s="1">
        <f>VLOOKUP(B2860,Cena!$A$2:$B$101,2)</f>
        <v>83</v>
      </c>
      <c r="K2860" s="1">
        <f t="shared" si="360"/>
        <v>3901</v>
      </c>
      <c r="L2860" s="1">
        <f t="shared" si="357"/>
        <v>897.23</v>
      </c>
      <c r="M2860" s="22">
        <f t="shared" si="361"/>
        <v>4798.2299999999996</v>
      </c>
      <c r="N2860" s="1">
        <f t="shared" ca="1" si="358"/>
        <v>9</v>
      </c>
      <c r="P2860" s="1">
        <v>47.208294644224225</v>
      </c>
      <c r="Q2860" s="1">
        <f t="shared" ca="1" si="359"/>
        <v>9</v>
      </c>
      <c r="R2860" s="1">
        <v>16.605205271625891</v>
      </c>
    </row>
    <row r="2861" spans="1:18" x14ac:dyDescent="0.3">
      <c r="A2861" s="26">
        <v>2860</v>
      </c>
      <c r="B2861" s="1">
        <v>24</v>
      </c>
      <c r="C2861" s="1">
        <f t="shared" si="355"/>
        <v>13</v>
      </c>
      <c r="D2861" s="21">
        <f t="shared" ca="1" si="354"/>
        <v>44563</v>
      </c>
      <c r="E2861" s="1" t="s">
        <v>26</v>
      </c>
      <c r="F2861" s="1" t="s">
        <v>2889</v>
      </c>
      <c r="G2861" s="1" t="s">
        <v>28</v>
      </c>
      <c r="H2861" s="1">
        <v>2959</v>
      </c>
      <c r="I2861" s="1">
        <f t="shared" si="356"/>
        <v>48</v>
      </c>
      <c r="J2861" s="1">
        <f>VLOOKUP(B2861,Cena!$A$2:$B$101,2)</f>
        <v>125</v>
      </c>
      <c r="K2861" s="1">
        <f t="shared" si="360"/>
        <v>6000</v>
      </c>
      <c r="L2861" s="1">
        <f t="shared" si="357"/>
        <v>1380</v>
      </c>
      <c r="M2861" s="22">
        <f t="shared" si="361"/>
        <v>7380</v>
      </c>
      <c r="N2861" s="1">
        <f t="shared" ca="1" si="358"/>
        <v>1</v>
      </c>
      <c r="P2861" s="1">
        <v>48.931195932527771</v>
      </c>
      <c r="Q2861" s="1">
        <f t="shared" ca="1" si="359"/>
        <v>13</v>
      </c>
      <c r="R2861" s="1">
        <v>13.634511358541204</v>
      </c>
    </row>
    <row r="2862" spans="1:18" x14ac:dyDescent="0.3">
      <c r="A2862" s="26">
        <v>2861</v>
      </c>
      <c r="B2862" s="1">
        <v>16</v>
      </c>
      <c r="C2862" s="1">
        <f t="shared" si="355"/>
        <v>10</v>
      </c>
      <c r="D2862" s="21">
        <f t="shared" ca="1" si="354"/>
        <v>44856</v>
      </c>
      <c r="E2862" s="1" t="s">
        <v>26</v>
      </c>
      <c r="F2862" s="1" t="s">
        <v>2890</v>
      </c>
      <c r="G2862" s="1" t="s">
        <v>28</v>
      </c>
      <c r="H2862" s="1">
        <v>2960</v>
      </c>
      <c r="I2862" s="1">
        <f t="shared" si="356"/>
        <v>49</v>
      </c>
      <c r="J2862" s="1">
        <f>VLOOKUP(B2862,Cena!$A$2:$B$101,2)</f>
        <v>93</v>
      </c>
      <c r="K2862" s="1">
        <f t="shared" si="360"/>
        <v>4557</v>
      </c>
      <c r="L2862" s="1">
        <f t="shared" si="357"/>
        <v>1048.1100000000001</v>
      </c>
      <c r="M2862" s="22">
        <f t="shared" si="361"/>
        <v>5605.1100000000006</v>
      </c>
      <c r="N2862" s="1">
        <f t="shared" ca="1" si="358"/>
        <v>10</v>
      </c>
      <c r="P2862" s="1">
        <v>49.672911599191139</v>
      </c>
      <c r="Q2862" s="1">
        <f t="shared" ca="1" si="359"/>
        <v>8</v>
      </c>
      <c r="R2862" s="1">
        <v>10.003538502824085</v>
      </c>
    </row>
    <row r="2863" spans="1:18" x14ac:dyDescent="0.3">
      <c r="A2863" s="26">
        <v>2862</v>
      </c>
      <c r="B2863" s="1">
        <v>29</v>
      </c>
      <c r="C2863" s="1">
        <f t="shared" si="355"/>
        <v>12</v>
      </c>
      <c r="D2863" s="21">
        <f t="shared" ca="1" si="354"/>
        <v>44817</v>
      </c>
      <c r="E2863" s="1" t="s">
        <v>26</v>
      </c>
      <c r="F2863" s="1" t="s">
        <v>2891</v>
      </c>
      <c r="G2863" s="1" t="s">
        <v>28</v>
      </c>
      <c r="H2863" s="1">
        <v>2961</v>
      </c>
      <c r="I2863" s="1">
        <f t="shared" si="356"/>
        <v>31</v>
      </c>
      <c r="J2863" s="1">
        <f>VLOOKUP(B2863,Cena!$A$2:$B$101,2)</f>
        <v>105</v>
      </c>
      <c r="K2863" s="1">
        <f t="shared" si="360"/>
        <v>3255</v>
      </c>
      <c r="L2863" s="1">
        <f t="shared" si="357"/>
        <v>748.65</v>
      </c>
      <c r="M2863" s="22">
        <f t="shared" si="361"/>
        <v>4003.65</v>
      </c>
      <c r="N2863" s="1">
        <f t="shared" ca="1" si="358"/>
        <v>9</v>
      </c>
      <c r="P2863" s="1">
        <v>31.865676090819761</v>
      </c>
      <c r="Q2863" s="1">
        <f t="shared" ca="1" si="359"/>
        <v>2</v>
      </c>
      <c r="R2863" s="1">
        <v>12.909820295826648</v>
      </c>
    </row>
    <row r="2864" spans="1:18" x14ac:dyDescent="0.3">
      <c r="A2864" s="26">
        <v>2863</v>
      </c>
      <c r="B2864" s="1">
        <v>7</v>
      </c>
      <c r="C2864" s="1">
        <f t="shared" si="355"/>
        <v>9</v>
      </c>
      <c r="D2864" s="21">
        <f t="shared" ca="1" si="354"/>
        <v>44751</v>
      </c>
      <c r="E2864" s="1" t="s">
        <v>26</v>
      </c>
      <c r="F2864" s="1" t="s">
        <v>2892</v>
      </c>
      <c r="G2864" s="1" t="s">
        <v>28</v>
      </c>
      <c r="H2864" s="1">
        <v>2962</v>
      </c>
      <c r="I2864" s="1">
        <f t="shared" si="356"/>
        <v>72</v>
      </c>
      <c r="J2864" s="1">
        <f>VLOOKUP(B2864,Cena!$A$2:$B$101,2)</f>
        <v>104</v>
      </c>
      <c r="K2864" s="1">
        <f t="shared" si="360"/>
        <v>7488</v>
      </c>
      <c r="L2864" s="1">
        <f t="shared" si="357"/>
        <v>1722.24</v>
      </c>
      <c r="M2864" s="22">
        <f t="shared" si="361"/>
        <v>9210.24</v>
      </c>
      <c r="N2864" s="1">
        <f t="shared" ca="1" si="358"/>
        <v>7</v>
      </c>
      <c r="P2864" s="1">
        <v>72.270978661254048</v>
      </c>
      <c r="Q2864" s="1">
        <f t="shared" ca="1" si="359"/>
        <v>5</v>
      </c>
      <c r="R2864" s="1">
        <v>9.0786989201296819</v>
      </c>
    </row>
    <row r="2865" spans="1:18" x14ac:dyDescent="0.3">
      <c r="A2865" s="26">
        <v>2864</v>
      </c>
      <c r="B2865" s="1">
        <v>27</v>
      </c>
      <c r="C2865" s="1">
        <f t="shared" si="355"/>
        <v>12</v>
      </c>
      <c r="D2865" s="21">
        <f t="shared" ca="1" si="354"/>
        <v>44563</v>
      </c>
      <c r="E2865" s="1" t="s">
        <v>26</v>
      </c>
      <c r="F2865" s="1" t="s">
        <v>2893</v>
      </c>
      <c r="G2865" s="1" t="s">
        <v>28</v>
      </c>
      <c r="H2865" s="1">
        <v>2963</v>
      </c>
      <c r="I2865" s="1">
        <f t="shared" si="356"/>
        <v>45</v>
      </c>
      <c r="J2865" s="1">
        <f>VLOOKUP(B2865,Cena!$A$2:$B$101,2)</f>
        <v>87</v>
      </c>
      <c r="K2865" s="1">
        <f t="shared" si="360"/>
        <v>3915</v>
      </c>
      <c r="L2865" s="1">
        <f t="shared" si="357"/>
        <v>900.45</v>
      </c>
      <c r="M2865" s="22">
        <f t="shared" si="361"/>
        <v>4815.45</v>
      </c>
      <c r="N2865" s="1">
        <f t="shared" ca="1" si="358"/>
        <v>1</v>
      </c>
      <c r="P2865" s="1">
        <v>45.51296241406817</v>
      </c>
      <c r="Q2865" s="1">
        <f t="shared" ca="1" si="359"/>
        <v>15</v>
      </c>
      <c r="R2865" s="1">
        <v>12.929488118752488</v>
      </c>
    </row>
    <row r="2866" spans="1:18" x14ac:dyDescent="0.3">
      <c r="A2866" s="26">
        <v>2865</v>
      </c>
      <c r="B2866" s="1">
        <v>27</v>
      </c>
      <c r="C2866" s="1">
        <f t="shared" si="355"/>
        <v>10</v>
      </c>
      <c r="D2866" s="21">
        <f t="shared" ca="1" si="354"/>
        <v>44890</v>
      </c>
      <c r="E2866" s="1" t="s">
        <v>26</v>
      </c>
      <c r="F2866" s="1" t="s">
        <v>2894</v>
      </c>
      <c r="G2866" s="1" t="s">
        <v>28</v>
      </c>
      <c r="H2866" s="1">
        <v>2964</v>
      </c>
      <c r="I2866" s="1">
        <f t="shared" si="356"/>
        <v>43</v>
      </c>
      <c r="J2866" s="1">
        <f>VLOOKUP(B2866,Cena!$A$2:$B$101,2)</f>
        <v>87</v>
      </c>
      <c r="K2866" s="1">
        <f t="shared" si="360"/>
        <v>3741</v>
      </c>
      <c r="L2866" s="1">
        <f t="shared" si="357"/>
        <v>860.43000000000006</v>
      </c>
      <c r="M2866" s="22">
        <f t="shared" si="361"/>
        <v>4601.43</v>
      </c>
      <c r="N2866" s="1">
        <f t="shared" ca="1" si="358"/>
        <v>11</v>
      </c>
      <c r="P2866" s="1">
        <v>43.789424479473382</v>
      </c>
      <c r="Q2866" s="1">
        <f t="shared" ca="1" si="359"/>
        <v>5</v>
      </c>
      <c r="R2866" s="1">
        <v>10.431771240982926</v>
      </c>
    </row>
    <row r="2867" spans="1:18" x14ac:dyDescent="0.3">
      <c r="A2867" s="26">
        <v>2866</v>
      </c>
      <c r="B2867" s="1">
        <v>24</v>
      </c>
      <c r="C2867" s="1">
        <f t="shared" si="355"/>
        <v>12</v>
      </c>
      <c r="D2867" s="21">
        <f t="shared" ca="1" si="354"/>
        <v>44626</v>
      </c>
      <c r="E2867" s="1" t="s">
        <v>26</v>
      </c>
      <c r="F2867" s="1" t="s">
        <v>2895</v>
      </c>
      <c r="G2867" s="1" t="s">
        <v>28</v>
      </c>
      <c r="H2867" s="1">
        <v>2965</v>
      </c>
      <c r="I2867" s="1">
        <f t="shared" si="356"/>
        <v>48</v>
      </c>
      <c r="J2867" s="1">
        <f>VLOOKUP(B2867,Cena!$A$2:$B$101,2)</f>
        <v>125</v>
      </c>
      <c r="K2867" s="1">
        <f t="shared" si="360"/>
        <v>6000</v>
      </c>
      <c r="L2867" s="1">
        <f t="shared" si="357"/>
        <v>1380</v>
      </c>
      <c r="M2867" s="22">
        <f t="shared" si="361"/>
        <v>7380</v>
      </c>
      <c r="N2867" s="1">
        <f t="shared" ca="1" si="358"/>
        <v>3</v>
      </c>
      <c r="P2867" s="1">
        <v>48.013731783430558</v>
      </c>
      <c r="Q2867" s="1">
        <f t="shared" ca="1" si="359"/>
        <v>20</v>
      </c>
      <c r="R2867" s="1">
        <v>12.311497837581555</v>
      </c>
    </row>
    <row r="2868" spans="1:18" x14ac:dyDescent="0.3">
      <c r="A2868" s="26">
        <v>2867</v>
      </c>
      <c r="B2868" s="1">
        <v>12</v>
      </c>
      <c r="C2868" s="1">
        <f t="shared" si="355"/>
        <v>8</v>
      </c>
      <c r="D2868" s="21">
        <f t="shared" ca="1" si="354"/>
        <v>44668</v>
      </c>
      <c r="E2868" s="1" t="s">
        <v>26</v>
      </c>
      <c r="F2868" s="1" t="s">
        <v>2896</v>
      </c>
      <c r="G2868" s="1" t="s">
        <v>28</v>
      </c>
      <c r="H2868" s="1">
        <v>2966</v>
      </c>
      <c r="I2868" s="1">
        <f t="shared" si="356"/>
        <v>68</v>
      </c>
      <c r="J2868" s="1">
        <f>VLOOKUP(B2868,Cena!$A$2:$B$101,2)</f>
        <v>88</v>
      </c>
      <c r="K2868" s="1">
        <f t="shared" si="360"/>
        <v>5984</v>
      </c>
      <c r="L2868" s="1">
        <f t="shared" si="357"/>
        <v>1376.3200000000002</v>
      </c>
      <c r="M2868" s="22">
        <f t="shared" si="361"/>
        <v>7360.32</v>
      </c>
      <c r="N2868" s="1">
        <f t="shared" ca="1" si="358"/>
        <v>4</v>
      </c>
      <c r="P2868" s="1">
        <v>68.536866264184937</v>
      </c>
      <c r="Q2868" s="1">
        <f t="shared" ca="1" si="359"/>
        <v>28</v>
      </c>
      <c r="R2868" s="1">
        <v>8.7239590382159804</v>
      </c>
    </row>
    <row r="2869" spans="1:18" x14ac:dyDescent="0.3">
      <c r="A2869" s="26">
        <v>2868</v>
      </c>
      <c r="B2869" s="1">
        <v>12</v>
      </c>
      <c r="C2869" s="1">
        <f t="shared" si="355"/>
        <v>20</v>
      </c>
      <c r="D2869" s="21">
        <f t="shared" ca="1" si="354"/>
        <v>44901</v>
      </c>
      <c r="E2869" s="1" t="s">
        <v>26</v>
      </c>
      <c r="F2869" s="1" t="s">
        <v>2897</v>
      </c>
      <c r="G2869" s="1" t="s">
        <v>28</v>
      </c>
      <c r="H2869" s="1">
        <v>2967</v>
      </c>
      <c r="I2869" s="1">
        <f t="shared" si="356"/>
        <v>76</v>
      </c>
      <c r="J2869" s="1">
        <f>VLOOKUP(B2869,Cena!$A$2:$B$101,2)</f>
        <v>88</v>
      </c>
      <c r="K2869" s="1">
        <f t="shared" si="360"/>
        <v>6688</v>
      </c>
      <c r="L2869" s="1">
        <f t="shared" si="357"/>
        <v>1538.24</v>
      </c>
      <c r="M2869" s="22">
        <f t="shared" si="361"/>
        <v>8226.24</v>
      </c>
      <c r="N2869" s="1">
        <f t="shared" ca="1" si="358"/>
        <v>12</v>
      </c>
      <c r="P2869" s="1">
        <v>76.522320695221424</v>
      </c>
      <c r="Q2869" s="1">
        <f t="shared" ca="1" si="359"/>
        <v>24</v>
      </c>
      <c r="R2869" s="1">
        <v>20.023359209299088</v>
      </c>
    </row>
    <row r="2870" spans="1:18" x14ac:dyDescent="0.3">
      <c r="A2870" s="26">
        <v>2869</v>
      </c>
      <c r="B2870" s="1">
        <v>26</v>
      </c>
      <c r="C2870" s="1">
        <f t="shared" si="355"/>
        <v>9</v>
      </c>
      <c r="D2870" s="21">
        <f t="shared" ca="1" si="354"/>
        <v>44729</v>
      </c>
      <c r="E2870" s="1" t="s">
        <v>26</v>
      </c>
      <c r="F2870" s="1" t="s">
        <v>2898</v>
      </c>
      <c r="G2870" s="1" t="s">
        <v>28</v>
      </c>
      <c r="H2870" s="1">
        <v>2968</v>
      </c>
      <c r="I2870" s="1">
        <f t="shared" si="356"/>
        <v>45</v>
      </c>
      <c r="J2870" s="1">
        <f>VLOOKUP(B2870,Cena!$A$2:$B$101,2)</f>
        <v>99</v>
      </c>
      <c r="K2870" s="1">
        <f t="shared" si="360"/>
        <v>4455</v>
      </c>
      <c r="L2870" s="1">
        <f t="shared" si="357"/>
        <v>1024.6500000000001</v>
      </c>
      <c r="M2870" s="22">
        <f t="shared" si="361"/>
        <v>5479.65</v>
      </c>
      <c r="N2870" s="1">
        <f t="shared" ca="1" si="358"/>
        <v>6</v>
      </c>
      <c r="P2870" s="1">
        <v>45.403550201444887</v>
      </c>
      <c r="Q2870" s="1">
        <f t="shared" ca="1" si="359"/>
        <v>29</v>
      </c>
      <c r="R2870" s="1">
        <v>9.1280560607265215</v>
      </c>
    </row>
    <row r="2871" spans="1:18" x14ac:dyDescent="0.3">
      <c r="A2871" s="26">
        <v>2870</v>
      </c>
      <c r="B2871" s="1">
        <v>21</v>
      </c>
      <c r="C2871" s="1">
        <f t="shared" si="355"/>
        <v>12</v>
      </c>
      <c r="D2871" s="21">
        <f t="shared" ca="1" si="354"/>
        <v>44594</v>
      </c>
      <c r="E2871" s="1" t="s">
        <v>26</v>
      </c>
      <c r="F2871" s="1" t="s">
        <v>2899</v>
      </c>
      <c r="G2871" s="1" t="s">
        <v>28</v>
      </c>
      <c r="H2871" s="1">
        <v>2969</v>
      </c>
      <c r="I2871" s="1">
        <f t="shared" si="356"/>
        <v>46</v>
      </c>
      <c r="J2871" s="1">
        <f>VLOOKUP(B2871,Cena!$A$2:$B$101,2)</f>
        <v>105</v>
      </c>
      <c r="K2871" s="1">
        <f t="shared" si="360"/>
        <v>4830</v>
      </c>
      <c r="L2871" s="1">
        <f t="shared" si="357"/>
        <v>1110.9000000000001</v>
      </c>
      <c r="M2871" s="22">
        <f t="shared" si="361"/>
        <v>5940.9</v>
      </c>
      <c r="N2871" s="1">
        <f t="shared" ca="1" si="358"/>
        <v>2</v>
      </c>
      <c r="P2871" s="1">
        <v>46.518727130023763</v>
      </c>
      <c r="Q2871" s="1">
        <f t="shared" ca="1" si="359"/>
        <v>15</v>
      </c>
      <c r="R2871" s="1">
        <v>12.073792870760371</v>
      </c>
    </row>
    <row r="2872" spans="1:18" x14ac:dyDescent="0.3">
      <c r="A2872" s="26">
        <v>2871</v>
      </c>
      <c r="B2872" s="1">
        <v>22</v>
      </c>
      <c r="C2872" s="1">
        <f t="shared" si="355"/>
        <v>12</v>
      </c>
      <c r="D2872" s="21">
        <f t="shared" ca="1" si="354"/>
        <v>44702</v>
      </c>
      <c r="E2872" s="1" t="s">
        <v>26</v>
      </c>
      <c r="F2872" s="1" t="s">
        <v>2900</v>
      </c>
      <c r="G2872" s="1" t="s">
        <v>28</v>
      </c>
      <c r="H2872" s="1">
        <v>2970</v>
      </c>
      <c r="I2872" s="1">
        <f t="shared" si="356"/>
        <v>63</v>
      </c>
      <c r="J2872" s="1">
        <f>VLOOKUP(B2872,Cena!$A$2:$B$101,2)</f>
        <v>103</v>
      </c>
      <c r="K2872" s="1">
        <f t="shared" si="360"/>
        <v>6489</v>
      </c>
      <c r="L2872" s="1">
        <f t="shared" si="357"/>
        <v>1492.47</v>
      </c>
      <c r="M2872" s="22">
        <f t="shared" si="361"/>
        <v>7981.47</v>
      </c>
      <c r="N2872" s="1">
        <f t="shared" ca="1" si="358"/>
        <v>5</v>
      </c>
      <c r="P2872" s="1">
        <v>63.755834515905008</v>
      </c>
      <c r="Q2872" s="1">
        <f t="shared" ca="1" si="359"/>
        <v>21</v>
      </c>
      <c r="R2872" s="1">
        <v>12.232019369330374</v>
      </c>
    </row>
    <row r="2873" spans="1:18" x14ac:dyDescent="0.3">
      <c r="A2873" s="26">
        <v>2872</v>
      </c>
      <c r="B2873" s="1">
        <v>9</v>
      </c>
      <c r="C2873" s="1">
        <f t="shared" si="355"/>
        <v>10</v>
      </c>
      <c r="D2873" s="21">
        <f t="shared" ca="1" si="354"/>
        <v>44725</v>
      </c>
      <c r="E2873" s="1" t="s">
        <v>26</v>
      </c>
      <c r="F2873" s="1" t="s">
        <v>2901</v>
      </c>
      <c r="G2873" s="1" t="s">
        <v>28</v>
      </c>
      <c r="H2873" s="1">
        <v>2971</v>
      </c>
      <c r="I2873" s="1">
        <f t="shared" si="356"/>
        <v>50</v>
      </c>
      <c r="J2873" s="1">
        <f>VLOOKUP(B2873,Cena!$A$2:$B$101,2)</f>
        <v>96</v>
      </c>
      <c r="K2873" s="1">
        <f t="shared" si="360"/>
        <v>4800</v>
      </c>
      <c r="L2873" s="1">
        <f t="shared" si="357"/>
        <v>1104</v>
      </c>
      <c r="M2873" s="22">
        <f t="shared" si="361"/>
        <v>5904</v>
      </c>
      <c r="N2873" s="1">
        <f t="shared" ca="1" si="358"/>
        <v>6</v>
      </c>
      <c r="P2873" s="1">
        <v>50.443446879216935</v>
      </c>
      <c r="Q2873" s="1">
        <f t="shared" ca="1" si="359"/>
        <v>1</v>
      </c>
      <c r="R2873" s="1">
        <v>10.951047240960179</v>
      </c>
    </row>
    <row r="2874" spans="1:18" x14ac:dyDescent="0.3">
      <c r="A2874" s="26">
        <v>2873</v>
      </c>
      <c r="B2874" s="1">
        <v>29</v>
      </c>
      <c r="C2874" s="1">
        <f t="shared" si="355"/>
        <v>9</v>
      </c>
      <c r="D2874" s="21">
        <f t="shared" ca="1" si="354"/>
        <v>44716</v>
      </c>
      <c r="E2874" s="1" t="s">
        <v>26</v>
      </c>
      <c r="F2874" s="1" t="s">
        <v>2902</v>
      </c>
      <c r="G2874" s="1" t="s">
        <v>28</v>
      </c>
      <c r="H2874" s="1">
        <v>2972</v>
      </c>
      <c r="I2874" s="1">
        <f t="shared" si="356"/>
        <v>52</v>
      </c>
      <c r="J2874" s="1">
        <f>VLOOKUP(B2874,Cena!$A$2:$B$101,2)</f>
        <v>105</v>
      </c>
      <c r="K2874" s="1">
        <f t="shared" si="360"/>
        <v>5460</v>
      </c>
      <c r="L2874" s="1">
        <f t="shared" si="357"/>
        <v>1255.8</v>
      </c>
      <c r="M2874" s="22">
        <f t="shared" si="361"/>
        <v>6715.8</v>
      </c>
      <c r="N2874" s="1">
        <f t="shared" ca="1" si="358"/>
        <v>6</v>
      </c>
      <c r="P2874" s="1">
        <v>52.47332536673639</v>
      </c>
      <c r="Q2874" s="1">
        <f t="shared" ca="1" si="359"/>
        <v>12</v>
      </c>
      <c r="R2874" s="1">
        <v>9.8755441765752039</v>
      </c>
    </row>
    <row r="2875" spans="1:18" x14ac:dyDescent="0.3">
      <c r="A2875" s="26">
        <v>2874</v>
      </c>
      <c r="B2875" s="1">
        <v>17</v>
      </c>
      <c r="C2875" s="1">
        <f t="shared" si="355"/>
        <v>10</v>
      </c>
      <c r="D2875" s="21">
        <f t="shared" ca="1" si="354"/>
        <v>44674</v>
      </c>
      <c r="E2875" s="1" t="s">
        <v>26</v>
      </c>
      <c r="F2875" s="1" t="s">
        <v>2903</v>
      </c>
      <c r="G2875" s="1" t="s">
        <v>28</v>
      </c>
      <c r="H2875" s="1">
        <v>2973</v>
      </c>
      <c r="I2875" s="1">
        <f t="shared" si="356"/>
        <v>42</v>
      </c>
      <c r="J2875" s="1">
        <f>VLOOKUP(B2875,Cena!$A$2:$B$101,2)</f>
        <v>84</v>
      </c>
      <c r="K2875" s="1">
        <f t="shared" si="360"/>
        <v>3528</v>
      </c>
      <c r="L2875" s="1">
        <f t="shared" si="357"/>
        <v>811.44</v>
      </c>
      <c r="M2875" s="22">
        <f t="shared" si="361"/>
        <v>4339.4400000000005</v>
      </c>
      <c r="N2875" s="1">
        <f t="shared" ca="1" si="358"/>
        <v>4</v>
      </c>
      <c r="P2875" s="1">
        <v>42.445259522355627</v>
      </c>
      <c r="Q2875" s="1">
        <f t="shared" ca="1" si="359"/>
        <v>13</v>
      </c>
      <c r="R2875" s="1">
        <v>10.000287059265247</v>
      </c>
    </row>
    <row r="2876" spans="1:18" x14ac:dyDescent="0.3">
      <c r="A2876" s="26">
        <v>2875</v>
      </c>
      <c r="B2876" s="1">
        <v>9</v>
      </c>
      <c r="C2876" s="1">
        <f t="shared" si="355"/>
        <v>12</v>
      </c>
      <c r="D2876" s="21">
        <f t="shared" ca="1" si="354"/>
        <v>44904</v>
      </c>
      <c r="E2876" s="1" t="s">
        <v>26</v>
      </c>
      <c r="F2876" s="1" t="s">
        <v>2904</v>
      </c>
      <c r="G2876" s="1" t="s">
        <v>28</v>
      </c>
      <c r="H2876" s="1">
        <v>2974</v>
      </c>
      <c r="I2876" s="1">
        <f t="shared" si="356"/>
        <v>54</v>
      </c>
      <c r="J2876" s="1">
        <f>VLOOKUP(B2876,Cena!$A$2:$B$101,2)</f>
        <v>96</v>
      </c>
      <c r="K2876" s="1">
        <f t="shared" si="360"/>
        <v>5184</v>
      </c>
      <c r="L2876" s="1">
        <f t="shared" si="357"/>
        <v>1192.3200000000002</v>
      </c>
      <c r="M2876" s="22">
        <f t="shared" si="361"/>
        <v>6376.32</v>
      </c>
      <c r="N2876" s="1">
        <f t="shared" ca="1" si="358"/>
        <v>12</v>
      </c>
      <c r="P2876" s="1">
        <v>54.14528358305688</v>
      </c>
      <c r="Q2876" s="1">
        <f t="shared" ca="1" si="359"/>
        <v>6</v>
      </c>
      <c r="R2876" s="1">
        <v>12.442845925543224</v>
      </c>
    </row>
    <row r="2877" spans="1:18" x14ac:dyDescent="0.3">
      <c r="A2877" s="26">
        <v>2876</v>
      </c>
      <c r="B2877" s="1">
        <v>25</v>
      </c>
      <c r="C2877" s="1">
        <f t="shared" si="355"/>
        <v>8</v>
      </c>
      <c r="D2877" s="21">
        <f t="shared" ca="1" si="354"/>
        <v>44683</v>
      </c>
      <c r="E2877" s="1" t="s">
        <v>26</v>
      </c>
      <c r="F2877" s="1" t="s">
        <v>2905</v>
      </c>
      <c r="G2877" s="1" t="s">
        <v>28</v>
      </c>
      <c r="H2877" s="1">
        <v>2975</v>
      </c>
      <c r="I2877" s="1">
        <f t="shared" si="356"/>
        <v>39</v>
      </c>
      <c r="J2877" s="1">
        <f>VLOOKUP(B2877,Cena!$A$2:$B$101,2)</f>
        <v>108</v>
      </c>
      <c r="K2877" s="1">
        <f t="shared" si="360"/>
        <v>4212</v>
      </c>
      <c r="L2877" s="1">
        <f t="shared" si="357"/>
        <v>968.76</v>
      </c>
      <c r="M2877" s="22">
        <f t="shared" si="361"/>
        <v>5180.76</v>
      </c>
      <c r="N2877" s="1">
        <f t="shared" ca="1" si="358"/>
        <v>5</v>
      </c>
      <c r="P2877" s="1">
        <v>39.284992807370145</v>
      </c>
      <c r="Q2877" s="1">
        <f t="shared" ca="1" si="359"/>
        <v>23</v>
      </c>
      <c r="R2877" s="1">
        <v>8.787171762160142</v>
      </c>
    </row>
    <row r="2878" spans="1:18" x14ac:dyDescent="0.3">
      <c r="A2878" s="26">
        <v>2877</v>
      </c>
      <c r="B2878" s="1">
        <v>27</v>
      </c>
      <c r="C2878" s="1">
        <f t="shared" si="355"/>
        <v>13</v>
      </c>
      <c r="D2878" s="21">
        <f t="shared" ca="1" si="354"/>
        <v>44821</v>
      </c>
      <c r="E2878" s="1" t="s">
        <v>26</v>
      </c>
      <c r="F2878" s="1" t="s">
        <v>2906</v>
      </c>
      <c r="G2878" s="1" t="s">
        <v>28</v>
      </c>
      <c r="H2878" s="1">
        <v>2976</v>
      </c>
      <c r="I2878" s="1">
        <f t="shared" si="356"/>
        <v>52</v>
      </c>
      <c r="J2878" s="1">
        <f>VLOOKUP(B2878,Cena!$A$2:$B$101,2)</f>
        <v>87</v>
      </c>
      <c r="K2878" s="1">
        <f t="shared" si="360"/>
        <v>4524</v>
      </c>
      <c r="L2878" s="1">
        <f t="shared" si="357"/>
        <v>1040.52</v>
      </c>
      <c r="M2878" s="22">
        <f t="shared" si="361"/>
        <v>5564.52</v>
      </c>
      <c r="N2878" s="1">
        <f t="shared" ca="1" si="358"/>
        <v>9</v>
      </c>
      <c r="P2878" s="1">
        <v>52.730507731030229</v>
      </c>
      <c r="Q2878" s="1">
        <f t="shared" ca="1" si="359"/>
        <v>21</v>
      </c>
      <c r="R2878" s="1">
        <v>13.351902932990924</v>
      </c>
    </row>
    <row r="2879" spans="1:18" x14ac:dyDescent="0.3">
      <c r="A2879" s="26">
        <v>2878</v>
      </c>
      <c r="B2879" s="1">
        <v>1</v>
      </c>
      <c r="C2879" s="1">
        <f t="shared" si="355"/>
        <v>6</v>
      </c>
      <c r="D2879" s="21">
        <f t="shared" ca="1" si="354"/>
        <v>44749</v>
      </c>
      <c r="E2879" s="1" t="s">
        <v>26</v>
      </c>
      <c r="F2879" s="1" t="s">
        <v>2907</v>
      </c>
      <c r="G2879" s="1" t="s">
        <v>28</v>
      </c>
      <c r="H2879" s="1">
        <v>2977</v>
      </c>
      <c r="I2879" s="1">
        <f t="shared" si="356"/>
        <v>39</v>
      </c>
      <c r="J2879" s="1">
        <f>VLOOKUP(B2879,Cena!$A$2:$B$101,2)</f>
        <v>84</v>
      </c>
      <c r="K2879" s="1">
        <f t="shared" si="360"/>
        <v>3276</v>
      </c>
      <c r="L2879" s="1">
        <f t="shared" si="357"/>
        <v>753.48</v>
      </c>
      <c r="M2879" s="22">
        <f t="shared" si="361"/>
        <v>4029.48</v>
      </c>
      <c r="N2879" s="1">
        <f t="shared" ca="1" si="358"/>
        <v>7</v>
      </c>
      <c r="P2879" s="1">
        <v>39.982757142570335</v>
      </c>
      <c r="Q2879" s="1">
        <f t="shared" ca="1" si="359"/>
        <v>6</v>
      </c>
      <c r="R2879" s="1">
        <v>6.3627374199859332</v>
      </c>
    </row>
    <row r="2880" spans="1:18" x14ac:dyDescent="0.3">
      <c r="A2880" s="26">
        <v>2879</v>
      </c>
      <c r="B2880" s="1">
        <v>13</v>
      </c>
      <c r="C2880" s="1">
        <f t="shared" si="355"/>
        <v>6</v>
      </c>
      <c r="D2880" s="21">
        <f t="shared" ca="1" si="354"/>
        <v>44604</v>
      </c>
      <c r="E2880" s="1" t="s">
        <v>26</v>
      </c>
      <c r="F2880" s="1" t="s">
        <v>2908</v>
      </c>
      <c r="G2880" s="1" t="s">
        <v>28</v>
      </c>
      <c r="H2880" s="1">
        <v>2978</v>
      </c>
      <c r="I2880" s="1">
        <f t="shared" si="356"/>
        <v>39</v>
      </c>
      <c r="J2880" s="1">
        <f>VLOOKUP(B2880,Cena!$A$2:$B$101,2)</f>
        <v>94</v>
      </c>
      <c r="K2880" s="1">
        <f t="shared" si="360"/>
        <v>3666</v>
      </c>
      <c r="L2880" s="1">
        <f t="shared" si="357"/>
        <v>843.18000000000006</v>
      </c>
      <c r="M2880" s="22">
        <f t="shared" si="361"/>
        <v>4509.18</v>
      </c>
      <c r="N2880" s="1">
        <f t="shared" ca="1" si="358"/>
        <v>2</v>
      </c>
      <c r="P2880" s="1">
        <v>39.099796948721632</v>
      </c>
      <c r="Q2880" s="1">
        <f t="shared" ca="1" si="359"/>
        <v>22</v>
      </c>
      <c r="R2880" s="1">
        <v>6.8311499287665356</v>
      </c>
    </row>
    <row r="2881" spans="1:18" x14ac:dyDescent="0.3">
      <c r="A2881" s="26">
        <v>2880</v>
      </c>
      <c r="B2881" s="1">
        <v>11</v>
      </c>
      <c r="C2881" s="1">
        <f t="shared" si="355"/>
        <v>12</v>
      </c>
      <c r="D2881" s="21">
        <f t="shared" ca="1" si="354"/>
        <v>44743</v>
      </c>
      <c r="E2881" s="1" t="s">
        <v>26</v>
      </c>
      <c r="F2881" s="1" t="s">
        <v>2909</v>
      </c>
      <c r="G2881" s="1" t="s">
        <v>28</v>
      </c>
      <c r="H2881" s="1">
        <v>2979</v>
      </c>
      <c r="I2881" s="1">
        <f t="shared" si="356"/>
        <v>46</v>
      </c>
      <c r="J2881" s="1">
        <f>VLOOKUP(B2881,Cena!$A$2:$B$101,2)</f>
        <v>83</v>
      </c>
      <c r="K2881" s="1">
        <f t="shared" si="360"/>
        <v>3818</v>
      </c>
      <c r="L2881" s="1">
        <f t="shared" si="357"/>
        <v>878.14</v>
      </c>
      <c r="M2881" s="22">
        <f t="shared" si="361"/>
        <v>4696.1400000000003</v>
      </c>
      <c r="N2881" s="1">
        <f t="shared" ca="1" si="358"/>
        <v>7</v>
      </c>
      <c r="P2881" s="1">
        <v>46.99048203183338</v>
      </c>
      <c r="Q2881" s="1">
        <f t="shared" ca="1" si="359"/>
        <v>26</v>
      </c>
      <c r="R2881" s="1">
        <v>12.496739170965157</v>
      </c>
    </row>
    <row r="2882" spans="1:18" x14ac:dyDescent="0.3">
      <c r="A2882" s="26">
        <v>2881</v>
      </c>
      <c r="B2882" s="1">
        <v>3</v>
      </c>
      <c r="C2882" s="1">
        <f t="shared" si="355"/>
        <v>9</v>
      </c>
      <c r="D2882" s="21">
        <f t="shared" ref="D2882:D2945" ca="1" si="362">DATE(2022,RANDBETWEEN(1,12),RANDBETWEEN(1,28))</f>
        <v>44697</v>
      </c>
      <c r="E2882" s="1" t="s">
        <v>26</v>
      </c>
      <c r="F2882" s="1" t="s">
        <v>2910</v>
      </c>
      <c r="G2882" s="1" t="s">
        <v>28</v>
      </c>
      <c r="H2882" s="1">
        <v>2980</v>
      </c>
      <c r="I2882" s="1">
        <f t="shared" si="356"/>
        <v>46</v>
      </c>
      <c r="J2882" s="1">
        <f>VLOOKUP(B2882,Cena!$A$2:$B$101,2)</f>
        <v>89</v>
      </c>
      <c r="K2882" s="1">
        <f t="shared" si="360"/>
        <v>4094</v>
      </c>
      <c r="L2882" s="1">
        <f t="shared" si="357"/>
        <v>941.62</v>
      </c>
      <c r="M2882" s="22">
        <f t="shared" si="361"/>
        <v>5035.62</v>
      </c>
      <c r="N2882" s="1">
        <f t="shared" ca="1" si="358"/>
        <v>5</v>
      </c>
      <c r="P2882" s="1">
        <v>46.658186773856869</v>
      </c>
      <c r="Q2882" s="1">
        <f t="shared" ca="1" si="359"/>
        <v>6</v>
      </c>
      <c r="R2882" s="1">
        <v>9.9761882918392075</v>
      </c>
    </row>
    <row r="2883" spans="1:18" x14ac:dyDescent="0.3">
      <c r="A2883" s="26">
        <v>2882</v>
      </c>
      <c r="B2883" s="1">
        <v>1</v>
      </c>
      <c r="C2883" s="1">
        <f t="shared" ref="C2883:C2946" si="363">INT(R2883)</f>
        <v>9</v>
      </c>
      <c r="D2883" s="21">
        <f t="shared" ca="1" si="362"/>
        <v>44869</v>
      </c>
      <c r="E2883" s="1" t="s">
        <v>26</v>
      </c>
      <c r="F2883" s="1" t="s">
        <v>2911</v>
      </c>
      <c r="G2883" s="1" t="s">
        <v>28</v>
      </c>
      <c r="H2883" s="1">
        <v>2981</v>
      </c>
      <c r="I2883" s="1">
        <f t="shared" ref="I2883:I2946" si="364">INT(P2883)</f>
        <v>66</v>
      </c>
      <c r="J2883" s="1">
        <f>VLOOKUP(B2883,Cena!$A$2:$B$101,2)</f>
        <v>84</v>
      </c>
      <c r="K2883" s="1">
        <f t="shared" si="360"/>
        <v>5544</v>
      </c>
      <c r="L2883" s="1">
        <f t="shared" ref="L2883:L2946" si="365">K2883*23%</f>
        <v>1275.1200000000001</v>
      </c>
      <c r="M2883" s="22">
        <f t="shared" si="361"/>
        <v>6819.12</v>
      </c>
      <c r="N2883" s="1">
        <f t="shared" ref="N2883:N2946" ca="1" si="366">MONTH(D2883)</f>
        <v>11</v>
      </c>
      <c r="P2883" s="1">
        <v>66.326521290466189</v>
      </c>
      <c r="Q2883" s="1">
        <f t="shared" ref="Q2883:Q2946" ca="1" si="367">RANDBETWEEN(1,30)</f>
        <v>18</v>
      </c>
      <c r="R2883" s="1">
        <v>9.0997480381338391</v>
      </c>
    </row>
    <row r="2884" spans="1:18" x14ac:dyDescent="0.3">
      <c r="A2884" s="26">
        <v>2883</v>
      </c>
      <c r="B2884" s="1">
        <v>5</v>
      </c>
      <c r="C2884" s="1">
        <f t="shared" si="363"/>
        <v>9</v>
      </c>
      <c r="D2884" s="21">
        <f t="shared" ca="1" si="362"/>
        <v>44755</v>
      </c>
      <c r="E2884" s="1" t="s">
        <v>26</v>
      </c>
      <c r="F2884" s="1" t="s">
        <v>2912</v>
      </c>
      <c r="G2884" s="1" t="s">
        <v>28</v>
      </c>
      <c r="H2884" s="1">
        <v>2982</v>
      </c>
      <c r="I2884" s="1">
        <f t="shared" si="364"/>
        <v>72</v>
      </c>
      <c r="J2884" s="1">
        <f>VLOOKUP(B2884,Cena!$A$2:$B$101,2)</f>
        <v>91</v>
      </c>
      <c r="K2884" s="1">
        <f t="shared" si="360"/>
        <v>6552</v>
      </c>
      <c r="L2884" s="1">
        <f t="shared" si="365"/>
        <v>1506.96</v>
      </c>
      <c r="M2884" s="22">
        <f t="shared" si="361"/>
        <v>8058.96</v>
      </c>
      <c r="N2884" s="1">
        <f t="shared" ca="1" si="366"/>
        <v>7</v>
      </c>
      <c r="P2884" s="1">
        <v>72.72245183121413</v>
      </c>
      <c r="Q2884" s="1">
        <f t="shared" ca="1" si="367"/>
        <v>12</v>
      </c>
      <c r="R2884" s="1">
        <v>9.753563884041796</v>
      </c>
    </row>
    <row r="2885" spans="1:18" x14ac:dyDescent="0.3">
      <c r="A2885" s="26">
        <v>2884</v>
      </c>
      <c r="B2885" s="1">
        <v>20</v>
      </c>
      <c r="C2885" s="1">
        <f t="shared" si="363"/>
        <v>5</v>
      </c>
      <c r="D2885" s="21">
        <f t="shared" ca="1" si="362"/>
        <v>44587</v>
      </c>
      <c r="E2885" s="1" t="s">
        <v>26</v>
      </c>
      <c r="F2885" s="1" t="s">
        <v>2913</v>
      </c>
      <c r="G2885" s="1" t="s">
        <v>28</v>
      </c>
      <c r="H2885" s="1">
        <v>2983</v>
      </c>
      <c r="I2885" s="1">
        <f t="shared" si="364"/>
        <v>59</v>
      </c>
      <c r="J2885" s="1">
        <f>VLOOKUP(B2885,Cena!$A$2:$B$101,2)</f>
        <v>111</v>
      </c>
      <c r="K2885" s="1">
        <f t="shared" si="360"/>
        <v>6549</v>
      </c>
      <c r="L2885" s="1">
        <f t="shared" si="365"/>
        <v>1506.27</v>
      </c>
      <c r="M2885" s="22">
        <f t="shared" si="361"/>
        <v>8055.27</v>
      </c>
      <c r="N2885" s="1">
        <f t="shared" ca="1" si="366"/>
        <v>1</v>
      </c>
      <c r="P2885" s="1">
        <v>59.245991350326221</v>
      </c>
      <c r="Q2885" s="1">
        <f t="shared" ca="1" si="367"/>
        <v>11</v>
      </c>
      <c r="R2885" s="1">
        <v>5.9435399432550184</v>
      </c>
    </row>
    <row r="2886" spans="1:18" x14ac:dyDescent="0.3">
      <c r="A2886" s="26">
        <v>2885</v>
      </c>
      <c r="B2886" s="1">
        <v>29</v>
      </c>
      <c r="C2886" s="1">
        <f t="shared" si="363"/>
        <v>7</v>
      </c>
      <c r="D2886" s="21">
        <f t="shared" ca="1" si="362"/>
        <v>44888</v>
      </c>
      <c r="E2886" s="1" t="s">
        <v>26</v>
      </c>
      <c r="F2886" s="1" t="s">
        <v>2914</v>
      </c>
      <c r="G2886" s="1" t="s">
        <v>28</v>
      </c>
      <c r="H2886" s="1">
        <v>2984</v>
      </c>
      <c r="I2886" s="1">
        <f t="shared" si="364"/>
        <v>36</v>
      </c>
      <c r="J2886" s="1">
        <f>VLOOKUP(B2886,Cena!$A$2:$B$101,2)</f>
        <v>105</v>
      </c>
      <c r="K2886" s="1">
        <f t="shared" si="360"/>
        <v>3780</v>
      </c>
      <c r="L2886" s="1">
        <f t="shared" si="365"/>
        <v>869.40000000000009</v>
      </c>
      <c r="M2886" s="22">
        <f t="shared" si="361"/>
        <v>4649.3999999999996</v>
      </c>
      <c r="N2886" s="1">
        <f t="shared" ca="1" si="366"/>
        <v>11</v>
      </c>
      <c r="P2886" s="1">
        <v>36.907073434849735</v>
      </c>
      <c r="Q2886" s="1">
        <f t="shared" ca="1" si="367"/>
        <v>5</v>
      </c>
      <c r="R2886" s="1">
        <v>7.7651270910428138</v>
      </c>
    </row>
    <row r="2887" spans="1:18" x14ac:dyDescent="0.3">
      <c r="A2887" s="26">
        <v>2886</v>
      </c>
      <c r="B2887" s="1">
        <v>18</v>
      </c>
      <c r="C2887" s="1">
        <f t="shared" si="363"/>
        <v>11</v>
      </c>
      <c r="D2887" s="21">
        <f t="shared" ca="1" si="362"/>
        <v>44897</v>
      </c>
      <c r="E2887" s="1" t="s">
        <v>26</v>
      </c>
      <c r="F2887" s="1" t="s">
        <v>2915</v>
      </c>
      <c r="G2887" s="1" t="s">
        <v>28</v>
      </c>
      <c r="H2887" s="1">
        <v>2985</v>
      </c>
      <c r="I2887" s="1">
        <f t="shared" si="364"/>
        <v>51</v>
      </c>
      <c r="J2887" s="1">
        <f>VLOOKUP(B2887,Cena!$A$2:$B$101,2)</f>
        <v>90</v>
      </c>
      <c r="K2887" s="1">
        <f t="shared" si="360"/>
        <v>4590</v>
      </c>
      <c r="L2887" s="1">
        <f t="shared" si="365"/>
        <v>1055.7</v>
      </c>
      <c r="M2887" s="22">
        <f t="shared" si="361"/>
        <v>5645.7</v>
      </c>
      <c r="N2887" s="1">
        <f t="shared" ca="1" si="366"/>
        <v>12</v>
      </c>
      <c r="P2887" s="1">
        <v>51.253647496923804</v>
      </c>
      <c r="Q2887" s="1">
        <f t="shared" ca="1" si="367"/>
        <v>21</v>
      </c>
      <c r="R2887" s="1">
        <v>11.892499312816653</v>
      </c>
    </row>
    <row r="2888" spans="1:18" x14ac:dyDescent="0.3">
      <c r="A2888" s="26">
        <v>2887</v>
      </c>
      <c r="B2888" s="1">
        <v>30</v>
      </c>
      <c r="C2888" s="1">
        <f t="shared" si="363"/>
        <v>9</v>
      </c>
      <c r="D2888" s="21">
        <f t="shared" ca="1" si="362"/>
        <v>44815</v>
      </c>
      <c r="E2888" s="1" t="s">
        <v>26</v>
      </c>
      <c r="F2888" s="1" t="s">
        <v>2916</v>
      </c>
      <c r="G2888" s="1" t="s">
        <v>28</v>
      </c>
      <c r="H2888" s="1">
        <v>2986</v>
      </c>
      <c r="I2888" s="1">
        <f t="shared" si="364"/>
        <v>35</v>
      </c>
      <c r="J2888" s="1">
        <f>VLOOKUP(B2888,Cena!$A$2:$B$101,2)</f>
        <v>87</v>
      </c>
      <c r="K2888" s="1">
        <f t="shared" si="360"/>
        <v>3045</v>
      </c>
      <c r="L2888" s="1">
        <f t="shared" si="365"/>
        <v>700.35</v>
      </c>
      <c r="M2888" s="22">
        <f t="shared" si="361"/>
        <v>3745.35</v>
      </c>
      <c r="N2888" s="1">
        <f t="shared" ca="1" si="366"/>
        <v>9</v>
      </c>
      <c r="P2888" s="1">
        <v>35.60356289090123</v>
      </c>
      <c r="Q2888" s="1">
        <f t="shared" ca="1" si="367"/>
        <v>13</v>
      </c>
      <c r="R2888" s="1">
        <v>9.326894339901628</v>
      </c>
    </row>
    <row r="2889" spans="1:18" x14ac:dyDescent="0.3">
      <c r="A2889" s="26">
        <v>2888</v>
      </c>
      <c r="B2889" s="1">
        <v>19</v>
      </c>
      <c r="C2889" s="1">
        <f t="shared" si="363"/>
        <v>12</v>
      </c>
      <c r="D2889" s="21">
        <f t="shared" ca="1" si="362"/>
        <v>44693</v>
      </c>
      <c r="E2889" s="1" t="s">
        <v>26</v>
      </c>
      <c r="F2889" s="1" t="s">
        <v>2917</v>
      </c>
      <c r="G2889" s="1" t="s">
        <v>28</v>
      </c>
      <c r="H2889" s="1">
        <v>2987</v>
      </c>
      <c r="I2889" s="1">
        <f t="shared" si="364"/>
        <v>41</v>
      </c>
      <c r="J2889" s="1">
        <f>VLOOKUP(B2889,Cena!$A$2:$B$101,2)</f>
        <v>84</v>
      </c>
      <c r="K2889" s="1">
        <f t="shared" si="360"/>
        <v>3444</v>
      </c>
      <c r="L2889" s="1">
        <f t="shared" si="365"/>
        <v>792.12</v>
      </c>
      <c r="M2889" s="22">
        <f t="shared" si="361"/>
        <v>4236.12</v>
      </c>
      <c r="N2889" s="1">
        <f t="shared" ca="1" si="366"/>
        <v>5</v>
      </c>
      <c r="P2889" s="1">
        <v>41.832578416506294</v>
      </c>
      <c r="Q2889" s="1">
        <f t="shared" ca="1" si="367"/>
        <v>12</v>
      </c>
      <c r="R2889" s="1">
        <v>12.145878852388705</v>
      </c>
    </row>
    <row r="2890" spans="1:18" x14ac:dyDescent="0.3">
      <c r="A2890" s="26">
        <v>2889</v>
      </c>
      <c r="B2890" s="1">
        <v>25</v>
      </c>
      <c r="C2890" s="1">
        <f t="shared" si="363"/>
        <v>15</v>
      </c>
      <c r="D2890" s="21">
        <f t="shared" ca="1" si="362"/>
        <v>44584</v>
      </c>
      <c r="E2890" s="1" t="s">
        <v>26</v>
      </c>
      <c r="F2890" s="1" t="s">
        <v>2918</v>
      </c>
      <c r="G2890" s="1" t="s">
        <v>28</v>
      </c>
      <c r="H2890" s="1">
        <v>2988</v>
      </c>
      <c r="I2890" s="1">
        <f t="shared" si="364"/>
        <v>34</v>
      </c>
      <c r="J2890" s="1">
        <f>VLOOKUP(B2890,Cena!$A$2:$B$101,2)</f>
        <v>108</v>
      </c>
      <c r="K2890" s="1">
        <f t="shared" si="360"/>
        <v>3672</v>
      </c>
      <c r="L2890" s="1">
        <f t="shared" si="365"/>
        <v>844.56000000000006</v>
      </c>
      <c r="M2890" s="22">
        <f t="shared" si="361"/>
        <v>4516.5600000000004</v>
      </c>
      <c r="N2890" s="1">
        <f t="shared" ca="1" si="366"/>
        <v>1</v>
      </c>
      <c r="P2890" s="1">
        <v>34.856913215480745</v>
      </c>
      <c r="Q2890" s="1">
        <f t="shared" ca="1" si="367"/>
        <v>26</v>
      </c>
      <c r="R2890" s="1">
        <v>15.538458935916424</v>
      </c>
    </row>
    <row r="2891" spans="1:18" x14ac:dyDescent="0.3">
      <c r="A2891" s="26">
        <v>2890</v>
      </c>
      <c r="B2891" s="1">
        <v>22</v>
      </c>
      <c r="C2891" s="1">
        <f t="shared" si="363"/>
        <v>6</v>
      </c>
      <c r="D2891" s="21">
        <f t="shared" ca="1" si="362"/>
        <v>44887</v>
      </c>
      <c r="E2891" s="1" t="s">
        <v>26</v>
      </c>
      <c r="F2891" s="1" t="s">
        <v>2919</v>
      </c>
      <c r="G2891" s="1" t="s">
        <v>28</v>
      </c>
      <c r="H2891" s="1">
        <v>2989</v>
      </c>
      <c r="I2891" s="1">
        <f t="shared" si="364"/>
        <v>37</v>
      </c>
      <c r="J2891" s="1">
        <f>VLOOKUP(B2891,Cena!$A$2:$B$101,2)</f>
        <v>103</v>
      </c>
      <c r="K2891" s="1">
        <f t="shared" si="360"/>
        <v>3811</v>
      </c>
      <c r="L2891" s="1">
        <f t="shared" si="365"/>
        <v>876.53000000000009</v>
      </c>
      <c r="M2891" s="22">
        <f t="shared" si="361"/>
        <v>4687.53</v>
      </c>
      <c r="N2891" s="1">
        <f t="shared" ca="1" si="366"/>
        <v>11</v>
      </c>
      <c r="P2891" s="1">
        <v>37.160617820336483</v>
      </c>
      <c r="Q2891" s="1">
        <f t="shared" ca="1" si="367"/>
        <v>12</v>
      </c>
      <c r="R2891" s="1">
        <v>6.1232674650091212</v>
      </c>
    </row>
    <row r="2892" spans="1:18" x14ac:dyDescent="0.3">
      <c r="A2892" s="26">
        <v>2891</v>
      </c>
      <c r="B2892" s="1">
        <v>3</v>
      </c>
      <c r="C2892" s="1">
        <f t="shared" si="363"/>
        <v>13</v>
      </c>
      <c r="D2892" s="21">
        <f t="shared" ca="1" si="362"/>
        <v>44884</v>
      </c>
      <c r="E2892" s="1" t="s">
        <v>26</v>
      </c>
      <c r="F2892" s="1" t="s">
        <v>2920</v>
      </c>
      <c r="G2892" s="1" t="s">
        <v>28</v>
      </c>
      <c r="H2892" s="1">
        <v>2990</v>
      </c>
      <c r="I2892" s="1">
        <f t="shared" si="364"/>
        <v>51</v>
      </c>
      <c r="J2892" s="1">
        <f>VLOOKUP(B2892,Cena!$A$2:$B$101,2)</f>
        <v>89</v>
      </c>
      <c r="K2892" s="1">
        <f t="shared" si="360"/>
        <v>4539</v>
      </c>
      <c r="L2892" s="1">
        <f t="shared" si="365"/>
        <v>1043.97</v>
      </c>
      <c r="M2892" s="22">
        <f t="shared" si="361"/>
        <v>5582.97</v>
      </c>
      <c r="N2892" s="1">
        <f t="shared" ca="1" si="366"/>
        <v>11</v>
      </c>
      <c r="P2892" s="1">
        <v>51.476018951507285</v>
      </c>
      <c r="Q2892" s="1">
        <f t="shared" ca="1" si="367"/>
        <v>11</v>
      </c>
      <c r="R2892" s="1">
        <v>13.081947852479061</v>
      </c>
    </row>
    <row r="2893" spans="1:18" x14ac:dyDescent="0.3">
      <c r="A2893" s="26">
        <v>2892</v>
      </c>
      <c r="B2893" s="1">
        <v>8</v>
      </c>
      <c r="C2893" s="1">
        <f t="shared" si="363"/>
        <v>3</v>
      </c>
      <c r="D2893" s="21">
        <f t="shared" ca="1" si="362"/>
        <v>44799</v>
      </c>
      <c r="E2893" s="1" t="s">
        <v>26</v>
      </c>
      <c r="F2893" s="1" t="s">
        <v>2921</v>
      </c>
      <c r="G2893" s="1" t="s">
        <v>28</v>
      </c>
      <c r="H2893" s="1">
        <v>2991</v>
      </c>
      <c r="I2893" s="1">
        <f t="shared" si="364"/>
        <v>59</v>
      </c>
      <c r="J2893" s="1">
        <f>VLOOKUP(B2893,Cena!$A$2:$B$101,2)</f>
        <v>88</v>
      </c>
      <c r="K2893" s="1">
        <f t="shared" si="360"/>
        <v>5192</v>
      </c>
      <c r="L2893" s="1">
        <f t="shared" si="365"/>
        <v>1194.1600000000001</v>
      </c>
      <c r="M2893" s="22">
        <f t="shared" si="361"/>
        <v>6386.16</v>
      </c>
      <c r="N2893" s="1">
        <f t="shared" ca="1" si="366"/>
        <v>8</v>
      </c>
      <c r="P2893" s="1">
        <v>59.46761247178074</v>
      </c>
      <c r="Q2893" s="1">
        <f t="shared" ca="1" si="367"/>
        <v>25</v>
      </c>
      <c r="R2893" s="1">
        <v>3.9236658974550664</v>
      </c>
    </row>
    <row r="2894" spans="1:18" x14ac:dyDescent="0.3">
      <c r="A2894" s="26">
        <v>2893</v>
      </c>
      <c r="B2894" s="1">
        <v>4</v>
      </c>
      <c r="C2894" s="1">
        <f t="shared" si="363"/>
        <v>5</v>
      </c>
      <c r="D2894" s="21">
        <f t="shared" ca="1" si="362"/>
        <v>44815</v>
      </c>
      <c r="E2894" s="1" t="s">
        <v>26</v>
      </c>
      <c r="F2894" s="1" t="s">
        <v>2922</v>
      </c>
      <c r="G2894" s="1" t="s">
        <v>28</v>
      </c>
      <c r="H2894" s="1">
        <v>2992</v>
      </c>
      <c r="I2894" s="1">
        <f t="shared" si="364"/>
        <v>51</v>
      </c>
      <c r="J2894" s="1">
        <f>VLOOKUP(B2894,Cena!$A$2:$B$101,2)</f>
        <v>99</v>
      </c>
      <c r="K2894" s="1">
        <f t="shared" si="360"/>
        <v>5049</v>
      </c>
      <c r="L2894" s="1">
        <f t="shared" si="365"/>
        <v>1161.27</v>
      </c>
      <c r="M2894" s="22">
        <f t="shared" si="361"/>
        <v>6210.27</v>
      </c>
      <c r="N2894" s="1">
        <f t="shared" ca="1" si="366"/>
        <v>9</v>
      </c>
      <c r="P2894" s="1">
        <v>51.85145836439915</v>
      </c>
      <c r="Q2894" s="1">
        <f t="shared" ca="1" si="367"/>
        <v>21</v>
      </c>
      <c r="R2894" s="1">
        <v>5.5537191453913692</v>
      </c>
    </row>
    <row r="2895" spans="1:18" x14ac:dyDescent="0.3">
      <c r="A2895" s="26">
        <v>2894</v>
      </c>
      <c r="B2895" s="1">
        <v>28</v>
      </c>
      <c r="C2895" s="1">
        <f t="shared" si="363"/>
        <v>11</v>
      </c>
      <c r="D2895" s="21">
        <f t="shared" ca="1" si="362"/>
        <v>44626</v>
      </c>
      <c r="E2895" s="1" t="s">
        <v>26</v>
      </c>
      <c r="F2895" s="1" t="s">
        <v>2923</v>
      </c>
      <c r="G2895" s="1" t="s">
        <v>28</v>
      </c>
      <c r="H2895" s="1">
        <v>2993</v>
      </c>
      <c r="I2895" s="1">
        <f t="shared" si="364"/>
        <v>55</v>
      </c>
      <c r="J2895" s="1">
        <f>VLOOKUP(B2895,Cena!$A$2:$B$101,2)</f>
        <v>59</v>
      </c>
      <c r="K2895" s="1">
        <f t="shared" si="360"/>
        <v>3245</v>
      </c>
      <c r="L2895" s="1">
        <f t="shared" si="365"/>
        <v>746.35</v>
      </c>
      <c r="M2895" s="22">
        <f t="shared" si="361"/>
        <v>3991.35</v>
      </c>
      <c r="N2895" s="1">
        <f t="shared" ca="1" si="366"/>
        <v>3</v>
      </c>
      <c r="P2895" s="1">
        <v>55.117237833474064</v>
      </c>
      <c r="Q2895" s="1">
        <f t="shared" ca="1" si="367"/>
        <v>2</v>
      </c>
      <c r="R2895" s="1">
        <v>11.279309458368516</v>
      </c>
    </row>
    <row r="2896" spans="1:18" x14ac:dyDescent="0.3">
      <c r="A2896" s="26">
        <v>2895</v>
      </c>
      <c r="B2896" s="1">
        <v>13</v>
      </c>
      <c r="C2896" s="1">
        <f t="shared" si="363"/>
        <v>8</v>
      </c>
      <c r="D2896" s="21">
        <f t="shared" ca="1" si="362"/>
        <v>44874</v>
      </c>
      <c r="E2896" s="1" t="s">
        <v>26</v>
      </c>
      <c r="F2896" s="1" t="s">
        <v>2924</v>
      </c>
      <c r="G2896" s="1" t="s">
        <v>28</v>
      </c>
      <c r="H2896" s="1">
        <v>2994</v>
      </c>
      <c r="I2896" s="1">
        <f t="shared" si="364"/>
        <v>55</v>
      </c>
      <c r="J2896" s="1">
        <f>VLOOKUP(B2896,Cena!$A$2:$B$101,2)</f>
        <v>94</v>
      </c>
      <c r="K2896" s="1">
        <f t="shared" si="360"/>
        <v>5170</v>
      </c>
      <c r="L2896" s="1">
        <f t="shared" si="365"/>
        <v>1189.1000000000001</v>
      </c>
      <c r="M2896" s="22">
        <f t="shared" si="361"/>
        <v>6359.1</v>
      </c>
      <c r="N2896" s="1">
        <f t="shared" ca="1" si="366"/>
        <v>11</v>
      </c>
      <c r="P2896" s="1">
        <v>55.179254003451206</v>
      </c>
      <c r="Q2896" s="1">
        <f t="shared" ca="1" si="367"/>
        <v>16</v>
      </c>
      <c r="R2896" s="1">
        <v>8.8195526157142012</v>
      </c>
    </row>
    <row r="2897" spans="1:18" x14ac:dyDescent="0.3">
      <c r="A2897" s="26">
        <v>2896</v>
      </c>
      <c r="B2897" s="1">
        <v>20</v>
      </c>
      <c r="C2897" s="1">
        <f t="shared" si="363"/>
        <v>10</v>
      </c>
      <c r="D2897" s="21">
        <f t="shared" ca="1" si="362"/>
        <v>44904</v>
      </c>
      <c r="E2897" s="1" t="s">
        <v>26</v>
      </c>
      <c r="F2897" s="1" t="s">
        <v>2925</v>
      </c>
      <c r="G2897" s="1" t="s">
        <v>28</v>
      </c>
      <c r="H2897" s="1">
        <v>2995</v>
      </c>
      <c r="I2897" s="1">
        <f t="shared" si="364"/>
        <v>56</v>
      </c>
      <c r="J2897" s="1">
        <f>VLOOKUP(B2897,Cena!$A$2:$B$101,2)</f>
        <v>111</v>
      </c>
      <c r="K2897" s="1">
        <f t="shared" si="360"/>
        <v>6216</v>
      </c>
      <c r="L2897" s="1">
        <f t="shared" si="365"/>
        <v>1429.68</v>
      </c>
      <c r="M2897" s="22">
        <f t="shared" si="361"/>
        <v>7645.68</v>
      </c>
      <c r="N2897" s="1">
        <f t="shared" ca="1" si="366"/>
        <v>12</v>
      </c>
      <c r="P2897" s="1">
        <v>56.967218268982833</v>
      </c>
      <c r="Q2897" s="1">
        <f t="shared" ca="1" si="367"/>
        <v>5</v>
      </c>
      <c r="R2897" s="1">
        <v>10.872756800163188</v>
      </c>
    </row>
    <row r="2898" spans="1:18" x14ac:dyDescent="0.3">
      <c r="A2898" s="26">
        <v>2897</v>
      </c>
      <c r="B2898" s="1">
        <v>9</v>
      </c>
      <c r="C2898" s="1">
        <f t="shared" si="363"/>
        <v>11</v>
      </c>
      <c r="D2898" s="21">
        <f t="shared" ca="1" si="362"/>
        <v>44790</v>
      </c>
      <c r="E2898" s="1" t="s">
        <v>26</v>
      </c>
      <c r="F2898" s="1" t="s">
        <v>2926</v>
      </c>
      <c r="G2898" s="1" t="s">
        <v>28</v>
      </c>
      <c r="H2898" s="1">
        <v>2996</v>
      </c>
      <c r="I2898" s="1">
        <f t="shared" si="364"/>
        <v>46</v>
      </c>
      <c r="J2898" s="1">
        <f>VLOOKUP(B2898,Cena!$A$2:$B$101,2)</f>
        <v>96</v>
      </c>
      <c r="K2898" s="1">
        <f t="shared" si="360"/>
        <v>4416</v>
      </c>
      <c r="L2898" s="1">
        <f t="shared" si="365"/>
        <v>1015.6800000000001</v>
      </c>
      <c r="M2898" s="22">
        <f t="shared" si="361"/>
        <v>5431.68</v>
      </c>
      <c r="N2898" s="1">
        <f t="shared" ca="1" si="366"/>
        <v>8</v>
      </c>
      <c r="P2898" s="1">
        <v>46.624194409378106</v>
      </c>
      <c r="Q2898" s="1">
        <f t="shared" ca="1" si="367"/>
        <v>20</v>
      </c>
      <c r="R2898" s="1">
        <v>11.270814209419768</v>
      </c>
    </row>
    <row r="2899" spans="1:18" x14ac:dyDescent="0.3">
      <c r="A2899" s="26">
        <v>2898</v>
      </c>
      <c r="B2899" s="1">
        <v>5</v>
      </c>
      <c r="C2899" s="1">
        <f t="shared" si="363"/>
        <v>8</v>
      </c>
      <c r="D2899" s="21">
        <f t="shared" ca="1" si="362"/>
        <v>44910</v>
      </c>
      <c r="E2899" s="1" t="s">
        <v>26</v>
      </c>
      <c r="F2899" s="1" t="s">
        <v>2927</v>
      </c>
      <c r="G2899" s="1" t="s">
        <v>28</v>
      </c>
      <c r="H2899" s="1">
        <v>2997</v>
      </c>
      <c r="I2899" s="1">
        <f t="shared" si="364"/>
        <v>55</v>
      </c>
      <c r="J2899" s="1">
        <f>VLOOKUP(B2899,Cena!$A$2:$B$101,2)</f>
        <v>91</v>
      </c>
      <c r="K2899" s="1">
        <f t="shared" si="360"/>
        <v>5005</v>
      </c>
      <c r="L2899" s="1">
        <f t="shared" si="365"/>
        <v>1151.1500000000001</v>
      </c>
      <c r="M2899" s="22">
        <f t="shared" si="361"/>
        <v>6156.15</v>
      </c>
      <c r="N2899" s="1">
        <f t="shared" ca="1" si="366"/>
        <v>12</v>
      </c>
      <c r="P2899" s="1">
        <v>55.586912266153377</v>
      </c>
      <c r="Q2899" s="1">
        <f t="shared" ca="1" si="367"/>
        <v>5</v>
      </c>
      <c r="R2899" s="1">
        <v>8.4594012403249508</v>
      </c>
    </row>
    <row r="2900" spans="1:18" x14ac:dyDescent="0.3">
      <c r="A2900" s="26">
        <v>2899</v>
      </c>
      <c r="B2900" s="1">
        <v>9</v>
      </c>
      <c r="C2900" s="1">
        <f t="shared" si="363"/>
        <v>9</v>
      </c>
      <c r="D2900" s="21">
        <f t="shared" ca="1" si="362"/>
        <v>44678</v>
      </c>
      <c r="E2900" s="1" t="s">
        <v>26</v>
      </c>
      <c r="F2900" s="1" t="s">
        <v>2928</v>
      </c>
      <c r="G2900" s="1" t="s">
        <v>28</v>
      </c>
      <c r="H2900" s="1">
        <v>2998</v>
      </c>
      <c r="I2900" s="1">
        <f t="shared" si="364"/>
        <v>30</v>
      </c>
      <c r="J2900" s="1">
        <f>VLOOKUP(B2900,Cena!$A$2:$B$101,2)</f>
        <v>96</v>
      </c>
      <c r="K2900" s="1">
        <f t="shared" si="360"/>
        <v>2880</v>
      </c>
      <c r="L2900" s="1">
        <f t="shared" si="365"/>
        <v>662.4</v>
      </c>
      <c r="M2900" s="22">
        <f t="shared" si="361"/>
        <v>3542.4</v>
      </c>
      <c r="N2900" s="1">
        <f t="shared" ca="1" si="366"/>
        <v>4</v>
      </c>
      <c r="P2900" s="1">
        <v>30.036864144494757</v>
      </c>
      <c r="Q2900" s="1">
        <f t="shared" ca="1" si="367"/>
        <v>18</v>
      </c>
      <c r="R2900" s="1">
        <v>9.6657606970984489</v>
      </c>
    </row>
    <row r="2901" spans="1:18" x14ac:dyDescent="0.3">
      <c r="A2901" s="26">
        <v>2900</v>
      </c>
      <c r="B2901" s="1">
        <v>12</v>
      </c>
      <c r="C2901" s="1">
        <f t="shared" si="363"/>
        <v>8</v>
      </c>
      <c r="D2901" s="21">
        <f t="shared" ca="1" si="362"/>
        <v>44921</v>
      </c>
      <c r="E2901" s="1" t="s">
        <v>26</v>
      </c>
      <c r="F2901" s="1" t="s">
        <v>2929</v>
      </c>
      <c r="G2901" s="1" t="s">
        <v>28</v>
      </c>
      <c r="H2901" s="1">
        <v>2999</v>
      </c>
      <c r="I2901" s="1">
        <f t="shared" si="364"/>
        <v>65</v>
      </c>
      <c r="J2901" s="1">
        <f>VLOOKUP(B2901,Cena!$A$2:$B$101,2)</f>
        <v>88</v>
      </c>
      <c r="K2901" s="1">
        <f t="shared" si="360"/>
        <v>5720</v>
      </c>
      <c r="L2901" s="1">
        <f t="shared" si="365"/>
        <v>1315.6000000000001</v>
      </c>
      <c r="M2901" s="22">
        <f t="shared" si="361"/>
        <v>7035.6</v>
      </c>
      <c r="N2901" s="1">
        <f t="shared" ca="1" si="366"/>
        <v>12</v>
      </c>
      <c r="P2901" s="1">
        <v>65.787918528076261</v>
      </c>
      <c r="Q2901" s="1">
        <f t="shared" ca="1" si="367"/>
        <v>21</v>
      </c>
      <c r="R2901" s="1">
        <v>8.4734813551767729</v>
      </c>
    </row>
    <row r="2902" spans="1:18" x14ac:dyDescent="0.3">
      <c r="A2902" s="26">
        <v>2901</v>
      </c>
      <c r="B2902" s="1">
        <v>2</v>
      </c>
      <c r="C2902" s="1">
        <f t="shared" si="363"/>
        <v>5</v>
      </c>
      <c r="D2902" s="21">
        <f t="shared" ca="1" si="362"/>
        <v>44808</v>
      </c>
      <c r="E2902" s="1" t="s">
        <v>26</v>
      </c>
      <c r="F2902" s="1" t="s">
        <v>2930</v>
      </c>
      <c r="G2902" s="1" t="s">
        <v>28</v>
      </c>
      <c r="H2902" s="1">
        <v>3000</v>
      </c>
      <c r="I2902" s="1">
        <f t="shared" si="364"/>
        <v>49</v>
      </c>
      <c r="J2902" s="1">
        <f>VLOOKUP(B2902,Cena!$A$2:$B$101,2)</f>
        <v>121</v>
      </c>
      <c r="K2902" s="1">
        <f t="shared" si="360"/>
        <v>5929</v>
      </c>
      <c r="L2902" s="1">
        <f t="shared" si="365"/>
        <v>1363.67</v>
      </c>
      <c r="M2902" s="22">
        <f t="shared" si="361"/>
        <v>7292.67</v>
      </c>
      <c r="N2902" s="1">
        <f t="shared" ca="1" si="366"/>
        <v>9</v>
      </c>
      <c r="P2902" s="1">
        <v>49.406406914204126</v>
      </c>
      <c r="Q2902" s="1">
        <f t="shared" ca="1" si="367"/>
        <v>17</v>
      </c>
      <c r="R2902" s="1">
        <v>5.6111196297570132</v>
      </c>
    </row>
    <row r="2903" spans="1:18" x14ac:dyDescent="0.3">
      <c r="A2903" s="26">
        <v>2902</v>
      </c>
      <c r="B2903" s="1">
        <v>26</v>
      </c>
      <c r="C2903" s="1">
        <f t="shared" si="363"/>
        <v>10</v>
      </c>
      <c r="D2903" s="21">
        <f t="shared" ca="1" si="362"/>
        <v>44853</v>
      </c>
      <c r="E2903" s="1" t="s">
        <v>26</v>
      </c>
      <c r="F2903" s="1" t="s">
        <v>2931</v>
      </c>
      <c r="G2903" s="1" t="s">
        <v>28</v>
      </c>
      <c r="H2903" s="1">
        <v>3001</v>
      </c>
      <c r="I2903" s="1">
        <f t="shared" si="364"/>
        <v>65</v>
      </c>
      <c r="J2903" s="1">
        <f>VLOOKUP(B2903,Cena!$A$2:$B$101,2)</f>
        <v>99</v>
      </c>
      <c r="K2903" s="1">
        <f t="shared" si="360"/>
        <v>6435</v>
      </c>
      <c r="L2903" s="1">
        <f t="shared" si="365"/>
        <v>1480.05</v>
      </c>
      <c r="M2903" s="22">
        <f t="shared" si="361"/>
        <v>7915.05</v>
      </c>
      <c r="N2903" s="1">
        <f t="shared" ca="1" si="366"/>
        <v>10</v>
      </c>
      <c r="P2903" s="1">
        <v>65.336081560235471</v>
      </c>
      <c r="Q2903" s="1">
        <f t="shared" ca="1" si="367"/>
        <v>22</v>
      </c>
      <c r="R2903" s="1">
        <v>10.437015046372835</v>
      </c>
    </row>
    <row r="2904" spans="1:18" x14ac:dyDescent="0.3">
      <c r="A2904" s="26">
        <v>2903</v>
      </c>
      <c r="B2904" s="1">
        <v>11</v>
      </c>
      <c r="C2904" s="1">
        <f t="shared" si="363"/>
        <v>8</v>
      </c>
      <c r="D2904" s="21">
        <f t="shared" ca="1" si="362"/>
        <v>44748</v>
      </c>
      <c r="E2904" s="1" t="s">
        <v>26</v>
      </c>
      <c r="F2904" s="1" t="s">
        <v>2932</v>
      </c>
      <c r="G2904" s="1" t="s">
        <v>28</v>
      </c>
      <c r="H2904" s="1">
        <v>3002</v>
      </c>
      <c r="I2904" s="1">
        <f t="shared" si="364"/>
        <v>33</v>
      </c>
      <c r="J2904" s="1">
        <f>VLOOKUP(B2904,Cena!$A$2:$B$101,2)</f>
        <v>83</v>
      </c>
      <c r="K2904" s="1">
        <f t="shared" si="360"/>
        <v>2739</v>
      </c>
      <c r="L2904" s="1">
        <f t="shared" si="365"/>
        <v>629.97</v>
      </c>
      <c r="M2904" s="22">
        <f t="shared" si="361"/>
        <v>3368.9700000000003</v>
      </c>
      <c r="N2904" s="1">
        <f t="shared" ca="1" si="366"/>
        <v>7</v>
      </c>
      <c r="P2904" s="1">
        <v>33.181260176934302</v>
      </c>
      <c r="Q2904" s="1">
        <f t="shared" ca="1" si="367"/>
        <v>30</v>
      </c>
      <c r="R2904" s="1">
        <v>8.6641171290102648</v>
      </c>
    </row>
    <row r="2905" spans="1:18" x14ac:dyDescent="0.3">
      <c r="A2905" s="26">
        <v>2904</v>
      </c>
      <c r="B2905" s="1">
        <v>13</v>
      </c>
      <c r="C2905" s="1">
        <f t="shared" si="363"/>
        <v>7</v>
      </c>
      <c r="D2905" s="21">
        <f t="shared" ca="1" si="362"/>
        <v>44776</v>
      </c>
      <c r="E2905" s="1" t="s">
        <v>26</v>
      </c>
      <c r="F2905" s="1" t="s">
        <v>2933</v>
      </c>
      <c r="G2905" s="1" t="s">
        <v>28</v>
      </c>
      <c r="H2905" s="1">
        <v>3003</v>
      </c>
      <c r="I2905" s="1">
        <f t="shared" si="364"/>
        <v>55</v>
      </c>
      <c r="J2905" s="1">
        <f>VLOOKUP(B2905,Cena!$A$2:$B$101,2)</f>
        <v>94</v>
      </c>
      <c r="K2905" s="1">
        <f t="shared" si="360"/>
        <v>5170</v>
      </c>
      <c r="L2905" s="1">
        <f t="shared" si="365"/>
        <v>1189.1000000000001</v>
      </c>
      <c r="M2905" s="22">
        <f t="shared" si="361"/>
        <v>6359.1</v>
      </c>
      <c r="N2905" s="1">
        <f t="shared" ca="1" si="366"/>
        <v>8</v>
      </c>
      <c r="P2905" s="1">
        <v>55.578863238042686</v>
      </c>
      <c r="Q2905" s="1">
        <f t="shared" ca="1" si="367"/>
        <v>22</v>
      </c>
      <c r="R2905" s="1">
        <v>7.790393990726443</v>
      </c>
    </row>
    <row r="2906" spans="1:18" x14ac:dyDescent="0.3">
      <c r="A2906" s="26">
        <v>2905</v>
      </c>
      <c r="B2906" s="1">
        <v>23</v>
      </c>
      <c r="C2906" s="1">
        <f t="shared" si="363"/>
        <v>11</v>
      </c>
      <c r="D2906" s="21">
        <f t="shared" ca="1" si="362"/>
        <v>44646</v>
      </c>
      <c r="E2906" s="1" t="s">
        <v>26</v>
      </c>
      <c r="F2906" s="1" t="s">
        <v>2934</v>
      </c>
      <c r="G2906" s="1" t="s">
        <v>28</v>
      </c>
      <c r="H2906" s="1">
        <v>3004</v>
      </c>
      <c r="I2906" s="1">
        <f t="shared" si="364"/>
        <v>59</v>
      </c>
      <c r="J2906" s="1">
        <f>VLOOKUP(B2906,Cena!$A$2:$B$101,2)</f>
        <v>132</v>
      </c>
      <c r="K2906" s="1">
        <f t="shared" si="360"/>
        <v>7788</v>
      </c>
      <c r="L2906" s="1">
        <f t="shared" si="365"/>
        <v>1791.24</v>
      </c>
      <c r="M2906" s="22">
        <f t="shared" si="361"/>
        <v>9579.24</v>
      </c>
      <c r="N2906" s="1">
        <f t="shared" ca="1" si="366"/>
        <v>3</v>
      </c>
      <c r="P2906" s="1">
        <v>59.761515684658661</v>
      </c>
      <c r="Q2906" s="1">
        <f t="shared" ca="1" si="367"/>
        <v>30</v>
      </c>
      <c r="R2906" s="1">
        <v>11.486387191107497</v>
      </c>
    </row>
    <row r="2907" spans="1:18" x14ac:dyDescent="0.3">
      <c r="A2907" s="26">
        <v>2906</v>
      </c>
      <c r="B2907" s="1">
        <v>11</v>
      </c>
      <c r="C2907" s="1">
        <f t="shared" si="363"/>
        <v>11</v>
      </c>
      <c r="D2907" s="21">
        <f t="shared" ca="1" si="362"/>
        <v>44565</v>
      </c>
      <c r="E2907" s="1" t="s">
        <v>26</v>
      </c>
      <c r="F2907" s="1" t="s">
        <v>2935</v>
      </c>
      <c r="G2907" s="1" t="s">
        <v>28</v>
      </c>
      <c r="H2907" s="1">
        <v>3005</v>
      </c>
      <c r="I2907" s="1">
        <f t="shared" si="364"/>
        <v>45</v>
      </c>
      <c r="J2907" s="1">
        <f>VLOOKUP(B2907,Cena!$A$2:$B$101,2)</f>
        <v>83</v>
      </c>
      <c r="K2907" s="1">
        <f t="shared" si="360"/>
        <v>3735</v>
      </c>
      <c r="L2907" s="1">
        <f t="shared" si="365"/>
        <v>859.05000000000007</v>
      </c>
      <c r="M2907" s="22">
        <f t="shared" si="361"/>
        <v>4594.05</v>
      </c>
      <c r="N2907" s="1">
        <f t="shared" ca="1" si="366"/>
        <v>1</v>
      </c>
      <c r="P2907" s="1">
        <v>45.296161614533048</v>
      </c>
      <c r="Q2907" s="1">
        <f t="shared" ca="1" si="367"/>
        <v>18</v>
      </c>
      <c r="R2907" s="1">
        <v>11.244768554897746</v>
      </c>
    </row>
    <row r="2908" spans="1:18" x14ac:dyDescent="0.3">
      <c r="A2908" s="26">
        <v>2907</v>
      </c>
      <c r="B2908" s="1">
        <v>20</v>
      </c>
      <c r="C2908" s="1">
        <f t="shared" si="363"/>
        <v>14</v>
      </c>
      <c r="D2908" s="21">
        <f t="shared" ca="1" si="362"/>
        <v>44682</v>
      </c>
      <c r="E2908" s="1" t="s">
        <v>26</v>
      </c>
      <c r="F2908" s="1" t="s">
        <v>2936</v>
      </c>
      <c r="G2908" s="1" t="s">
        <v>28</v>
      </c>
      <c r="H2908" s="1">
        <v>3006</v>
      </c>
      <c r="I2908" s="1">
        <f t="shared" si="364"/>
        <v>40</v>
      </c>
      <c r="J2908" s="1">
        <f>VLOOKUP(B2908,Cena!$A$2:$B$101,2)</f>
        <v>111</v>
      </c>
      <c r="K2908" s="1">
        <f t="shared" si="360"/>
        <v>4440</v>
      </c>
      <c r="L2908" s="1">
        <f t="shared" si="365"/>
        <v>1021.2</v>
      </c>
      <c r="M2908" s="22">
        <f t="shared" si="361"/>
        <v>5461.2</v>
      </c>
      <c r="N2908" s="1">
        <f t="shared" ca="1" si="366"/>
        <v>5</v>
      </c>
      <c r="P2908" s="1">
        <v>40.011770023556892</v>
      </c>
      <c r="Q2908" s="1">
        <f t="shared" ca="1" si="367"/>
        <v>18</v>
      </c>
      <c r="R2908" s="1">
        <v>14.127264219278004</v>
      </c>
    </row>
    <row r="2909" spans="1:18" x14ac:dyDescent="0.3">
      <c r="A2909" s="26">
        <v>2908</v>
      </c>
      <c r="B2909" s="1">
        <v>28</v>
      </c>
      <c r="C2909" s="1">
        <f t="shared" si="363"/>
        <v>10</v>
      </c>
      <c r="D2909" s="21">
        <f t="shared" ca="1" si="362"/>
        <v>44639</v>
      </c>
      <c r="E2909" s="1" t="s">
        <v>26</v>
      </c>
      <c r="F2909" s="1" t="s">
        <v>2937</v>
      </c>
      <c r="G2909" s="1" t="s">
        <v>28</v>
      </c>
      <c r="H2909" s="1">
        <v>3007</v>
      </c>
      <c r="I2909" s="1">
        <f t="shared" si="364"/>
        <v>55</v>
      </c>
      <c r="J2909" s="1">
        <f>VLOOKUP(B2909,Cena!$A$2:$B$101,2)</f>
        <v>59</v>
      </c>
      <c r="K2909" s="1">
        <f t="shared" si="360"/>
        <v>3245</v>
      </c>
      <c r="L2909" s="1">
        <f t="shared" si="365"/>
        <v>746.35</v>
      </c>
      <c r="M2909" s="22">
        <f t="shared" si="361"/>
        <v>3991.35</v>
      </c>
      <c r="N2909" s="1">
        <f t="shared" ca="1" si="366"/>
        <v>3</v>
      </c>
      <c r="P2909" s="1">
        <v>55.153015081305057</v>
      </c>
      <c r="Q2909" s="1">
        <f t="shared" ca="1" si="367"/>
        <v>30</v>
      </c>
      <c r="R2909" s="1">
        <v>10.308398284687428</v>
      </c>
    </row>
    <row r="2910" spans="1:18" x14ac:dyDescent="0.3">
      <c r="A2910" s="26">
        <v>2909</v>
      </c>
      <c r="B2910" s="1">
        <v>8</v>
      </c>
      <c r="C2910" s="1">
        <f t="shared" si="363"/>
        <v>10</v>
      </c>
      <c r="D2910" s="21">
        <f t="shared" ca="1" si="362"/>
        <v>44806</v>
      </c>
      <c r="E2910" s="1" t="s">
        <v>26</v>
      </c>
      <c r="F2910" s="1" t="s">
        <v>2938</v>
      </c>
      <c r="G2910" s="1" t="s">
        <v>28</v>
      </c>
      <c r="H2910" s="1">
        <v>3008</v>
      </c>
      <c r="I2910" s="1">
        <f t="shared" si="364"/>
        <v>53</v>
      </c>
      <c r="J2910" s="1">
        <f>VLOOKUP(B2910,Cena!$A$2:$B$101,2)</f>
        <v>88</v>
      </c>
      <c r="K2910" s="1">
        <f t="shared" si="360"/>
        <v>4664</v>
      </c>
      <c r="L2910" s="1">
        <f t="shared" si="365"/>
        <v>1072.72</v>
      </c>
      <c r="M2910" s="22">
        <f t="shared" si="361"/>
        <v>5736.72</v>
      </c>
      <c r="N2910" s="1">
        <f t="shared" ca="1" si="366"/>
        <v>9</v>
      </c>
      <c r="P2910" s="1">
        <v>53.133823156531435</v>
      </c>
      <c r="Q2910" s="1">
        <f t="shared" ca="1" si="367"/>
        <v>28</v>
      </c>
      <c r="R2910" s="1">
        <v>10.26700774924393</v>
      </c>
    </row>
    <row r="2911" spans="1:18" x14ac:dyDescent="0.3">
      <c r="A2911" s="26">
        <v>2910</v>
      </c>
      <c r="B2911" s="1">
        <v>9</v>
      </c>
      <c r="C2911" s="1">
        <f t="shared" si="363"/>
        <v>13</v>
      </c>
      <c r="D2911" s="21">
        <f t="shared" ca="1" si="362"/>
        <v>44586</v>
      </c>
      <c r="E2911" s="1" t="s">
        <v>26</v>
      </c>
      <c r="F2911" s="1" t="s">
        <v>2939</v>
      </c>
      <c r="G2911" s="1" t="s">
        <v>28</v>
      </c>
      <c r="H2911" s="1">
        <v>3009</v>
      </c>
      <c r="I2911" s="1">
        <f t="shared" si="364"/>
        <v>52</v>
      </c>
      <c r="J2911" s="1">
        <f>VLOOKUP(B2911,Cena!$A$2:$B$101,2)</f>
        <v>96</v>
      </c>
      <c r="K2911" s="1">
        <f t="shared" ref="K2911:K2974" si="368">I2911*J2911</f>
        <v>4992</v>
      </c>
      <c r="L2911" s="1">
        <f t="shared" si="365"/>
        <v>1148.1600000000001</v>
      </c>
      <c r="M2911" s="22">
        <f t="shared" ref="M2911:M2974" si="369">K2911+L2911</f>
        <v>6140.16</v>
      </c>
      <c r="N2911" s="1">
        <f t="shared" ca="1" si="366"/>
        <v>1</v>
      </c>
      <c r="P2911" s="1">
        <v>52.219326233898755</v>
      </c>
      <c r="Q2911" s="1">
        <f t="shared" ca="1" si="367"/>
        <v>9</v>
      </c>
      <c r="R2911" s="1">
        <v>13.60993226422579</v>
      </c>
    </row>
    <row r="2912" spans="1:18" x14ac:dyDescent="0.3">
      <c r="A2912" s="26">
        <v>2911</v>
      </c>
      <c r="B2912" s="1">
        <v>2</v>
      </c>
      <c r="C2912" s="1">
        <f t="shared" si="363"/>
        <v>16</v>
      </c>
      <c r="D2912" s="21">
        <f t="shared" ca="1" si="362"/>
        <v>44880</v>
      </c>
      <c r="E2912" s="1" t="s">
        <v>26</v>
      </c>
      <c r="F2912" s="1" t="s">
        <v>2940</v>
      </c>
      <c r="G2912" s="1" t="s">
        <v>28</v>
      </c>
      <c r="H2912" s="1">
        <v>3010</v>
      </c>
      <c r="I2912" s="1">
        <f t="shared" si="364"/>
        <v>61</v>
      </c>
      <c r="J2912" s="1">
        <f>VLOOKUP(B2912,Cena!$A$2:$B$101,2)</f>
        <v>121</v>
      </c>
      <c r="K2912" s="1">
        <f t="shared" si="368"/>
        <v>7381</v>
      </c>
      <c r="L2912" s="1">
        <f t="shared" si="365"/>
        <v>1697.63</v>
      </c>
      <c r="M2912" s="22">
        <f t="shared" si="369"/>
        <v>9078.630000000001</v>
      </c>
      <c r="N2912" s="1">
        <f t="shared" ca="1" si="366"/>
        <v>11</v>
      </c>
      <c r="P2912" s="1">
        <v>61.504789654281922</v>
      </c>
      <c r="Q2912" s="1">
        <f t="shared" ca="1" si="367"/>
        <v>6</v>
      </c>
      <c r="R2912" s="1">
        <v>16.637128535658121</v>
      </c>
    </row>
    <row r="2913" spans="1:18" x14ac:dyDescent="0.3">
      <c r="A2913" s="26">
        <v>2912</v>
      </c>
      <c r="B2913" s="1">
        <v>27</v>
      </c>
      <c r="C2913" s="1">
        <f t="shared" si="363"/>
        <v>11</v>
      </c>
      <c r="D2913" s="21">
        <f t="shared" ca="1" si="362"/>
        <v>44763</v>
      </c>
      <c r="E2913" s="1" t="s">
        <v>26</v>
      </c>
      <c r="F2913" s="1" t="s">
        <v>2941</v>
      </c>
      <c r="G2913" s="1" t="s">
        <v>28</v>
      </c>
      <c r="H2913" s="1">
        <v>3011</v>
      </c>
      <c r="I2913" s="1">
        <f t="shared" si="364"/>
        <v>56</v>
      </c>
      <c r="J2913" s="1">
        <f>VLOOKUP(B2913,Cena!$A$2:$B$101,2)</f>
        <v>87</v>
      </c>
      <c r="K2913" s="1">
        <f t="shared" si="368"/>
        <v>4872</v>
      </c>
      <c r="L2913" s="1">
        <f t="shared" si="365"/>
        <v>1120.56</v>
      </c>
      <c r="M2913" s="22">
        <f t="shared" si="369"/>
        <v>5992.5599999999995</v>
      </c>
      <c r="N2913" s="1">
        <f t="shared" ca="1" si="366"/>
        <v>7</v>
      </c>
      <c r="P2913" s="1">
        <v>56.239349659153959</v>
      </c>
      <c r="Q2913" s="1">
        <f t="shared" ca="1" si="367"/>
        <v>1</v>
      </c>
      <c r="R2913" s="1">
        <v>11.280398009839701</v>
      </c>
    </row>
    <row r="2914" spans="1:18" x14ac:dyDescent="0.3">
      <c r="A2914" s="26">
        <v>2913</v>
      </c>
      <c r="B2914" s="1">
        <v>25</v>
      </c>
      <c r="C2914" s="1">
        <f t="shared" si="363"/>
        <v>10</v>
      </c>
      <c r="D2914" s="21">
        <f t="shared" ca="1" si="362"/>
        <v>44732</v>
      </c>
      <c r="E2914" s="1" t="s">
        <v>26</v>
      </c>
      <c r="F2914" s="1" t="s">
        <v>2942</v>
      </c>
      <c r="G2914" s="1" t="s">
        <v>28</v>
      </c>
      <c r="H2914" s="1">
        <v>3012</v>
      </c>
      <c r="I2914" s="1">
        <f t="shared" si="364"/>
        <v>55</v>
      </c>
      <c r="J2914" s="1">
        <f>VLOOKUP(B2914,Cena!$A$2:$B$101,2)</f>
        <v>108</v>
      </c>
      <c r="K2914" s="1">
        <f t="shared" si="368"/>
        <v>5940</v>
      </c>
      <c r="L2914" s="1">
        <f t="shared" si="365"/>
        <v>1366.2</v>
      </c>
      <c r="M2914" s="22">
        <f t="shared" si="369"/>
        <v>7306.2</v>
      </c>
      <c r="N2914" s="1">
        <f t="shared" ca="1" si="366"/>
        <v>6</v>
      </c>
      <c r="P2914" s="1">
        <v>55.289791715767933</v>
      </c>
      <c r="Q2914" s="1">
        <f t="shared" ca="1" si="367"/>
        <v>29</v>
      </c>
      <c r="R2914" s="1">
        <v>10.993537696558633</v>
      </c>
    </row>
    <row r="2915" spans="1:18" x14ac:dyDescent="0.3">
      <c r="A2915" s="26">
        <v>2914</v>
      </c>
      <c r="B2915" s="1">
        <v>19</v>
      </c>
      <c r="C2915" s="1">
        <f t="shared" si="363"/>
        <v>11</v>
      </c>
      <c r="D2915" s="21">
        <f t="shared" ca="1" si="362"/>
        <v>44725</v>
      </c>
      <c r="E2915" s="1" t="s">
        <v>26</v>
      </c>
      <c r="F2915" s="1" t="s">
        <v>2943</v>
      </c>
      <c r="G2915" s="1" t="s">
        <v>28</v>
      </c>
      <c r="H2915" s="1">
        <v>3013</v>
      </c>
      <c r="I2915" s="1">
        <f t="shared" si="364"/>
        <v>51</v>
      </c>
      <c r="J2915" s="1">
        <f>VLOOKUP(B2915,Cena!$A$2:$B$101,2)</f>
        <v>84</v>
      </c>
      <c r="K2915" s="1">
        <f t="shared" si="368"/>
        <v>4284</v>
      </c>
      <c r="L2915" s="1">
        <f t="shared" si="365"/>
        <v>985.32</v>
      </c>
      <c r="M2915" s="22">
        <f t="shared" si="369"/>
        <v>5269.32</v>
      </c>
      <c r="N2915" s="1">
        <f t="shared" ca="1" si="366"/>
        <v>6</v>
      </c>
      <c r="P2915" s="1">
        <v>51.317664555244846</v>
      </c>
      <c r="Q2915" s="1">
        <f t="shared" ca="1" si="367"/>
        <v>7</v>
      </c>
      <c r="R2915" s="1">
        <v>11.554963091621175</v>
      </c>
    </row>
    <row r="2916" spans="1:18" x14ac:dyDescent="0.3">
      <c r="A2916" s="26">
        <v>2915</v>
      </c>
      <c r="B2916" s="1">
        <v>17</v>
      </c>
      <c r="C2916" s="1">
        <f t="shared" si="363"/>
        <v>11</v>
      </c>
      <c r="D2916" s="21">
        <f t="shared" ca="1" si="362"/>
        <v>44752</v>
      </c>
      <c r="E2916" s="1" t="s">
        <v>26</v>
      </c>
      <c r="F2916" s="1" t="s">
        <v>2944</v>
      </c>
      <c r="G2916" s="1" t="s">
        <v>28</v>
      </c>
      <c r="H2916" s="1">
        <v>3014</v>
      </c>
      <c r="I2916" s="1">
        <f t="shared" si="364"/>
        <v>35</v>
      </c>
      <c r="J2916" s="1">
        <f>VLOOKUP(B2916,Cena!$A$2:$B$101,2)</f>
        <v>84</v>
      </c>
      <c r="K2916" s="1">
        <f t="shared" si="368"/>
        <v>2940</v>
      </c>
      <c r="L2916" s="1">
        <f t="shared" si="365"/>
        <v>676.2</v>
      </c>
      <c r="M2916" s="22">
        <f t="shared" si="369"/>
        <v>3616.2</v>
      </c>
      <c r="N2916" s="1">
        <f t="shared" ca="1" si="366"/>
        <v>7</v>
      </c>
      <c r="P2916" s="1">
        <v>35.769727572915144</v>
      </c>
      <c r="Q2916" s="1">
        <f t="shared" ca="1" si="367"/>
        <v>17</v>
      </c>
      <c r="R2916" s="1">
        <v>11.67034954756673</v>
      </c>
    </row>
    <row r="2917" spans="1:18" x14ac:dyDescent="0.3">
      <c r="A2917" s="26">
        <v>2916</v>
      </c>
      <c r="B2917" s="1">
        <v>14</v>
      </c>
      <c r="C2917" s="1">
        <f t="shared" si="363"/>
        <v>6</v>
      </c>
      <c r="D2917" s="21">
        <f t="shared" ca="1" si="362"/>
        <v>44835</v>
      </c>
      <c r="E2917" s="1" t="s">
        <v>26</v>
      </c>
      <c r="F2917" s="1" t="s">
        <v>2945</v>
      </c>
      <c r="G2917" s="1" t="s">
        <v>28</v>
      </c>
      <c r="H2917" s="1">
        <v>3015</v>
      </c>
      <c r="I2917" s="1">
        <f t="shared" si="364"/>
        <v>56</v>
      </c>
      <c r="J2917" s="1">
        <f>VLOOKUP(B2917,Cena!$A$2:$B$101,2)</f>
        <v>129</v>
      </c>
      <c r="K2917" s="1">
        <f t="shared" si="368"/>
        <v>7224</v>
      </c>
      <c r="L2917" s="1">
        <f t="shared" si="365"/>
        <v>1661.52</v>
      </c>
      <c r="M2917" s="22">
        <f t="shared" si="369"/>
        <v>8885.52</v>
      </c>
      <c r="N2917" s="1">
        <f t="shared" ca="1" si="366"/>
        <v>10</v>
      </c>
      <c r="P2917" s="1">
        <v>56.624145498790313</v>
      </c>
      <c r="Q2917" s="1">
        <f t="shared" ca="1" si="367"/>
        <v>26</v>
      </c>
      <c r="R2917" s="1">
        <v>6.893370735051576</v>
      </c>
    </row>
    <row r="2918" spans="1:18" x14ac:dyDescent="0.3">
      <c r="A2918" s="26">
        <v>2917</v>
      </c>
      <c r="B2918" s="1">
        <v>25</v>
      </c>
      <c r="C2918" s="1">
        <f t="shared" si="363"/>
        <v>12</v>
      </c>
      <c r="D2918" s="21">
        <f t="shared" ca="1" si="362"/>
        <v>44624</v>
      </c>
      <c r="E2918" s="1" t="s">
        <v>26</v>
      </c>
      <c r="F2918" s="1" t="s">
        <v>2946</v>
      </c>
      <c r="G2918" s="1" t="s">
        <v>28</v>
      </c>
      <c r="H2918" s="1">
        <v>3016</v>
      </c>
      <c r="I2918" s="1">
        <f t="shared" si="364"/>
        <v>35</v>
      </c>
      <c r="J2918" s="1">
        <f>VLOOKUP(B2918,Cena!$A$2:$B$101,2)</f>
        <v>108</v>
      </c>
      <c r="K2918" s="1">
        <f t="shared" si="368"/>
        <v>3780</v>
      </c>
      <c r="L2918" s="1">
        <f t="shared" si="365"/>
        <v>869.40000000000009</v>
      </c>
      <c r="M2918" s="22">
        <f t="shared" si="369"/>
        <v>4649.3999999999996</v>
      </c>
      <c r="N2918" s="1">
        <f t="shared" ca="1" si="366"/>
        <v>3</v>
      </c>
      <c r="P2918" s="1">
        <v>35.989484230231028</v>
      </c>
      <c r="Q2918" s="1">
        <f t="shared" ca="1" si="367"/>
        <v>7</v>
      </c>
      <c r="R2918" s="1">
        <v>12.599949766590726</v>
      </c>
    </row>
    <row r="2919" spans="1:18" x14ac:dyDescent="0.3">
      <c r="A2919" s="26">
        <v>2918</v>
      </c>
      <c r="B2919" s="1">
        <v>17</v>
      </c>
      <c r="C2919" s="1">
        <f t="shared" si="363"/>
        <v>10</v>
      </c>
      <c r="D2919" s="21">
        <f t="shared" ca="1" si="362"/>
        <v>44676</v>
      </c>
      <c r="E2919" s="1" t="s">
        <v>26</v>
      </c>
      <c r="F2919" s="1" t="s">
        <v>2947</v>
      </c>
      <c r="G2919" s="1" t="s">
        <v>28</v>
      </c>
      <c r="H2919" s="1">
        <v>3017</v>
      </c>
      <c r="I2919" s="1">
        <f t="shared" si="364"/>
        <v>45</v>
      </c>
      <c r="J2919" s="1">
        <f>VLOOKUP(B2919,Cena!$A$2:$B$101,2)</f>
        <v>84</v>
      </c>
      <c r="K2919" s="1">
        <f t="shared" si="368"/>
        <v>3780</v>
      </c>
      <c r="L2919" s="1">
        <f t="shared" si="365"/>
        <v>869.40000000000009</v>
      </c>
      <c r="M2919" s="22">
        <f t="shared" si="369"/>
        <v>4649.3999999999996</v>
      </c>
      <c r="N2919" s="1">
        <f t="shared" ca="1" si="366"/>
        <v>4</v>
      </c>
      <c r="P2919" s="1">
        <v>45.863890944747254</v>
      </c>
      <c r="Q2919" s="1">
        <f t="shared" ca="1" si="367"/>
        <v>15</v>
      </c>
      <c r="R2919" s="1">
        <v>10.3666855263873</v>
      </c>
    </row>
    <row r="2920" spans="1:18" x14ac:dyDescent="0.3">
      <c r="A2920" s="26">
        <v>2919</v>
      </c>
      <c r="B2920" s="1">
        <v>16</v>
      </c>
      <c r="C2920" s="1">
        <f t="shared" si="363"/>
        <v>13</v>
      </c>
      <c r="D2920" s="21">
        <f t="shared" ca="1" si="362"/>
        <v>44666</v>
      </c>
      <c r="E2920" s="1" t="s">
        <v>26</v>
      </c>
      <c r="F2920" s="1" t="s">
        <v>2948</v>
      </c>
      <c r="G2920" s="1" t="s">
        <v>28</v>
      </c>
      <c r="H2920" s="1">
        <v>3018</v>
      </c>
      <c r="I2920" s="1">
        <f t="shared" si="364"/>
        <v>48</v>
      </c>
      <c r="J2920" s="1">
        <f>VLOOKUP(B2920,Cena!$A$2:$B$101,2)</f>
        <v>93</v>
      </c>
      <c r="K2920" s="1">
        <f t="shared" si="368"/>
        <v>4464</v>
      </c>
      <c r="L2920" s="1">
        <f t="shared" si="365"/>
        <v>1026.72</v>
      </c>
      <c r="M2920" s="22">
        <f t="shared" si="369"/>
        <v>5490.72</v>
      </c>
      <c r="N2920" s="1">
        <f t="shared" ca="1" si="366"/>
        <v>4</v>
      </c>
      <c r="P2920" s="1">
        <v>48.021530700498261</v>
      </c>
      <c r="Q2920" s="1">
        <f t="shared" ca="1" si="367"/>
        <v>13</v>
      </c>
      <c r="R2920" s="1">
        <v>13.408672455407213</v>
      </c>
    </row>
    <row r="2921" spans="1:18" x14ac:dyDescent="0.3">
      <c r="A2921" s="26">
        <v>2920</v>
      </c>
      <c r="B2921" s="1">
        <v>1</v>
      </c>
      <c r="C2921" s="1">
        <f t="shared" si="363"/>
        <v>5</v>
      </c>
      <c r="D2921" s="21">
        <f t="shared" ca="1" si="362"/>
        <v>44811</v>
      </c>
      <c r="E2921" s="1" t="s">
        <v>26</v>
      </c>
      <c r="F2921" s="1" t="s">
        <v>2949</v>
      </c>
      <c r="G2921" s="1" t="s">
        <v>28</v>
      </c>
      <c r="H2921" s="1">
        <v>3019</v>
      </c>
      <c r="I2921" s="1">
        <f t="shared" si="364"/>
        <v>40</v>
      </c>
      <c r="J2921" s="1">
        <f>VLOOKUP(B2921,Cena!$A$2:$B$101,2)</f>
        <v>84</v>
      </c>
      <c r="K2921" s="1">
        <f t="shared" si="368"/>
        <v>3360</v>
      </c>
      <c r="L2921" s="1">
        <f t="shared" si="365"/>
        <v>772.80000000000007</v>
      </c>
      <c r="M2921" s="22">
        <f t="shared" si="369"/>
        <v>4132.8</v>
      </c>
      <c r="N2921" s="1">
        <f t="shared" ca="1" si="366"/>
        <v>9</v>
      </c>
      <c r="P2921" s="1">
        <v>40.08707618486369</v>
      </c>
      <c r="Q2921" s="1">
        <f t="shared" ca="1" si="367"/>
        <v>21</v>
      </c>
      <c r="R2921" s="1">
        <v>5.3388623907812871</v>
      </c>
    </row>
    <row r="2922" spans="1:18" x14ac:dyDescent="0.3">
      <c r="A2922" s="26">
        <v>2921</v>
      </c>
      <c r="B2922" s="1">
        <v>29</v>
      </c>
      <c r="C2922" s="1">
        <f t="shared" si="363"/>
        <v>11</v>
      </c>
      <c r="D2922" s="21">
        <f t="shared" ca="1" si="362"/>
        <v>44579</v>
      </c>
      <c r="E2922" s="1" t="s">
        <v>26</v>
      </c>
      <c r="F2922" s="1" t="s">
        <v>2950</v>
      </c>
      <c r="G2922" s="1" t="s">
        <v>28</v>
      </c>
      <c r="H2922" s="1">
        <v>3020</v>
      </c>
      <c r="I2922" s="1">
        <f t="shared" si="364"/>
        <v>58</v>
      </c>
      <c r="J2922" s="1">
        <f>VLOOKUP(B2922,Cena!$A$2:$B$101,2)</f>
        <v>105</v>
      </c>
      <c r="K2922" s="1">
        <f t="shared" si="368"/>
        <v>6090</v>
      </c>
      <c r="L2922" s="1">
        <f t="shared" si="365"/>
        <v>1400.7</v>
      </c>
      <c r="M2922" s="22">
        <f t="shared" si="369"/>
        <v>7490.7</v>
      </c>
      <c r="N2922" s="1">
        <f t="shared" ca="1" si="366"/>
        <v>1</v>
      </c>
      <c r="P2922" s="1">
        <v>58.467986845062114</v>
      </c>
      <c r="Q2922" s="1">
        <f t="shared" ca="1" si="367"/>
        <v>24</v>
      </c>
      <c r="R2922" s="1">
        <v>11.914992253659875</v>
      </c>
    </row>
    <row r="2923" spans="1:18" x14ac:dyDescent="0.3">
      <c r="A2923" s="26">
        <v>2922</v>
      </c>
      <c r="B2923" s="1">
        <v>27</v>
      </c>
      <c r="C2923" s="1">
        <f t="shared" si="363"/>
        <v>12</v>
      </c>
      <c r="D2923" s="21">
        <f t="shared" ca="1" si="362"/>
        <v>44794</v>
      </c>
      <c r="E2923" s="1" t="s">
        <v>26</v>
      </c>
      <c r="F2923" s="1" t="s">
        <v>2951</v>
      </c>
      <c r="G2923" s="1" t="s">
        <v>28</v>
      </c>
      <c r="H2923" s="1">
        <v>3021</v>
      </c>
      <c r="I2923" s="1">
        <f t="shared" si="364"/>
        <v>46</v>
      </c>
      <c r="J2923" s="1">
        <f>VLOOKUP(B2923,Cena!$A$2:$B$101,2)</f>
        <v>87</v>
      </c>
      <c r="K2923" s="1">
        <f t="shared" si="368"/>
        <v>4002</v>
      </c>
      <c r="L2923" s="1">
        <f t="shared" si="365"/>
        <v>920.46</v>
      </c>
      <c r="M2923" s="22">
        <f t="shared" si="369"/>
        <v>4922.46</v>
      </c>
      <c r="N2923" s="1">
        <f t="shared" ca="1" si="366"/>
        <v>8</v>
      </c>
      <c r="P2923" s="1">
        <v>46.491885667637689</v>
      </c>
      <c r="Q2923" s="1">
        <f t="shared" ca="1" si="367"/>
        <v>8</v>
      </c>
      <c r="R2923" s="1">
        <v>12.004969701374648</v>
      </c>
    </row>
    <row r="2924" spans="1:18" x14ac:dyDescent="0.3">
      <c r="A2924" s="26">
        <v>2923</v>
      </c>
      <c r="B2924" s="1">
        <v>5</v>
      </c>
      <c r="C2924" s="1">
        <f t="shared" si="363"/>
        <v>12</v>
      </c>
      <c r="D2924" s="21">
        <f t="shared" ca="1" si="362"/>
        <v>44760</v>
      </c>
      <c r="E2924" s="1" t="s">
        <v>26</v>
      </c>
      <c r="F2924" s="1" t="s">
        <v>2952</v>
      </c>
      <c r="G2924" s="1" t="s">
        <v>28</v>
      </c>
      <c r="H2924" s="1">
        <v>3022</v>
      </c>
      <c r="I2924" s="1">
        <f t="shared" si="364"/>
        <v>51</v>
      </c>
      <c r="J2924" s="1">
        <f>VLOOKUP(B2924,Cena!$A$2:$B$101,2)</f>
        <v>91</v>
      </c>
      <c r="K2924" s="1">
        <f t="shared" si="368"/>
        <v>4641</v>
      </c>
      <c r="L2924" s="1">
        <f t="shared" si="365"/>
        <v>1067.43</v>
      </c>
      <c r="M2924" s="22">
        <f t="shared" si="369"/>
        <v>5708.43</v>
      </c>
      <c r="N2924" s="1">
        <f t="shared" ca="1" si="366"/>
        <v>7</v>
      </c>
      <c r="P2924" s="1">
        <v>51.363207502436126</v>
      </c>
      <c r="Q2924" s="1">
        <f t="shared" ca="1" si="367"/>
        <v>28</v>
      </c>
      <c r="R2924" s="1">
        <v>12.606532234494807</v>
      </c>
    </row>
    <row r="2925" spans="1:18" x14ac:dyDescent="0.3">
      <c r="A2925" s="26">
        <v>2924</v>
      </c>
      <c r="B2925" s="1">
        <v>28</v>
      </c>
      <c r="C2925" s="1">
        <f t="shared" si="363"/>
        <v>8</v>
      </c>
      <c r="D2925" s="21">
        <f t="shared" ca="1" si="362"/>
        <v>44837</v>
      </c>
      <c r="E2925" s="1" t="s">
        <v>26</v>
      </c>
      <c r="F2925" s="1" t="s">
        <v>2953</v>
      </c>
      <c r="G2925" s="1" t="s">
        <v>28</v>
      </c>
      <c r="H2925" s="1">
        <v>3023</v>
      </c>
      <c r="I2925" s="1">
        <f t="shared" si="364"/>
        <v>61</v>
      </c>
      <c r="J2925" s="1">
        <f>VLOOKUP(B2925,Cena!$A$2:$B$101,2)</f>
        <v>59</v>
      </c>
      <c r="K2925" s="1">
        <f t="shared" si="368"/>
        <v>3599</v>
      </c>
      <c r="L2925" s="1">
        <f t="shared" si="365"/>
        <v>827.77</v>
      </c>
      <c r="M2925" s="22">
        <f t="shared" si="369"/>
        <v>4426.7700000000004</v>
      </c>
      <c r="N2925" s="1">
        <f t="shared" ca="1" si="366"/>
        <v>10</v>
      </c>
      <c r="P2925" s="1">
        <v>61.565794011403341</v>
      </c>
      <c r="Q2925" s="1">
        <f t="shared" ca="1" si="367"/>
        <v>18</v>
      </c>
      <c r="R2925" s="1">
        <v>8.9184914284123806</v>
      </c>
    </row>
    <row r="2926" spans="1:18" x14ac:dyDescent="0.3">
      <c r="A2926" s="26">
        <v>2925</v>
      </c>
      <c r="B2926" s="1">
        <v>24</v>
      </c>
      <c r="C2926" s="1">
        <f t="shared" si="363"/>
        <v>10</v>
      </c>
      <c r="D2926" s="21">
        <f t="shared" ca="1" si="362"/>
        <v>44816</v>
      </c>
      <c r="E2926" s="1" t="s">
        <v>26</v>
      </c>
      <c r="F2926" s="1" t="s">
        <v>2954</v>
      </c>
      <c r="G2926" s="1" t="s">
        <v>28</v>
      </c>
      <c r="H2926" s="1">
        <v>3024</v>
      </c>
      <c r="I2926" s="1">
        <f t="shared" si="364"/>
        <v>39</v>
      </c>
      <c r="J2926" s="1">
        <f>VLOOKUP(B2926,Cena!$A$2:$B$101,2)</f>
        <v>125</v>
      </c>
      <c r="K2926" s="1">
        <f t="shared" si="368"/>
        <v>4875</v>
      </c>
      <c r="L2926" s="1">
        <f t="shared" si="365"/>
        <v>1121.25</v>
      </c>
      <c r="M2926" s="22">
        <f t="shared" si="369"/>
        <v>5996.25</v>
      </c>
      <c r="N2926" s="1">
        <f t="shared" ca="1" si="366"/>
        <v>9</v>
      </c>
      <c r="P2926" s="1">
        <v>39.756565810239408</v>
      </c>
      <c r="Q2926" s="1">
        <f t="shared" ca="1" si="367"/>
        <v>22</v>
      </c>
      <c r="R2926" s="1">
        <v>10.143225520332635</v>
      </c>
    </row>
    <row r="2927" spans="1:18" x14ac:dyDescent="0.3">
      <c r="A2927" s="26">
        <v>2926</v>
      </c>
      <c r="B2927" s="1">
        <v>8</v>
      </c>
      <c r="C2927" s="1">
        <f t="shared" si="363"/>
        <v>10</v>
      </c>
      <c r="D2927" s="21">
        <f t="shared" ca="1" si="362"/>
        <v>44601</v>
      </c>
      <c r="E2927" s="1" t="s">
        <v>26</v>
      </c>
      <c r="F2927" s="1" t="s">
        <v>2955</v>
      </c>
      <c r="G2927" s="1" t="s">
        <v>28</v>
      </c>
      <c r="H2927" s="1">
        <v>3025</v>
      </c>
      <c r="I2927" s="1">
        <f t="shared" si="364"/>
        <v>44</v>
      </c>
      <c r="J2927" s="1">
        <f>VLOOKUP(B2927,Cena!$A$2:$B$101,2)</f>
        <v>88</v>
      </c>
      <c r="K2927" s="1">
        <f t="shared" si="368"/>
        <v>3872</v>
      </c>
      <c r="L2927" s="1">
        <f t="shared" si="365"/>
        <v>890.56000000000006</v>
      </c>
      <c r="M2927" s="22">
        <f t="shared" si="369"/>
        <v>4762.5600000000004</v>
      </c>
      <c r="N2927" s="1">
        <f t="shared" ca="1" si="366"/>
        <v>2</v>
      </c>
      <c r="P2927" s="1">
        <v>44.792733559734188</v>
      </c>
      <c r="Q2927" s="1">
        <f t="shared" ca="1" si="367"/>
        <v>11</v>
      </c>
      <c r="R2927" s="1">
        <v>10.7923006251076</v>
      </c>
    </row>
    <row r="2928" spans="1:18" x14ac:dyDescent="0.3">
      <c r="A2928" s="26">
        <v>2927</v>
      </c>
      <c r="B2928" s="1">
        <v>20</v>
      </c>
      <c r="C2928" s="1">
        <f t="shared" si="363"/>
        <v>6</v>
      </c>
      <c r="D2928" s="21">
        <f t="shared" ca="1" si="362"/>
        <v>44806</v>
      </c>
      <c r="E2928" s="1" t="s">
        <v>26</v>
      </c>
      <c r="F2928" s="1" t="s">
        <v>2956</v>
      </c>
      <c r="G2928" s="1" t="s">
        <v>28</v>
      </c>
      <c r="H2928" s="1">
        <v>3026</v>
      </c>
      <c r="I2928" s="1">
        <f t="shared" si="364"/>
        <v>44</v>
      </c>
      <c r="J2928" s="1">
        <f>VLOOKUP(B2928,Cena!$A$2:$B$101,2)</f>
        <v>111</v>
      </c>
      <c r="K2928" s="1">
        <f t="shared" si="368"/>
        <v>4884</v>
      </c>
      <c r="L2928" s="1">
        <f t="shared" si="365"/>
        <v>1123.32</v>
      </c>
      <c r="M2928" s="22">
        <f t="shared" si="369"/>
        <v>6007.32</v>
      </c>
      <c r="N2928" s="1">
        <f t="shared" ca="1" si="366"/>
        <v>9</v>
      </c>
      <c r="P2928" s="1">
        <v>44.811128090077545</v>
      </c>
      <c r="Q2928" s="1">
        <f t="shared" ca="1" si="367"/>
        <v>28</v>
      </c>
      <c r="R2928" s="1">
        <v>6.5287315717432648</v>
      </c>
    </row>
    <row r="2929" spans="1:18" x14ac:dyDescent="0.3">
      <c r="A2929" s="26">
        <v>2928</v>
      </c>
      <c r="B2929" s="1">
        <v>18</v>
      </c>
      <c r="C2929" s="1">
        <f t="shared" si="363"/>
        <v>10</v>
      </c>
      <c r="D2929" s="21">
        <f t="shared" ca="1" si="362"/>
        <v>44854</v>
      </c>
      <c r="E2929" s="1" t="s">
        <v>26</v>
      </c>
      <c r="F2929" s="1" t="s">
        <v>2957</v>
      </c>
      <c r="G2929" s="1" t="s">
        <v>28</v>
      </c>
      <c r="H2929" s="1">
        <v>3027</v>
      </c>
      <c r="I2929" s="1">
        <f t="shared" si="364"/>
        <v>45</v>
      </c>
      <c r="J2929" s="1">
        <f>VLOOKUP(B2929,Cena!$A$2:$B$101,2)</f>
        <v>90</v>
      </c>
      <c r="K2929" s="1">
        <f t="shared" si="368"/>
        <v>4050</v>
      </c>
      <c r="L2929" s="1">
        <f t="shared" si="365"/>
        <v>931.5</v>
      </c>
      <c r="M2929" s="22">
        <f t="shared" si="369"/>
        <v>4981.5</v>
      </c>
      <c r="N2929" s="1">
        <f t="shared" ca="1" si="366"/>
        <v>10</v>
      </c>
      <c r="P2929" s="1">
        <v>45.357597981637809</v>
      </c>
      <c r="Q2929" s="1">
        <f t="shared" ca="1" si="367"/>
        <v>10</v>
      </c>
      <c r="R2929" s="1">
        <v>10.527032284480811</v>
      </c>
    </row>
    <row r="2930" spans="1:18" x14ac:dyDescent="0.3">
      <c r="A2930" s="26">
        <v>2929</v>
      </c>
      <c r="B2930" s="1">
        <v>8</v>
      </c>
      <c r="C2930" s="1">
        <f t="shared" si="363"/>
        <v>9</v>
      </c>
      <c r="D2930" s="21">
        <f t="shared" ca="1" si="362"/>
        <v>44818</v>
      </c>
      <c r="E2930" s="1" t="s">
        <v>26</v>
      </c>
      <c r="F2930" s="1" t="s">
        <v>2958</v>
      </c>
      <c r="G2930" s="1" t="s">
        <v>28</v>
      </c>
      <c r="H2930" s="1">
        <v>3028</v>
      </c>
      <c r="I2930" s="1">
        <f t="shared" si="364"/>
        <v>53</v>
      </c>
      <c r="J2930" s="1">
        <f>VLOOKUP(B2930,Cena!$A$2:$B$101,2)</f>
        <v>88</v>
      </c>
      <c r="K2930" s="1">
        <f t="shared" si="368"/>
        <v>4664</v>
      </c>
      <c r="L2930" s="1">
        <f t="shared" si="365"/>
        <v>1072.72</v>
      </c>
      <c r="M2930" s="22">
        <f t="shared" si="369"/>
        <v>5736.72</v>
      </c>
      <c r="N2930" s="1">
        <f t="shared" ca="1" si="366"/>
        <v>9</v>
      </c>
      <c r="P2930" s="1">
        <v>53.131412995571736</v>
      </c>
      <c r="Q2930" s="1">
        <f t="shared" ca="1" si="367"/>
        <v>19</v>
      </c>
      <c r="R2930" s="1">
        <v>9.7708528098883107</v>
      </c>
    </row>
    <row r="2931" spans="1:18" x14ac:dyDescent="0.3">
      <c r="A2931" s="26">
        <v>2930</v>
      </c>
      <c r="B2931" s="1">
        <v>2</v>
      </c>
      <c r="C2931" s="1">
        <f t="shared" si="363"/>
        <v>7</v>
      </c>
      <c r="D2931" s="21">
        <f t="shared" ca="1" si="362"/>
        <v>44637</v>
      </c>
      <c r="E2931" s="1" t="s">
        <v>26</v>
      </c>
      <c r="F2931" s="1" t="s">
        <v>2959</v>
      </c>
      <c r="G2931" s="1" t="s">
        <v>28</v>
      </c>
      <c r="H2931" s="1">
        <v>3029</v>
      </c>
      <c r="I2931" s="1">
        <f t="shared" si="364"/>
        <v>61</v>
      </c>
      <c r="J2931" s="1">
        <f>VLOOKUP(B2931,Cena!$A$2:$B$101,2)</f>
        <v>121</v>
      </c>
      <c r="K2931" s="1">
        <f t="shared" si="368"/>
        <v>7381</v>
      </c>
      <c r="L2931" s="1">
        <f t="shared" si="365"/>
        <v>1697.63</v>
      </c>
      <c r="M2931" s="22">
        <f t="shared" si="369"/>
        <v>9078.630000000001</v>
      </c>
      <c r="N2931" s="1">
        <f t="shared" ca="1" si="366"/>
        <v>3</v>
      </c>
      <c r="P2931" s="1">
        <v>61.217457540624309</v>
      </c>
      <c r="Q2931" s="1">
        <f t="shared" ca="1" si="367"/>
        <v>16</v>
      </c>
      <c r="R2931" s="1">
        <v>7.3749595483241137</v>
      </c>
    </row>
    <row r="2932" spans="1:18" x14ac:dyDescent="0.3">
      <c r="A2932" s="26">
        <v>2931</v>
      </c>
      <c r="B2932" s="1">
        <v>12</v>
      </c>
      <c r="C2932" s="1">
        <f t="shared" si="363"/>
        <v>7</v>
      </c>
      <c r="D2932" s="21">
        <f t="shared" ca="1" si="362"/>
        <v>44770</v>
      </c>
      <c r="E2932" s="1" t="s">
        <v>26</v>
      </c>
      <c r="F2932" s="1" t="s">
        <v>2960</v>
      </c>
      <c r="G2932" s="1" t="s">
        <v>28</v>
      </c>
      <c r="H2932" s="1">
        <v>3030</v>
      </c>
      <c r="I2932" s="1">
        <f t="shared" si="364"/>
        <v>49</v>
      </c>
      <c r="J2932" s="1">
        <f>VLOOKUP(B2932,Cena!$A$2:$B$101,2)</f>
        <v>88</v>
      </c>
      <c r="K2932" s="1">
        <f t="shared" si="368"/>
        <v>4312</v>
      </c>
      <c r="L2932" s="1">
        <f t="shared" si="365"/>
        <v>991.76</v>
      </c>
      <c r="M2932" s="22">
        <f t="shared" si="369"/>
        <v>5303.76</v>
      </c>
      <c r="N2932" s="1">
        <f t="shared" ca="1" si="366"/>
        <v>7</v>
      </c>
      <c r="P2932" s="1">
        <v>49.68822521623224</v>
      </c>
      <c r="Q2932" s="1">
        <f t="shared" ca="1" si="367"/>
        <v>18</v>
      </c>
      <c r="R2932" s="1">
        <v>7.9857818743766984</v>
      </c>
    </row>
    <row r="2933" spans="1:18" x14ac:dyDescent="0.3">
      <c r="A2933" s="26">
        <v>2932</v>
      </c>
      <c r="B2933" s="1">
        <v>5</v>
      </c>
      <c r="C2933" s="1">
        <f t="shared" si="363"/>
        <v>13</v>
      </c>
      <c r="D2933" s="21">
        <f t="shared" ca="1" si="362"/>
        <v>44619</v>
      </c>
      <c r="E2933" s="1" t="s">
        <v>26</v>
      </c>
      <c r="F2933" s="1" t="s">
        <v>2961</v>
      </c>
      <c r="G2933" s="1" t="s">
        <v>28</v>
      </c>
      <c r="H2933" s="1">
        <v>3031</v>
      </c>
      <c r="I2933" s="1">
        <f t="shared" si="364"/>
        <v>53</v>
      </c>
      <c r="J2933" s="1">
        <f>VLOOKUP(B2933,Cena!$A$2:$B$101,2)</f>
        <v>91</v>
      </c>
      <c r="K2933" s="1">
        <f t="shared" si="368"/>
        <v>4823</v>
      </c>
      <c r="L2933" s="1">
        <f t="shared" si="365"/>
        <v>1109.29</v>
      </c>
      <c r="M2933" s="22">
        <f t="shared" si="369"/>
        <v>5932.29</v>
      </c>
      <c r="N2933" s="1">
        <f t="shared" ca="1" si="366"/>
        <v>2</v>
      </c>
      <c r="P2933" s="1">
        <v>53.349100552441087</v>
      </c>
      <c r="Q2933" s="1">
        <f t="shared" ca="1" si="367"/>
        <v>30</v>
      </c>
      <c r="R2933" s="1">
        <v>13.674028903333237</v>
      </c>
    </row>
    <row r="2934" spans="1:18" x14ac:dyDescent="0.3">
      <c r="A2934" s="26">
        <v>2933</v>
      </c>
      <c r="B2934" s="1">
        <v>14</v>
      </c>
      <c r="C2934" s="1">
        <f t="shared" si="363"/>
        <v>12</v>
      </c>
      <c r="D2934" s="21">
        <f t="shared" ca="1" si="362"/>
        <v>44715</v>
      </c>
      <c r="E2934" s="1" t="s">
        <v>26</v>
      </c>
      <c r="F2934" s="1" t="s">
        <v>2962</v>
      </c>
      <c r="G2934" s="1" t="s">
        <v>28</v>
      </c>
      <c r="H2934" s="1">
        <v>3032</v>
      </c>
      <c r="I2934" s="1">
        <f t="shared" si="364"/>
        <v>49</v>
      </c>
      <c r="J2934" s="1">
        <f>VLOOKUP(B2934,Cena!$A$2:$B$101,2)</f>
        <v>129</v>
      </c>
      <c r="K2934" s="1">
        <f t="shared" si="368"/>
        <v>6321</v>
      </c>
      <c r="L2934" s="1">
        <f t="shared" si="365"/>
        <v>1453.8300000000002</v>
      </c>
      <c r="M2934" s="22">
        <f t="shared" si="369"/>
        <v>7774.83</v>
      </c>
      <c r="N2934" s="1">
        <f t="shared" ca="1" si="366"/>
        <v>6</v>
      </c>
      <c r="P2934" s="1">
        <v>49.828253294253955</v>
      </c>
      <c r="Q2934" s="1">
        <f t="shared" ca="1" si="367"/>
        <v>10</v>
      </c>
      <c r="R2934" s="1">
        <v>12.075142901958316</v>
      </c>
    </row>
    <row r="2935" spans="1:18" x14ac:dyDescent="0.3">
      <c r="A2935" s="26">
        <v>2934</v>
      </c>
      <c r="B2935" s="1">
        <v>23</v>
      </c>
      <c r="C2935" s="1">
        <f t="shared" si="363"/>
        <v>9</v>
      </c>
      <c r="D2935" s="21">
        <f t="shared" ca="1" si="362"/>
        <v>44745</v>
      </c>
      <c r="E2935" s="1" t="s">
        <v>26</v>
      </c>
      <c r="F2935" s="1" t="s">
        <v>2963</v>
      </c>
      <c r="G2935" s="1" t="s">
        <v>28</v>
      </c>
      <c r="H2935" s="1">
        <v>3033</v>
      </c>
      <c r="I2935" s="1">
        <f t="shared" si="364"/>
        <v>54</v>
      </c>
      <c r="J2935" s="1">
        <f>VLOOKUP(B2935,Cena!$A$2:$B$101,2)</f>
        <v>132</v>
      </c>
      <c r="K2935" s="1">
        <f t="shared" si="368"/>
        <v>7128</v>
      </c>
      <c r="L2935" s="1">
        <f t="shared" si="365"/>
        <v>1639.44</v>
      </c>
      <c r="M2935" s="22">
        <f t="shared" si="369"/>
        <v>8767.44</v>
      </c>
      <c r="N2935" s="1">
        <f t="shared" ca="1" si="366"/>
        <v>7</v>
      </c>
      <c r="P2935" s="1">
        <v>54.049604740430368</v>
      </c>
      <c r="Q2935" s="1">
        <f t="shared" ca="1" si="367"/>
        <v>16</v>
      </c>
      <c r="R2935" s="1">
        <v>9.1455126746586757</v>
      </c>
    </row>
    <row r="2936" spans="1:18" x14ac:dyDescent="0.3">
      <c r="A2936" s="26">
        <v>2935</v>
      </c>
      <c r="B2936" s="1">
        <v>19</v>
      </c>
      <c r="C2936" s="1">
        <f t="shared" si="363"/>
        <v>13</v>
      </c>
      <c r="D2936" s="21">
        <f t="shared" ca="1" si="362"/>
        <v>44584</v>
      </c>
      <c r="E2936" s="1" t="s">
        <v>26</v>
      </c>
      <c r="F2936" s="1" t="s">
        <v>2964</v>
      </c>
      <c r="G2936" s="1" t="s">
        <v>28</v>
      </c>
      <c r="H2936" s="1">
        <v>3034</v>
      </c>
      <c r="I2936" s="1">
        <f t="shared" si="364"/>
        <v>50</v>
      </c>
      <c r="J2936" s="1">
        <f>VLOOKUP(B2936,Cena!$A$2:$B$101,2)</f>
        <v>84</v>
      </c>
      <c r="K2936" s="1">
        <f t="shared" si="368"/>
        <v>4200</v>
      </c>
      <c r="L2936" s="1">
        <f t="shared" si="365"/>
        <v>966</v>
      </c>
      <c r="M2936" s="22">
        <f t="shared" si="369"/>
        <v>5166</v>
      </c>
      <c r="N2936" s="1">
        <f t="shared" ca="1" si="366"/>
        <v>1</v>
      </c>
      <c r="P2936" s="1">
        <v>50.736963556846604</v>
      </c>
      <c r="Q2936" s="1">
        <f t="shared" ca="1" si="367"/>
        <v>10</v>
      </c>
      <c r="R2936" s="1">
        <v>13.263340886405786</v>
      </c>
    </row>
    <row r="2937" spans="1:18" x14ac:dyDescent="0.3">
      <c r="A2937" s="26">
        <v>2936</v>
      </c>
      <c r="B2937" s="1">
        <v>10</v>
      </c>
      <c r="C2937" s="1">
        <f t="shared" si="363"/>
        <v>11</v>
      </c>
      <c r="D2937" s="21">
        <f t="shared" ca="1" si="362"/>
        <v>44846</v>
      </c>
      <c r="E2937" s="1" t="s">
        <v>26</v>
      </c>
      <c r="F2937" s="1" t="s">
        <v>2965</v>
      </c>
      <c r="G2937" s="1" t="s">
        <v>28</v>
      </c>
      <c r="H2937" s="1">
        <v>3035</v>
      </c>
      <c r="I2937" s="1">
        <f t="shared" si="364"/>
        <v>49</v>
      </c>
      <c r="J2937" s="1">
        <f>VLOOKUP(B2937,Cena!$A$2:$B$101,2)</f>
        <v>109</v>
      </c>
      <c r="K2937" s="1">
        <f t="shared" si="368"/>
        <v>5341</v>
      </c>
      <c r="L2937" s="1">
        <f t="shared" si="365"/>
        <v>1228.43</v>
      </c>
      <c r="M2937" s="22">
        <f t="shared" si="369"/>
        <v>6569.43</v>
      </c>
      <c r="N2937" s="1">
        <f t="shared" ca="1" si="366"/>
        <v>10</v>
      </c>
      <c r="P2937" s="1">
        <v>49.385715909738792</v>
      </c>
      <c r="Q2937" s="1">
        <f t="shared" ca="1" si="367"/>
        <v>5</v>
      </c>
      <c r="R2937" s="1">
        <v>11.780531988515577</v>
      </c>
    </row>
    <row r="2938" spans="1:18" x14ac:dyDescent="0.3">
      <c r="A2938" s="26">
        <v>2937</v>
      </c>
      <c r="B2938" s="1">
        <v>2</v>
      </c>
      <c r="C2938" s="1">
        <f t="shared" si="363"/>
        <v>10</v>
      </c>
      <c r="D2938" s="21">
        <f t="shared" ca="1" si="362"/>
        <v>44790</v>
      </c>
      <c r="E2938" s="1" t="s">
        <v>26</v>
      </c>
      <c r="F2938" s="1" t="s">
        <v>2966</v>
      </c>
      <c r="G2938" s="1" t="s">
        <v>28</v>
      </c>
      <c r="H2938" s="1">
        <v>3036</v>
      </c>
      <c r="I2938" s="1">
        <f t="shared" si="364"/>
        <v>49</v>
      </c>
      <c r="J2938" s="1">
        <f>VLOOKUP(B2938,Cena!$A$2:$B$101,2)</f>
        <v>121</v>
      </c>
      <c r="K2938" s="1">
        <f t="shared" si="368"/>
        <v>5929</v>
      </c>
      <c r="L2938" s="1">
        <f t="shared" si="365"/>
        <v>1363.67</v>
      </c>
      <c r="M2938" s="22">
        <f t="shared" si="369"/>
        <v>7292.67</v>
      </c>
      <c r="N2938" s="1">
        <f t="shared" ca="1" si="366"/>
        <v>8</v>
      </c>
      <c r="P2938" s="1">
        <v>49.548890627920628</v>
      </c>
      <c r="Q2938" s="1">
        <f t="shared" ca="1" si="367"/>
        <v>19</v>
      </c>
      <c r="R2938" s="1">
        <v>10.919868625715026</v>
      </c>
    </row>
    <row r="2939" spans="1:18" x14ac:dyDescent="0.3">
      <c r="A2939" s="26">
        <v>2938</v>
      </c>
      <c r="B2939" s="1">
        <v>6</v>
      </c>
      <c r="C2939" s="1">
        <f t="shared" si="363"/>
        <v>10</v>
      </c>
      <c r="D2939" s="21">
        <f t="shared" ca="1" si="362"/>
        <v>44761</v>
      </c>
      <c r="E2939" s="1" t="s">
        <v>26</v>
      </c>
      <c r="F2939" s="1" t="s">
        <v>2967</v>
      </c>
      <c r="G2939" s="1" t="s">
        <v>28</v>
      </c>
      <c r="H2939" s="1">
        <v>3037</v>
      </c>
      <c r="I2939" s="1">
        <f t="shared" si="364"/>
        <v>59</v>
      </c>
      <c r="J2939" s="1">
        <f>VLOOKUP(B2939,Cena!$A$2:$B$101,2)</f>
        <v>86</v>
      </c>
      <c r="K2939" s="1">
        <f t="shared" si="368"/>
        <v>5074</v>
      </c>
      <c r="L2939" s="1">
        <f t="shared" si="365"/>
        <v>1167.02</v>
      </c>
      <c r="M2939" s="22">
        <f t="shared" si="369"/>
        <v>6241.02</v>
      </c>
      <c r="N2939" s="1">
        <f t="shared" ca="1" si="366"/>
        <v>7</v>
      </c>
      <c r="P2939" s="1">
        <v>59.528866939945146</v>
      </c>
      <c r="Q2939" s="1">
        <f t="shared" ca="1" si="367"/>
        <v>26</v>
      </c>
      <c r="R2939" s="1">
        <v>10.174463821167592</v>
      </c>
    </row>
    <row r="2940" spans="1:18" x14ac:dyDescent="0.3">
      <c r="A2940" s="26">
        <v>2939</v>
      </c>
      <c r="B2940" s="1">
        <v>11</v>
      </c>
      <c r="C2940" s="1">
        <f t="shared" si="363"/>
        <v>6</v>
      </c>
      <c r="D2940" s="21">
        <f t="shared" ca="1" si="362"/>
        <v>44755</v>
      </c>
      <c r="E2940" s="1" t="s">
        <v>26</v>
      </c>
      <c r="F2940" s="1" t="s">
        <v>2968</v>
      </c>
      <c r="G2940" s="1" t="s">
        <v>28</v>
      </c>
      <c r="H2940" s="1">
        <v>3038</v>
      </c>
      <c r="I2940" s="1">
        <f t="shared" si="364"/>
        <v>49</v>
      </c>
      <c r="J2940" s="1">
        <f>VLOOKUP(B2940,Cena!$A$2:$B$101,2)</f>
        <v>83</v>
      </c>
      <c r="K2940" s="1">
        <f t="shared" si="368"/>
        <v>4067</v>
      </c>
      <c r="L2940" s="1">
        <f t="shared" si="365"/>
        <v>935.41000000000008</v>
      </c>
      <c r="M2940" s="22">
        <f t="shared" si="369"/>
        <v>5002.41</v>
      </c>
      <c r="N2940" s="1">
        <f t="shared" ca="1" si="366"/>
        <v>7</v>
      </c>
      <c r="P2940" s="1">
        <v>49.492217739316402</v>
      </c>
      <c r="Q2940" s="1">
        <f t="shared" ca="1" si="367"/>
        <v>28</v>
      </c>
      <c r="R2940" s="1">
        <v>6.8620841173105873</v>
      </c>
    </row>
    <row r="2941" spans="1:18" x14ac:dyDescent="0.3">
      <c r="A2941" s="26">
        <v>2940</v>
      </c>
      <c r="B2941" s="1">
        <v>15</v>
      </c>
      <c r="C2941" s="1">
        <f t="shared" si="363"/>
        <v>11</v>
      </c>
      <c r="D2941" s="21">
        <f t="shared" ca="1" si="362"/>
        <v>44595</v>
      </c>
      <c r="E2941" s="1" t="s">
        <v>26</v>
      </c>
      <c r="F2941" s="1" t="s">
        <v>2969</v>
      </c>
      <c r="G2941" s="1" t="s">
        <v>28</v>
      </c>
      <c r="H2941" s="1">
        <v>3039</v>
      </c>
      <c r="I2941" s="1">
        <f t="shared" si="364"/>
        <v>51</v>
      </c>
      <c r="J2941" s="1">
        <f>VLOOKUP(B2941,Cena!$A$2:$B$101,2)</f>
        <v>85</v>
      </c>
      <c r="K2941" s="1">
        <f t="shared" si="368"/>
        <v>4335</v>
      </c>
      <c r="L2941" s="1">
        <f t="shared" si="365"/>
        <v>997.05000000000007</v>
      </c>
      <c r="M2941" s="22">
        <f t="shared" si="369"/>
        <v>5332.05</v>
      </c>
      <c r="N2941" s="1">
        <f t="shared" ca="1" si="366"/>
        <v>2</v>
      </c>
      <c r="P2941" s="1">
        <v>51.686726136540528</v>
      </c>
      <c r="Q2941" s="1">
        <f t="shared" ca="1" si="367"/>
        <v>26</v>
      </c>
      <c r="R2941" s="1">
        <v>11.540831817692379</v>
      </c>
    </row>
    <row r="2942" spans="1:18" x14ac:dyDescent="0.3">
      <c r="A2942" s="26">
        <v>2941</v>
      </c>
      <c r="B2942" s="1">
        <v>26</v>
      </c>
      <c r="C2942" s="1">
        <f t="shared" si="363"/>
        <v>7</v>
      </c>
      <c r="D2942" s="21">
        <f t="shared" ca="1" si="362"/>
        <v>44626</v>
      </c>
      <c r="E2942" s="1" t="s">
        <v>26</v>
      </c>
      <c r="F2942" s="1" t="s">
        <v>2970</v>
      </c>
      <c r="G2942" s="1" t="s">
        <v>28</v>
      </c>
      <c r="H2942" s="1">
        <v>3040</v>
      </c>
      <c r="I2942" s="1">
        <f t="shared" si="364"/>
        <v>45</v>
      </c>
      <c r="J2942" s="1">
        <f>VLOOKUP(B2942,Cena!$A$2:$B$101,2)</f>
        <v>99</v>
      </c>
      <c r="K2942" s="1">
        <f t="shared" si="368"/>
        <v>4455</v>
      </c>
      <c r="L2942" s="1">
        <f t="shared" si="365"/>
        <v>1024.6500000000001</v>
      </c>
      <c r="M2942" s="22">
        <f t="shared" si="369"/>
        <v>5479.65</v>
      </c>
      <c r="N2942" s="1">
        <f t="shared" ca="1" si="366"/>
        <v>3</v>
      </c>
      <c r="P2942" s="1">
        <v>45.953714915231103</v>
      </c>
      <c r="Q2942" s="1">
        <f t="shared" ca="1" si="367"/>
        <v>19</v>
      </c>
      <c r="R2942" s="1">
        <v>7.3141029840917327</v>
      </c>
    </row>
    <row r="2943" spans="1:18" x14ac:dyDescent="0.3">
      <c r="A2943" s="26">
        <v>2942</v>
      </c>
      <c r="B2943" s="1">
        <v>6</v>
      </c>
      <c r="C2943" s="1">
        <f t="shared" si="363"/>
        <v>9</v>
      </c>
      <c r="D2943" s="21">
        <f t="shared" ca="1" si="362"/>
        <v>44758</v>
      </c>
      <c r="E2943" s="1" t="s">
        <v>26</v>
      </c>
      <c r="F2943" s="1" t="s">
        <v>2971</v>
      </c>
      <c r="G2943" s="1" t="s">
        <v>28</v>
      </c>
      <c r="H2943" s="1">
        <v>3041</v>
      </c>
      <c r="I2943" s="1">
        <f t="shared" si="364"/>
        <v>66</v>
      </c>
      <c r="J2943" s="1">
        <f>VLOOKUP(B2943,Cena!$A$2:$B$101,2)</f>
        <v>86</v>
      </c>
      <c r="K2943" s="1">
        <f t="shared" si="368"/>
        <v>5676</v>
      </c>
      <c r="L2943" s="1">
        <f t="shared" si="365"/>
        <v>1305.48</v>
      </c>
      <c r="M2943" s="22">
        <f t="shared" si="369"/>
        <v>6981.48</v>
      </c>
      <c r="N2943" s="1">
        <f t="shared" ca="1" si="366"/>
        <v>7</v>
      </c>
      <c r="P2943" s="1">
        <v>66.718877304811031</v>
      </c>
      <c r="Q2943" s="1">
        <f t="shared" ca="1" si="367"/>
        <v>18</v>
      </c>
      <c r="R2943" s="1">
        <v>9.7474134261210565</v>
      </c>
    </row>
    <row r="2944" spans="1:18" x14ac:dyDescent="0.3">
      <c r="A2944" s="26">
        <v>2943</v>
      </c>
      <c r="B2944" s="1">
        <v>26</v>
      </c>
      <c r="C2944" s="1">
        <f t="shared" si="363"/>
        <v>6</v>
      </c>
      <c r="D2944" s="21">
        <f t="shared" ca="1" si="362"/>
        <v>44579</v>
      </c>
      <c r="E2944" s="1" t="s">
        <v>26</v>
      </c>
      <c r="F2944" s="1" t="s">
        <v>2972</v>
      </c>
      <c r="G2944" s="1" t="s">
        <v>28</v>
      </c>
      <c r="H2944" s="1">
        <v>3042</v>
      </c>
      <c r="I2944" s="1">
        <f t="shared" si="364"/>
        <v>54</v>
      </c>
      <c r="J2944" s="1">
        <f>VLOOKUP(B2944,Cena!$A$2:$B$101,2)</f>
        <v>99</v>
      </c>
      <c r="K2944" s="1">
        <f t="shared" si="368"/>
        <v>5346</v>
      </c>
      <c r="L2944" s="1">
        <f t="shared" si="365"/>
        <v>1229.5800000000002</v>
      </c>
      <c r="M2944" s="22">
        <f t="shared" si="369"/>
        <v>6575.58</v>
      </c>
      <c r="N2944" s="1">
        <f t="shared" ca="1" si="366"/>
        <v>1</v>
      </c>
      <c r="P2944" s="1">
        <v>54.111961970920675</v>
      </c>
      <c r="Q2944" s="1">
        <f t="shared" ca="1" si="367"/>
        <v>6</v>
      </c>
      <c r="R2944" s="1">
        <v>6.8679617268207949</v>
      </c>
    </row>
    <row r="2945" spans="1:18" x14ac:dyDescent="0.3">
      <c r="A2945" s="26">
        <v>2944</v>
      </c>
      <c r="B2945" s="1">
        <v>14</v>
      </c>
      <c r="C2945" s="1">
        <f t="shared" si="363"/>
        <v>7</v>
      </c>
      <c r="D2945" s="21">
        <f t="shared" ca="1" si="362"/>
        <v>44668</v>
      </c>
      <c r="E2945" s="1" t="s">
        <v>26</v>
      </c>
      <c r="F2945" s="1" t="s">
        <v>2973</v>
      </c>
      <c r="G2945" s="1" t="s">
        <v>28</v>
      </c>
      <c r="H2945" s="1">
        <v>3043</v>
      </c>
      <c r="I2945" s="1">
        <f t="shared" si="364"/>
        <v>47</v>
      </c>
      <c r="J2945" s="1">
        <f>VLOOKUP(B2945,Cena!$A$2:$B$101,2)</f>
        <v>129</v>
      </c>
      <c r="K2945" s="1">
        <f t="shared" si="368"/>
        <v>6063</v>
      </c>
      <c r="L2945" s="1">
        <f t="shared" si="365"/>
        <v>1394.49</v>
      </c>
      <c r="M2945" s="22">
        <f t="shared" si="369"/>
        <v>7457.49</v>
      </c>
      <c r="N2945" s="1">
        <f t="shared" ca="1" si="366"/>
        <v>4</v>
      </c>
      <c r="P2945" s="1">
        <v>47.019278907828266</v>
      </c>
      <c r="Q2945" s="1">
        <f t="shared" ca="1" si="367"/>
        <v>26</v>
      </c>
      <c r="R2945" s="1">
        <v>7.1148895383521449</v>
      </c>
    </row>
    <row r="2946" spans="1:18" x14ac:dyDescent="0.3">
      <c r="A2946" s="26">
        <v>2945</v>
      </c>
      <c r="B2946" s="1">
        <v>24</v>
      </c>
      <c r="C2946" s="1">
        <f t="shared" si="363"/>
        <v>9</v>
      </c>
      <c r="D2946" s="21">
        <f t="shared" ref="D2946:D3001" ca="1" si="370">DATE(2022,RANDBETWEEN(1,12),RANDBETWEEN(1,28))</f>
        <v>44901</v>
      </c>
      <c r="E2946" s="1" t="s">
        <v>26</v>
      </c>
      <c r="F2946" s="1" t="s">
        <v>2974</v>
      </c>
      <c r="G2946" s="1" t="s">
        <v>28</v>
      </c>
      <c r="H2946" s="1">
        <v>3044</v>
      </c>
      <c r="I2946" s="1">
        <f t="shared" si="364"/>
        <v>59</v>
      </c>
      <c r="J2946" s="1">
        <f>VLOOKUP(B2946,Cena!$A$2:$B$101,2)</f>
        <v>125</v>
      </c>
      <c r="K2946" s="1">
        <f t="shared" si="368"/>
        <v>7375</v>
      </c>
      <c r="L2946" s="1">
        <f t="shared" si="365"/>
        <v>1696.25</v>
      </c>
      <c r="M2946" s="22">
        <f t="shared" si="369"/>
        <v>9071.25</v>
      </c>
      <c r="N2946" s="1">
        <f t="shared" ca="1" si="366"/>
        <v>12</v>
      </c>
      <c r="P2946" s="1">
        <v>59.302448233938776</v>
      </c>
      <c r="Q2946" s="1">
        <f t="shared" ca="1" si="367"/>
        <v>29</v>
      </c>
      <c r="R2946" s="1">
        <v>9.554052010353189</v>
      </c>
    </row>
    <row r="2947" spans="1:18" x14ac:dyDescent="0.3">
      <c r="A2947" s="26">
        <v>2946</v>
      </c>
      <c r="B2947" s="1">
        <v>9</v>
      </c>
      <c r="C2947" s="1">
        <f t="shared" ref="C2947:C3001" si="371">INT(R2947)</f>
        <v>8</v>
      </c>
      <c r="D2947" s="21">
        <f t="shared" ca="1" si="370"/>
        <v>44633</v>
      </c>
      <c r="E2947" s="1" t="s">
        <v>26</v>
      </c>
      <c r="F2947" s="1" t="s">
        <v>2975</v>
      </c>
      <c r="G2947" s="1" t="s">
        <v>28</v>
      </c>
      <c r="H2947" s="1">
        <v>3045</v>
      </c>
      <c r="I2947" s="1">
        <f t="shared" ref="I2947:I3001" si="372">INT(P2947)</f>
        <v>56</v>
      </c>
      <c r="J2947" s="1">
        <f>VLOOKUP(B2947,Cena!$A$2:$B$101,2)</f>
        <v>96</v>
      </c>
      <c r="K2947" s="1">
        <f t="shared" si="368"/>
        <v>5376</v>
      </c>
      <c r="L2947" s="1">
        <f t="shared" ref="L2947:L3000" si="373">K2947*23%</f>
        <v>1236.48</v>
      </c>
      <c r="M2947" s="22">
        <f t="shared" si="369"/>
        <v>6612.48</v>
      </c>
      <c r="N2947" s="1">
        <f t="shared" ref="N2947:N3001" ca="1" si="374">MONTH(D2947)</f>
        <v>3</v>
      </c>
      <c r="P2947" s="1">
        <v>56.484742698376067</v>
      </c>
      <c r="Q2947" s="1">
        <f t="shared" ref="Q2947:Q3001" ca="1" si="375">RANDBETWEEN(1,30)</f>
        <v>23</v>
      </c>
      <c r="R2947" s="1">
        <v>8.2611200266546803</v>
      </c>
    </row>
    <row r="2948" spans="1:18" x14ac:dyDescent="0.3">
      <c r="A2948" s="26">
        <v>2947</v>
      </c>
      <c r="B2948" s="1">
        <v>3</v>
      </c>
      <c r="C2948" s="1">
        <f t="shared" si="371"/>
        <v>11</v>
      </c>
      <c r="D2948" s="21">
        <f t="shared" ca="1" si="370"/>
        <v>44914</v>
      </c>
      <c r="E2948" s="1" t="s">
        <v>26</v>
      </c>
      <c r="F2948" s="1" t="s">
        <v>2976</v>
      </c>
      <c r="G2948" s="1" t="s">
        <v>28</v>
      </c>
      <c r="H2948" s="1">
        <v>3046</v>
      </c>
      <c r="I2948" s="1">
        <f t="shared" si="372"/>
        <v>51</v>
      </c>
      <c r="J2948" s="1">
        <f>VLOOKUP(B2948,Cena!$A$2:$B$101,2)</f>
        <v>89</v>
      </c>
      <c r="K2948" s="1">
        <f t="shared" si="368"/>
        <v>4539</v>
      </c>
      <c r="L2948" s="1">
        <f t="shared" si="373"/>
        <v>1043.97</v>
      </c>
      <c r="M2948" s="22">
        <f t="shared" si="369"/>
        <v>5582.97</v>
      </c>
      <c r="N2948" s="1">
        <f t="shared" ca="1" si="374"/>
        <v>12</v>
      </c>
      <c r="P2948" s="1">
        <v>51.115745362767484</v>
      </c>
      <c r="Q2948" s="1">
        <f t="shared" ca="1" si="375"/>
        <v>7</v>
      </c>
      <c r="R2948" s="1">
        <v>11.072481836672523</v>
      </c>
    </row>
    <row r="2949" spans="1:18" x14ac:dyDescent="0.3">
      <c r="A2949" s="26">
        <v>2948</v>
      </c>
      <c r="B2949" s="1">
        <v>27</v>
      </c>
      <c r="C2949" s="1">
        <f t="shared" si="371"/>
        <v>7</v>
      </c>
      <c r="D2949" s="21">
        <f t="shared" ca="1" si="370"/>
        <v>44883</v>
      </c>
      <c r="E2949" s="1" t="s">
        <v>26</v>
      </c>
      <c r="F2949" s="1" t="s">
        <v>2977</v>
      </c>
      <c r="G2949" s="1" t="s">
        <v>28</v>
      </c>
      <c r="H2949" s="1">
        <v>3047</v>
      </c>
      <c r="I2949" s="1">
        <f t="shared" si="372"/>
        <v>38</v>
      </c>
      <c r="J2949" s="1">
        <f>VLOOKUP(B2949,Cena!$A$2:$B$101,2)</f>
        <v>87</v>
      </c>
      <c r="K2949" s="1">
        <f t="shared" si="368"/>
        <v>3306</v>
      </c>
      <c r="L2949" s="1">
        <f t="shared" si="373"/>
        <v>760.38</v>
      </c>
      <c r="M2949" s="22">
        <f t="shared" si="369"/>
        <v>4066.38</v>
      </c>
      <c r="N2949" s="1">
        <f t="shared" ca="1" si="374"/>
        <v>11</v>
      </c>
      <c r="P2949" s="1">
        <v>38.794024829985574</v>
      </c>
      <c r="Q2949" s="1">
        <f t="shared" ca="1" si="375"/>
        <v>16</v>
      </c>
      <c r="R2949" s="1">
        <v>7.3669787323160563</v>
      </c>
    </row>
    <row r="2950" spans="1:18" x14ac:dyDescent="0.3">
      <c r="A2950" s="26">
        <v>2949</v>
      </c>
      <c r="B2950" s="1">
        <v>26</v>
      </c>
      <c r="C2950" s="1">
        <f t="shared" si="371"/>
        <v>13</v>
      </c>
      <c r="D2950" s="21">
        <f t="shared" ca="1" si="370"/>
        <v>44582</v>
      </c>
      <c r="E2950" s="1" t="s">
        <v>26</v>
      </c>
      <c r="F2950" s="1" t="s">
        <v>2978</v>
      </c>
      <c r="G2950" s="1" t="s">
        <v>28</v>
      </c>
      <c r="H2950" s="1">
        <v>3048</v>
      </c>
      <c r="I2950" s="1">
        <f t="shared" si="372"/>
        <v>62</v>
      </c>
      <c r="J2950" s="1">
        <f>VLOOKUP(B2950,Cena!$A$2:$B$101,2)</f>
        <v>99</v>
      </c>
      <c r="K2950" s="1">
        <f t="shared" si="368"/>
        <v>6138</v>
      </c>
      <c r="L2950" s="1">
        <f t="shared" si="373"/>
        <v>1411.74</v>
      </c>
      <c r="M2950" s="22">
        <f t="shared" si="369"/>
        <v>7549.74</v>
      </c>
      <c r="N2950" s="1">
        <f t="shared" ca="1" si="374"/>
        <v>1</v>
      </c>
      <c r="P2950" s="1">
        <v>62.524810699687805</v>
      </c>
      <c r="Q2950" s="1">
        <f t="shared" ca="1" si="375"/>
        <v>6</v>
      </c>
      <c r="R2950" s="1">
        <v>13.722004748851759</v>
      </c>
    </row>
    <row r="2951" spans="1:18" x14ac:dyDescent="0.3">
      <c r="A2951" s="26">
        <v>2950</v>
      </c>
      <c r="B2951" s="1">
        <v>30</v>
      </c>
      <c r="C2951" s="1">
        <f t="shared" si="371"/>
        <v>15</v>
      </c>
      <c r="D2951" s="21">
        <f t="shared" ca="1" si="370"/>
        <v>44589</v>
      </c>
      <c r="E2951" s="1" t="s">
        <v>26</v>
      </c>
      <c r="F2951" s="1" t="s">
        <v>2979</v>
      </c>
      <c r="G2951" s="1" t="s">
        <v>28</v>
      </c>
      <c r="H2951" s="1">
        <v>3049</v>
      </c>
      <c r="I2951" s="1">
        <f t="shared" si="372"/>
        <v>23</v>
      </c>
      <c r="J2951" s="1">
        <f>VLOOKUP(B2951,Cena!$A$2:$B$101,2)</f>
        <v>87</v>
      </c>
      <c r="K2951" s="1">
        <f t="shared" si="368"/>
        <v>2001</v>
      </c>
      <c r="L2951" s="1">
        <f t="shared" si="373"/>
        <v>460.23</v>
      </c>
      <c r="M2951" s="22">
        <f t="shared" si="369"/>
        <v>2461.23</v>
      </c>
      <c r="N2951" s="1">
        <f t="shared" ca="1" si="374"/>
        <v>1</v>
      </c>
      <c r="P2951" s="1">
        <v>23.604280967265368</v>
      </c>
      <c r="Q2951" s="1">
        <f t="shared" ca="1" si="375"/>
        <v>1</v>
      </c>
      <c r="R2951" s="1">
        <v>15.527363100554794</v>
      </c>
    </row>
    <row r="2952" spans="1:18" x14ac:dyDescent="0.3">
      <c r="A2952" s="26">
        <v>2951</v>
      </c>
      <c r="B2952" s="1">
        <v>28</v>
      </c>
      <c r="C2952" s="1">
        <f t="shared" si="371"/>
        <v>12</v>
      </c>
      <c r="D2952" s="21">
        <f t="shared" ca="1" si="370"/>
        <v>44768</v>
      </c>
      <c r="E2952" s="1" t="s">
        <v>26</v>
      </c>
      <c r="F2952" s="1" t="s">
        <v>2980</v>
      </c>
      <c r="G2952" s="1" t="s">
        <v>28</v>
      </c>
      <c r="H2952" s="1">
        <v>3050</v>
      </c>
      <c r="I2952" s="1">
        <f t="shared" si="372"/>
        <v>34</v>
      </c>
      <c r="J2952" s="1">
        <f>VLOOKUP(B2952,Cena!$A$2:$B$101,2)</f>
        <v>59</v>
      </c>
      <c r="K2952" s="1">
        <f t="shared" si="368"/>
        <v>2006</v>
      </c>
      <c r="L2952" s="1">
        <f t="shared" si="373"/>
        <v>461.38</v>
      </c>
      <c r="M2952" s="22">
        <f t="shared" si="369"/>
        <v>2467.38</v>
      </c>
      <c r="N2952" s="1">
        <f t="shared" ca="1" si="374"/>
        <v>7</v>
      </c>
      <c r="P2952" s="1">
        <v>34.411078912671655</v>
      </c>
      <c r="Q2952" s="1">
        <f t="shared" ca="1" si="375"/>
        <v>15</v>
      </c>
      <c r="R2952" s="1">
        <v>12.285815980940242</v>
      </c>
    </row>
    <row r="2953" spans="1:18" x14ac:dyDescent="0.3">
      <c r="A2953" s="26">
        <v>2952</v>
      </c>
      <c r="B2953" s="1">
        <v>26</v>
      </c>
      <c r="C2953" s="1">
        <f t="shared" si="371"/>
        <v>7</v>
      </c>
      <c r="D2953" s="21">
        <f t="shared" ca="1" si="370"/>
        <v>44638</v>
      </c>
      <c r="E2953" s="1" t="s">
        <v>26</v>
      </c>
      <c r="F2953" s="1" t="s">
        <v>2981</v>
      </c>
      <c r="G2953" s="1" t="s">
        <v>28</v>
      </c>
      <c r="H2953" s="1">
        <v>3051</v>
      </c>
      <c r="I2953" s="1">
        <f t="shared" si="372"/>
        <v>49</v>
      </c>
      <c r="J2953" s="1">
        <f>VLOOKUP(B2953,Cena!$A$2:$B$101,2)</f>
        <v>99</v>
      </c>
      <c r="K2953" s="1">
        <f t="shared" si="368"/>
        <v>4851</v>
      </c>
      <c r="L2953" s="1">
        <f t="shared" si="373"/>
        <v>1115.73</v>
      </c>
      <c r="M2953" s="22">
        <f t="shared" si="369"/>
        <v>5966.73</v>
      </c>
      <c r="N2953" s="1">
        <f t="shared" ca="1" si="374"/>
        <v>3</v>
      </c>
      <c r="P2953" s="1">
        <v>49.809892869961914</v>
      </c>
      <c r="Q2953" s="1">
        <f t="shared" ca="1" si="375"/>
        <v>26</v>
      </c>
      <c r="R2953" s="1">
        <v>7.2045884533144999</v>
      </c>
    </row>
    <row r="2954" spans="1:18" x14ac:dyDescent="0.3">
      <c r="A2954" s="26">
        <v>2953</v>
      </c>
      <c r="B2954" s="1">
        <v>14</v>
      </c>
      <c r="C2954" s="1">
        <f t="shared" si="371"/>
        <v>12</v>
      </c>
      <c r="D2954" s="21">
        <f t="shared" ca="1" si="370"/>
        <v>44735</v>
      </c>
      <c r="E2954" s="1" t="s">
        <v>26</v>
      </c>
      <c r="F2954" s="1" t="s">
        <v>2982</v>
      </c>
      <c r="G2954" s="1" t="s">
        <v>28</v>
      </c>
      <c r="H2954" s="1">
        <v>3052</v>
      </c>
      <c r="I2954" s="1">
        <f t="shared" si="372"/>
        <v>53</v>
      </c>
      <c r="J2954" s="1">
        <f>VLOOKUP(B2954,Cena!$A$2:$B$101,2)</f>
        <v>129</v>
      </c>
      <c r="K2954" s="1">
        <f t="shared" si="368"/>
        <v>6837</v>
      </c>
      <c r="L2954" s="1">
        <f t="shared" si="373"/>
        <v>1572.51</v>
      </c>
      <c r="M2954" s="22">
        <f t="shared" si="369"/>
        <v>8409.51</v>
      </c>
      <c r="N2954" s="1">
        <f t="shared" ca="1" si="374"/>
        <v>6</v>
      </c>
      <c r="P2954" s="1">
        <v>53.809122972597834</v>
      </c>
      <c r="Q2954" s="1">
        <f t="shared" ca="1" si="375"/>
        <v>4</v>
      </c>
      <c r="R2954" s="1">
        <v>12.565707291068975</v>
      </c>
    </row>
    <row r="2955" spans="1:18" x14ac:dyDescent="0.3">
      <c r="A2955" s="26">
        <v>2954</v>
      </c>
      <c r="B2955" s="1">
        <v>29</v>
      </c>
      <c r="C2955" s="1">
        <f t="shared" si="371"/>
        <v>15</v>
      </c>
      <c r="D2955" s="21">
        <f t="shared" ca="1" si="370"/>
        <v>44889</v>
      </c>
      <c r="E2955" s="1" t="s">
        <v>26</v>
      </c>
      <c r="F2955" s="1" t="s">
        <v>2983</v>
      </c>
      <c r="G2955" s="1" t="s">
        <v>28</v>
      </c>
      <c r="H2955" s="1">
        <v>3053</v>
      </c>
      <c r="I2955" s="1">
        <f t="shared" si="372"/>
        <v>51</v>
      </c>
      <c r="J2955" s="1">
        <f>VLOOKUP(B2955,Cena!$A$2:$B$101,2)</f>
        <v>105</v>
      </c>
      <c r="K2955" s="1">
        <f t="shared" si="368"/>
        <v>5355</v>
      </c>
      <c r="L2955" s="1">
        <f t="shared" si="373"/>
        <v>1231.6500000000001</v>
      </c>
      <c r="M2955" s="22">
        <f t="shared" si="369"/>
        <v>6586.65</v>
      </c>
      <c r="N2955" s="1">
        <f t="shared" ca="1" si="374"/>
        <v>11</v>
      </c>
      <c r="P2955" s="1">
        <v>51.568128027429339</v>
      </c>
      <c r="Q2955" s="1">
        <f t="shared" ca="1" si="375"/>
        <v>14</v>
      </c>
      <c r="R2955" s="1">
        <v>15.233391675574239</v>
      </c>
    </row>
    <row r="2956" spans="1:18" x14ac:dyDescent="0.3">
      <c r="A2956" s="26">
        <v>2955</v>
      </c>
      <c r="B2956" s="1">
        <v>11</v>
      </c>
      <c r="C2956" s="1">
        <f t="shared" si="371"/>
        <v>10</v>
      </c>
      <c r="D2956" s="21">
        <f t="shared" ca="1" si="370"/>
        <v>44814</v>
      </c>
      <c r="E2956" s="1" t="s">
        <v>26</v>
      </c>
      <c r="F2956" s="1" t="s">
        <v>2984</v>
      </c>
      <c r="G2956" s="1" t="s">
        <v>28</v>
      </c>
      <c r="H2956" s="1">
        <v>3054</v>
      </c>
      <c r="I2956" s="1">
        <f t="shared" si="372"/>
        <v>65</v>
      </c>
      <c r="J2956" s="1">
        <f>VLOOKUP(B2956,Cena!$A$2:$B$101,2)</f>
        <v>83</v>
      </c>
      <c r="K2956" s="1">
        <f t="shared" si="368"/>
        <v>5395</v>
      </c>
      <c r="L2956" s="1">
        <f t="shared" si="373"/>
        <v>1240.8500000000001</v>
      </c>
      <c r="M2956" s="22">
        <f t="shared" si="369"/>
        <v>6635.85</v>
      </c>
      <c r="N2956" s="1">
        <f t="shared" ca="1" si="374"/>
        <v>9</v>
      </c>
      <c r="P2956" s="1">
        <v>65.415935195051134</v>
      </c>
      <c r="Q2956" s="1">
        <f t="shared" ca="1" si="375"/>
        <v>8</v>
      </c>
      <c r="R2956" s="1">
        <v>10.128287069856015</v>
      </c>
    </row>
    <row r="2957" spans="1:18" x14ac:dyDescent="0.3">
      <c r="A2957" s="26">
        <v>2956</v>
      </c>
      <c r="B2957" s="1">
        <v>17</v>
      </c>
      <c r="C2957" s="1">
        <f t="shared" si="371"/>
        <v>8</v>
      </c>
      <c r="D2957" s="21">
        <f t="shared" ca="1" si="370"/>
        <v>44619</v>
      </c>
      <c r="E2957" s="1" t="s">
        <v>26</v>
      </c>
      <c r="F2957" s="1" t="s">
        <v>2985</v>
      </c>
      <c r="G2957" s="1" t="s">
        <v>28</v>
      </c>
      <c r="H2957" s="1">
        <v>3055</v>
      </c>
      <c r="I2957" s="1">
        <f t="shared" si="372"/>
        <v>40</v>
      </c>
      <c r="J2957" s="1">
        <f>VLOOKUP(B2957,Cena!$A$2:$B$101,2)</f>
        <v>84</v>
      </c>
      <c r="K2957" s="1">
        <f t="shared" si="368"/>
        <v>3360</v>
      </c>
      <c r="L2957" s="1">
        <f t="shared" si="373"/>
        <v>772.80000000000007</v>
      </c>
      <c r="M2957" s="22">
        <f t="shared" si="369"/>
        <v>4132.8</v>
      </c>
      <c r="N2957" s="1">
        <f t="shared" ca="1" si="374"/>
        <v>2</v>
      </c>
      <c r="P2957" s="1">
        <v>40.323135534708854</v>
      </c>
      <c r="Q2957" s="1">
        <f t="shared" ca="1" si="375"/>
        <v>6</v>
      </c>
      <c r="R2957" s="1">
        <v>8.0770496676996117</v>
      </c>
    </row>
    <row r="2958" spans="1:18" x14ac:dyDescent="0.3">
      <c r="A2958" s="26">
        <v>2957</v>
      </c>
      <c r="B2958" s="1">
        <v>22</v>
      </c>
      <c r="C2958" s="1">
        <f t="shared" si="371"/>
        <v>8</v>
      </c>
      <c r="D2958" s="21">
        <f t="shared" ca="1" si="370"/>
        <v>44688</v>
      </c>
      <c r="E2958" s="1" t="s">
        <v>26</v>
      </c>
      <c r="F2958" s="1" t="s">
        <v>2986</v>
      </c>
      <c r="G2958" s="1" t="s">
        <v>28</v>
      </c>
      <c r="H2958" s="1">
        <v>3056</v>
      </c>
      <c r="I2958" s="1">
        <f t="shared" si="372"/>
        <v>57</v>
      </c>
      <c r="J2958" s="1">
        <f>VLOOKUP(B2958,Cena!$A$2:$B$101,2)</f>
        <v>103</v>
      </c>
      <c r="K2958" s="1">
        <f t="shared" si="368"/>
        <v>5871</v>
      </c>
      <c r="L2958" s="1">
        <f t="shared" si="373"/>
        <v>1350.3300000000002</v>
      </c>
      <c r="M2958" s="22">
        <f t="shared" si="369"/>
        <v>7221.33</v>
      </c>
      <c r="N2958" s="1">
        <f t="shared" ca="1" si="374"/>
        <v>5</v>
      </c>
      <c r="P2958" s="1">
        <v>57.759854270261712</v>
      </c>
      <c r="Q2958" s="1">
        <f t="shared" ca="1" si="375"/>
        <v>3</v>
      </c>
      <c r="R2958" s="1">
        <v>8.3155163363335305</v>
      </c>
    </row>
    <row r="2959" spans="1:18" x14ac:dyDescent="0.3">
      <c r="A2959" s="26">
        <v>2958</v>
      </c>
      <c r="B2959" s="1">
        <v>7</v>
      </c>
      <c r="C2959" s="1">
        <f t="shared" si="371"/>
        <v>5</v>
      </c>
      <c r="D2959" s="21">
        <f t="shared" ca="1" si="370"/>
        <v>44575</v>
      </c>
      <c r="E2959" s="1" t="s">
        <v>26</v>
      </c>
      <c r="F2959" s="1" t="s">
        <v>2987</v>
      </c>
      <c r="G2959" s="1" t="s">
        <v>28</v>
      </c>
      <c r="H2959" s="1">
        <v>3057</v>
      </c>
      <c r="I2959" s="1">
        <f t="shared" si="372"/>
        <v>48</v>
      </c>
      <c r="J2959" s="1">
        <f>VLOOKUP(B2959,Cena!$A$2:$B$101,2)</f>
        <v>104</v>
      </c>
      <c r="K2959" s="1">
        <f t="shared" si="368"/>
        <v>4992</v>
      </c>
      <c r="L2959" s="1">
        <f t="shared" si="373"/>
        <v>1148.1600000000001</v>
      </c>
      <c r="M2959" s="22">
        <f t="shared" si="369"/>
        <v>6140.16</v>
      </c>
      <c r="N2959" s="1">
        <f t="shared" ca="1" si="374"/>
        <v>1</v>
      </c>
      <c r="P2959" s="1">
        <v>48.34508344065398</v>
      </c>
      <c r="Q2959" s="1">
        <f t="shared" ca="1" si="375"/>
        <v>3</v>
      </c>
      <c r="R2959" s="1">
        <v>5.3518454276490957</v>
      </c>
    </row>
    <row r="2960" spans="1:18" x14ac:dyDescent="0.3">
      <c r="A2960" s="26">
        <v>2959</v>
      </c>
      <c r="B2960" s="1">
        <v>2</v>
      </c>
      <c r="C2960" s="1">
        <f t="shared" si="371"/>
        <v>12</v>
      </c>
      <c r="D2960" s="21">
        <f t="shared" ca="1" si="370"/>
        <v>44724</v>
      </c>
      <c r="E2960" s="1" t="s">
        <v>26</v>
      </c>
      <c r="F2960" s="1" t="s">
        <v>2988</v>
      </c>
      <c r="G2960" s="1" t="s">
        <v>28</v>
      </c>
      <c r="H2960" s="1">
        <v>3058</v>
      </c>
      <c r="I2960" s="1">
        <f t="shared" si="372"/>
        <v>44</v>
      </c>
      <c r="J2960" s="1">
        <f>VLOOKUP(B2960,Cena!$A$2:$B$101,2)</f>
        <v>121</v>
      </c>
      <c r="K2960" s="1">
        <f t="shared" si="368"/>
        <v>5324</v>
      </c>
      <c r="L2960" s="1">
        <f t="shared" si="373"/>
        <v>1224.52</v>
      </c>
      <c r="M2960" s="22">
        <f t="shared" si="369"/>
        <v>6548.52</v>
      </c>
      <c r="N2960" s="1">
        <f t="shared" ca="1" si="374"/>
        <v>6</v>
      </c>
      <c r="P2960" s="1">
        <v>44.833865457621869</v>
      </c>
      <c r="Q2960" s="1">
        <f t="shared" ca="1" si="375"/>
        <v>14</v>
      </c>
      <c r="R2960" s="1">
        <v>12.07082848646678</v>
      </c>
    </row>
    <row r="2961" spans="1:18" x14ac:dyDescent="0.3">
      <c r="A2961" s="26">
        <v>2960</v>
      </c>
      <c r="B2961" s="1">
        <v>7</v>
      </c>
      <c r="C2961" s="1">
        <f t="shared" si="371"/>
        <v>10</v>
      </c>
      <c r="D2961" s="21">
        <f t="shared" ca="1" si="370"/>
        <v>44715</v>
      </c>
      <c r="E2961" s="1" t="s">
        <v>26</v>
      </c>
      <c r="F2961" s="1" t="s">
        <v>2989</v>
      </c>
      <c r="G2961" s="1" t="s">
        <v>28</v>
      </c>
      <c r="H2961" s="1">
        <v>3059</v>
      </c>
      <c r="I2961" s="1">
        <f t="shared" si="372"/>
        <v>57</v>
      </c>
      <c r="J2961" s="1">
        <f>VLOOKUP(B2961,Cena!$A$2:$B$101,2)</f>
        <v>104</v>
      </c>
      <c r="K2961" s="1">
        <f t="shared" si="368"/>
        <v>5928</v>
      </c>
      <c r="L2961" s="1">
        <f t="shared" si="373"/>
        <v>1363.44</v>
      </c>
      <c r="M2961" s="22">
        <f t="shared" si="369"/>
        <v>7291.4400000000005</v>
      </c>
      <c r="N2961" s="1">
        <f t="shared" ca="1" si="374"/>
        <v>6</v>
      </c>
      <c r="P2961" s="1">
        <v>57.064090823405422</v>
      </c>
      <c r="Q2961" s="1">
        <f t="shared" ca="1" si="375"/>
        <v>30</v>
      </c>
      <c r="R2961" s="1">
        <v>10.171010583471798</v>
      </c>
    </row>
    <row r="2962" spans="1:18" x14ac:dyDescent="0.3">
      <c r="A2962" s="26">
        <v>2961</v>
      </c>
      <c r="B2962" s="1">
        <v>22</v>
      </c>
      <c r="C2962" s="1">
        <f t="shared" si="371"/>
        <v>11</v>
      </c>
      <c r="D2962" s="21">
        <f t="shared" ca="1" si="370"/>
        <v>44729</v>
      </c>
      <c r="E2962" s="1" t="s">
        <v>26</v>
      </c>
      <c r="F2962" s="1" t="s">
        <v>2990</v>
      </c>
      <c r="G2962" s="1" t="s">
        <v>28</v>
      </c>
      <c r="H2962" s="1">
        <v>3060</v>
      </c>
      <c r="I2962" s="1">
        <f t="shared" si="372"/>
        <v>34</v>
      </c>
      <c r="J2962" s="1">
        <f>VLOOKUP(B2962,Cena!$A$2:$B$101,2)</f>
        <v>103</v>
      </c>
      <c r="K2962" s="1">
        <f t="shared" si="368"/>
        <v>3502</v>
      </c>
      <c r="L2962" s="1">
        <f t="shared" si="373"/>
        <v>805.46</v>
      </c>
      <c r="M2962" s="22">
        <f t="shared" si="369"/>
        <v>4307.46</v>
      </c>
      <c r="N2962" s="1">
        <f t="shared" ca="1" si="374"/>
        <v>6</v>
      </c>
      <c r="P2962" s="1">
        <v>34.531132213305682</v>
      </c>
      <c r="Q2962" s="1">
        <f t="shared" ca="1" si="375"/>
        <v>9</v>
      </c>
      <c r="R2962" s="1">
        <v>11.348473688267404</v>
      </c>
    </row>
    <row r="2963" spans="1:18" x14ac:dyDescent="0.3">
      <c r="A2963" s="26">
        <v>2962</v>
      </c>
      <c r="B2963" s="1">
        <v>3</v>
      </c>
      <c r="C2963" s="1">
        <f t="shared" si="371"/>
        <v>8</v>
      </c>
      <c r="D2963" s="21">
        <f t="shared" ca="1" si="370"/>
        <v>44623</v>
      </c>
      <c r="E2963" s="1" t="s">
        <v>26</v>
      </c>
      <c r="F2963" s="1" t="s">
        <v>2991</v>
      </c>
      <c r="G2963" s="1" t="s">
        <v>28</v>
      </c>
      <c r="H2963" s="1">
        <v>3061</v>
      </c>
      <c r="I2963" s="1">
        <f t="shared" si="372"/>
        <v>34</v>
      </c>
      <c r="J2963" s="1">
        <f>VLOOKUP(B2963,Cena!$A$2:$B$101,2)</f>
        <v>89</v>
      </c>
      <c r="K2963" s="1">
        <f t="shared" si="368"/>
        <v>3026</v>
      </c>
      <c r="L2963" s="1">
        <f t="shared" si="373"/>
        <v>695.98</v>
      </c>
      <c r="M2963" s="22">
        <f t="shared" si="369"/>
        <v>3721.98</v>
      </c>
      <c r="N2963" s="1">
        <f t="shared" ca="1" si="374"/>
        <v>3</v>
      </c>
      <c r="P2963" s="1">
        <v>34.209398462553509</v>
      </c>
      <c r="Q2963" s="1">
        <f t="shared" ca="1" si="375"/>
        <v>29</v>
      </c>
      <c r="R2963" s="1">
        <v>8.0553809564298717</v>
      </c>
    </row>
    <row r="2964" spans="1:18" x14ac:dyDescent="0.3">
      <c r="A2964" s="26">
        <v>2963</v>
      </c>
      <c r="B2964" s="1">
        <v>2</v>
      </c>
      <c r="C2964" s="1">
        <f t="shared" si="371"/>
        <v>10</v>
      </c>
      <c r="D2964" s="21">
        <f t="shared" ca="1" si="370"/>
        <v>44769</v>
      </c>
      <c r="E2964" s="1" t="s">
        <v>26</v>
      </c>
      <c r="F2964" s="1" t="s">
        <v>2992</v>
      </c>
      <c r="G2964" s="1" t="s">
        <v>28</v>
      </c>
      <c r="H2964" s="1">
        <v>3062</v>
      </c>
      <c r="I2964" s="1">
        <f t="shared" si="372"/>
        <v>38</v>
      </c>
      <c r="J2964" s="1">
        <f>VLOOKUP(B2964,Cena!$A$2:$B$101,2)</f>
        <v>121</v>
      </c>
      <c r="K2964" s="1">
        <f t="shared" si="368"/>
        <v>4598</v>
      </c>
      <c r="L2964" s="1">
        <f t="shared" si="373"/>
        <v>1057.54</v>
      </c>
      <c r="M2964" s="22">
        <f t="shared" si="369"/>
        <v>5655.54</v>
      </c>
      <c r="N2964" s="1">
        <f t="shared" ca="1" si="374"/>
        <v>7</v>
      </c>
      <c r="P2964" s="1">
        <v>38.196509548288304</v>
      </c>
      <c r="Q2964" s="1">
        <f t="shared" ca="1" si="375"/>
        <v>15</v>
      </c>
      <c r="R2964" s="1">
        <v>10.371906594409666</v>
      </c>
    </row>
    <row r="2965" spans="1:18" x14ac:dyDescent="0.3">
      <c r="A2965" s="26">
        <v>2964</v>
      </c>
      <c r="B2965" s="1">
        <v>24</v>
      </c>
      <c r="C2965" s="1">
        <f t="shared" si="371"/>
        <v>8</v>
      </c>
      <c r="D2965" s="21">
        <f t="shared" ca="1" si="370"/>
        <v>44851</v>
      </c>
      <c r="E2965" s="1" t="s">
        <v>26</v>
      </c>
      <c r="F2965" s="1" t="s">
        <v>2993</v>
      </c>
      <c r="G2965" s="1" t="s">
        <v>28</v>
      </c>
      <c r="H2965" s="1">
        <v>3063</v>
      </c>
      <c r="I2965" s="1">
        <f t="shared" si="372"/>
        <v>32</v>
      </c>
      <c r="J2965" s="1">
        <f>VLOOKUP(B2965,Cena!$A$2:$B$101,2)</f>
        <v>125</v>
      </c>
      <c r="K2965" s="1">
        <f t="shared" si="368"/>
        <v>4000</v>
      </c>
      <c r="L2965" s="1">
        <f t="shared" si="373"/>
        <v>920</v>
      </c>
      <c r="M2965" s="22">
        <f t="shared" si="369"/>
        <v>4920</v>
      </c>
      <c r="N2965" s="1">
        <f t="shared" ca="1" si="374"/>
        <v>10</v>
      </c>
      <c r="P2965" s="1">
        <v>32.462304615182802</v>
      </c>
      <c r="Q2965" s="1">
        <f t="shared" ca="1" si="375"/>
        <v>4</v>
      </c>
      <c r="R2965" s="1">
        <v>8.9203843142604455</v>
      </c>
    </row>
    <row r="2966" spans="1:18" x14ac:dyDescent="0.3">
      <c r="A2966" s="26">
        <v>2965</v>
      </c>
      <c r="B2966" s="1">
        <v>7</v>
      </c>
      <c r="C2966" s="1">
        <f t="shared" si="371"/>
        <v>12</v>
      </c>
      <c r="D2966" s="21">
        <f t="shared" ca="1" si="370"/>
        <v>44584</v>
      </c>
      <c r="E2966" s="1" t="s">
        <v>26</v>
      </c>
      <c r="F2966" s="1" t="s">
        <v>2994</v>
      </c>
      <c r="G2966" s="1" t="s">
        <v>28</v>
      </c>
      <c r="H2966" s="1">
        <v>3064</v>
      </c>
      <c r="I2966" s="1">
        <f t="shared" si="372"/>
        <v>54</v>
      </c>
      <c r="J2966" s="1">
        <f>VLOOKUP(B2966,Cena!$A$2:$B$101,2)</f>
        <v>104</v>
      </c>
      <c r="K2966" s="1">
        <f t="shared" si="368"/>
        <v>5616</v>
      </c>
      <c r="L2966" s="1">
        <f t="shared" si="373"/>
        <v>1291.68</v>
      </c>
      <c r="M2966" s="22">
        <f t="shared" si="369"/>
        <v>6907.68</v>
      </c>
      <c r="N2966" s="1">
        <f t="shared" ca="1" si="374"/>
        <v>1</v>
      </c>
      <c r="P2966" s="1">
        <v>54.874573278357275</v>
      </c>
      <c r="Q2966" s="1">
        <f t="shared" ca="1" si="375"/>
        <v>8</v>
      </c>
      <c r="R2966" s="1">
        <v>12.213846528320573</v>
      </c>
    </row>
    <row r="2967" spans="1:18" x14ac:dyDescent="0.3">
      <c r="A2967" s="26">
        <v>2966</v>
      </c>
      <c r="B2967" s="1">
        <v>18</v>
      </c>
      <c r="C2967" s="1">
        <f t="shared" si="371"/>
        <v>13</v>
      </c>
      <c r="D2967" s="21">
        <f t="shared" ca="1" si="370"/>
        <v>44655</v>
      </c>
      <c r="E2967" s="1" t="s">
        <v>26</v>
      </c>
      <c r="F2967" s="1" t="s">
        <v>2995</v>
      </c>
      <c r="G2967" s="1" t="s">
        <v>28</v>
      </c>
      <c r="H2967" s="1">
        <v>3065</v>
      </c>
      <c r="I2967" s="1">
        <f t="shared" si="372"/>
        <v>59</v>
      </c>
      <c r="J2967" s="1">
        <f>VLOOKUP(B2967,Cena!$A$2:$B$101,2)</f>
        <v>90</v>
      </c>
      <c r="K2967" s="1">
        <f t="shared" si="368"/>
        <v>5310</v>
      </c>
      <c r="L2967" s="1">
        <f t="shared" si="373"/>
        <v>1221.3</v>
      </c>
      <c r="M2967" s="22">
        <f t="shared" si="369"/>
        <v>6531.3</v>
      </c>
      <c r="N2967" s="1">
        <f t="shared" ca="1" si="374"/>
        <v>4</v>
      </c>
      <c r="P2967" s="1">
        <v>59.625682650948875</v>
      </c>
      <c r="Q2967" s="1">
        <f t="shared" ca="1" si="375"/>
        <v>17</v>
      </c>
      <c r="R2967" s="1">
        <v>13.294985617685597</v>
      </c>
    </row>
    <row r="2968" spans="1:18" x14ac:dyDescent="0.3">
      <c r="A2968" s="26">
        <v>2967</v>
      </c>
      <c r="B2968" s="1">
        <v>20</v>
      </c>
      <c r="C2968" s="1">
        <f t="shared" si="371"/>
        <v>11</v>
      </c>
      <c r="D2968" s="21">
        <f t="shared" ca="1" si="370"/>
        <v>44780</v>
      </c>
      <c r="E2968" s="1" t="s">
        <v>26</v>
      </c>
      <c r="F2968" s="1" t="s">
        <v>2996</v>
      </c>
      <c r="G2968" s="1" t="s">
        <v>28</v>
      </c>
      <c r="H2968" s="1">
        <v>3066</v>
      </c>
      <c r="I2968" s="1">
        <f t="shared" si="372"/>
        <v>54</v>
      </c>
      <c r="J2968" s="1">
        <f>VLOOKUP(B2968,Cena!$A$2:$B$101,2)</f>
        <v>111</v>
      </c>
      <c r="K2968" s="1">
        <f t="shared" si="368"/>
        <v>5994</v>
      </c>
      <c r="L2968" s="1">
        <f t="shared" si="373"/>
        <v>1378.6200000000001</v>
      </c>
      <c r="M2968" s="22">
        <f t="shared" si="369"/>
        <v>7372.62</v>
      </c>
      <c r="N2968" s="1">
        <f t="shared" ca="1" si="374"/>
        <v>8</v>
      </c>
      <c r="P2968" s="1">
        <v>54.908201844955329</v>
      </c>
      <c r="Q2968" s="1">
        <f t="shared" ca="1" si="375"/>
        <v>16</v>
      </c>
      <c r="R2968" s="1">
        <v>11.529514292997192</v>
      </c>
    </row>
    <row r="2969" spans="1:18" x14ac:dyDescent="0.3">
      <c r="A2969" s="26">
        <v>2968</v>
      </c>
      <c r="B2969" s="1">
        <v>20</v>
      </c>
      <c r="C2969" s="1">
        <f t="shared" si="371"/>
        <v>8</v>
      </c>
      <c r="D2969" s="21">
        <f t="shared" ca="1" si="370"/>
        <v>44618</v>
      </c>
      <c r="E2969" s="1" t="s">
        <v>26</v>
      </c>
      <c r="F2969" s="1" t="s">
        <v>2997</v>
      </c>
      <c r="G2969" s="1" t="s">
        <v>28</v>
      </c>
      <c r="H2969" s="1">
        <v>3067</v>
      </c>
      <c r="I2969" s="1">
        <f t="shared" si="372"/>
        <v>36</v>
      </c>
      <c r="J2969" s="1">
        <f>VLOOKUP(B2969,Cena!$A$2:$B$101,2)</f>
        <v>111</v>
      </c>
      <c r="K2969" s="1">
        <f t="shared" si="368"/>
        <v>3996</v>
      </c>
      <c r="L2969" s="1">
        <f t="shared" si="373"/>
        <v>919.08</v>
      </c>
      <c r="M2969" s="22">
        <f t="shared" si="369"/>
        <v>4915.08</v>
      </c>
      <c r="N2969" s="1">
        <f t="shared" ca="1" si="374"/>
        <v>2</v>
      </c>
      <c r="P2969" s="1">
        <v>36.543366503610741</v>
      </c>
      <c r="Q2969" s="1">
        <f t="shared" ca="1" si="375"/>
        <v>8</v>
      </c>
      <c r="R2969" s="1">
        <v>8.9649296594507177</v>
      </c>
    </row>
    <row r="2970" spans="1:18" x14ac:dyDescent="0.3">
      <c r="A2970" s="26">
        <v>2969</v>
      </c>
      <c r="B2970" s="1">
        <v>19</v>
      </c>
      <c r="C2970" s="1">
        <f t="shared" si="371"/>
        <v>10</v>
      </c>
      <c r="D2970" s="21">
        <f t="shared" ca="1" si="370"/>
        <v>44829</v>
      </c>
      <c r="E2970" s="1" t="s">
        <v>26</v>
      </c>
      <c r="F2970" s="1" t="s">
        <v>2998</v>
      </c>
      <c r="G2970" s="1" t="s">
        <v>28</v>
      </c>
      <c r="H2970" s="1">
        <v>3068</v>
      </c>
      <c r="I2970" s="1">
        <f t="shared" si="372"/>
        <v>66</v>
      </c>
      <c r="J2970" s="1">
        <f>VLOOKUP(B2970,Cena!$A$2:$B$101,2)</f>
        <v>84</v>
      </c>
      <c r="K2970" s="1">
        <f t="shared" si="368"/>
        <v>5544</v>
      </c>
      <c r="L2970" s="1">
        <f t="shared" si="373"/>
        <v>1275.1200000000001</v>
      </c>
      <c r="M2970" s="22">
        <f t="shared" si="369"/>
        <v>6819.12</v>
      </c>
      <c r="N2970" s="1">
        <f t="shared" ca="1" si="374"/>
        <v>9</v>
      </c>
      <c r="P2970" s="1">
        <v>66.312060324708</v>
      </c>
      <c r="Q2970" s="1">
        <f t="shared" ca="1" si="375"/>
        <v>28</v>
      </c>
      <c r="R2970" s="1">
        <v>10.479803929920308</v>
      </c>
    </row>
    <row r="2971" spans="1:18" x14ac:dyDescent="0.3">
      <c r="A2971" s="26">
        <v>2970</v>
      </c>
      <c r="B2971" s="1">
        <v>17</v>
      </c>
      <c r="C2971" s="1">
        <f t="shared" si="371"/>
        <v>8</v>
      </c>
      <c r="D2971" s="21">
        <f t="shared" ca="1" si="370"/>
        <v>44746</v>
      </c>
      <c r="E2971" s="1" t="s">
        <v>26</v>
      </c>
      <c r="F2971" s="1" t="s">
        <v>2999</v>
      </c>
      <c r="G2971" s="1" t="s">
        <v>28</v>
      </c>
      <c r="H2971" s="1">
        <v>3069</v>
      </c>
      <c r="I2971" s="1">
        <f t="shared" si="372"/>
        <v>57</v>
      </c>
      <c r="J2971" s="1">
        <f>VLOOKUP(B2971,Cena!$A$2:$B$101,2)</f>
        <v>84</v>
      </c>
      <c r="K2971" s="1">
        <f t="shared" si="368"/>
        <v>4788</v>
      </c>
      <c r="L2971" s="1">
        <f t="shared" si="373"/>
        <v>1101.24</v>
      </c>
      <c r="M2971" s="22">
        <f t="shared" si="369"/>
        <v>5889.24</v>
      </c>
      <c r="N2971" s="1">
        <f t="shared" ca="1" si="374"/>
        <v>7</v>
      </c>
      <c r="P2971" s="1">
        <v>57.478638508473523</v>
      </c>
      <c r="Q2971" s="1">
        <f t="shared" ca="1" si="375"/>
        <v>13</v>
      </c>
      <c r="R2971" s="1">
        <v>8.312875959527446</v>
      </c>
    </row>
    <row r="2972" spans="1:18" x14ac:dyDescent="0.3">
      <c r="A2972" s="26">
        <v>2971</v>
      </c>
      <c r="B2972" s="1">
        <v>26</v>
      </c>
      <c r="C2972" s="1">
        <f t="shared" si="371"/>
        <v>12</v>
      </c>
      <c r="D2972" s="21">
        <f t="shared" ca="1" si="370"/>
        <v>44867</v>
      </c>
      <c r="E2972" s="1" t="s">
        <v>26</v>
      </c>
      <c r="F2972" s="1" t="s">
        <v>3000</v>
      </c>
      <c r="G2972" s="1" t="s">
        <v>28</v>
      </c>
      <c r="H2972" s="1">
        <v>3070</v>
      </c>
      <c r="I2972" s="1">
        <f t="shared" si="372"/>
        <v>59</v>
      </c>
      <c r="J2972" s="1">
        <f>VLOOKUP(B2972,Cena!$A$2:$B$101,2)</f>
        <v>99</v>
      </c>
      <c r="K2972" s="1">
        <f t="shared" si="368"/>
        <v>5841</v>
      </c>
      <c r="L2972" s="1">
        <f t="shared" si="373"/>
        <v>1343.43</v>
      </c>
      <c r="M2972" s="22">
        <f t="shared" si="369"/>
        <v>7184.43</v>
      </c>
      <c r="N2972" s="1">
        <f t="shared" ca="1" si="374"/>
        <v>11</v>
      </c>
      <c r="P2972" s="1">
        <v>59.369864528707694</v>
      </c>
      <c r="Q2972" s="1">
        <f t="shared" ca="1" si="375"/>
        <v>22</v>
      </c>
      <c r="R2972" s="1">
        <v>12.409763055766234</v>
      </c>
    </row>
    <row r="2973" spans="1:18" x14ac:dyDescent="0.3">
      <c r="A2973" s="26">
        <v>2972</v>
      </c>
      <c r="B2973" s="1">
        <v>1</v>
      </c>
      <c r="C2973" s="1">
        <f t="shared" si="371"/>
        <v>10</v>
      </c>
      <c r="D2973" s="21">
        <f t="shared" ca="1" si="370"/>
        <v>44788</v>
      </c>
      <c r="E2973" s="1" t="s">
        <v>26</v>
      </c>
      <c r="F2973" s="1" t="s">
        <v>3001</v>
      </c>
      <c r="G2973" s="1" t="s">
        <v>28</v>
      </c>
      <c r="H2973" s="1">
        <v>3071</v>
      </c>
      <c r="I2973" s="1">
        <f t="shared" si="372"/>
        <v>47</v>
      </c>
      <c r="J2973" s="1">
        <f>VLOOKUP(B2973,Cena!$A$2:$B$101,2)</f>
        <v>84</v>
      </c>
      <c r="K2973" s="1">
        <f t="shared" si="368"/>
        <v>3948</v>
      </c>
      <c r="L2973" s="1">
        <f t="shared" si="373"/>
        <v>908.04000000000008</v>
      </c>
      <c r="M2973" s="22">
        <f t="shared" si="369"/>
        <v>4856.04</v>
      </c>
      <c r="N2973" s="1">
        <f t="shared" ca="1" si="374"/>
        <v>8</v>
      </c>
      <c r="P2973" s="1">
        <v>47.343263657967327</v>
      </c>
      <c r="Q2973" s="1">
        <f t="shared" ca="1" si="375"/>
        <v>19</v>
      </c>
      <c r="R2973" s="1">
        <v>10.042362557906017</v>
      </c>
    </row>
    <row r="2974" spans="1:18" x14ac:dyDescent="0.3">
      <c r="A2974" s="26">
        <v>2973</v>
      </c>
      <c r="B2974" s="1">
        <v>7</v>
      </c>
      <c r="C2974" s="1">
        <f t="shared" si="371"/>
        <v>4</v>
      </c>
      <c r="D2974" s="21">
        <f t="shared" ca="1" si="370"/>
        <v>44646</v>
      </c>
      <c r="E2974" s="1" t="s">
        <v>26</v>
      </c>
      <c r="F2974" s="1" t="s">
        <v>3002</v>
      </c>
      <c r="G2974" s="1" t="s">
        <v>28</v>
      </c>
      <c r="H2974" s="1">
        <v>3072</v>
      </c>
      <c r="I2974" s="1">
        <f t="shared" si="372"/>
        <v>36</v>
      </c>
      <c r="J2974" s="1">
        <f>VLOOKUP(B2974,Cena!$A$2:$B$101,2)</f>
        <v>104</v>
      </c>
      <c r="K2974" s="1">
        <f t="shared" si="368"/>
        <v>3744</v>
      </c>
      <c r="L2974" s="1">
        <f t="shared" si="373"/>
        <v>861.12</v>
      </c>
      <c r="M2974" s="22">
        <f t="shared" si="369"/>
        <v>4605.12</v>
      </c>
      <c r="N2974" s="1">
        <f t="shared" ca="1" si="374"/>
        <v>3</v>
      </c>
      <c r="P2974" s="1">
        <v>36.516831995686516</v>
      </c>
      <c r="Q2974" s="1">
        <f t="shared" ca="1" si="375"/>
        <v>25</v>
      </c>
      <c r="R2974" s="1">
        <v>4.6479420032119378</v>
      </c>
    </row>
    <row r="2975" spans="1:18" x14ac:dyDescent="0.3">
      <c r="A2975" s="26">
        <v>2974</v>
      </c>
      <c r="B2975" s="1">
        <v>5</v>
      </c>
      <c r="C2975" s="1">
        <f t="shared" si="371"/>
        <v>16</v>
      </c>
      <c r="D2975" s="21">
        <f t="shared" ca="1" si="370"/>
        <v>44785</v>
      </c>
      <c r="E2975" s="1" t="s">
        <v>26</v>
      </c>
      <c r="F2975" s="1" t="s">
        <v>3003</v>
      </c>
      <c r="G2975" s="1" t="s">
        <v>28</v>
      </c>
      <c r="H2975" s="1">
        <v>3073</v>
      </c>
      <c r="I2975" s="1">
        <f t="shared" si="372"/>
        <v>50</v>
      </c>
      <c r="J2975" s="1">
        <f>VLOOKUP(B2975,Cena!$A$2:$B$101,2)</f>
        <v>91</v>
      </c>
      <c r="K2975" s="1">
        <f t="shared" ref="K2975:K3000" si="376">I2975*J2975</f>
        <v>4550</v>
      </c>
      <c r="L2975" s="1">
        <f t="shared" si="373"/>
        <v>1046.5</v>
      </c>
      <c r="M2975" s="22">
        <f t="shared" ref="M2975:M3000" si="377">K2975+L2975</f>
        <v>5596.5</v>
      </c>
      <c r="N2975" s="1">
        <f t="shared" ca="1" si="374"/>
        <v>8</v>
      </c>
      <c r="P2975" s="1">
        <v>50.964223545452114</v>
      </c>
      <c r="Q2975" s="1">
        <f t="shared" ca="1" si="375"/>
        <v>30</v>
      </c>
      <c r="R2975" s="1">
        <v>16.598929758183658</v>
      </c>
    </row>
    <row r="2976" spans="1:18" x14ac:dyDescent="0.3">
      <c r="A2976" s="26">
        <v>2975</v>
      </c>
      <c r="B2976" s="1">
        <v>30</v>
      </c>
      <c r="C2976" s="1">
        <f t="shared" si="371"/>
        <v>11</v>
      </c>
      <c r="D2976" s="21">
        <f t="shared" ca="1" si="370"/>
        <v>44907</v>
      </c>
      <c r="E2976" s="1" t="s">
        <v>26</v>
      </c>
      <c r="F2976" s="1" t="s">
        <v>3004</v>
      </c>
      <c r="G2976" s="1" t="s">
        <v>28</v>
      </c>
      <c r="H2976" s="1">
        <v>3074</v>
      </c>
      <c r="I2976" s="1">
        <f t="shared" si="372"/>
        <v>62</v>
      </c>
      <c r="J2976" s="1">
        <f>VLOOKUP(B2976,Cena!$A$2:$B$101,2)</f>
        <v>87</v>
      </c>
      <c r="K2976" s="1">
        <f t="shared" si="376"/>
        <v>5394</v>
      </c>
      <c r="L2976" s="1">
        <f t="shared" si="373"/>
        <v>1240.6200000000001</v>
      </c>
      <c r="M2976" s="22">
        <f t="shared" si="377"/>
        <v>6634.62</v>
      </c>
      <c r="N2976" s="1">
        <f t="shared" ca="1" si="374"/>
        <v>12</v>
      </c>
      <c r="P2976" s="1">
        <v>62.01651684823446</v>
      </c>
      <c r="Q2976" s="1">
        <f t="shared" ca="1" si="375"/>
        <v>4</v>
      </c>
      <c r="R2976" s="1">
        <v>11.444149688722973</v>
      </c>
    </row>
    <row r="2977" spans="1:18" x14ac:dyDescent="0.3">
      <c r="A2977" s="26">
        <v>2976</v>
      </c>
      <c r="B2977" s="1">
        <v>18</v>
      </c>
      <c r="C2977" s="1">
        <f t="shared" si="371"/>
        <v>10</v>
      </c>
      <c r="D2977" s="21">
        <f t="shared" ca="1" si="370"/>
        <v>44887</v>
      </c>
      <c r="E2977" s="1" t="s">
        <v>26</v>
      </c>
      <c r="F2977" s="1" t="s">
        <v>3005</v>
      </c>
      <c r="G2977" s="1" t="s">
        <v>28</v>
      </c>
      <c r="H2977" s="1">
        <v>3075</v>
      </c>
      <c r="I2977" s="1">
        <f t="shared" si="372"/>
        <v>47</v>
      </c>
      <c r="J2977" s="1">
        <f>VLOOKUP(B2977,Cena!$A$2:$B$101,2)</f>
        <v>90</v>
      </c>
      <c r="K2977" s="1">
        <f t="shared" si="376"/>
        <v>4230</v>
      </c>
      <c r="L2977" s="1">
        <f t="shared" si="373"/>
        <v>972.90000000000009</v>
      </c>
      <c r="M2977" s="22">
        <f t="shared" si="377"/>
        <v>5202.8999999999996</v>
      </c>
      <c r="N2977" s="1">
        <f t="shared" ca="1" si="374"/>
        <v>11</v>
      </c>
      <c r="P2977" s="1">
        <v>47.412146512942854</v>
      </c>
      <c r="Q2977" s="1">
        <f t="shared" ca="1" si="375"/>
        <v>17</v>
      </c>
      <c r="R2977" s="1">
        <v>10.072395778261125</v>
      </c>
    </row>
    <row r="2978" spans="1:18" x14ac:dyDescent="0.3">
      <c r="A2978" s="26">
        <v>2977</v>
      </c>
      <c r="B2978" s="1">
        <v>18</v>
      </c>
      <c r="C2978" s="1">
        <f t="shared" si="371"/>
        <v>13</v>
      </c>
      <c r="D2978" s="21">
        <f t="shared" ca="1" si="370"/>
        <v>44659</v>
      </c>
      <c r="E2978" s="1" t="s">
        <v>26</v>
      </c>
      <c r="F2978" s="1" t="s">
        <v>3006</v>
      </c>
      <c r="G2978" s="1" t="s">
        <v>28</v>
      </c>
      <c r="H2978" s="1">
        <v>3076</v>
      </c>
      <c r="I2978" s="1">
        <f t="shared" si="372"/>
        <v>57</v>
      </c>
      <c r="J2978" s="1">
        <f>VLOOKUP(B2978,Cena!$A$2:$B$101,2)</f>
        <v>90</v>
      </c>
      <c r="K2978" s="1">
        <f t="shared" si="376"/>
        <v>5130</v>
      </c>
      <c r="L2978" s="1">
        <f t="shared" si="373"/>
        <v>1179.9000000000001</v>
      </c>
      <c r="M2978" s="22">
        <f t="shared" si="377"/>
        <v>6309.9</v>
      </c>
      <c r="N2978" s="1">
        <f t="shared" ca="1" si="374"/>
        <v>4</v>
      </c>
      <c r="P2978" s="1">
        <v>57.727840056759305</v>
      </c>
      <c r="Q2978" s="1">
        <f t="shared" ca="1" si="375"/>
        <v>25</v>
      </c>
      <c r="R2978" s="1">
        <v>13.438958628976252</v>
      </c>
    </row>
    <row r="2979" spans="1:18" x14ac:dyDescent="0.3">
      <c r="A2979" s="26">
        <v>2978</v>
      </c>
      <c r="B2979" s="1">
        <v>24</v>
      </c>
      <c r="C2979" s="1">
        <f t="shared" si="371"/>
        <v>12</v>
      </c>
      <c r="D2979" s="21">
        <f t="shared" ca="1" si="370"/>
        <v>44616</v>
      </c>
      <c r="E2979" s="1" t="s">
        <v>26</v>
      </c>
      <c r="F2979" s="1" t="s">
        <v>3007</v>
      </c>
      <c r="G2979" s="1" t="s">
        <v>28</v>
      </c>
      <c r="H2979" s="1">
        <v>3077</v>
      </c>
      <c r="I2979" s="1">
        <f t="shared" si="372"/>
        <v>53</v>
      </c>
      <c r="J2979" s="1">
        <f>VLOOKUP(B2979,Cena!$A$2:$B$101,2)</f>
        <v>125</v>
      </c>
      <c r="K2979" s="1">
        <f t="shared" si="376"/>
        <v>6625</v>
      </c>
      <c r="L2979" s="1">
        <f t="shared" si="373"/>
        <v>1523.75</v>
      </c>
      <c r="M2979" s="22">
        <f t="shared" si="377"/>
        <v>8148.75</v>
      </c>
      <c r="N2979" s="1">
        <f t="shared" ca="1" si="374"/>
        <v>2</v>
      </c>
      <c r="P2979" s="1">
        <v>53.422007921471959</v>
      </c>
      <c r="Q2979" s="1">
        <f t="shared" ca="1" si="375"/>
        <v>22</v>
      </c>
      <c r="R2979" s="1">
        <v>12.651410113685415</v>
      </c>
    </row>
    <row r="2980" spans="1:18" x14ac:dyDescent="0.3">
      <c r="A2980" s="26">
        <v>2979</v>
      </c>
      <c r="B2980" s="1">
        <v>8</v>
      </c>
      <c r="C2980" s="1">
        <f t="shared" si="371"/>
        <v>10</v>
      </c>
      <c r="D2980" s="21">
        <f t="shared" ca="1" si="370"/>
        <v>44661</v>
      </c>
      <c r="E2980" s="1" t="s">
        <v>26</v>
      </c>
      <c r="F2980" s="1" t="s">
        <v>3008</v>
      </c>
      <c r="G2980" s="1" t="s">
        <v>28</v>
      </c>
      <c r="H2980" s="1">
        <v>3078</v>
      </c>
      <c r="I2980" s="1">
        <f t="shared" si="372"/>
        <v>44</v>
      </c>
      <c r="J2980" s="1">
        <f>VLOOKUP(B2980,Cena!$A$2:$B$101,2)</f>
        <v>88</v>
      </c>
      <c r="K2980" s="1">
        <f t="shared" si="376"/>
        <v>3872</v>
      </c>
      <c r="L2980" s="1">
        <f t="shared" si="373"/>
        <v>890.56000000000006</v>
      </c>
      <c r="M2980" s="22">
        <f t="shared" si="377"/>
        <v>4762.5600000000004</v>
      </c>
      <c r="N2980" s="1">
        <f t="shared" ca="1" si="374"/>
        <v>4</v>
      </c>
      <c r="P2980" s="1">
        <v>44.38624627146055</v>
      </c>
      <c r="Q2980" s="1">
        <f t="shared" ca="1" si="375"/>
        <v>16</v>
      </c>
      <c r="R2980" s="1">
        <v>10.438566871707735</v>
      </c>
    </row>
    <row r="2981" spans="1:18" x14ac:dyDescent="0.3">
      <c r="A2981" s="26">
        <v>2980</v>
      </c>
      <c r="B2981" s="1">
        <v>30</v>
      </c>
      <c r="C2981" s="1">
        <f t="shared" si="371"/>
        <v>9</v>
      </c>
      <c r="D2981" s="21">
        <f t="shared" ca="1" si="370"/>
        <v>44586</v>
      </c>
      <c r="E2981" s="1" t="s">
        <v>26</v>
      </c>
      <c r="F2981" s="1" t="s">
        <v>3009</v>
      </c>
      <c r="G2981" s="1" t="s">
        <v>28</v>
      </c>
      <c r="H2981" s="1">
        <v>3079</v>
      </c>
      <c r="I2981" s="1">
        <f t="shared" si="372"/>
        <v>50</v>
      </c>
      <c r="J2981" s="1">
        <f>VLOOKUP(B2981,Cena!$A$2:$B$101,2)</f>
        <v>87</v>
      </c>
      <c r="K2981" s="1">
        <f t="shared" si="376"/>
        <v>4350</v>
      </c>
      <c r="L2981" s="1">
        <f t="shared" si="373"/>
        <v>1000.5</v>
      </c>
      <c r="M2981" s="22">
        <f t="shared" si="377"/>
        <v>5350.5</v>
      </c>
      <c r="N2981" s="1">
        <f t="shared" ca="1" si="374"/>
        <v>1</v>
      </c>
      <c r="P2981" s="1">
        <v>50.868203642312437</v>
      </c>
      <c r="Q2981" s="1">
        <f t="shared" ca="1" si="375"/>
        <v>18</v>
      </c>
      <c r="R2981" s="1">
        <v>9.0737848065691651</v>
      </c>
    </row>
    <row r="2982" spans="1:18" x14ac:dyDescent="0.3">
      <c r="A2982" s="26">
        <v>2981</v>
      </c>
      <c r="B2982" s="1">
        <v>8</v>
      </c>
      <c r="C2982" s="1">
        <f t="shared" si="371"/>
        <v>7</v>
      </c>
      <c r="D2982" s="21">
        <f t="shared" ca="1" si="370"/>
        <v>44904</v>
      </c>
      <c r="E2982" s="1" t="s">
        <v>26</v>
      </c>
      <c r="F2982" s="1" t="s">
        <v>3010</v>
      </c>
      <c r="G2982" s="1" t="s">
        <v>28</v>
      </c>
      <c r="H2982" s="1">
        <v>3080</v>
      </c>
      <c r="I2982" s="1">
        <f t="shared" si="372"/>
        <v>38</v>
      </c>
      <c r="J2982" s="1">
        <f>VLOOKUP(B2982,Cena!$A$2:$B$101,2)</f>
        <v>88</v>
      </c>
      <c r="K2982" s="1">
        <f t="shared" si="376"/>
        <v>3344</v>
      </c>
      <c r="L2982" s="1">
        <f t="shared" si="373"/>
        <v>769.12</v>
      </c>
      <c r="M2982" s="22">
        <f t="shared" si="377"/>
        <v>4113.12</v>
      </c>
      <c r="N2982" s="1">
        <f t="shared" ca="1" si="374"/>
        <v>12</v>
      </c>
      <c r="P2982" s="1">
        <v>38.103877512912732</v>
      </c>
      <c r="Q2982" s="1">
        <f t="shared" ca="1" si="375"/>
        <v>12</v>
      </c>
      <c r="R2982" s="1">
        <v>7.0750650390982628</v>
      </c>
    </row>
    <row r="2983" spans="1:18" x14ac:dyDescent="0.3">
      <c r="A2983" s="26">
        <v>2982</v>
      </c>
      <c r="B2983" s="1">
        <v>27</v>
      </c>
      <c r="C2983" s="1">
        <f t="shared" si="371"/>
        <v>8</v>
      </c>
      <c r="D2983" s="21">
        <f t="shared" ca="1" si="370"/>
        <v>44753</v>
      </c>
      <c r="E2983" s="1" t="s">
        <v>26</v>
      </c>
      <c r="F2983" s="1" t="s">
        <v>3011</v>
      </c>
      <c r="G2983" s="1" t="s">
        <v>28</v>
      </c>
      <c r="H2983" s="1">
        <v>3081</v>
      </c>
      <c r="I2983" s="1">
        <f t="shared" si="372"/>
        <v>34</v>
      </c>
      <c r="J2983" s="1">
        <f>VLOOKUP(B2983,Cena!$A$2:$B$101,2)</f>
        <v>87</v>
      </c>
      <c r="K2983" s="1">
        <f t="shared" si="376"/>
        <v>2958</v>
      </c>
      <c r="L2983" s="1">
        <f t="shared" si="373"/>
        <v>680.34</v>
      </c>
      <c r="M2983" s="22">
        <f t="shared" si="377"/>
        <v>3638.34</v>
      </c>
      <c r="N2983" s="1">
        <f t="shared" ca="1" si="374"/>
        <v>7</v>
      </c>
      <c r="P2983" s="1">
        <v>34.072201186791062</v>
      </c>
      <c r="Q2983" s="1">
        <f t="shared" ca="1" si="375"/>
        <v>9</v>
      </c>
      <c r="R2983" s="1">
        <v>8.169573700579349</v>
      </c>
    </row>
    <row r="2984" spans="1:18" x14ac:dyDescent="0.3">
      <c r="A2984" s="26">
        <v>2983</v>
      </c>
      <c r="B2984" s="1">
        <v>16</v>
      </c>
      <c r="C2984" s="1">
        <f t="shared" si="371"/>
        <v>12</v>
      </c>
      <c r="D2984" s="21">
        <f t="shared" ca="1" si="370"/>
        <v>44743</v>
      </c>
      <c r="E2984" s="1" t="s">
        <v>26</v>
      </c>
      <c r="F2984" s="1" t="s">
        <v>3012</v>
      </c>
      <c r="G2984" s="1" t="s">
        <v>28</v>
      </c>
      <c r="H2984" s="1">
        <v>3082</v>
      </c>
      <c r="I2984" s="1">
        <f t="shared" si="372"/>
        <v>55</v>
      </c>
      <c r="J2984" s="1">
        <f>VLOOKUP(B2984,Cena!$A$2:$B$101,2)</f>
        <v>93</v>
      </c>
      <c r="K2984" s="1">
        <f t="shared" si="376"/>
        <v>5115</v>
      </c>
      <c r="L2984" s="1">
        <f t="shared" si="373"/>
        <v>1176.45</v>
      </c>
      <c r="M2984" s="22">
        <f t="shared" si="377"/>
        <v>6291.45</v>
      </c>
      <c r="N2984" s="1">
        <f t="shared" ca="1" si="374"/>
        <v>7</v>
      </c>
      <c r="P2984" s="1">
        <v>55.328547558747232</v>
      </c>
      <c r="Q2984" s="1">
        <f t="shared" ca="1" si="375"/>
        <v>20</v>
      </c>
      <c r="R2984" s="1">
        <v>12.546676114434376</v>
      </c>
    </row>
    <row r="2985" spans="1:18" x14ac:dyDescent="0.3">
      <c r="A2985" s="26">
        <v>2984</v>
      </c>
      <c r="B2985" s="1">
        <v>10</v>
      </c>
      <c r="C2985" s="1">
        <f t="shared" si="371"/>
        <v>7</v>
      </c>
      <c r="D2985" s="21">
        <f t="shared" ca="1" si="370"/>
        <v>44585</v>
      </c>
      <c r="E2985" s="1" t="s">
        <v>26</v>
      </c>
      <c r="F2985" s="1" t="s">
        <v>3013</v>
      </c>
      <c r="G2985" s="1" t="s">
        <v>28</v>
      </c>
      <c r="H2985" s="1">
        <v>3083</v>
      </c>
      <c r="I2985" s="1">
        <f t="shared" si="372"/>
        <v>45</v>
      </c>
      <c r="J2985" s="1">
        <f>VLOOKUP(B2985,Cena!$A$2:$B$101,2)</f>
        <v>109</v>
      </c>
      <c r="K2985" s="1">
        <f t="shared" si="376"/>
        <v>4905</v>
      </c>
      <c r="L2985" s="1">
        <f t="shared" si="373"/>
        <v>1128.1500000000001</v>
      </c>
      <c r="M2985" s="22">
        <f t="shared" si="377"/>
        <v>6033.15</v>
      </c>
      <c r="N2985" s="1">
        <f t="shared" ca="1" si="374"/>
        <v>1</v>
      </c>
      <c r="P2985" s="1">
        <v>45.030452737410087</v>
      </c>
      <c r="Q2985" s="1">
        <f t="shared" ca="1" si="375"/>
        <v>25</v>
      </c>
      <c r="R2985" s="1">
        <v>7.4680576997343451</v>
      </c>
    </row>
    <row r="2986" spans="1:18" x14ac:dyDescent="0.3">
      <c r="A2986" s="26">
        <v>2985</v>
      </c>
      <c r="B2986" s="1">
        <v>11</v>
      </c>
      <c r="C2986" s="1">
        <f t="shared" si="371"/>
        <v>8</v>
      </c>
      <c r="D2986" s="21">
        <f t="shared" ca="1" si="370"/>
        <v>44882</v>
      </c>
      <c r="E2986" s="1" t="s">
        <v>26</v>
      </c>
      <c r="F2986" s="1" t="s">
        <v>3014</v>
      </c>
      <c r="G2986" s="1" t="s">
        <v>28</v>
      </c>
      <c r="H2986" s="1">
        <v>3084</v>
      </c>
      <c r="I2986" s="1">
        <f t="shared" si="372"/>
        <v>50</v>
      </c>
      <c r="J2986" s="1">
        <f>VLOOKUP(B2986,Cena!$A$2:$B$101,2)</f>
        <v>83</v>
      </c>
      <c r="K2986" s="1">
        <f t="shared" si="376"/>
        <v>4150</v>
      </c>
      <c r="L2986" s="1">
        <f t="shared" si="373"/>
        <v>954.5</v>
      </c>
      <c r="M2986" s="22">
        <f t="shared" si="377"/>
        <v>5104.5</v>
      </c>
      <c r="N2986" s="1">
        <f t="shared" ca="1" si="374"/>
        <v>11</v>
      </c>
      <c r="P2986" s="1">
        <v>50.821364665171131</v>
      </c>
      <c r="Q2986" s="1">
        <f t="shared" ca="1" si="375"/>
        <v>16</v>
      </c>
      <c r="R2986" s="1">
        <v>8.6733712376008043</v>
      </c>
    </row>
    <row r="2987" spans="1:18" x14ac:dyDescent="0.3">
      <c r="A2987" s="26">
        <v>2986</v>
      </c>
      <c r="B2987" s="1">
        <v>26</v>
      </c>
      <c r="C2987" s="1">
        <f t="shared" si="371"/>
        <v>10</v>
      </c>
      <c r="D2987" s="21">
        <f t="shared" ca="1" si="370"/>
        <v>44743</v>
      </c>
      <c r="E2987" s="1" t="s">
        <v>26</v>
      </c>
      <c r="F2987" s="1" t="s">
        <v>3015</v>
      </c>
      <c r="G2987" s="1" t="s">
        <v>28</v>
      </c>
      <c r="H2987" s="1">
        <v>3085</v>
      </c>
      <c r="I2987" s="1">
        <f t="shared" si="372"/>
        <v>40</v>
      </c>
      <c r="J2987" s="1">
        <f>VLOOKUP(B2987,Cena!$A$2:$B$101,2)</f>
        <v>99</v>
      </c>
      <c r="K2987" s="1">
        <f t="shared" si="376"/>
        <v>3960</v>
      </c>
      <c r="L2987" s="1">
        <f t="shared" si="373"/>
        <v>910.80000000000007</v>
      </c>
      <c r="M2987" s="22">
        <f t="shared" si="377"/>
        <v>4870.8</v>
      </c>
      <c r="N2987" s="1">
        <f t="shared" ca="1" si="374"/>
        <v>7</v>
      </c>
      <c r="P2987" s="1">
        <v>40.336573318927549</v>
      </c>
      <c r="Q2987" s="1">
        <f t="shared" ca="1" si="375"/>
        <v>10</v>
      </c>
      <c r="R2987" s="1">
        <v>10.51452389016049</v>
      </c>
    </row>
    <row r="2988" spans="1:18" x14ac:dyDescent="0.3">
      <c r="A2988" s="26">
        <v>2987</v>
      </c>
      <c r="B2988" s="1">
        <v>20</v>
      </c>
      <c r="C2988" s="1">
        <f t="shared" si="371"/>
        <v>8</v>
      </c>
      <c r="D2988" s="21">
        <f t="shared" ca="1" si="370"/>
        <v>44822</v>
      </c>
      <c r="E2988" s="1" t="s">
        <v>26</v>
      </c>
      <c r="F2988" s="1" t="s">
        <v>3016</v>
      </c>
      <c r="G2988" s="1" t="s">
        <v>28</v>
      </c>
      <c r="H2988" s="1">
        <v>3086</v>
      </c>
      <c r="I2988" s="1">
        <f t="shared" si="372"/>
        <v>51</v>
      </c>
      <c r="J2988" s="1">
        <f>VLOOKUP(B2988,Cena!$A$2:$B$101,2)</f>
        <v>111</v>
      </c>
      <c r="K2988" s="1">
        <f t="shared" si="376"/>
        <v>5661</v>
      </c>
      <c r="L2988" s="1">
        <f t="shared" si="373"/>
        <v>1302.03</v>
      </c>
      <c r="M2988" s="22">
        <f t="shared" si="377"/>
        <v>6963.03</v>
      </c>
      <c r="N2988" s="1">
        <f t="shared" ca="1" si="374"/>
        <v>9</v>
      </c>
      <c r="P2988" s="1">
        <v>51.365515345241874</v>
      </c>
      <c r="Q2988" s="1">
        <f t="shared" ca="1" si="375"/>
        <v>10</v>
      </c>
      <c r="R2988" s="1">
        <v>8.853866145509528</v>
      </c>
    </row>
    <row r="2989" spans="1:18" x14ac:dyDescent="0.3">
      <c r="A2989" s="26">
        <v>2988</v>
      </c>
      <c r="B2989" s="1">
        <v>6</v>
      </c>
      <c r="C2989" s="1">
        <f t="shared" si="371"/>
        <v>10</v>
      </c>
      <c r="D2989" s="21">
        <f t="shared" ca="1" si="370"/>
        <v>44785</v>
      </c>
      <c r="E2989" s="1" t="s">
        <v>26</v>
      </c>
      <c r="F2989" s="1" t="s">
        <v>3017</v>
      </c>
      <c r="G2989" s="1" t="s">
        <v>28</v>
      </c>
      <c r="H2989" s="1">
        <v>3087</v>
      </c>
      <c r="I2989" s="1">
        <f t="shared" si="372"/>
        <v>47</v>
      </c>
      <c r="J2989" s="1">
        <f>VLOOKUP(B2989,Cena!$A$2:$B$101,2)</f>
        <v>86</v>
      </c>
      <c r="K2989" s="1">
        <f t="shared" si="376"/>
        <v>4042</v>
      </c>
      <c r="L2989" s="1">
        <f t="shared" si="373"/>
        <v>929.66000000000008</v>
      </c>
      <c r="M2989" s="22">
        <f t="shared" si="377"/>
        <v>4971.66</v>
      </c>
      <c r="N2989" s="1">
        <f t="shared" ca="1" si="374"/>
        <v>8</v>
      </c>
      <c r="P2989" s="1">
        <v>47.983297816972481</v>
      </c>
      <c r="Q2989" s="1">
        <f t="shared" ca="1" si="375"/>
        <v>28</v>
      </c>
      <c r="R2989" s="1">
        <v>10.944061184782186</v>
      </c>
    </row>
    <row r="2990" spans="1:18" x14ac:dyDescent="0.3">
      <c r="A2990" s="26">
        <v>2989</v>
      </c>
      <c r="B2990" s="1">
        <v>9</v>
      </c>
      <c r="C2990" s="1">
        <f t="shared" si="371"/>
        <v>10</v>
      </c>
      <c r="D2990" s="21">
        <f t="shared" ca="1" si="370"/>
        <v>44891</v>
      </c>
      <c r="E2990" s="1" t="s">
        <v>26</v>
      </c>
      <c r="F2990" s="1" t="s">
        <v>3018</v>
      </c>
      <c r="G2990" s="1" t="s">
        <v>28</v>
      </c>
      <c r="H2990" s="1">
        <v>3088</v>
      </c>
      <c r="I2990" s="1">
        <f t="shared" si="372"/>
        <v>51</v>
      </c>
      <c r="J2990" s="1">
        <f>VLOOKUP(B2990,Cena!$A$2:$B$101,2)</f>
        <v>96</v>
      </c>
      <c r="K2990" s="1">
        <f t="shared" si="376"/>
        <v>4896</v>
      </c>
      <c r="L2990" s="1">
        <f t="shared" si="373"/>
        <v>1126.0800000000002</v>
      </c>
      <c r="M2990" s="22">
        <f t="shared" si="377"/>
        <v>6022.08</v>
      </c>
      <c r="N2990" s="1">
        <f t="shared" ca="1" si="374"/>
        <v>11</v>
      </c>
      <c r="P2990" s="1">
        <v>51.140381300501758</v>
      </c>
      <c r="Q2990" s="1">
        <f t="shared" ca="1" si="375"/>
        <v>11</v>
      </c>
      <c r="R2990" s="1">
        <v>10.284325096799876</v>
      </c>
    </row>
    <row r="2991" spans="1:18" x14ac:dyDescent="0.3">
      <c r="A2991" s="26">
        <v>2990</v>
      </c>
      <c r="B2991" s="1">
        <v>3</v>
      </c>
      <c r="C2991" s="1">
        <f t="shared" si="371"/>
        <v>7</v>
      </c>
      <c r="D2991" s="21">
        <f t="shared" ca="1" si="370"/>
        <v>44889</v>
      </c>
      <c r="E2991" s="1" t="s">
        <v>26</v>
      </c>
      <c r="F2991" s="1" t="s">
        <v>3019</v>
      </c>
      <c r="G2991" s="1" t="s">
        <v>28</v>
      </c>
      <c r="H2991" s="1">
        <v>3089</v>
      </c>
      <c r="I2991" s="1">
        <f t="shared" si="372"/>
        <v>36</v>
      </c>
      <c r="J2991" s="1">
        <f>VLOOKUP(B2991,Cena!$A$2:$B$101,2)</f>
        <v>89</v>
      </c>
      <c r="K2991" s="1">
        <f t="shared" si="376"/>
        <v>3204</v>
      </c>
      <c r="L2991" s="1">
        <f t="shared" si="373"/>
        <v>736.92000000000007</v>
      </c>
      <c r="M2991" s="22">
        <f t="shared" si="377"/>
        <v>3940.92</v>
      </c>
      <c r="N2991" s="1">
        <f t="shared" ca="1" si="374"/>
        <v>11</v>
      </c>
      <c r="P2991" s="1">
        <v>36.152943165507168</v>
      </c>
      <c r="Q2991" s="1">
        <f t="shared" ca="1" si="375"/>
        <v>14</v>
      </c>
      <c r="R2991" s="1">
        <v>7.8115141630041762</v>
      </c>
    </row>
    <row r="2992" spans="1:18" x14ac:dyDescent="0.3">
      <c r="A2992" s="26">
        <v>2991</v>
      </c>
      <c r="B2992" s="1">
        <v>17</v>
      </c>
      <c r="C2992" s="1">
        <f t="shared" si="371"/>
        <v>13</v>
      </c>
      <c r="D2992" s="21">
        <f t="shared" ca="1" si="370"/>
        <v>44719</v>
      </c>
      <c r="E2992" s="1" t="s">
        <v>26</v>
      </c>
      <c r="F2992" s="1" t="s">
        <v>3020</v>
      </c>
      <c r="G2992" s="1" t="s">
        <v>28</v>
      </c>
      <c r="H2992" s="1">
        <v>3090</v>
      </c>
      <c r="I2992" s="1">
        <f t="shared" si="372"/>
        <v>71</v>
      </c>
      <c r="J2992" s="1">
        <f>VLOOKUP(B2992,Cena!$A$2:$B$101,2)</f>
        <v>84</v>
      </c>
      <c r="K2992" s="1">
        <f t="shared" si="376"/>
        <v>5964</v>
      </c>
      <c r="L2992" s="1">
        <f t="shared" si="373"/>
        <v>1371.72</v>
      </c>
      <c r="M2992" s="22">
        <f t="shared" si="377"/>
        <v>7335.72</v>
      </c>
      <c r="N2992" s="1">
        <f t="shared" ca="1" si="374"/>
        <v>6</v>
      </c>
      <c r="P2992" s="1">
        <v>71.601226762868464</v>
      </c>
      <c r="Q2992" s="1">
        <f t="shared" ca="1" si="375"/>
        <v>18</v>
      </c>
      <c r="R2992" s="1">
        <v>13.048290864171577</v>
      </c>
    </row>
    <row r="2993" spans="1:18" x14ac:dyDescent="0.3">
      <c r="A2993" s="26">
        <v>2992</v>
      </c>
      <c r="B2993" s="1">
        <v>2</v>
      </c>
      <c r="C2993" s="1">
        <f t="shared" si="371"/>
        <v>9</v>
      </c>
      <c r="D2993" s="21">
        <f t="shared" ca="1" si="370"/>
        <v>44720</v>
      </c>
      <c r="E2993" s="1" t="s">
        <v>26</v>
      </c>
      <c r="F2993" s="1" t="s">
        <v>3021</v>
      </c>
      <c r="G2993" s="1" t="s">
        <v>28</v>
      </c>
      <c r="H2993" s="1">
        <v>3091</v>
      </c>
      <c r="I2993" s="1">
        <f t="shared" si="372"/>
        <v>49</v>
      </c>
      <c r="J2993" s="1">
        <f>VLOOKUP(B2993,Cena!$A$2:$B$101,2)</f>
        <v>121</v>
      </c>
      <c r="K2993" s="1">
        <f t="shared" si="376"/>
        <v>5929</v>
      </c>
      <c r="L2993" s="1">
        <f t="shared" si="373"/>
        <v>1363.67</v>
      </c>
      <c r="M2993" s="22">
        <f t="shared" si="377"/>
        <v>7292.67</v>
      </c>
      <c r="N2993" s="1">
        <f t="shared" ca="1" si="374"/>
        <v>6</v>
      </c>
      <c r="P2993" s="1">
        <v>49.249234861053992</v>
      </c>
      <c r="Q2993" s="1">
        <f t="shared" ca="1" si="375"/>
        <v>21</v>
      </c>
      <c r="R2993" s="1">
        <v>9.5649261563812615</v>
      </c>
    </row>
    <row r="2994" spans="1:18" x14ac:dyDescent="0.3">
      <c r="A2994" s="26">
        <v>2993</v>
      </c>
      <c r="B2994" s="1">
        <v>14</v>
      </c>
      <c r="C2994" s="1">
        <f t="shared" si="371"/>
        <v>11</v>
      </c>
      <c r="D2994" s="21">
        <f t="shared" ca="1" si="370"/>
        <v>44762</v>
      </c>
      <c r="E2994" s="1" t="s">
        <v>26</v>
      </c>
      <c r="F2994" s="1" t="s">
        <v>3022</v>
      </c>
      <c r="G2994" s="1" t="s">
        <v>28</v>
      </c>
      <c r="H2994" s="1">
        <v>3092</v>
      </c>
      <c r="I2994" s="1">
        <f t="shared" si="372"/>
        <v>56</v>
      </c>
      <c r="J2994" s="1">
        <f>VLOOKUP(B2994,Cena!$A$2:$B$101,2)</f>
        <v>129</v>
      </c>
      <c r="K2994" s="1">
        <f t="shared" si="376"/>
        <v>7224</v>
      </c>
      <c r="L2994" s="1">
        <f t="shared" si="373"/>
        <v>1661.52</v>
      </c>
      <c r="M2994" s="22">
        <f t="shared" si="377"/>
        <v>8885.52</v>
      </c>
      <c r="N2994" s="1">
        <f t="shared" ca="1" si="374"/>
        <v>7</v>
      </c>
      <c r="P2994" s="1">
        <v>56.492291504400782</v>
      </c>
      <c r="Q2994" s="1">
        <f t="shared" ca="1" si="375"/>
        <v>17</v>
      </c>
      <c r="R2994" s="1">
        <v>11.931186943693319</v>
      </c>
    </row>
    <row r="2995" spans="1:18" x14ac:dyDescent="0.3">
      <c r="A2995" s="26">
        <v>2994</v>
      </c>
      <c r="B2995" s="1">
        <v>3</v>
      </c>
      <c r="C2995" s="1">
        <f t="shared" si="371"/>
        <v>10</v>
      </c>
      <c r="D2995" s="21">
        <f t="shared" ca="1" si="370"/>
        <v>44899</v>
      </c>
      <c r="E2995" s="1" t="s">
        <v>26</v>
      </c>
      <c r="F2995" s="1" t="s">
        <v>3023</v>
      </c>
      <c r="G2995" s="1" t="s">
        <v>28</v>
      </c>
      <c r="H2995" s="1">
        <v>3093</v>
      </c>
      <c r="I2995" s="1">
        <f t="shared" si="372"/>
        <v>46</v>
      </c>
      <c r="J2995" s="1">
        <f>VLOOKUP(B2995,Cena!$A$2:$B$101,2)</f>
        <v>89</v>
      </c>
      <c r="K2995" s="1">
        <f t="shared" si="376"/>
        <v>4094</v>
      </c>
      <c r="L2995" s="1">
        <f t="shared" si="373"/>
        <v>941.62</v>
      </c>
      <c r="M2995" s="22">
        <f t="shared" si="377"/>
        <v>5035.62</v>
      </c>
      <c r="N2995" s="1">
        <f t="shared" ca="1" si="374"/>
        <v>12</v>
      </c>
      <c r="P2995" s="1">
        <v>46.063070284435526</v>
      </c>
      <c r="Q2995" s="1">
        <f t="shared" ca="1" si="375"/>
        <v>25</v>
      </c>
      <c r="R2995" s="1">
        <v>10.973702185547154</v>
      </c>
    </row>
    <row r="2996" spans="1:18" x14ac:dyDescent="0.3">
      <c r="A2996" s="26">
        <v>2995</v>
      </c>
      <c r="B2996" s="1">
        <v>26</v>
      </c>
      <c r="C2996" s="1">
        <f t="shared" si="371"/>
        <v>8</v>
      </c>
      <c r="D2996" s="21">
        <f t="shared" ca="1" si="370"/>
        <v>44845</v>
      </c>
      <c r="E2996" s="1" t="s">
        <v>26</v>
      </c>
      <c r="F2996" s="1" t="s">
        <v>3024</v>
      </c>
      <c r="G2996" s="1" t="s">
        <v>28</v>
      </c>
      <c r="H2996" s="1">
        <v>3094</v>
      </c>
      <c r="I2996" s="1">
        <f t="shared" si="372"/>
        <v>67</v>
      </c>
      <c r="J2996" s="1">
        <f>VLOOKUP(B2996,Cena!$A$2:$B$101,2)</f>
        <v>99</v>
      </c>
      <c r="K2996" s="1">
        <f t="shared" si="376"/>
        <v>6633</v>
      </c>
      <c r="L2996" s="1">
        <f t="shared" si="373"/>
        <v>1525.5900000000001</v>
      </c>
      <c r="M2996" s="22">
        <f t="shared" si="377"/>
        <v>8158.59</v>
      </c>
      <c r="N2996" s="1">
        <f t="shared" ca="1" si="374"/>
        <v>10</v>
      </c>
      <c r="P2996" s="1">
        <v>67.007369024213403</v>
      </c>
      <c r="Q2996" s="1">
        <f t="shared" ca="1" si="375"/>
        <v>29</v>
      </c>
      <c r="R2996" s="1">
        <v>8.2258714226190932</v>
      </c>
    </row>
    <row r="2997" spans="1:18" x14ac:dyDescent="0.3">
      <c r="A2997" s="26">
        <v>2996</v>
      </c>
      <c r="B2997" s="1">
        <v>7</v>
      </c>
      <c r="C2997" s="1">
        <f t="shared" si="371"/>
        <v>9</v>
      </c>
      <c r="D2997" s="21">
        <f t="shared" ca="1" si="370"/>
        <v>44792</v>
      </c>
      <c r="E2997" s="1" t="s">
        <v>26</v>
      </c>
      <c r="F2997" s="1" t="s">
        <v>3025</v>
      </c>
      <c r="G2997" s="1" t="s">
        <v>28</v>
      </c>
      <c r="H2997" s="1">
        <v>3095</v>
      </c>
      <c r="I2997" s="1">
        <f t="shared" si="372"/>
        <v>44</v>
      </c>
      <c r="J2997" s="1">
        <f>VLOOKUP(B2997,Cena!$A$2:$B$101,2)</f>
        <v>104</v>
      </c>
      <c r="K2997" s="1">
        <f t="shared" si="376"/>
        <v>4576</v>
      </c>
      <c r="L2997" s="1">
        <f t="shared" si="373"/>
        <v>1052.48</v>
      </c>
      <c r="M2997" s="22">
        <f t="shared" si="377"/>
        <v>5628.48</v>
      </c>
      <c r="N2997" s="1">
        <f t="shared" ca="1" si="374"/>
        <v>8</v>
      </c>
      <c r="P2997" s="1">
        <v>44.860081642400473</v>
      </c>
      <c r="Q2997" s="1">
        <f t="shared" ca="1" si="375"/>
        <v>25</v>
      </c>
      <c r="R2997" s="1">
        <v>9.9744687784186681</v>
      </c>
    </row>
    <row r="2998" spans="1:18" x14ac:dyDescent="0.3">
      <c r="A2998" s="26">
        <v>2997</v>
      </c>
      <c r="B2998" s="1">
        <v>30</v>
      </c>
      <c r="C2998" s="1">
        <f t="shared" si="371"/>
        <v>8</v>
      </c>
      <c r="D2998" s="21">
        <f t="shared" ca="1" si="370"/>
        <v>44810</v>
      </c>
      <c r="E2998" s="1" t="s">
        <v>26</v>
      </c>
      <c r="F2998" s="1" t="s">
        <v>3026</v>
      </c>
      <c r="G2998" s="1" t="s">
        <v>28</v>
      </c>
      <c r="H2998" s="1">
        <v>3096</v>
      </c>
      <c r="I2998" s="1">
        <f t="shared" si="372"/>
        <v>62</v>
      </c>
      <c r="J2998" s="1">
        <f>VLOOKUP(B2998,Cena!$A$2:$B$101,2)</f>
        <v>87</v>
      </c>
      <c r="K2998" s="1">
        <f t="shared" si="376"/>
        <v>5394</v>
      </c>
      <c r="L2998" s="1">
        <f t="shared" si="373"/>
        <v>1240.6200000000001</v>
      </c>
      <c r="M2998" s="22">
        <f t="shared" si="377"/>
        <v>6634.62</v>
      </c>
      <c r="N2998" s="1">
        <f t="shared" ca="1" si="374"/>
        <v>9</v>
      </c>
      <c r="P2998" s="1">
        <v>62.987311492906883</v>
      </c>
      <c r="Q2998" s="1">
        <f t="shared" ca="1" si="375"/>
        <v>22</v>
      </c>
      <c r="R2998" s="1">
        <v>8.6439974009044818</v>
      </c>
    </row>
    <row r="2999" spans="1:18" x14ac:dyDescent="0.3">
      <c r="A2999" s="26">
        <v>2998</v>
      </c>
      <c r="B2999" s="1">
        <v>24</v>
      </c>
      <c r="C2999" s="1">
        <f t="shared" si="371"/>
        <v>12</v>
      </c>
      <c r="D2999" s="21">
        <f t="shared" ca="1" si="370"/>
        <v>44874</v>
      </c>
      <c r="E2999" s="1" t="s">
        <v>26</v>
      </c>
      <c r="F2999" s="1" t="s">
        <v>3027</v>
      </c>
      <c r="G2999" s="1" t="s">
        <v>28</v>
      </c>
      <c r="H2999" s="1">
        <v>3097</v>
      </c>
      <c r="I2999" s="1">
        <f t="shared" si="372"/>
        <v>40</v>
      </c>
      <c r="J2999" s="1">
        <f>VLOOKUP(B2999,Cena!$A$2:$B$101,2)</f>
        <v>125</v>
      </c>
      <c r="K2999" s="1">
        <f t="shared" si="376"/>
        <v>5000</v>
      </c>
      <c r="L2999" s="1">
        <f t="shared" si="373"/>
        <v>1150</v>
      </c>
      <c r="M2999" s="22">
        <f t="shared" si="377"/>
        <v>6150</v>
      </c>
      <c r="N2999" s="1">
        <f t="shared" ca="1" si="374"/>
        <v>11</v>
      </c>
      <c r="P2999" s="1">
        <v>40.737569532939233</v>
      </c>
      <c r="Q2999" s="1">
        <f t="shared" ca="1" si="375"/>
        <v>14</v>
      </c>
      <c r="R2999" s="1">
        <v>12.236868112959201</v>
      </c>
    </row>
    <row r="3000" spans="1:18" x14ac:dyDescent="0.3">
      <c r="A3000" s="26">
        <v>2999</v>
      </c>
      <c r="B3000" s="1">
        <v>8</v>
      </c>
      <c r="C3000" s="1">
        <f t="shared" si="371"/>
        <v>7</v>
      </c>
      <c r="D3000" s="21">
        <f t="shared" ca="1" si="370"/>
        <v>44887</v>
      </c>
      <c r="E3000" s="1" t="s">
        <v>26</v>
      </c>
      <c r="F3000" s="1" t="s">
        <v>3028</v>
      </c>
      <c r="G3000" s="1" t="s">
        <v>28</v>
      </c>
      <c r="H3000" s="1">
        <v>3098</v>
      </c>
      <c r="I3000" s="1">
        <f t="shared" si="372"/>
        <v>53</v>
      </c>
      <c r="J3000" s="1">
        <f>VLOOKUP(B3000,Cena!$A$2:$B$101,2)</f>
        <v>88</v>
      </c>
      <c r="K3000" s="1">
        <f t="shared" si="376"/>
        <v>4664</v>
      </c>
      <c r="L3000" s="1">
        <f t="shared" si="373"/>
        <v>1072.72</v>
      </c>
      <c r="M3000" s="22">
        <f t="shared" si="377"/>
        <v>5736.72</v>
      </c>
      <c r="N3000" s="1">
        <f t="shared" ca="1" si="374"/>
        <v>11</v>
      </c>
      <c r="P3000" s="1">
        <v>53.252966962463688</v>
      </c>
      <c r="Q3000" s="1">
        <f t="shared" ca="1" si="375"/>
        <v>19</v>
      </c>
      <c r="R3000" s="1">
        <v>7.3822468746220693</v>
      </c>
    </row>
    <row r="3001" spans="1:18" x14ac:dyDescent="0.3">
      <c r="A3001" s="26">
        <v>3000</v>
      </c>
      <c r="B3001" s="1">
        <v>23</v>
      </c>
      <c r="C3001" s="1">
        <f t="shared" si="371"/>
        <v>5</v>
      </c>
      <c r="D3001" s="21">
        <f t="shared" ca="1" si="370"/>
        <v>44658</v>
      </c>
      <c r="E3001" s="1" t="s">
        <v>26</v>
      </c>
      <c r="F3001" s="1" t="s">
        <v>3030</v>
      </c>
      <c r="G3001" s="1" t="s">
        <v>28</v>
      </c>
      <c r="H3001" s="1">
        <v>3099</v>
      </c>
      <c r="I3001" s="1">
        <f t="shared" si="372"/>
        <v>49</v>
      </c>
      <c r="J3001" s="1">
        <f>VLOOKUP(B3001,Cena!$A$2:$B$101,2)</f>
        <v>132</v>
      </c>
      <c r="K3001" s="1">
        <f t="shared" ref="K3001" si="378">I3001*J3001</f>
        <v>6468</v>
      </c>
      <c r="L3001" s="1">
        <f t="shared" ref="L3001" si="379">K3001*23%</f>
        <v>1487.64</v>
      </c>
      <c r="M3001" s="22">
        <f t="shared" ref="M3001" si="380">K3001+L3001</f>
        <v>7955.64</v>
      </c>
      <c r="N3001" s="1">
        <f t="shared" ca="1" si="374"/>
        <v>4</v>
      </c>
      <c r="P3001" s="1">
        <v>49.708882114646258</v>
      </c>
      <c r="Q3001" s="1">
        <f t="shared" ca="1" si="375"/>
        <v>9</v>
      </c>
      <c r="R3001" s="1">
        <v>5.8471107674995437</v>
      </c>
    </row>
  </sheetData>
  <autoFilter ref="A1:R3001" xr:uid="{FD283F8A-042E-49B9-8C52-226432557D2C}"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B5260-5007-45B0-BCB6-5BC2EF361488}">
  <sheetPr codeName="Arkusz6"/>
  <dimension ref="A1:H101"/>
  <sheetViews>
    <sheetView showGridLines="0" workbookViewId="0">
      <selection activeCell="B7" sqref="B7"/>
    </sheetView>
  </sheetViews>
  <sheetFormatPr defaultRowHeight="14" x14ac:dyDescent="0.3"/>
  <cols>
    <col min="1" max="1" width="16.81640625" style="26" customWidth="1"/>
    <col min="2" max="2" width="17.453125" style="1" customWidth="1"/>
    <col min="3" max="6" width="8.7265625" style="1"/>
    <col min="7" max="7" width="22.54296875" style="1" customWidth="1"/>
    <col min="8" max="8" width="13.54296875" style="1" customWidth="1"/>
    <col min="9" max="16384" width="8.7265625" style="1"/>
  </cols>
  <sheetData>
    <row r="1" spans="1:8" ht="28.5" thickBot="1" x14ac:dyDescent="0.35">
      <c r="A1" s="14" t="s">
        <v>3</v>
      </c>
      <c r="B1" s="14" t="s">
        <v>4</v>
      </c>
    </row>
    <row r="2" spans="1:8" x14ac:dyDescent="0.3">
      <c r="A2" s="67">
        <v>1</v>
      </c>
      <c r="B2" s="15">
        <f>INT(D2)</f>
        <v>84</v>
      </c>
      <c r="D2" s="1">
        <v>84.831447363831103</v>
      </c>
      <c r="G2" s="16" t="s">
        <v>3031</v>
      </c>
      <c r="H2" s="16" t="s">
        <v>3033</v>
      </c>
    </row>
    <row r="3" spans="1:8" x14ac:dyDescent="0.3">
      <c r="A3" s="67">
        <v>2</v>
      </c>
      <c r="B3" s="15">
        <f t="shared" ref="B3:B66" si="0">INT(D3)</f>
        <v>121</v>
      </c>
      <c r="D3" s="1">
        <v>121.17908479704056</v>
      </c>
      <c r="G3" s="1">
        <v>59</v>
      </c>
      <c r="H3" s="1">
        <v>1</v>
      </c>
    </row>
    <row r="4" spans="1:8" x14ac:dyDescent="0.3">
      <c r="A4" s="67">
        <v>3</v>
      </c>
      <c r="B4" s="15">
        <f t="shared" si="0"/>
        <v>89</v>
      </c>
      <c r="D4" s="1">
        <v>89.358775565051474</v>
      </c>
      <c r="G4" s="1">
        <v>73.599999999999994</v>
      </c>
      <c r="H4" s="1">
        <v>0</v>
      </c>
    </row>
    <row r="5" spans="1:8" x14ac:dyDescent="0.3">
      <c r="A5" s="67">
        <v>4</v>
      </c>
      <c r="B5" s="15">
        <f t="shared" si="0"/>
        <v>99</v>
      </c>
      <c r="D5" s="1">
        <v>99.182000465225428</v>
      </c>
      <c r="G5" s="1">
        <v>88.2</v>
      </c>
      <c r="H5" s="1">
        <v>10</v>
      </c>
    </row>
    <row r="6" spans="1:8" x14ac:dyDescent="0.3">
      <c r="A6" s="67">
        <v>5</v>
      </c>
      <c r="B6" s="15">
        <f t="shared" si="0"/>
        <v>91</v>
      </c>
      <c r="D6" s="1">
        <v>91.139156918507069</v>
      </c>
      <c r="G6" s="1">
        <v>102.8</v>
      </c>
      <c r="H6" s="1">
        <v>8</v>
      </c>
    </row>
    <row r="7" spans="1:8" x14ac:dyDescent="0.3">
      <c r="A7" s="67">
        <v>6</v>
      </c>
      <c r="B7" s="15">
        <f t="shared" si="0"/>
        <v>86</v>
      </c>
      <c r="D7" s="1">
        <v>86.642933436087333</v>
      </c>
      <c r="G7" s="1">
        <v>117.4</v>
      </c>
      <c r="H7" s="1">
        <v>7</v>
      </c>
    </row>
    <row r="8" spans="1:8" ht="14.5" thickBot="1" x14ac:dyDescent="0.35">
      <c r="A8" s="67">
        <v>7</v>
      </c>
      <c r="B8" s="15">
        <f t="shared" si="0"/>
        <v>104</v>
      </c>
      <c r="D8" s="1">
        <v>104.64590357296402</v>
      </c>
      <c r="G8" s="17" t="s">
        <v>3032</v>
      </c>
      <c r="H8" s="17">
        <v>4</v>
      </c>
    </row>
    <row r="9" spans="1:8" x14ac:dyDescent="0.3">
      <c r="A9" s="67">
        <v>8</v>
      </c>
      <c r="B9" s="15">
        <f t="shared" si="0"/>
        <v>88</v>
      </c>
      <c r="D9" s="1">
        <v>88.74561697448371</v>
      </c>
    </row>
    <row r="10" spans="1:8" x14ac:dyDescent="0.3">
      <c r="A10" s="67">
        <v>9</v>
      </c>
      <c r="B10" s="15">
        <f t="shared" si="0"/>
        <v>96</v>
      </c>
      <c r="D10" s="1">
        <v>96.576889316202141</v>
      </c>
    </row>
    <row r="11" spans="1:8" x14ac:dyDescent="0.3">
      <c r="A11" s="67">
        <v>10</v>
      </c>
      <c r="B11" s="15">
        <f t="shared" si="0"/>
        <v>109</v>
      </c>
      <c r="D11" s="1">
        <v>109.80949153017718</v>
      </c>
    </row>
    <row r="12" spans="1:8" x14ac:dyDescent="0.3">
      <c r="A12" s="67">
        <v>11</v>
      </c>
      <c r="B12" s="15">
        <f t="shared" si="0"/>
        <v>83</v>
      </c>
      <c r="D12" s="1">
        <v>83.017983140598517</v>
      </c>
    </row>
    <row r="13" spans="1:8" x14ac:dyDescent="0.3">
      <c r="A13" s="67">
        <v>12</v>
      </c>
      <c r="B13" s="15">
        <f t="shared" si="0"/>
        <v>88</v>
      </c>
      <c r="D13" s="1">
        <v>88.076024237670936</v>
      </c>
    </row>
    <row r="14" spans="1:8" x14ac:dyDescent="0.3">
      <c r="A14" s="67">
        <v>13</v>
      </c>
      <c r="B14" s="15">
        <f t="shared" si="0"/>
        <v>94</v>
      </c>
      <c r="D14" s="1">
        <v>94.860672813956626</v>
      </c>
    </row>
    <row r="15" spans="1:8" x14ac:dyDescent="0.3">
      <c r="A15" s="67">
        <v>14</v>
      </c>
      <c r="B15" s="15">
        <f t="shared" si="0"/>
        <v>129</v>
      </c>
      <c r="D15" s="1">
        <v>129.50982889160514</v>
      </c>
    </row>
    <row r="16" spans="1:8" x14ac:dyDescent="0.3">
      <c r="A16" s="67">
        <v>15</v>
      </c>
      <c r="B16" s="15">
        <f t="shared" si="0"/>
        <v>85</v>
      </c>
      <c r="D16" s="1">
        <v>85.186036610684823</v>
      </c>
    </row>
    <row r="17" spans="1:4" x14ac:dyDescent="0.3">
      <c r="A17" s="67">
        <v>16</v>
      </c>
      <c r="B17" s="15">
        <f t="shared" si="0"/>
        <v>93</v>
      </c>
      <c r="D17" s="1">
        <v>93.079700288944878</v>
      </c>
    </row>
    <row r="18" spans="1:4" x14ac:dyDescent="0.3">
      <c r="A18" s="67">
        <v>17</v>
      </c>
      <c r="B18" s="15">
        <f t="shared" si="0"/>
        <v>84</v>
      </c>
      <c r="D18" s="1">
        <v>84.208011483133305</v>
      </c>
    </row>
    <row r="19" spans="1:4" x14ac:dyDescent="0.3">
      <c r="A19" s="67">
        <v>18</v>
      </c>
      <c r="B19" s="15">
        <f t="shared" si="0"/>
        <v>90</v>
      </c>
      <c r="D19" s="1">
        <v>90.964965945750009</v>
      </c>
    </row>
    <row r="20" spans="1:4" x14ac:dyDescent="0.3">
      <c r="A20" s="67">
        <v>19</v>
      </c>
      <c r="B20" s="15">
        <f t="shared" si="0"/>
        <v>84</v>
      </c>
      <c r="D20" s="1">
        <v>84.624628268647939</v>
      </c>
    </row>
    <row r="21" spans="1:4" x14ac:dyDescent="0.3">
      <c r="A21" s="67">
        <v>20</v>
      </c>
      <c r="B21" s="15">
        <f t="shared" si="0"/>
        <v>111</v>
      </c>
      <c r="D21" s="1">
        <v>111.33334990299772</v>
      </c>
    </row>
    <row r="22" spans="1:4" x14ac:dyDescent="0.3">
      <c r="A22" s="67">
        <v>21</v>
      </c>
      <c r="B22" s="15">
        <f t="shared" si="0"/>
        <v>105</v>
      </c>
      <c r="D22" s="1">
        <v>105.4562633522437</v>
      </c>
    </row>
    <row r="23" spans="1:4" x14ac:dyDescent="0.3">
      <c r="A23" s="67">
        <v>22</v>
      </c>
      <c r="B23" s="15">
        <f t="shared" si="0"/>
        <v>103</v>
      </c>
      <c r="D23" s="1">
        <v>103.69047938875156</v>
      </c>
    </row>
    <row r="24" spans="1:4" x14ac:dyDescent="0.3">
      <c r="A24" s="67">
        <v>23</v>
      </c>
      <c r="B24" s="15">
        <f t="shared" si="0"/>
        <v>132</v>
      </c>
      <c r="D24" s="1">
        <v>132.33235474908724</v>
      </c>
    </row>
    <row r="25" spans="1:4" x14ac:dyDescent="0.3">
      <c r="A25" s="67">
        <v>24</v>
      </c>
      <c r="B25" s="15">
        <f t="shared" si="0"/>
        <v>125</v>
      </c>
      <c r="D25" s="1">
        <v>125.52255864429753</v>
      </c>
    </row>
    <row r="26" spans="1:4" x14ac:dyDescent="0.3">
      <c r="A26" s="67">
        <v>25</v>
      </c>
      <c r="B26" s="15">
        <f t="shared" si="0"/>
        <v>108</v>
      </c>
      <c r="D26" s="1">
        <v>108.46091552375583</v>
      </c>
    </row>
    <row r="27" spans="1:4" x14ac:dyDescent="0.3">
      <c r="A27" s="67">
        <v>26</v>
      </c>
      <c r="B27" s="15">
        <f t="shared" si="0"/>
        <v>99</v>
      </c>
      <c r="D27" s="1">
        <v>99.131478034541942</v>
      </c>
    </row>
    <row r="28" spans="1:4" x14ac:dyDescent="0.3">
      <c r="A28" s="67">
        <v>27</v>
      </c>
      <c r="B28" s="15">
        <f t="shared" si="0"/>
        <v>87</v>
      </c>
      <c r="D28" s="1">
        <v>87.013529789692257</v>
      </c>
    </row>
    <row r="29" spans="1:4" x14ac:dyDescent="0.3">
      <c r="A29" s="67">
        <v>28</v>
      </c>
      <c r="B29" s="15">
        <f t="shared" si="0"/>
        <v>59</v>
      </c>
      <c r="D29" s="1">
        <v>59.291926643345505</v>
      </c>
    </row>
    <row r="30" spans="1:4" x14ac:dyDescent="0.3">
      <c r="A30" s="67">
        <v>29</v>
      </c>
      <c r="B30" s="15">
        <f t="shared" si="0"/>
        <v>105</v>
      </c>
      <c r="D30" s="1">
        <v>105.65503341931617</v>
      </c>
    </row>
    <row r="31" spans="1:4" x14ac:dyDescent="0.3">
      <c r="A31" s="67">
        <v>30</v>
      </c>
      <c r="B31" s="15">
        <f t="shared" si="0"/>
        <v>87</v>
      </c>
      <c r="D31" s="1">
        <v>87.4617515160935</v>
      </c>
    </row>
    <row r="32" spans="1:4" x14ac:dyDescent="0.3">
      <c r="A32" s="67">
        <v>31</v>
      </c>
      <c r="B32" s="15">
        <f t="shared" si="0"/>
        <v>77</v>
      </c>
      <c r="D32" s="1">
        <v>77.869629219640046</v>
      </c>
    </row>
    <row r="33" spans="1:4" x14ac:dyDescent="0.3">
      <c r="A33" s="67">
        <v>32</v>
      </c>
      <c r="B33" s="15">
        <f t="shared" si="0"/>
        <v>75</v>
      </c>
      <c r="D33" s="1">
        <v>75.245964378700592</v>
      </c>
    </row>
    <row r="34" spans="1:4" x14ac:dyDescent="0.3">
      <c r="A34" s="67">
        <v>33</v>
      </c>
      <c r="B34" s="15">
        <f t="shared" si="0"/>
        <v>109</v>
      </c>
      <c r="D34" s="1">
        <v>109.80603545031045</v>
      </c>
    </row>
    <row r="35" spans="1:4" x14ac:dyDescent="0.3">
      <c r="A35" s="67">
        <v>34</v>
      </c>
      <c r="B35" s="15">
        <f t="shared" si="0"/>
        <v>103</v>
      </c>
      <c r="D35" s="1">
        <v>103.47747572959634</v>
      </c>
    </row>
    <row r="36" spans="1:4" x14ac:dyDescent="0.3">
      <c r="A36" s="67">
        <v>35</v>
      </c>
      <c r="B36" s="15">
        <f t="shared" si="0"/>
        <v>82</v>
      </c>
      <c r="D36" s="1">
        <v>82.341250870376825</v>
      </c>
    </row>
    <row r="37" spans="1:4" x14ac:dyDescent="0.3">
      <c r="A37" s="67">
        <v>36</v>
      </c>
      <c r="B37" s="15">
        <f t="shared" si="0"/>
        <v>108</v>
      </c>
      <c r="D37" s="1">
        <v>108.38567757455166</v>
      </c>
    </row>
    <row r="38" spans="1:4" x14ac:dyDescent="0.3">
      <c r="A38" s="67">
        <v>37</v>
      </c>
      <c r="B38" s="15">
        <f t="shared" si="0"/>
        <v>93</v>
      </c>
      <c r="D38" s="1">
        <v>93.932897268678062</v>
      </c>
    </row>
    <row r="39" spans="1:4" x14ac:dyDescent="0.3">
      <c r="A39" s="67">
        <v>38</v>
      </c>
      <c r="B39" s="15">
        <f t="shared" si="0"/>
        <v>124</v>
      </c>
      <c r="D39" s="1">
        <v>124.73097993060946</v>
      </c>
    </row>
    <row r="40" spans="1:4" x14ac:dyDescent="0.3">
      <c r="A40" s="67">
        <v>39</v>
      </c>
      <c r="B40" s="15">
        <f t="shared" si="0"/>
        <v>105</v>
      </c>
      <c r="D40" s="1">
        <v>105.29921635461506</v>
      </c>
    </row>
    <row r="41" spans="1:4" x14ac:dyDescent="0.3">
      <c r="A41" s="67">
        <v>40</v>
      </c>
      <c r="B41" s="15">
        <f t="shared" si="0"/>
        <v>99</v>
      </c>
      <c r="D41" s="1">
        <v>99.915098669589497</v>
      </c>
    </row>
    <row r="42" spans="1:4" x14ac:dyDescent="0.3">
      <c r="A42" s="67">
        <v>41</v>
      </c>
      <c r="B42" s="15">
        <f t="shared" si="0"/>
        <v>127</v>
      </c>
      <c r="D42" s="1">
        <v>127.3939804174006</v>
      </c>
    </row>
    <row r="43" spans="1:4" x14ac:dyDescent="0.3">
      <c r="A43" s="67">
        <v>42</v>
      </c>
      <c r="B43" s="15">
        <f t="shared" si="0"/>
        <v>89</v>
      </c>
      <c r="D43" s="1">
        <v>89.151979207235854</v>
      </c>
    </row>
    <row r="44" spans="1:4" x14ac:dyDescent="0.3">
      <c r="A44" s="67">
        <v>43</v>
      </c>
      <c r="B44" s="15">
        <f t="shared" si="0"/>
        <v>51</v>
      </c>
      <c r="D44" s="1">
        <v>51.900826999917626</v>
      </c>
    </row>
    <row r="45" spans="1:4" x14ac:dyDescent="0.3">
      <c r="A45" s="67">
        <v>44</v>
      </c>
      <c r="B45" s="15">
        <f t="shared" si="0"/>
        <v>105</v>
      </c>
      <c r="D45" s="1">
        <v>105.16779437020887</v>
      </c>
    </row>
    <row r="46" spans="1:4" x14ac:dyDescent="0.3">
      <c r="A46" s="67">
        <v>45</v>
      </c>
      <c r="B46" s="15">
        <f t="shared" si="0"/>
        <v>85</v>
      </c>
      <c r="D46" s="1">
        <v>85.388581080769654</v>
      </c>
    </row>
    <row r="47" spans="1:4" x14ac:dyDescent="0.3">
      <c r="A47" s="67">
        <v>46</v>
      </c>
      <c r="B47" s="15">
        <f t="shared" si="0"/>
        <v>112</v>
      </c>
      <c r="D47" s="1">
        <v>112.67071638721973</v>
      </c>
    </row>
    <row r="48" spans="1:4" x14ac:dyDescent="0.3">
      <c r="A48" s="67">
        <v>47</v>
      </c>
      <c r="B48" s="15">
        <f t="shared" si="0"/>
        <v>107</v>
      </c>
      <c r="D48" s="1">
        <v>107.10740550857736</v>
      </c>
    </row>
    <row r="49" spans="1:4" x14ac:dyDescent="0.3">
      <c r="A49" s="67">
        <v>48</v>
      </c>
      <c r="B49" s="15">
        <f t="shared" si="0"/>
        <v>93</v>
      </c>
      <c r="D49" s="1">
        <v>93.835126588237472</v>
      </c>
    </row>
    <row r="50" spans="1:4" x14ac:dyDescent="0.3">
      <c r="A50" s="67">
        <v>49</v>
      </c>
      <c r="B50" s="15">
        <f t="shared" si="0"/>
        <v>86</v>
      </c>
      <c r="D50" s="1">
        <v>86.331522450200282</v>
      </c>
    </row>
    <row r="51" spans="1:4" x14ac:dyDescent="0.3">
      <c r="A51" s="67">
        <v>50</v>
      </c>
      <c r="B51" s="15">
        <f t="shared" si="0"/>
        <v>104</v>
      </c>
      <c r="D51" s="1">
        <v>104.81109054817352</v>
      </c>
    </row>
    <row r="52" spans="1:4" x14ac:dyDescent="0.3">
      <c r="A52" s="67">
        <v>51</v>
      </c>
      <c r="B52" s="15">
        <f t="shared" si="0"/>
        <v>101</v>
      </c>
      <c r="D52" s="1">
        <v>101.95918801182415</v>
      </c>
    </row>
    <row r="53" spans="1:4" x14ac:dyDescent="0.3">
      <c r="A53" s="67">
        <v>52</v>
      </c>
      <c r="B53" s="15">
        <f t="shared" si="0"/>
        <v>111</v>
      </c>
      <c r="D53" s="1">
        <v>111.00074769055936</v>
      </c>
    </row>
    <row r="54" spans="1:4" x14ac:dyDescent="0.3">
      <c r="A54" s="67">
        <v>53</v>
      </c>
      <c r="B54" s="15">
        <f t="shared" si="0"/>
        <v>116</v>
      </c>
      <c r="D54" s="1">
        <v>116.91628312983084</v>
      </c>
    </row>
    <row r="55" spans="1:4" x14ac:dyDescent="0.3">
      <c r="A55" s="67">
        <v>54</v>
      </c>
      <c r="B55" s="15">
        <f t="shared" si="0"/>
        <v>94</v>
      </c>
      <c r="D55" s="1">
        <v>94.824293025885709</v>
      </c>
    </row>
    <row r="56" spans="1:4" x14ac:dyDescent="0.3">
      <c r="A56" s="67">
        <v>55</v>
      </c>
      <c r="B56" s="15">
        <f t="shared" si="0"/>
        <v>97</v>
      </c>
      <c r="D56" s="1">
        <v>97.43563421361614</v>
      </c>
    </row>
    <row r="57" spans="1:4" x14ac:dyDescent="0.3">
      <c r="A57" s="67">
        <v>56</v>
      </c>
      <c r="B57" s="15">
        <f t="shared" si="0"/>
        <v>123</v>
      </c>
      <c r="D57" s="1">
        <v>123.95445335423574</v>
      </c>
    </row>
    <row r="58" spans="1:4" x14ac:dyDescent="0.3">
      <c r="A58" s="67">
        <v>57</v>
      </c>
      <c r="B58" s="15">
        <f t="shared" si="0"/>
        <v>138</v>
      </c>
      <c r="D58" s="1">
        <v>138.63224264932796</v>
      </c>
    </row>
    <row r="59" spans="1:4" x14ac:dyDescent="0.3">
      <c r="A59" s="67">
        <v>58</v>
      </c>
      <c r="B59" s="15">
        <f t="shared" si="0"/>
        <v>101</v>
      </c>
      <c r="D59" s="1">
        <v>101.81935320142657</v>
      </c>
    </row>
    <row r="60" spans="1:4" x14ac:dyDescent="0.3">
      <c r="A60" s="67">
        <v>59</v>
      </c>
      <c r="B60" s="15">
        <f t="shared" si="0"/>
        <v>117</v>
      </c>
      <c r="D60" s="1">
        <v>117.84478627087083</v>
      </c>
    </row>
    <row r="61" spans="1:4" x14ac:dyDescent="0.3">
      <c r="A61" s="67">
        <v>60</v>
      </c>
      <c r="B61" s="15">
        <f t="shared" si="0"/>
        <v>84</v>
      </c>
      <c r="D61" s="1">
        <v>84.405758368666284</v>
      </c>
    </row>
    <row r="62" spans="1:4" x14ac:dyDescent="0.3">
      <c r="A62" s="67">
        <v>61</v>
      </c>
      <c r="B62" s="15">
        <f t="shared" si="0"/>
        <v>94</v>
      </c>
      <c r="D62" s="1">
        <v>94.254153534711804</v>
      </c>
    </row>
    <row r="63" spans="1:4" x14ac:dyDescent="0.3">
      <c r="A63" s="67">
        <v>62</v>
      </c>
      <c r="B63" s="15">
        <f t="shared" si="0"/>
        <v>135</v>
      </c>
      <c r="D63" s="1">
        <v>135.68238753359765</v>
      </c>
    </row>
    <row r="64" spans="1:4" x14ac:dyDescent="0.3">
      <c r="A64" s="67">
        <v>63</v>
      </c>
      <c r="B64" s="15">
        <f t="shared" si="0"/>
        <v>117</v>
      </c>
      <c r="D64" s="1">
        <v>117.35802470648196</v>
      </c>
    </row>
    <row r="65" spans="1:4" x14ac:dyDescent="0.3">
      <c r="A65" s="67">
        <v>64</v>
      </c>
      <c r="B65" s="15">
        <f t="shared" si="0"/>
        <v>104</v>
      </c>
      <c r="D65" s="1">
        <v>104.68205598735949</v>
      </c>
    </row>
    <row r="66" spans="1:4" x14ac:dyDescent="0.3">
      <c r="A66" s="67">
        <v>65</v>
      </c>
      <c r="B66" s="15">
        <f t="shared" si="0"/>
        <v>109</v>
      </c>
      <c r="D66" s="1">
        <v>109.15379132493399</v>
      </c>
    </row>
    <row r="67" spans="1:4" x14ac:dyDescent="0.3">
      <c r="A67" s="67">
        <v>66</v>
      </c>
      <c r="B67" s="15">
        <f t="shared" ref="B67:B101" si="1">INT(D67)</f>
        <v>95</v>
      </c>
      <c r="D67" s="1">
        <v>95.843154465546831</v>
      </c>
    </row>
    <row r="68" spans="1:4" x14ac:dyDescent="0.3">
      <c r="A68" s="67">
        <v>67</v>
      </c>
      <c r="B68" s="15">
        <f t="shared" si="1"/>
        <v>115</v>
      </c>
      <c r="D68" s="1">
        <v>115.40211087558419</v>
      </c>
    </row>
    <row r="69" spans="1:4" x14ac:dyDescent="0.3">
      <c r="A69" s="67">
        <v>68</v>
      </c>
      <c r="B69" s="15">
        <f t="shared" si="1"/>
        <v>113</v>
      </c>
      <c r="D69" s="1">
        <v>113.22732714470476</v>
      </c>
    </row>
    <row r="70" spans="1:4" x14ac:dyDescent="0.3">
      <c r="A70" s="67">
        <v>69</v>
      </c>
      <c r="B70" s="15">
        <f t="shared" si="1"/>
        <v>114</v>
      </c>
      <c r="D70" s="1">
        <v>114.62940417695791</v>
      </c>
    </row>
    <row r="71" spans="1:4" x14ac:dyDescent="0.3">
      <c r="A71" s="67">
        <v>70</v>
      </c>
      <c r="B71" s="15">
        <f t="shared" si="1"/>
        <v>83</v>
      </c>
      <c r="D71" s="1">
        <v>83.943325787549838</v>
      </c>
    </row>
    <row r="72" spans="1:4" x14ac:dyDescent="0.3">
      <c r="A72" s="67">
        <v>71</v>
      </c>
      <c r="B72" s="15">
        <f t="shared" si="1"/>
        <v>63</v>
      </c>
      <c r="D72" s="1">
        <v>63.715526973828673</v>
      </c>
    </row>
    <row r="73" spans="1:4" x14ac:dyDescent="0.3">
      <c r="A73" s="67">
        <v>72</v>
      </c>
      <c r="B73" s="15">
        <f t="shared" si="1"/>
        <v>102</v>
      </c>
      <c r="D73" s="1">
        <v>102.96597590931924</v>
      </c>
    </row>
    <row r="74" spans="1:4" x14ac:dyDescent="0.3">
      <c r="A74" s="67">
        <v>73</v>
      </c>
      <c r="B74" s="15">
        <f t="shared" si="1"/>
        <v>77</v>
      </c>
      <c r="D74" s="1">
        <v>77.521974869887345</v>
      </c>
    </row>
    <row r="75" spans="1:4" x14ac:dyDescent="0.3">
      <c r="A75" s="67">
        <v>74</v>
      </c>
      <c r="B75" s="15">
        <f t="shared" si="1"/>
        <v>73</v>
      </c>
      <c r="D75" s="1">
        <v>73.552348819794133</v>
      </c>
    </row>
    <row r="76" spans="1:4" x14ac:dyDescent="0.3">
      <c r="A76" s="67">
        <v>75</v>
      </c>
      <c r="B76" s="15">
        <f t="shared" si="1"/>
        <v>92</v>
      </c>
      <c r="D76" s="1">
        <v>92.137713888951112</v>
      </c>
    </row>
    <row r="77" spans="1:4" x14ac:dyDescent="0.3">
      <c r="A77" s="67">
        <v>76</v>
      </c>
      <c r="B77" s="15">
        <f t="shared" si="1"/>
        <v>78</v>
      </c>
      <c r="D77" s="1">
        <v>78.389814714319073</v>
      </c>
    </row>
    <row r="78" spans="1:4" x14ac:dyDescent="0.3">
      <c r="A78" s="67">
        <v>77</v>
      </c>
      <c r="B78" s="15">
        <f t="shared" si="1"/>
        <v>108</v>
      </c>
      <c r="D78" s="1">
        <v>108.04111550678499</v>
      </c>
    </row>
    <row r="79" spans="1:4" x14ac:dyDescent="0.3">
      <c r="A79" s="67">
        <v>78</v>
      </c>
      <c r="B79" s="15">
        <f t="shared" si="1"/>
        <v>86</v>
      </c>
      <c r="D79" s="1">
        <v>86.085049386019818</v>
      </c>
    </row>
    <row r="80" spans="1:4" x14ac:dyDescent="0.3">
      <c r="A80" s="67">
        <v>79</v>
      </c>
      <c r="B80" s="15">
        <f t="shared" si="1"/>
        <v>76</v>
      </c>
      <c r="D80" s="1">
        <v>76.017306835274212</v>
      </c>
    </row>
    <row r="81" spans="1:4" x14ac:dyDescent="0.3">
      <c r="A81" s="67">
        <v>80</v>
      </c>
      <c r="B81" s="15">
        <f t="shared" si="1"/>
        <v>140</v>
      </c>
      <c r="D81" s="1">
        <v>140.19930202048272</v>
      </c>
    </row>
    <row r="82" spans="1:4" x14ac:dyDescent="0.3">
      <c r="A82" s="67">
        <v>81</v>
      </c>
      <c r="B82" s="15">
        <f t="shared" si="1"/>
        <v>90</v>
      </c>
      <c r="D82" s="1">
        <v>90.635024005314335</v>
      </c>
    </row>
    <row r="83" spans="1:4" x14ac:dyDescent="0.3">
      <c r="A83" s="67">
        <v>82</v>
      </c>
      <c r="B83" s="15">
        <f t="shared" si="1"/>
        <v>126</v>
      </c>
      <c r="D83" s="1">
        <v>126.90567271201871</v>
      </c>
    </row>
    <row r="84" spans="1:4" x14ac:dyDescent="0.3">
      <c r="A84" s="67">
        <v>83</v>
      </c>
      <c r="B84" s="15">
        <f t="shared" si="1"/>
        <v>103</v>
      </c>
      <c r="D84" s="1">
        <v>103.50541995430831</v>
      </c>
    </row>
    <row r="85" spans="1:4" x14ac:dyDescent="0.3">
      <c r="A85" s="67">
        <v>84</v>
      </c>
      <c r="B85" s="15">
        <f t="shared" si="1"/>
        <v>132</v>
      </c>
      <c r="D85" s="1">
        <v>132.92880137450993</v>
      </c>
    </row>
    <row r="86" spans="1:4" x14ac:dyDescent="0.3">
      <c r="A86" s="67">
        <v>85</v>
      </c>
      <c r="B86" s="15">
        <f t="shared" si="1"/>
        <v>88</v>
      </c>
      <c r="D86" s="1">
        <v>88.430545272422023</v>
      </c>
    </row>
    <row r="87" spans="1:4" x14ac:dyDescent="0.3">
      <c r="A87" s="67">
        <v>86</v>
      </c>
      <c r="B87" s="15">
        <f t="shared" si="1"/>
        <v>112</v>
      </c>
      <c r="D87" s="1">
        <v>112.55314145964803</v>
      </c>
    </row>
    <row r="88" spans="1:4" x14ac:dyDescent="0.3">
      <c r="A88" s="67">
        <v>87</v>
      </c>
      <c r="B88" s="15">
        <f t="shared" si="1"/>
        <v>129</v>
      </c>
      <c r="D88" s="1">
        <v>129.88772394019179</v>
      </c>
    </row>
    <row r="89" spans="1:4" x14ac:dyDescent="0.3">
      <c r="A89" s="67">
        <v>88</v>
      </c>
      <c r="B89" s="15">
        <f t="shared" si="1"/>
        <v>98</v>
      </c>
      <c r="D89" s="1">
        <v>98.320413396868389</v>
      </c>
    </row>
    <row r="90" spans="1:4" x14ac:dyDescent="0.3">
      <c r="A90" s="67">
        <v>89</v>
      </c>
      <c r="B90" s="15">
        <f t="shared" si="1"/>
        <v>104</v>
      </c>
      <c r="D90" s="1">
        <v>104.18967829318717</v>
      </c>
    </row>
    <row r="91" spans="1:4" x14ac:dyDescent="0.3">
      <c r="A91" s="67">
        <v>90</v>
      </c>
      <c r="B91" s="15">
        <f t="shared" si="1"/>
        <v>88</v>
      </c>
      <c r="D91" s="1">
        <v>88.361741998232901</v>
      </c>
    </row>
    <row r="92" spans="1:4" x14ac:dyDescent="0.3">
      <c r="A92" s="67">
        <v>91</v>
      </c>
      <c r="B92" s="15">
        <f t="shared" si="1"/>
        <v>131</v>
      </c>
      <c r="D92" s="1">
        <v>131.19330358458683</v>
      </c>
    </row>
    <row r="93" spans="1:4" x14ac:dyDescent="0.3">
      <c r="A93" s="67">
        <v>92</v>
      </c>
      <c r="B93" s="15">
        <f t="shared" si="1"/>
        <v>101</v>
      </c>
      <c r="D93" s="1">
        <v>101.33741195895709</v>
      </c>
    </row>
    <row r="94" spans="1:4" x14ac:dyDescent="0.3">
      <c r="A94" s="67">
        <v>93</v>
      </c>
      <c r="B94" s="15">
        <f t="shared" si="1"/>
        <v>73</v>
      </c>
      <c r="D94" s="1">
        <v>73.989815771346912</v>
      </c>
    </row>
    <row r="95" spans="1:4" x14ac:dyDescent="0.3">
      <c r="A95" s="67">
        <v>94</v>
      </c>
      <c r="B95" s="15">
        <f t="shared" si="1"/>
        <v>117</v>
      </c>
      <c r="D95" s="1">
        <v>117.92695911717601</v>
      </c>
    </row>
    <row r="96" spans="1:4" x14ac:dyDescent="0.3">
      <c r="A96" s="67">
        <v>95</v>
      </c>
      <c r="B96" s="15">
        <f t="shared" si="1"/>
        <v>106</v>
      </c>
      <c r="D96" s="1">
        <v>106.86347902956186</v>
      </c>
    </row>
    <row r="97" spans="1:4" x14ac:dyDescent="0.3">
      <c r="A97" s="67">
        <v>96</v>
      </c>
      <c r="B97" s="15">
        <f t="shared" si="1"/>
        <v>139</v>
      </c>
      <c r="D97" s="1">
        <v>139.72618287662044</v>
      </c>
    </row>
    <row r="98" spans="1:4" x14ac:dyDescent="0.3">
      <c r="A98" s="67">
        <v>97</v>
      </c>
      <c r="B98" s="15">
        <f t="shared" si="1"/>
        <v>123</v>
      </c>
      <c r="D98" s="1">
        <v>123.79224497417454</v>
      </c>
    </row>
    <row r="99" spans="1:4" x14ac:dyDescent="0.3">
      <c r="A99" s="67">
        <v>98</v>
      </c>
      <c r="B99" s="15">
        <f t="shared" si="1"/>
        <v>121</v>
      </c>
      <c r="D99" s="1">
        <v>121.96743480453733</v>
      </c>
    </row>
    <row r="100" spans="1:4" x14ac:dyDescent="0.3">
      <c r="A100" s="67">
        <v>99</v>
      </c>
      <c r="B100" s="15">
        <f t="shared" si="1"/>
        <v>118</v>
      </c>
      <c r="D100" s="1">
        <v>118.41235643951222</v>
      </c>
    </row>
    <row r="101" spans="1:4" x14ac:dyDescent="0.3">
      <c r="A101" s="67">
        <v>100</v>
      </c>
      <c r="B101" s="15">
        <f t="shared" si="1"/>
        <v>113</v>
      </c>
      <c r="D101" s="1">
        <v>113.04319994233083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53A21-9D31-4042-8AA5-5ABCD07B8752}">
  <sheetPr codeName="Arkusz9"/>
  <dimension ref="A3:N35"/>
  <sheetViews>
    <sheetView showGridLines="0" workbookViewId="0">
      <selection activeCell="B11" sqref="A11:B12"/>
    </sheetView>
  </sheetViews>
  <sheetFormatPr defaultRowHeight="14" x14ac:dyDescent="0.35"/>
  <cols>
    <col min="1" max="1" width="20" style="13" bestFit="1" customWidth="1"/>
    <col min="2" max="2" width="17.26953125" style="13" bestFit="1" customWidth="1"/>
    <col min="3" max="13" width="9.90625" style="13" bestFit="1" customWidth="1"/>
    <col min="14" max="14" width="14.08984375" style="13" bestFit="1" customWidth="1"/>
    <col min="15" max="15" width="19.90625" style="13" bestFit="1" customWidth="1"/>
    <col min="16" max="16" width="14.36328125" style="13" bestFit="1" customWidth="1"/>
    <col min="17" max="17" width="19.90625" style="13" bestFit="1" customWidth="1"/>
    <col min="18" max="18" width="14.36328125" style="13" bestFit="1" customWidth="1"/>
    <col min="19" max="19" width="19.90625" style="13" bestFit="1" customWidth="1"/>
    <col min="20" max="20" width="14.36328125" style="13" bestFit="1" customWidth="1"/>
    <col min="21" max="21" width="19.90625" style="13" bestFit="1" customWidth="1"/>
    <col min="22" max="22" width="14.36328125" style="13" bestFit="1" customWidth="1"/>
    <col min="23" max="23" width="19.90625" style="13" bestFit="1" customWidth="1"/>
    <col min="24" max="24" width="14.36328125" style="13" bestFit="1" customWidth="1"/>
    <col min="25" max="25" width="19.90625" style="13" bestFit="1" customWidth="1"/>
    <col min="26" max="26" width="21.1796875" style="13" bestFit="1" customWidth="1"/>
    <col min="27" max="27" width="26.81640625" style="13" bestFit="1" customWidth="1"/>
    <col min="28" max="215" width="5" style="13" bestFit="1" customWidth="1"/>
    <col min="216" max="216" width="7.1796875" style="13" bestFit="1" customWidth="1"/>
    <col min="217" max="437" width="5" style="13" bestFit="1" customWidth="1"/>
    <col min="438" max="438" width="7.1796875" style="13" bestFit="1" customWidth="1"/>
    <col min="439" max="617" width="5" style="13" bestFit="1" customWidth="1"/>
    <col min="618" max="618" width="7.1796875" style="13" bestFit="1" customWidth="1"/>
    <col min="619" max="823" width="5" style="13" bestFit="1" customWidth="1"/>
    <col min="824" max="824" width="7.1796875" style="13" bestFit="1" customWidth="1"/>
    <col min="825" max="1035" width="5" style="13" bestFit="1" customWidth="1"/>
    <col min="1036" max="1036" width="6" style="13" bestFit="1" customWidth="1"/>
    <col min="1037" max="1037" width="7.1796875" style="13" bestFit="1" customWidth="1"/>
    <col min="1038" max="1224" width="5" style="13" bestFit="1" customWidth="1"/>
    <col min="1225" max="1225" width="7.1796875" style="13" bestFit="1" customWidth="1"/>
    <col min="1226" max="1432" width="5" style="13" bestFit="1" customWidth="1"/>
    <col min="1433" max="1433" width="7.1796875" style="13" bestFit="1" customWidth="1"/>
    <col min="1434" max="1646" width="5" style="13" bestFit="1" customWidth="1"/>
    <col min="1647" max="1647" width="7.1796875" style="13" bestFit="1" customWidth="1"/>
    <col min="1648" max="1852" width="5" style="13" bestFit="1" customWidth="1"/>
    <col min="1853" max="1853" width="7.1796875" style="13" bestFit="1" customWidth="1"/>
    <col min="1854" max="2048" width="5" style="13" bestFit="1" customWidth="1"/>
    <col min="2049" max="2049" width="8.1796875" style="13" bestFit="1" customWidth="1"/>
    <col min="2050" max="2229" width="5" style="13" bestFit="1" customWidth="1"/>
    <col min="2230" max="2230" width="8.1796875" style="13" bestFit="1" customWidth="1"/>
    <col min="2231" max="2408" width="5" style="13" bestFit="1" customWidth="1"/>
    <col min="2409" max="2409" width="8.1796875" style="13" bestFit="1" customWidth="1"/>
    <col min="2410" max="2410" width="14" style="13" bestFit="1" customWidth="1"/>
    <col min="2411" max="16384" width="8.7265625" style="13"/>
  </cols>
  <sheetData>
    <row r="3" spans="1:14" x14ac:dyDescent="0.35">
      <c r="A3" s="12" t="s">
        <v>3039</v>
      </c>
      <c r="B3" s="12" t="s">
        <v>3036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</row>
    <row r="4" spans="1:14" x14ac:dyDescent="0.35">
      <c r="A4" s="12" t="s">
        <v>3038</v>
      </c>
      <c r="B4" s="12">
        <v>1</v>
      </c>
      <c r="C4" s="12">
        <v>2</v>
      </c>
      <c r="D4" s="12">
        <v>3</v>
      </c>
      <c r="E4" s="12">
        <v>4</v>
      </c>
      <c r="F4" s="12">
        <v>5</v>
      </c>
      <c r="G4" s="12">
        <v>6</v>
      </c>
      <c r="H4" s="12">
        <v>7</v>
      </c>
      <c r="I4" s="12">
        <v>8</v>
      </c>
      <c r="J4" s="12">
        <v>9</v>
      </c>
      <c r="K4" s="12">
        <v>10</v>
      </c>
      <c r="L4" s="12">
        <v>11</v>
      </c>
      <c r="M4" s="12">
        <v>12</v>
      </c>
      <c r="N4" s="12" t="s">
        <v>3037</v>
      </c>
    </row>
    <row r="5" spans="1:14" x14ac:dyDescent="0.35">
      <c r="A5" s="13">
        <v>1</v>
      </c>
      <c r="B5" s="13">
        <v>34020</v>
      </c>
      <c r="C5" s="13">
        <v>17220</v>
      </c>
      <c r="D5" s="13">
        <v>23352</v>
      </c>
      <c r="E5" s="13">
        <v>24528</v>
      </c>
      <c r="F5" s="13">
        <v>48636</v>
      </c>
      <c r="G5" s="13">
        <v>39984</v>
      </c>
      <c r="H5" s="13">
        <v>18060</v>
      </c>
      <c r="I5" s="13">
        <v>23688</v>
      </c>
      <c r="J5" s="13">
        <v>17892</v>
      </c>
      <c r="K5" s="13">
        <v>48888</v>
      </c>
      <c r="L5" s="13">
        <v>26040</v>
      </c>
      <c r="M5" s="13">
        <v>20412</v>
      </c>
      <c r="N5" s="13">
        <v>342720</v>
      </c>
    </row>
    <row r="6" spans="1:14" x14ac:dyDescent="0.35">
      <c r="A6" s="13">
        <v>2</v>
      </c>
      <c r="B6" s="13">
        <v>15004</v>
      </c>
      <c r="C6" s="13">
        <v>37268</v>
      </c>
      <c r="D6" s="13">
        <v>30855</v>
      </c>
      <c r="E6" s="13">
        <v>56870</v>
      </c>
      <c r="F6" s="13">
        <v>48400</v>
      </c>
      <c r="G6" s="13">
        <v>65703</v>
      </c>
      <c r="H6" s="13">
        <v>38236</v>
      </c>
      <c r="I6" s="13">
        <v>57233</v>
      </c>
      <c r="J6" s="13">
        <v>69938</v>
      </c>
      <c r="K6" s="13">
        <v>40414</v>
      </c>
      <c r="L6" s="13">
        <v>66671</v>
      </c>
      <c r="M6" s="13">
        <v>64009</v>
      </c>
      <c r="N6" s="13">
        <v>590601</v>
      </c>
    </row>
    <row r="7" spans="1:14" x14ac:dyDescent="0.35">
      <c r="A7" s="13">
        <v>3</v>
      </c>
      <c r="B7" s="13">
        <v>42186</v>
      </c>
      <c r="C7" s="13">
        <v>31951</v>
      </c>
      <c r="D7" s="13">
        <v>34265</v>
      </c>
      <c r="E7" s="13">
        <v>47081</v>
      </c>
      <c r="F7" s="13">
        <v>38359</v>
      </c>
      <c r="G7" s="13">
        <v>14418</v>
      </c>
      <c r="H7" s="13">
        <v>48505</v>
      </c>
      <c r="I7" s="13">
        <v>25810</v>
      </c>
      <c r="J7" s="13">
        <v>44678</v>
      </c>
      <c r="K7" s="13">
        <v>30171</v>
      </c>
      <c r="L7" s="13">
        <v>29637</v>
      </c>
      <c r="M7" s="13">
        <v>36757</v>
      </c>
      <c r="N7" s="13">
        <v>423818</v>
      </c>
    </row>
    <row r="8" spans="1:14" x14ac:dyDescent="0.35">
      <c r="A8" s="13">
        <v>4</v>
      </c>
      <c r="B8" s="13">
        <v>43164</v>
      </c>
      <c r="C8" s="13">
        <v>36036</v>
      </c>
      <c r="D8" s="13">
        <v>58806</v>
      </c>
      <c r="E8" s="13">
        <v>30987</v>
      </c>
      <c r="F8" s="13">
        <v>27324</v>
      </c>
      <c r="G8" s="13">
        <v>12771</v>
      </c>
      <c r="H8" s="13">
        <v>26730</v>
      </c>
      <c r="I8" s="13">
        <v>48609</v>
      </c>
      <c r="J8" s="13">
        <v>38511</v>
      </c>
      <c r="K8" s="13">
        <v>9009</v>
      </c>
      <c r="L8" s="13">
        <v>35937</v>
      </c>
      <c r="M8" s="13">
        <v>26136</v>
      </c>
      <c r="N8" s="13">
        <v>394020</v>
      </c>
    </row>
    <row r="9" spans="1:14" x14ac:dyDescent="0.35">
      <c r="A9" s="13">
        <v>5</v>
      </c>
      <c r="B9" s="13">
        <v>31395</v>
      </c>
      <c r="C9" s="13">
        <v>26390</v>
      </c>
      <c r="D9" s="13">
        <v>32942</v>
      </c>
      <c r="E9" s="13">
        <v>17108</v>
      </c>
      <c r="F9" s="13">
        <v>27027</v>
      </c>
      <c r="G9" s="13">
        <v>40677</v>
      </c>
      <c r="H9" s="13">
        <v>50778</v>
      </c>
      <c r="I9" s="13">
        <v>36673</v>
      </c>
      <c r="J9" s="13">
        <v>42770</v>
      </c>
      <c r="K9" s="13">
        <v>33488</v>
      </c>
      <c r="L9" s="13">
        <v>23296</v>
      </c>
      <c r="M9" s="13">
        <v>23023</v>
      </c>
      <c r="N9" s="13">
        <v>385567</v>
      </c>
    </row>
    <row r="10" spans="1:14" x14ac:dyDescent="0.35">
      <c r="A10" s="13">
        <v>6</v>
      </c>
      <c r="B10" s="13">
        <v>58738</v>
      </c>
      <c r="C10" s="13">
        <v>88494</v>
      </c>
      <c r="D10" s="13">
        <v>24338</v>
      </c>
      <c r="E10" s="13">
        <v>47214</v>
      </c>
      <c r="F10" s="13">
        <v>37754</v>
      </c>
      <c r="G10" s="13">
        <v>16340</v>
      </c>
      <c r="H10" s="13">
        <v>49708</v>
      </c>
      <c r="I10" s="13">
        <v>31992</v>
      </c>
      <c r="J10" s="13">
        <v>26058</v>
      </c>
      <c r="K10" s="13">
        <v>50568</v>
      </c>
      <c r="L10" s="13">
        <v>28380</v>
      </c>
      <c r="M10" s="13">
        <v>39818</v>
      </c>
      <c r="N10" s="13">
        <v>499402</v>
      </c>
    </row>
    <row r="11" spans="1:14" x14ac:dyDescent="0.35">
      <c r="A11" s="13">
        <v>7</v>
      </c>
      <c r="B11" s="13">
        <v>53872</v>
      </c>
      <c r="C11" s="13">
        <v>45864</v>
      </c>
      <c r="D11" s="13">
        <v>25168</v>
      </c>
      <c r="E11" s="13">
        <v>60424</v>
      </c>
      <c r="F11" s="13">
        <v>53040</v>
      </c>
      <c r="G11" s="13">
        <v>48048</v>
      </c>
      <c r="H11" s="13">
        <v>35776</v>
      </c>
      <c r="I11" s="13">
        <v>47632</v>
      </c>
      <c r="J11" s="13">
        <v>48464</v>
      </c>
      <c r="K11" s="13">
        <v>31720</v>
      </c>
      <c r="L11" s="13">
        <v>46176</v>
      </c>
      <c r="M11" s="13">
        <v>24232</v>
      </c>
      <c r="N11" s="13">
        <v>520416</v>
      </c>
    </row>
    <row r="12" spans="1:14" x14ac:dyDescent="0.35">
      <c r="A12" s="13">
        <v>8</v>
      </c>
      <c r="B12" s="13">
        <v>42064</v>
      </c>
      <c r="C12" s="13">
        <v>57552</v>
      </c>
      <c r="D12" s="13">
        <v>40832</v>
      </c>
      <c r="E12" s="13">
        <v>35904</v>
      </c>
      <c r="F12" s="13">
        <v>37048</v>
      </c>
      <c r="G12" s="13">
        <v>13376</v>
      </c>
      <c r="H12" s="13">
        <v>34144</v>
      </c>
      <c r="I12" s="13">
        <v>50512</v>
      </c>
      <c r="J12" s="13">
        <v>42592</v>
      </c>
      <c r="K12" s="13">
        <v>28776</v>
      </c>
      <c r="L12" s="13">
        <v>41536</v>
      </c>
      <c r="M12" s="13">
        <v>69960</v>
      </c>
      <c r="N12" s="13">
        <v>494296</v>
      </c>
    </row>
    <row r="13" spans="1:14" x14ac:dyDescent="0.35">
      <c r="A13" s="13">
        <v>9</v>
      </c>
      <c r="B13" s="13">
        <v>72864</v>
      </c>
      <c r="C13" s="13">
        <v>34560</v>
      </c>
      <c r="D13" s="13">
        <v>46080</v>
      </c>
      <c r="E13" s="13">
        <v>40896</v>
      </c>
      <c r="F13" s="13">
        <v>24384</v>
      </c>
      <c r="G13" s="13">
        <v>34368</v>
      </c>
      <c r="H13" s="13">
        <v>73152</v>
      </c>
      <c r="I13" s="13">
        <v>58464</v>
      </c>
      <c r="J13" s="13">
        <v>85056</v>
      </c>
      <c r="K13" s="13">
        <v>59808</v>
      </c>
      <c r="L13" s="13">
        <v>42432</v>
      </c>
      <c r="M13" s="13">
        <v>39936</v>
      </c>
      <c r="N13" s="13">
        <v>612000</v>
      </c>
    </row>
    <row r="14" spans="1:14" x14ac:dyDescent="0.35">
      <c r="A14" s="13">
        <v>10</v>
      </c>
      <c r="B14" s="13">
        <v>80769</v>
      </c>
      <c r="C14" s="13">
        <v>58206</v>
      </c>
      <c r="D14" s="13">
        <v>40330</v>
      </c>
      <c r="E14" s="13">
        <v>48832</v>
      </c>
      <c r="F14" s="13">
        <v>104858</v>
      </c>
      <c r="G14" s="13">
        <v>56898</v>
      </c>
      <c r="H14" s="13">
        <v>79570</v>
      </c>
      <c r="I14" s="13">
        <v>70523</v>
      </c>
      <c r="J14" s="13">
        <v>48505</v>
      </c>
      <c r="K14" s="13">
        <v>69760</v>
      </c>
      <c r="L14" s="13">
        <v>51448</v>
      </c>
      <c r="M14" s="13">
        <v>39022</v>
      </c>
      <c r="N14" s="13">
        <v>748721</v>
      </c>
    </row>
    <row r="15" spans="1:14" x14ac:dyDescent="0.35">
      <c r="A15" s="13">
        <v>11</v>
      </c>
      <c r="B15" s="13">
        <v>58183</v>
      </c>
      <c r="C15" s="13">
        <v>33781</v>
      </c>
      <c r="D15" s="13">
        <v>39259</v>
      </c>
      <c r="E15" s="13">
        <v>71048</v>
      </c>
      <c r="F15" s="13">
        <v>49468</v>
      </c>
      <c r="G15" s="13">
        <v>31872</v>
      </c>
      <c r="H15" s="13">
        <v>58266</v>
      </c>
      <c r="I15" s="13">
        <v>57685</v>
      </c>
      <c r="J15" s="13">
        <v>56191</v>
      </c>
      <c r="K15" s="13">
        <v>65321</v>
      </c>
      <c r="L15" s="13">
        <v>64906</v>
      </c>
      <c r="M15" s="13">
        <v>33781</v>
      </c>
      <c r="N15" s="13">
        <v>619761</v>
      </c>
    </row>
    <row r="16" spans="1:14" x14ac:dyDescent="0.35">
      <c r="A16" s="13">
        <v>12</v>
      </c>
      <c r="B16" s="13">
        <v>50776</v>
      </c>
      <c r="C16" s="13">
        <v>69344</v>
      </c>
      <c r="D16" s="13">
        <v>70576</v>
      </c>
      <c r="E16" s="13">
        <v>66616</v>
      </c>
      <c r="F16" s="13">
        <v>70664</v>
      </c>
      <c r="G16" s="13">
        <v>56848</v>
      </c>
      <c r="H16" s="13">
        <v>59048</v>
      </c>
      <c r="I16" s="13">
        <v>78408</v>
      </c>
      <c r="J16" s="13">
        <v>70136</v>
      </c>
      <c r="K16" s="13">
        <v>31944</v>
      </c>
      <c r="L16" s="13">
        <v>39776</v>
      </c>
      <c r="M16" s="13">
        <v>90288</v>
      </c>
      <c r="N16" s="13">
        <v>754424</v>
      </c>
    </row>
    <row r="17" spans="1:14" x14ac:dyDescent="0.35">
      <c r="A17" s="13">
        <v>13</v>
      </c>
      <c r="B17" s="13">
        <v>27448</v>
      </c>
      <c r="C17" s="13">
        <v>53486</v>
      </c>
      <c r="D17" s="13">
        <v>41172</v>
      </c>
      <c r="E17" s="13">
        <v>43804</v>
      </c>
      <c r="F17" s="13">
        <v>33934</v>
      </c>
      <c r="G17" s="13">
        <v>38728</v>
      </c>
      <c r="H17" s="13">
        <v>28294</v>
      </c>
      <c r="I17" s="13">
        <v>49538</v>
      </c>
      <c r="J17" s="13">
        <v>57716</v>
      </c>
      <c r="K17" s="13">
        <v>59596</v>
      </c>
      <c r="L17" s="13">
        <v>62980</v>
      </c>
      <c r="M17" s="13">
        <v>35908</v>
      </c>
      <c r="N17" s="13">
        <v>532604</v>
      </c>
    </row>
    <row r="18" spans="1:14" x14ac:dyDescent="0.35">
      <c r="A18" s="13">
        <v>14</v>
      </c>
      <c r="B18" s="13">
        <v>62565</v>
      </c>
      <c r="C18" s="13">
        <v>77271</v>
      </c>
      <c r="D18" s="13">
        <v>35991</v>
      </c>
      <c r="E18" s="13">
        <v>37797</v>
      </c>
      <c r="F18" s="13">
        <v>33024</v>
      </c>
      <c r="G18" s="13">
        <v>69015</v>
      </c>
      <c r="H18" s="13">
        <v>44634</v>
      </c>
      <c r="I18" s="13">
        <v>95847</v>
      </c>
      <c r="J18" s="13">
        <v>51600</v>
      </c>
      <c r="K18" s="13">
        <v>38184</v>
      </c>
      <c r="L18" s="13">
        <v>41796</v>
      </c>
      <c r="M18" s="13">
        <v>36894</v>
      </c>
      <c r="N18" s="13">
        <v>624618</v>
      </c>
    </row>
    <row r="19" spans="1:14" x14ac:dyDescent="0.35">
      <c r="A19" s="13">
        <v>15</v>
      </c>
      <c r="B19" s="13">
        <v>43860</v>
      </c>
      <c r="C19" s="13">
        <v>41480</v>
      </c>
      <c r="D19" s="13">
        <v>19550</v>
      </c>
      <c r="E19" s="13">
        <v>54995</v>
      </c>
      <c r="F19" s="13">
        <v>43435</v>
      </c>
      <c r="G19" s="13">
        <v>24905</v>
      </c>
      <c r="H19" s="13">
        <v>46665</v>
      </c>
      <c r="I19" s="13">
        <v>56610</v>
      </c>
      <c r="J19" s="13">
        <v>36805</v>
      </c>
      <c r="K19" s="13">
        <v>28305</v>
      </c>
      <c r="L19" s="13">
        <v>28390</v>
      </c>
      <c r="M19" s="13">
        <v>14620</v>
      </c>
      <c r="N19" s="13">
        <v>439620</v>
      </c>
    </row>
    <row r="20" spans="1:14" x14ac:dyDescent="0.35">
      <c r="A20" s="13">
        <v>16</v>
      </c>
      <c r="B20" s="13">
        <v>26226</v>
      </c>
      <c r="C20" s="13">
        <v>55893</v>
      </c>
      <c r="D20" s="13">
        <v>28551</v>
      </c>
      <c r="E20" s="13">
        <v>38967</v>
      </c>
      <c r="F20" s="13">
        <v>25761</v>
      </c>
      <c r="G20" s="13">
        <v>32829</v>
      </c>
      <c r="H20" s="13">
        <v>42966</v>
      </c>
      <c r="I20" s="13">
        <v>20646</v>
      </c>
      <c r="J20" s="13">
        <v>51894</v>
      </c>
      <c r="K20" s="13">
        <v>33294</v>
      </c>
      <c r="L20" s="13">
        <v>40362</v>
      </c>
      <c r="M20" s="13">
        <v>21390</v>
      </c>
      <c r="N20" s="13">
        <v>418779</v>
      </c>
    </row>
    <row r="21" spans="1:14" x14ac:dyDescent="0.35">
      <c r="A21" s="13">
        <v>17</v>
      </c>
      <c r="B21" s="13">
        <v>47712</v>
      </c>
      <c r="C21" s="13">
        <v>51660</v>
      </c>
      <c r="D21" s="13">
        <v>46620</v>
      </c>
      <c r="E21" s="13">
        <v>23100</v>
      </c>
      <c r="F21" s="13">
        <v>42336</v>
      </c>
      <c r="G21" s="13">
        <v>46368</v>
      </c>
      <c r="H21" s="13">
        <v>24612</v>
      </c>
      <c r="I21" s="13">
        <v>28476</v>
      </c>
      <c r="J21" s="13">
        <v>38892</v>
      </c>
      <c r="K21" s="13">
        <v>29568</v>
      </c>
      <c r="L21" s="13">
        <v>20244</v>
      </c>
      <c r="M21" s="13">
        <v>28812</v>
      </c>
      <c r="N21" s="13">
        <v>428400</v>
      </c>
    </row>
    <row r="22" spans="1:14" x14ac:dyDescent="0.35">
      <c r="A22" s="13">
        <v>18</v>
      </c>
      <c r="B22" s="13">
        <v>18360</v>
      </c>
      <c r="C22" s="13">
        <v>23580</v>
      </c>
      <c r="D22" s="13">
        <v>16380</v>
      </c>
      <c r="E22" s="13">
        <v>35640</v>
      </c>
      <c r="F22" s="13">
        <v>44550</v>
      </c>
      <c r="G22" s="13">
        <v>27900</v>
      </c>
      <c r="H22" s="13">
        <v>14940</v>
      </c>
      <c r="I22" s="13">
        <v>33300</v>
      </c>
      <c r="J22" s="13">
        <v>29790</v>
      </c>
      <c r="K22" s="13">
        <v>28620</v>
      </c>
      <c r="L22" s="13">
        <v>54270</v>
      </c>
      <c r="M22" s="13">
        <v>53640</v>
      </c>
      <c r="N22" s="13">
        <v>380970</v>
      </c>
    </row>
    <row r="23" spans="1:14" x14ac:dyDescent="0.35">
      <c r="A23" s="13">
        <v>19</v>
      </c>
      <c r="B23" s="13">
        <v>22092</v>
      </c>
      <c r="C23" s="13">
        <v>42084</v>
      </c>
      <c r="D23" s="13">
        <v>35028</v>
      </c>
      <c r="E23" s="13">
        <v>39648</v>
      </c>
      <c r="F23" s="13">
        <v>33432</v>
      </c>
      <c r="G23" s="13">
        <v>30744</v>
      </c>
      <c r="H23" s="13">
        <v>41916</v>
      </c>
      <c r="I23" s="13">
        <v>61068</v>
      </c>
      <c r="J23" s="13">
        <v>27384</v>
      </c>
      <c r="K23" s="13">
        <v>58212</v>
      </c>
      <c r="L23" s="13">
        <v>26628</v>
      </c>
      <c r="M23" s="13">
        <v>30828</v>
      </c>
      <c r="N23" s="13">
        <v>449064</v>
      </c>
    </row>
    <row r="24" spans="1:14" x14ac:dyDescent="0.35">
      <c r="A24" s="13">
        <v>20</v>
      </c>
      <c r="B24" s="13">
        <v>40071</v>
      </c>
      <c r="C24" s="13">
        <v>10212</v>
      </c>
      <c r="D24" s="13">
        <v>10656</v>
      </c>
      <c r="E24" s="13">
        <v>42735</v>
      </c>
      <c r="F24" s="13">
        <v>20202</v>
      </c>
      <c r="G24" s="13">
        <v>10989</v>
      </c>
      <c r="H24" s="13">
        <v>17316</v>
      </c>
      <c r="I24" s="13">
        <v>23199</v>
      </c>
      <c r="J24" s="13">
        <v>11211</v>
      </c>
      <c r="K24" s="13">
        <v>32967</v>
      </c>
      <c r="L24" s="13">
        <v>13542</v>
      </c>
      <c r="M24" s="13">
        <v>18870</v>
      </c>
      <c r="N24" s="13">
        <v>251970</v>
      </c>
    </row>
    <row r="25" spans="1:14" x14ac:dyDescent="0.35">
      <c r="A25" s="13">
        <v>21</v>
      </c>
      <c r="B25" s="13">
        <v>27720</v>
      </c>
      <c r="C25" s="13">
        <v>22995</v>
      </c>
      <c r="D25" s="13">
        <v>25515</v>
      </c>
      <c r="E25" s="13">
        <v>37380</v>
      </c>
      <c r="F25" s="13">
        <v>14280</v>
      </c>
      <c r="G25" s="13">
        <v>46410</v>
      </c>
      <c r="H25" s="13">
        <v>27930</v>
      </c>
      <c r="I25" s="13">
        <v>31290</v>
      </c>
      <c r="J25" s="13">
        <v>15540</v>
      </c>
      <c r="K25" s="13">
        <v>10185</v>
      </c>
      <c r="L25" s="13">
        <v>20790</v>
      </c>
      <c r="M25" s="13">
        <v>9765</v>
      </c>
      <c r="N25" s="13">
        <v>289800</v>
      </c>
    </row>
    <row r="26" spans="1:14" x14ac:dyDescent="0.35">
      <c r="A26" s="13">
        <v>22</v>
      </c>
      <c r="B26" s="13">
        <v>7931</v>
      </c>
      <c r="C26" s="13">
        <v>24617</v>
      </c>
      <c r="D26" s="13">
        <v>17510</v>
      </c>
      <c r="E26" s="13">
        <v>19261</v>
      </c>
      <c r="F26" s="13">
        <v>9991</v>
      </c>
      <c r="G26" s="13">
        <v>17407</v>
      </c>
      <c r="H26" s="13">
        <v>17304</v>
      </c>
      <c r="J26" s="13">
        <v>19261</v>
      </c>
      <c r="K26" s="13">
        <v>27398</v>
      </c>
      <c r="L26" s="13">
        <v>22248</v>
      </c>
      <c r="M26" s="13">
        <v>11948</v>
      </c>
      <c r="N26" s="13">
        <v>194876</v>
      </c>
    </row>
    <row r="27" spans="1:14" x14ac:dyDescent="0.35">
      <c r="A27" s="13">
        <v>23</v>
      </c>
      <c r="B27" s="13">
        <v>63624</v>
      </c>
      <c r="C27" s="13">
        <v>51612</v>
      </c>
      <c r="D27" s="13">
        <v>20724</v>
      </c>
      <c r="E27" s="13">
        <v>64680</v>
      </c>
      <c r="F27" s="13">
        <v>62040</v>
      </c>
      <c r="G27" s="13">
        <v>88704</v>
      </c>
      <c r="H27" s="13">
        <v>67716</v>
      </c>
      <c r="I27" s="13">
        <v>48180</v>
      </c>
      <c r="J27" s="13">
        <v>78936</v>
      </c>
      <c r="K27" s="13">
        <v>57816</v>
      </c>
      <c r="L27" s="13">
        <v>29700</v>
      </c>
      <c r="M27" s="13">
        <v>83952</v>
      </c>
      <c r="N27" s="13">
        <v>717684</v>
      </c>
    </row>
    <row r="28" spans="1:14" x14ac:dyDescent="0.35">
      <c r="A28" s="13">
        <v>24</v>
      </c>
      <c r="B28" s="13">
        <v>47250</v>
      </c>
      <c r="C28" s="13">
        <v>76125</v>
      </c>
      <c r="D28" s="13">
        <v>68250</v>
      </c>
      <c r="E28" s="13">
        <v>79000</v>
      </c>
      <c r="F28" s="13">
        <v>68000</v>
      </c>
      <c r="G28" s="13">
        <v>41875</v>
      </c>
      <c r="H28" s="13">
        <v>37125</v>
      </c>
      <c r="I28" s="13">
        <v>57625</v>
      </c>
      <c r="J28" s="13">
        <v>77875</v>
      </c>
      <c r="K28" s="13">
        <v>45750</v>
      </c>
      <c r="L28" s="13">
        <v>27125</v>
      </c>
      <c r="M28" s="13">
        <v>53125</v>
      </c>
      <c r="N28" s="13">
        <v>679125</v>
      </c>
    </row>
    <row r="29" spans="1:14" x14ac:dyDescent="0.35">
      <c r="A29" s="13">
        <v>25</v>
      </c>
      <c r="B29" s="13">
        <v>61668</v>
      </c>
      <c r="C29" s="13">
        <v>62208</v>
      </c>
      <c r="D29" s="13">
        <v>21060</v>
      </c>
      <c r="E29" s="13">
        <v>30672</v>
      </c>
      <c r="F29" s="13">
        <v>46980</v>
      </c>
      <c r="G29" s="13">
        <v>70956</v>
      </c>
      <c r="H29" s="13">
        <v>46656</v>
      </c>
      <c r="I29" s="13">
        <v>28944</v>
      </c>
      <c r="J29" s="13">
        <v>51732</v>
      </c>
      <c r="K29" s="13">
        <v>47520</v>
      </c>
      <c r="L29" s="13">
        <v>65988</v>
      </c>
      <c r="M29" s="13">
        <v>33588</v>
      </c>
      <c r="N29" s="13">
        <v>567972</v>
      </c>
    </row>
    <row r="30" spans="1:14" x14ac:dyDescent="0.35">
      <c r="A30" s="13">
        <v>26</v>
      </c>
      <c r="B30" s="13">
        <v>33759</v>
      </c>
      <c r="C30" s="13">
        <v>24948</v>
      </c>
      <c r="D30" s="13">
        <v>55836</v>
      </c>
      <c r="E30" s="13">
        <v>36630</v>
      </c>
      <c r="F30" s="13">
        <v>40986</v>
      </c>
      <c r="G30" s="13">
        <v>45045</v>
      </c>
      <c r="H30" s="13">
        <v>38808</v>
      </c>
      <c r="I30" s="13">
        <v>54747</v>
      </c>
      <c r="J30" s="13">
        <v>48312</v>
      </c>
      <c r="K30" s="13">
        <v>43956</v>
      </c>
      <c r="L30" s="13">
        <v>48609</v>
      </c>
      <c r="M30" s="13">
        <v>38412</v>
      </c>
      <c r="N30" s="13">
        <v>510048</v>
      </c>
    </row>
    <row r="31" spans="1:14" x14ac:dyDescent="0.35">
      <c r="A31" s="13">
        <v>27</v>
      </c>
      <c r="B31" s="13">
        <v>59247</v>
      </c>
      <c r="C31" s="13">
        <v>36714</v>
      </c>
      <c r="D31" s="13">
        <v>23490</v>
      </c>
      <c r="E31" s="13">
        <v>13050</v>
      </c>
      <c r="F31" s="13">
        <v>44457</v>
      </c>
      <c r="G31" s="13">
        <v>23229</v>
      </c>
      <c r="H31" s="13">
        <v>26448</v>
      </c>
      <c r="I31" s="13">
        <v>22794</v>
      </c>
      <c r="J31" s="13">
        <v>23664</v>
      </c>
      <c r="K31" s="13">
        <v>33408</v>
      </c>
      <c r="L31" s="13">
        <v>28188</v>
      </c>
      <c r="M31" s="13">
        <v>23316</v>
      </c>
      <c r="N31" s="13">
        <v>358005</v>
      </c>
    </row>
    <row r="32" spans="1:14" x14ac:dyDescent="0.35">
      <c r="A32" s="13">
        <v>28</v>
      </c>
      <c r="B32" s="13">
        <v>15517</v>
      </c>
      <c r="C32" s="13">
        <v>28320</v>
      </c>
      <c r="D32" s="13">
        <v>10797</v>
      </c>
      <c r="E32" s="13">
        <v>20709</v>
      </c>
      <c r="F32" s="13">
        <v>25429</v>
      </c>
      <c r="G32" s="13">
        <v>21240</v>
      </c>
      <c r="H32" s="13">
        <v>19706</v>
      </c>
      <c r="I32" s="13">
        <v>22951</v>
      </c>
      <c r="J32" s="13">
        <v>9263</v>
      </c>
      <c r="K32" s="13">
        <v>19234</v>
      </c>
      <c r="L32" s="13">
        <v>11505</v>
      </c>
      <c r="M32" s="13">
        <v>19588</v>
      </c>
      <c r="N32" s="13">
        <v>224259</v>
      </c>
    </row>
    <row r="33" spans="1:14" x14ac:dyDescent="0.35">
      <c r="A33" s="13">
        <v>29</v>
      </c>
      <c r="B33" s="13">
        <v>51660</v>
      </c>
      <c r="C33" s="13">
        <v>51975</v>
      </c>
      <c r="D33" s="13">
        <v>35490</v>
      </c>
      <c r="E33" s="13">
        <v>34965</v>
      </c>
      <c r="F33" s="13">
        <v>53130</v>
      </c>
      <c r="G33" s="13">
        <v>44520</v>
      </c>
      <c r="H33" s="13">
        <v>31605</v>
      </c>
      <c r="I33" s="13">
        <v>49770</v>
      </c>
      <c r="J33" s="13">
        <v>30135</v>
      </c>
      <c r="K33" s="13">
        <v>46620</v>
      </c>
      <c r="L33" s="13">
        <v>35490</v>
      </c>
      <c r="M33" s="13">
        <v>15750</v>
      </c>
      <c r="N33" s="13">
        <v>481110</v>
      </c>
    </row>
    <row r="34" spans="1:14" x14ac:dyDescent="0.35">
      <c r="A34" s="13">
        <v>30</v>
      </c>
      <c r="B34" s="13">
        <v>18183</v>
      </c>
      <c r="C34" s="13">
        <v>35235</v>
      </c>
      <c r="D34" s="13">
        <v>54810</v>
      </c>
      <c r="E34" s="13">
        <v>23838</v>
      </c>
      <c r="F34" s="13">
        <v>15747</v>
      </c>
      <c r="G34" s="13">
        <v>44892</v>
      </c>
      <c r="H34" s="13">
        <v>46284</v>
      </c>
      <c r="I34" s="13">
        <v>64815</v>
      </c>
      <c r="J34" s="13">
        <v>38193</v>
      </c>
      <c r="K34" s="13">
        <v>48981</v>
      </c>
      <c r="L34" s="13">
        <v>46458</v>
      </c>
      <c r="M34" s="13">
        <v>33930</v>
      </c>
      <c r="N34" s="13">
        <v>471366</v>
      </c>
    </row>
    <row r="35" spans="1:14" x14ac:dyDescent="0.35">
      <c r="A35" s="12" t="s">
        <v>3037</v>
      </c>
      <c r="B35" s="12">
        <v>1257928</v>
      </c>
      <c r="C35" s="12">
        <v>1307081</v>
      </c>
      <c r="D35" s="12">
        <v>1034233</v>
      </c>
      <c r="E35" s="12">
        <v>1224379</v>
      </c>
      <c r="F35" s="12">
        <v>1224676</v>
      </c>
      <c r="G35" s="12">
        <v>1157059</v>
      </c>
      <c r="H35" s="12">
        <v>1192898</v>
      </c>
      <c r="I35" s="12">
        <v>1337029</v>
      </c>
      <c r="J35" s="12">
        <v>1288994</v>
      </c>
      <c r="K35" s="12">
        <v>1189481</v>
      </c>
      <c r="L35" s="12">
        <v>1120548</v>
      </c>
      <c r="M35" s="12">
        <v>1071710</v>
      </c>
      <c r="N35" s="12">
        <v>14406016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Roczna_Sprzedaz</vt:lpstr>
      <vt:lpstr>Arkusz1</vt:lpstr>
      <vt:lpstr>Arkusz2</vt:lpstr>
      <vt:lpstr>Arkusz3</vt:lpstr>
      <vt:lpstr>Arkusz4</vt:lpstr>
      <vt:lpstr>Arkusz5</vt:lpstr>
      <vt:lpstr>Dane</vt:lpstr>
      <vt:lpstr>Cena</vt:lpstr>
      <vt:lpstr>Arkusz6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Gurak</dc:creator>
  <cp:lastModifiedBy>Szcząchór, Nikola</cp:lastModifiedBy>
  <dcterms:created xsi:type="dcterms:W3CDTF">2021-12-11T08:33:27Z</dcterms:created>
  <dcterms:modified xsi:type="dcterms:W3CDTF">2026-10-26T20:39:02Z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5394ae5-69af-439d-af88-cb521c31c0c5_Enabled">
    <vt:lpwstr>true</vt:lpwstr>
  </property>
  <property fmtid="{D5CDD505-2E9C-101B-9397-08002B2CF9AE}" pid="3" name="MSIP_Label_15394ae5-69af-439d-af88-cb521c31c0c5_SetDate">
    <vt:lpwstr>2026-10-25T21:28:56Z</vt:lpwstr>
  </property>
  <property fmtid="{D5CDD505-2E9C-101B-9397-08002B2CF9AE}" pid="4" name="MSIP_Label_15394ae5-69af-439d-af88-cb521c31c0c5_Method">
    <vt:lpwstr>Standard</vt:lpwstr>
  </property>
  <property fmtid="{D5CDD505-2E9C-101B-9397-08002B2CF9AE}" pid="5" name="MSIP_Label_15394ae5-69af-439d-af88-cb521c31c0c5_Name">
    <vt:lpwstr>DXC Internal</vt:lpwstr>
  </property>
  <property fmtid="{D5CDD505-2E9C-101B-9397-08002B2CF9AE}" pid="6" name="MSIP_Label_15394ae5-69af-439d-af88-cb521c31c0c5_SiteId">
    <vt:lpwstr>93f33571-550f-43cf-b09f-cd331338d086</vt:lpwstr>
  </property>
  <property fmtid="{D5CDD505-2E9C-101B-9397-08002B2CF9AE}" pid="7" name="MSIP_Label_15394ae5-69af-439d-af88-cb521c31c0c5_ActionId">
    <vt:lpwstr>7bbd0702-26b0-4692-9c61-1c82a8e84d2e</vt:lpwstr>
  </property>
  <property fmtid="{D5CDD505-2E9C-101B-9397-08002B2CF9AE}" pid="8" name="MSIP_Label_15394ae5-69af-439d-af88-cb521c31c0c5_ContentBits">
    <vt:lpwstr>0</vt:lpwstr>
  </property>
  <property fmtid="{D5CDD505-2E9C-101B-9397-08002B2CF9AE}" pid="9" name="MSIP_Label_15394ae5-69af-439d-af88-cb521c31c0c5_Tag">
    <vt:lpwstr>10, 3, 0, 1</vt:lpwstr>
  </property>
</Properties>
</file>